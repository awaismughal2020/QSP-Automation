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51840" windowHeight="21120" tabRatio="732" firstSheet="26" activeTab="29" autoFilterDateGrouping="1"/>
  </bookViews>
  <sheets>
    <sheet xmlns:r="http://schemas.openxmlformats.org/officeDocument/2006/relationships" name="BalansenWinstverlies - FY2018" sheetId="1" state="hidden" r:id="rId1"/>
    <sheet xmlns:r="http://schemas.openxmlformats.org/officeDocument/2006/relationships" name="Cijfers QSP - Q1 2019" sheetId="2" state="hidden" r:id="rId2"/>
    <sheet xmlns:r="http://schemas.openxmlformats.org/officeDocument/2006/relationships" name="BDO - Q2 2019" sheetId="3" state="hidden" r:id="rId3"/>
    <sheet xmlns:r="http://schemas.openxmlformats.org/officeDocument/2006/relationships" name="BDO - Q3 2019" sheetId="4" state="hidden" r:id="rId4"/>
    <sheet xmlns:r="http://schemas.openxmlformats.org/officeDocument/2006/relationships" name="BDO Q4 2019" sheetId="5" state="hidden" r:id="rId5"/>
    <sheet xmlns:r="http://schemas.openxmlformats.org/officeDocument/2006/relationships" name="BDO - Q1 2020" sheetId="6" state="hidden" r:id="rId6"/>
    <sheet xmlns:r="http://schemas.openxmlformats.org/officeDocument/2006/relationships" name="BDO - Q2 2020" sheetId="7" state="visible" r:id="rId7"/>
    <sheet xmlns:r="http://schemas.openxmlformats.org/officeDocument/2006/relationships" name="BDO - Q3 2020" sheetId="8" state="visible" r:id="rId8"/>
    <sheet xmlns:r="http://schemas.openxmlformats.org/officeDocument/2006/relationships" name="BDO - Q4 2020" sheetId="9" state="visible" r:id="rId9"/>
    <sheet xmlns:r="http://schemas.openxmlformats.org/officeDocument/2006/relationships" name="BDO - Q1 2021" sheetId="10" state="visible" r:id="rId10"/>
    <sheet xmlns:r="http://schemas.openxmlformats.org/officeDocument/2006/relationships" name="BDO - Q2 2021" sheetId="11" state="visible" r:id="rId11"/>
    <sheet xmlns:r="http://schemas.openxmlformats.org/officeDocument/2006/relationships" name="BDO - Q3 2021" sheetId="12" state="visible" r:id="rId12"/>
    <sheet xmlns:r="http://schemas.openxmlformats.org/officeDocument/2006/relationships" name="BDO - Q4 2021" sheetId="13" state="visible" r:id="rId13"/>
    <sheet xmlns:r="http://schemas.openxmlformats.org/officeDocument/2006/relationships" name="BDO - Q1-22" sheetId="14" state="visible" r:id="rId14"/>
    <sheet xmlns:r="http://schemas.openxmlformats.org/officeDocument/2006/relationships" name="BDO - Q2-22" sheetId="15" state="visible" r:id="rId15"/>
    <sheet xmlns:r="http://schemas.openxmlformats.org/officeDocument/2006/relationships" name="BDO - Q3-22" sheetId="16" state="visible" r:id="rId16"/>
    <sheet xmlns:r="http://schemas.openxmlformats.org/officeDocument/2006/relationships" name="BDO - Q4-22" sheetId="17" state="visible" r:id="rId17"/>
    <sheet xmlns:r="http://schemas.openxmlformats.org/officeDocument/2006/relationships" name="BDO - Q1-23" sheetId="18" state="visible" r:id="rId18"/>
    <sheet xmlns:r="http://schemas.openxmlformats.org/officeDocument/2006/relationships" name="BDO - Q2-23" sheetId="19" state="visible" r:id="rId19"/>
    <sheet xmlns:r="http://schemas.openxmlformats.org/officeDocument/2006/relationships" name="BDO - Q3-23" sheetId="20" state="visible" r:id="rId20"/>
    <sheet xmlns:r="http://schemas.openxmlformats.org/officeDocument/2006/relationships" name="BDO - Q4-23" sheetId="21" state="visible" r:id="rId21"/>
    <sheet xmlns:r="http://schemas.openxmlformats.org/officeDocument/2006/relationships" name="BDO - Q1-24" sheetId="22" state="visible" r:id="rId22"/>
    <sheet xmlns:r="http://schemas.openxmlformats.org/officeDocument/2006/relationships" name="BDO - Q2-24" sheetId="23" state="visible" r:id="rId23"/>
    <sheet xmlns:r="http://schemas.openxmlformats.org/officeDocument/2006/relationships" name="BDO - Q3-24" sheetId="24" state="visible" r:id="rId24"/>
    <sheet xmlns:r="http://schemas.openxmlformats.org/officeDocument/2006/relationships" name="BDO - Q4-24" sheetId="25" state="visible" r:id="rId25"/>
    <sheet xmlns:r="http://schemas.openxmlformats.org/officeDocument/2006/relationships" name="BDO - Q1-25" sheetId="26" state="visible" r:id="rId26"/>
    <sheet xmlns:r="http://schemas.openxmlformats.org/officeDocument/2006/relationships" name="BDO - Q3-25" sheetId="27" state="visible" r:id="rId27"/>
    <sheet xmlns:r="http://schemas.openxmlformats.org/officeDocument/2006/relationships" name="BDO - Q2-25" sheetId="28" state="visible" r:id="rId28"/>
    <sheet xmlns:r="http://schemas.openxmlformats.org/officeDocument/2006/relationships" name="BDO - Q4-25" sheetId="29" state="visible" r:id="rId29"/>
    <sheet xmlns:r="http://schemas.openxmlformats.org/officeDocument/2006/relationships" name="BDO - Q1-26" sheetId="30" state="visible" r:id="rId30"/>
    <sheet xmlns:r="http://schemas.openxmlformats.org/officeDocument/2006/relationships" name="Management Cijfers - Q1 2026" sheetId="31" state="visible" r:id="rId31"/>
  </sheets>
  <externalReferences>
    <externalReference xmlns:r="http://schemas.openxmlformats.org/officeDocument/2006/relationships" r:id="rId32"/>
    <externalReference xmlns:r="http://schemas.openxmlformats.org/officeDocument/2006/relationships" r:id="rId33"/>
    <externalReference xmlns:r="http://schemas.openxmlformats.org/officeDocument/2006/relationships" r:id="rId34"/>
  </externalReferences>
  <definedNames>
    <definedName name="CIQWBGuid" hidden="1">"2ad02d76-6131-41a9-85de-17d1fe470875"</definedName>
  </definedNames>
  <calcPr calcId="191029" fullCalcOnLoad="1"/>
</workbook>
</file>

<file path=xl/styles.xml><?xml version="1.0" encoding="utf-8"?>
<styleSheet xmlns="http://schemas.openxmlformats.org/spreadsheetml/2006/main">
  <numFmts count="11">
    <numFmt numFmtId="164" formatCode="_(* #,##0_);_(* \(#,##0\);_(* &quot;-&quot;??_);_(@_)"/>
    <numFmt numFmtId="165" formatCode="_ * #,##0_ ;_ * \-#,##0_ ;_ * &quot;-&quot;??_ ;_ @_ "/>
    <numFmt numFmtId="166" formatCode="_ &quot;€&quot;\ * #,##0.00_ ;_ &quot;€&quot;\ * \-#,##0.00_ ;_ &quot;€&quot;\ * &quot;-&quot;??_ ;_ @_ "/>
    <numFmt numFmtId="167" formatCode="_ &quot;€&quot;\ * #,##0_ ;_ &quot;€&quot;\ * \-#,##0_ ;_ &quot;€&quot;\ * &quot;-&quot;??_ ;_ @_ "/>
    <numFmt numFmtId="168" formatCode="_ &quot;€&quot;\ * #,##0.0_ ;_ &quot;€&quot;\ * \-#,##0.0_ ;_ &quot;€&quot;\ * &quot;-&quot;??_ ;_ @_ "/>
    <numFmt numFmtId="169" formatCode="_ * #,##0.00_ ;_ * \-#,##0.00_ ;_ * &quot;-&quot;??_ ;_ @_ "/>
    <numFmt numFmtId="170" formatCode="0.0%"/>
    <numFmt numFmtId="171" formatCode="_ * #,##0.0_ ;_ * \-#,##0.0_ ;_ * &quot;-&quot;??_ ;_ @_ "/>
    <numFmt numFmtId="172" formatCode="0.000%"/>
    <numFmt numFmtId="173" formatCode="_ * #,##0.000_ ;_ * \-#,##0.000_ ;_ * &quot;-&quot;??_ ;_ @_ "/>
    <numFmt numFmtId="174" formatCode="_ * #,##0.000_ ;_ * \-#,##0.000_ ;_ * &quot;-&quot;???_ ;_ @_ "/>
  </numFmts>
  <fonts count="4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sz val="10"/>
    </font>
    <font>
      <name val="Avenir"/>
      <family val="2"/>
      <color theme="1"/>
      <sz val="12"/>
    </font>
    <font>
      <name val="Avenir book"/>
      <b val="1"/>
      <color theme="1"/>
      <sz val="12"/>
    </font>
    <font>
      <name val="Avenir book"/>
      <color theme="1"/>
      <sz val="10"/>
    </font>
    <font>
      <name val="Avenir book"/>
      <color theme="0" tint="-0.0499893185216834"/>
      <sz val="10"/>
    </font>
    <font>
      <name val="Avenir book"/>
      <color rgb="FF000000"/>
      <sz val="10"/>
    </font>
    <font>
      <name val="Avenir book"/>
      <b val="1"/>
      <color rgb="FF000000"/>
      <sz val="10"/>
    </font>
    <font>
      <name val="Avenir book"/>
      <b val="1"/>
      <color theme="1"/>
      <sz val="10"/>
    </font>
    <font>
      <name val="Avenir book"/>
      <b val="1"/>
      <color rgb="FF1D2A39"/>
      <sz val="10"/>
    </font>
    <font>
      <name val="Avenir book"/>
      <color rgb="FF1D2A39"/>
      <sz val="10"/>
    </font>
    <font>
      <name val="Avenir book"/>
      <color theme="4"/>
      <sz val="10"/>
    </font>
    <font>
      <name val="Avenir book"/>
      <color rgb="FF00B050"/>
      <sz val="10"/>
    </font>
    <font>
      <name val="Avenir"/>
      <color theme="1"/>
      <sz val="11"/>
    </font>
    <font>
      <name val="Avenir book"/>
      <b val="1"/>
      <color rgb="FF00B050"/>
      <sz val="10"/>
    </font>
    <font>
      <name val="Avenir book"/>
      <i val="1"/>
      <color theme="1"/>
      <sz val="10"/>
    </font>
    <font>
      <name val="Avenir book"/>
      <color rgb="FF0070C0"/>
      <sz val="10"/>
    </font>
    <font>
      <name val="Trebuchet MS"/>
      <family val="2"/>
      <color theme="1"/>
      <sz val="10"/>
    </font>
    <font>
      <name val="Trebuchet MS"/>
      <family val="2"/>
      <b val="1"/>
      <color theme="1"/>
      <sz val="10"/>
      <u val="single"/>
    </font>
    <font>
      <name val="Arial"/>
      <family val="2"/>
      <b val="1"/>
      <sz val="10"/>
      <u val="single"/>
    </font>
    <font>
      <name val="Trebuchet MS"/>
      <family val="2"/>
      <color rgb="FFFF0000"/>
      <sz val="10"/>
    </font>
    <font>
      <name val="Trebuchet MS"/>
      <family val="2"/>
      <color rgb="FF00B050"/>
      <sz val="10"/>
    </font>
    <font>
      <name val="Avenir book"/>
      <sz val="10"/>
    </font>
    <font>
      <name val="Avenir book"/>
      <b val="1"/>
      <sz val="10"/>
    </font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sz val="10"/>
    </font>
    <font>
      <name val="Arial"/>
      <family val="2"/>
      <color theme="10"/>
      <sz val="10"/>
      <u val="single"/>
    </font>
    <font>
      <name val="Arial"/>
      <family val="2"/>
      <b val="1"/>
      <color rgb="FFFF0000"/>
      <sz val="10"/>
    </font>
    <font>
      <name val="Calibri"/>
      <family val="2"/>
      <color rgb="FFFF0000"/>
      <sz val="11"/>
      <scheme val="minor"/>
    </font>
    <font>
      <name val="Avenir book"/>
      <i val="1"/>
      <sz val="10"/>
    </font>
    <font>
      <name val="Calibri"/>
      <family val="2"/>
      <sz val="11"/>
      <scheme val="minor"/>
    </font>
    <font>
      <name val="Avenir book"/>
      <color rgb="FFFF0000"/>
      <sz val="10"/>
    </font>
    <font>
      <name val="Avenir book"/>
      <color rgb="FFFFFFFF"/>
      <sz val="10"/>
    </font>
    <font>
      <color rgb="FF000000"/>
    </font>
    <font>
      <name val="Calibri"/>
      <b val="1"/>
      <color theme="1"/>
      <sz val="11"/>
    </font>
    <font>
      <name val="Calibri"/>
      <b val="1"/>
      <color rgb="FFFF0000"/>
      <sz val="11"/>
    </font>
    <font>
      <name val="Calibri"/>
      <color rgb="FFFF0000"/>
      <sz val="10"/>
    </font>
  </fonts>
  <fills count="21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5B9BD5"/>
        <bgColor rgb="FF5B9BD5"/>
      </patternFill>
    </fill>
    <fill>
      <patternFill patternType="solid">
        <fgColor rgb="FFDDEAF6"/>
        <bgColor rgb="FFDDEAF6"/>
      </patternFill>
    </fill>
    <fill>
      <patternFill patternType="solid">
        <fgColor rgb="FFFFCCCC"/>
        <bgColor rgb="FFFFCCCC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9">
    <xf numFmtId="0" fontId="1" fillId="0" borderId="0"/>
    <xf numFmtId="43" fontId="1" fillId="0" borderId="0"/>
    <xf numFmtId="9" fontId="1" fillId="0" borderId="0"/>
    <xf numFmtId="0" fontId="3" fillId="0" borderId="0" applyAlignment="1">
      <alignment vertical="center"/>
    </xf>
    <xf numFmtId="0" fontId="4" fillId="0" borderId="0"/>
    <xf numFmtId="43" fontId="4" fillId="0" borderId="0"/>
    <xf numFmtId="0" fontId="19" fillId="0" borderId="0"/>
    <xf numFmtId="44" fontId="19" fillId="0" borderId="0"/>
    <xf numFmtId="9" fontId="19" fillId="0" borderId="0"/>
    <xf numFmtId="44" fontId="1" fillId="0" borderId="0"/>
    <xf numFmtId="43" fontId="3" fillId="0" borderId="0" applyAlignment="1">
      <alignment vertical="center"/>
    </xf>
    <xf numFmtId="9" fontId="3" fillId="0" borderId="0" applyAlignment="1">
      <alignment vertical="center"/>
    </xf>
    <xf numFmtId="44" fontId="3" fillId="0" borderId="0" applyAlignment="1">
      <alignment vertical="center"/>
    </xf>
    <xf numFmtId="0" fontId="3" fillId="0" borderId="0" applyAlignment="1">
      <alignment vertical="center"/>
    </xf>
    <xf numFmtId="43" fontId="3" fillId="0" borderId="0" applyAlignment="1">
      <alignment vertical="center"/>
    </xf>
    <xf numFmtId="9" fontId="3" fillId="0" borderId="0" applyAlignment="1">
      <alignment vertical="center"/>
    </xf>
    <xf numFmtId="43" fontId="3" fillId="0" borderId="0" applyAlignment="1">
      <alignment vertical="center"/>
    </xf>
    <xf numFmtId="43" fontId="3" fillId="0" borderId="0" applyAlignment="1">
      <alignment vertical="center"/>
    </xf>
    <xf numFmtId="0" fontId="29" fillId="0" borderId="0" applyAlignment="1">
      <alignment vertical="center"/>
    </xf>
  </cellStyleXfs>
  <cellXfs count="439">
    <xf numFmtId="0" fontId="0" fillId="0" borderId="0" pivotButton="0" quotePrefix="0" xfId="0"/>
    <xf numFmtId="0" fontId="3" fillId="0" borderId="0" applyAlignment="1" pivotButton="0" quotePrefix="0" xfId="3">
      <alignment vertical="center"/>
    </xf>
    <xf numFmtId="0" fontId="5" fillId="0" borderId="0" pivotButton="0" quotePrefix="0" xfId="4"/>
    <xf numFmtId="0" fontId="6" fillId="0" borderId="0" pivotButton="0" quotePrefix="0" xfId="4"/>
    <xf numFmtId="0" fontId="7" fillId="2" borderId="0" pivotButton="0" quotePrefix="0" xfId="4"/>
    <xf numFmtId="14" fontId="7" fillId="2" borderId="0" pivotButton="0" quotePrefix="0" xfId="4"/>
    <xf numFmtId="14" fontId="7" fillId="2" borderId="0" applyAlignment="1" pivotButton="0" quotePrefix="0" xfId="4">
      <alignment horizontal="right"/>
    </xf>
    <xf numFmtId="0" fontId="8" fillId="0" borderId="0" applyAlignment="1" pivotButton="0" quotePrefix="0" xfId="4">
      <alignment horizontal="left" vertical="top"/>
    </xf>
    <xf numFmtId="0" fontId="8" fillId="0" borderId="1" applyAlignment="1" pivotButton="0" quotePrefix="0" xfId="4">
      <alignment horizontal="left" vertical="top"/>
    </xf>
    <xf numFmtId="0" fontId="9" fillId="0" borderId="0" applyAlignment="1" pivotButton="0" quotePrefix="0" xfId="4">
      <alignment horizontal="left" vertical="top"/>
    </xf>
    <xf numFmtId="164" fontId="6" fillId="0" borderId="0" pivotButton="0" quotePrefix="0" xfId="4"/>
    <xf numFmtId="164" fontId="7" fillId="2" borderId="0" applyAlignment="1" pivotButton="0" quotePrefix="0" xfId="4">
      <alignment horizontal="right"/>
    </xf>
    <xf numFmtId="0" fontId="11" fillId="0" borderId="0" pivotButton="0" quotePrefix="0" xfId="4"/>
    <xf numFmtId="164" fontId="10" fillId="0" borderId="0" applyAlignment="1" pivotButton="0" quotePrefix="0" xfId="5">
      <alignment horizontal="right"/>
    </xf>
    <xf numFmtId="0" fontId="12" fillId="0" borderId="0" applyAlignment="1" pivotButton="0" quotePrefix="0" xfId="4">
      <alignment horizontal="left" indent="1"/>
    </xf>
    <xf numFmtId="164" fontId="6" fillId="0" borderId="0" applyAlignment="1" pivotButton="0" quotePrefix="0" xfId="5">
      <alignment horizontal="right"/>
    </xf>
    <xf numFmtId="10" fontId="6" fillId="0" borderId="0" applyAlignment="1" pivotButton="0" quotePrefix="0" xfId="2">
      <alignment horizontal="right"/>
    </xf>
    <xf numFmtId="0" fontId="12" fillId="0" borderId="0" applyAlignment="1" pivotButton="0" quotePrefix="0" xfId="4">
      <alignment horizontal="left" indent="2"/>
    </xf>
    <xf numFmtId="0" fontId="11" fillId="0" borderId="0" applyAlignment="1" pivotButton="0" quotePrefix="0" xfId="4">
      <alignment horizontal="left" indent="1"/>
    </xf>
    <xf numFmtId="0" fontId="6" fillId="0" borderId="0" applyAlignment="1" pivotButton="0" quotePrefix="0" xfId="4">
      <alignment horizontal="right"/>
    </xf>
    <xf numFmtId="0" fontId="10" fillId="0" borderId="0" pivotButton="0" quotePrefix="0" xfId="4"/>
    <xf numFmtId="3" fontId="6" fillId="0" borderId="0" pivotButton="0" quotePrefix="0" xfId="4"/>
    <xf numFmtId="3" fontId="10" fillId="3" borderId="0" pivotButton="0" quotePrefix="0" xfId="4"/>
    <xf numFmtId="3" fontId="6" fillId="3" borderId="0" pivotButton="0" quotePrefix="0" xfId="4"/>
    <xf numFmtId="0" fontId="6" fillId="0" borderId="2" pivotButton="0" quotePrefix="0" xfId="4"/>
    <xf numFmtId="0" fontId="6" fillId="0" borderId="3" pivotButton="0" quotePrefix="0" xfId="4"/>
    <xf numFmtId="0" fontId="6" fillId="0" borderId="4" pivotButton="0" quotePrefix="0" xfId="4"/>
    <xf numFmtId="0" fontId="6" fillId="0" borderId="1" pivotButton="0" quotePrefix="0" xfId="4"/>
    <xf numFmtId="3" fontId="6" fillId="0" borderId="1" pivotButton="0" quotePrefix="0" xfId="4"/>
    <xf numFmtId="0" fontId="10" fillId="0" borderId="4" pivotButton="0" quotePrefix="0" xfId="4"/>
    <xf numFmtId="0" fontId="10" fillId="0" borderId="1" pivotButton="0" quotePrefix="0" xfId="4"/>
    <xf numFmtId="3" fontId="10" fillId="0" borderId="1" pivotButton="0" quotePrefix="0" xfId="4"/>
    <xf numFmtId="3" fontId="10" fillId="3" borderId="1" applyAlignment="1" pivotButton="0" quotePrefix="0" xfId="4">
      <alignment horizontal="right"/>
    </xf>
    <xf numFmtId="3" fontId="10" fillId="3" borderId="0" pivotButton="0" quotePrefix="0" xfId="5"/>
    <xf numFmtId="165" fontId="3" fillId="0" borderId="0" applyAlignment="1" pivotButton="0" quotePrefix="0" xfId="1">
      <alignment vertical="center"/>
    </xf>
    <xf numFmtId="164" fontId="14" fillId="0" borderId="0" applyAlignment="1" pivotButton="0" quotePrefix="0" xfId="5">
      <alignment horizontal="right"/>
    </xf>
    <xf numFmtId="3" fontId="6" fillId="3" borderId="0" applyAlignment="1" pivotButton="0" quotePrefix="0" xfId="4">
      <alignment horizontal="right"/>
    </xf>
    <xf numFmtId="0" fontId="15" fillId="0" borderId="0" pivotButton="0" quotePrefix="0" xfId="4"/>
    <xf numFmtId="3" fontId="13" fillId="3" borderId="0" pivotButton="0" quotePrefix="0" xfId="5"/>
    <xf numFmtId="3" fontId="13" fillId="3" borderId="1" pivotButton="0" quotePrefix="0" xfId="5"/>
    <xf numFmtId="14" fontId="7" fillId="0" borderId="0" pivotButton="0" quotePrefix="0" xfId="4"/>
    <xf numFmtId="164" fontId="14" fillId="0" borderId="0" pivotButton="0" quotePrefix="0" xfId="5"/>
    <xf numFmtId="164" fontId="7" fillId="0" borderId="0" applyAlignment="1" pivotButton="0" quotePrefix="0" xfId="4">
      <alignment horizontal="right"/>
    </xf>
    <xf numFmtId="164" fontId="6" fillId="0" borderId="0" applyAlignment="1" pivotButton="0" quotePrefix="0" xfId="5">
      <alignment horizontal="right"/>
    </xf>
    <xf numFmtId="164" fontId="10" fillId="0" borderId="0" applyAlignment="1" pivotButton="0" quotePrefix="0" xfId="5">
      <alignment horizontal="right"/>
    </xf>
    <xf numFmtId="3" fontId="10" fillId="0" borderId="0" pivotButton="0" quotePrefix="0" xfId="4"/>
    <xf numFmtId="3" fontId="10" fillId="0" borderId="0" applyAlignment="1" pivotButton="0" quotePrefix="0" xfId="4">
      <alignment horizontal="right"/>
    </xf>
    <xf numFmtId="3" fontId="6" fillId="0" borderId="0" pivotButton="0" quotePrefix="0" xfId="5"/>
    <xf numFmtId="3" fontId="6" fillId="0" borderId="0" pivotButton="0" quotePrefix="0" xfId="5"/>
    <xf numFmtId="3" fontId="10" fillId="0" borderId="0" pivotButton="0" quotePrefix="0" xfId="5"/>
    <xf numFmtId="10" fontId="0" fillId="0" borderId="0" pivotButton="0" quotePrefix="0" xfId="0"/>
    <xf numFmtId="164" fontId="16" fillId="0" borderId="0" applyAlignment="1" pivotButton="0" quotePrefix="0" xfId="5">
      <alignment horizontal="right"/>
    </xf>
    <xf numFmtId="164" fontId="17" fillId="0" borderId="0" applyAlignment="1" pivotButton="0" quotePrefix="0" xfId="5">
      <alignment horizontal="right"/>
    </xf>
    <xf numFmtId="3" fontId="18" fillId="3" borderId="0" pivotButton="0" quotePrefix="0" xfId="4"/>
    <xf numFmtId="3" fontId="18" fillId="0" borderId="3" applyAlignment="1" pivotButton="0" quotePrefix="0" xfId="4">
      <alignment horizontal="right"/>
    </xf>
    <xf numFmtId="164" fontId="18" fillId="0" borderId="0" applyAlignment="1" pivotButton="0" quotePrefix="0" xfId="5">
      <alignment horizontal="right"/>
    </xf>
    <xf numFmtId="3" fontId="10" fillId="4" borderId="0" pivotButton="0" quotePrefix="0" xfId="4"/>
    <xf numFmtId="3" fontId="6" fillId="4" borderId="0" pivotButton="0" quotePrefix="0" xfId="4"/>
    <xf numFmtId="3" fontId="18" fillId="4" borderId="0" pivotButton="0" quotePrefix="0" xfId="4"/>
    <xf numFmtId="3" fontId="6" fillId="4" borderId="0" applyAlignment="1" pivotButton="0" quotePrefix="0" xfId="4">
      <alignment horizontal="right"/>
    </xf>
    <xf numFmtId="0" fontId="2" fillId="2" borderId="0" pivotButton="0" quotePrefix="0" xfId="0"/>
    <xf numFmtId="0" fontId="0" fillId="5" borderId="5" pivotButton="0" quotePrefix="0" xfId="0"/>
    <xf numFmtId="3" fontId="6" fillId="0" borderId="1" pivotButton="0" quotePrefix="0" xfId="5"/>
    <xf numFmtId="0" fontId="19" fillId="0" borderId="0" pivotButton="0" quotePrefix="0" xfId="6"/>
    <xf numFmtId="0" fontId="20" fillId="0" borderId="0" pivotButton="0" quotePrefix="0" xfId="6"/>
    <xf numFmtId="0" fontId="21" fillId="0" borderId="0" applyAlignment="1" pivotButton="0" quotePrefix="0" xfId="6">
      <alignment vertical="center"/>
    </xf>
    <xf numFmtId="0" fontId="19" fillId="0" borderId="0" applyAlignment="1" pivotButton="0" quotePrefix="0" xfId="6">
      <alignment vertical="center"/>
    </xf>
    <xf numFmtId="166" fontId="0" fillId="0" borderId="0" applyAlignment="1" pivotButton="0" quotePrefix="0" xfId="7">
      <alignment vertical="center"/>
    </xf>
    <xf numFmtId="167" fontId="0" fillId="0" borderId="0" applyAlignment="1" pivotButton="0" quotePrefix="0" xfId="7">
      <alignment vertical="center"/>
    </xf>
    <xf numFmtId="167" fontId="19" fillId="0" borderId="0" pivotButton="0" quotePrefix="0" xfId="6"/>
    <xf numFmtId="167" fontId="0" fillId="0" borderId="0" pivotButton="0" quotePrefix="0" xfId="7"/>
    <xf numFmtId="0" fontId="19" fillId="0" borderId="0" applyAlignment="1" pivotButton="0" quotePrefix="0" xfId="6">
      <alignment horizontal="left" vertical="center"/>
    </xf>
    <xf numFmtId="168" fontId="19" fillId="0" borderId="0" pivotButton="0" quotePrefix="0" xfId="6"/>
    <xf numFmtId="10" fontId="0" fillId="0" borderId="0" pivotButton="0" quotePrefix="0" xfId="8"/>
    <xf numFmtId="167" fontId="22" fillId="0" borderId="0" pivotButton="0" quotePrefix="0" xfId="7"/>
    <xf numFmtId="167" fontId="23" fillId="0" borderId="0" pivotButton="0" quotePrefix="0" xfId="7"/>
    <xf numFmtId="166" fontId="0" fillId="0" borderId="0" pivotButton="0" quotePrefix="0" xfId="7"/>
    <xf numFmtId="167" fontId="19" fillId="6" borderId="0" pivotButton="0" quotePrefix="0" xfId="6"/>
    <xf numFmtId="164" fontId="24" fillId="0" borderId="0" applyAlignment="1" pivotButton="0" quotePrefix="0" xfId="5">
      <alignment horizontal="right"/>
    </xf>
    <xf numFmtId="164" fontId="6" fillId="5" borderId="0" pivotButton="0" quotePrefix="0" xfId="4"/>
    <xf numFmtId="164" fontId="6" fillId="5" borderId="1" pivotButton="0" quotePrefix="0" xfId="4"/>
    <xf numFmtId="164" fontId="10" fillId="5" borderId="0" pivotButton="0" quotePrefix="0" xfId="4"/>
    <xf numFmtId="164" fontId="14" fillId="4" borderId="0" pivotButton="0" quotePrefix="0" xfId="5"/>
    <xf numFmtId="164" fontId="14" fillId="4" borderId="1" pivotButton="0" quotePrefix="0" xfId="5"/>
    <xf numFmtId="164" fontId="10" fillId="4" borderId="0" pivotButton="0" quotePrefix="0" xfId="4"/>
    <xf numFmtId="164" fontId="14" fillId="3" borderId="0" pivotButton="0" quotePrefix="0" xfId="5"/>
    <xf numFmtId="164" fontId="14" fillId="3" borderId="1" pivotButton="0" quotePrefix="0" xfId="5"/>
    <xf numFmtId="164" fontId="10" fillId="3" borderId="0" pivotButton="0" quotePrefix="0" xfId="4"/>
    <xf numFmtId="164" fontId="16" fillId="4" borderId="0" applyAlignment="1" pivotButton="0" quotePrefix="0" xfId="5">
      <alignment horizontal="right"/>
    </xf>
    <xf numFmtId="164" fontId="14" fillId="4" borderId="0" applyAlignment="1" pivotButton="0" quotePrefix="0" xfId="5">
      <alignment horizontal="right"/>
    </xf>
    <xf numFmtId="164" fontId="10" fillId="4" borderId="0" applyAlignment="1" pivotButton="0" quotePrefix="0" xfId="5">
      <alignment horizontal="right"/>
    </xf>
    <xf numFmtId="10" fontId="6" fillId="4" borderId="0" applyAlignment="1" pivotButton="0" quotePrefix="0" xfId="2">
      <alignment horizontal="right"/>
    </xf>
    <xf numFmtId="164" fontId="6" fillId="4" borderId="0" applyAlignment="1" pivotButton="0" quotePrefix="0" xfId="5">
      <alignment horizontal="right"/>
    </xf>
    <xf numFmtId="164" fontId="18" fillId="4" borderId="0" applyAlignment="1" pivotButton="0" quotePrefix="0" xfId="5">
      <alignment horizontal="right"/>
    </xf>
    <xf numFmtId="164" fontId="17" fillId="4" borderId="0" applyAlignment="1" pivotButton="0" quotePrefix="0" xfId="5">
      <alignment horizontal="right"/>
    </xf>
    <xf numFmtId="164" fontId="16" fillId="5" borderId="0" applyAlignment="1" pivotButton="0" quotePrefix="0" xfId="5">
      <alignment horizontal="right"/>
    </xf>
    <xf numFmtId="164" fontId="14" fillId="5" borderId="0" applyAlignment="1" pivotButton="0" quotePrefix="0" xfId="5">
      <alignment horizontal="right"/>
    </xf>
    <xf numFmtId="164" fontId="10" fillId="5" borderId="0" applyAlignment="1" pivotButton="0" quotePrefix="0" xfId="5">
      <alignment horizontal="right"/>
    </xf>
    <xf numFmtId="10" fontId="6" fillId="5" borderId="0" applyAlignment="1" pivotButton="0" quotePrefix="0" xfId="2">
      <alignment horizontal="right"/>
    </xf>
    <xf numFmtId="164" fontId="6" fillId="5" borderId="0" applyAlignment="1" pivotButton="0" quotePrefix="0" xfId="5">
      <alignment horizontal="right"/>
    </xf>
    <xf numFmtId="164" fontId="18" fillId="5" borderId="0" applyAlignment="1" pivotButton="0" quotePrefix="0" xfId="5">
      <alignment horizontal="right"/>
    </xf>
    <xf numFmtId="164" fontId="17" fillId="5" borderId="0" applyAlignment="1" pivotButton="0" quotePrefix="0" xfId="5">
      <alignment horizontal="right"/>
    </xf>
    <xf numFmtId="0" fontId="0" fillId="5" borderId="0" pivotButton="0" quotePrefix="0" xfId="0"/>
    <xf numFmtId="3" fontId="18" fillId="4" borderId="3" applyAlignment="1" pivotButton="0" quotePrefix="0" xfId="4">
      <alignment horizontal="right"/>
    </xf>
    <xf numFmtId="3" fontId="6" fillId="4" borderId="1" pivotButton="0" quotePrefix="0" xfId="4"/>
    <xf numFmtId="3" fontId="10" fillId="4" borderId="1" pivotButton="0" quotePrefix="0" xfId="4"/>
    <xf numFmtId="3" fontId="13" fillId="3" borderId="0" pivotButton="0" quotePrefix="0" xfId="5"/>
    <xf numFmtId="3" fontId="25" fillId="3" borderId="0" pivotButton="0" quotePrefix="0" xfId="4"/>
    <xf numFmtId="3" fontId="24" fillId="3" borderId="0" pivotButton="0" quotePrefix="0" xfId="4"/>
    <xf numFmtId="165" fontId="3" fillId="0" borderId="0" applyAlignment="1" pivotButton="0" quotePrefix="0" xfId="3">
      <alignment vertical="center"/>
    </xf>
    <xf numFmtId="3" fontId="0" fillId="0" borderId="0" pivotButton="0" quotePrefix="0" xfId="0"/>
    <xf numFmtId="3" fontId="24" fillId="3" borderId="0" applyAlignment="1" pivotButton="0" quotePrefix="0" xfId="4">
      <alignment horizontal="right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7" fontId="0" fillId="0" borderId="0" applyAlignment="1" pivotButton="0" quotePrefix="0" xfId="0">
      <alignment vertical="center"/>
    </xf>
    <xf numFmtId="167" fontId="0" fillId="0" borderId="0" applyAlignment="1" pivotButton="0" quotePrefix="0" xfId="9">
      <alignment vertical="center"/>
    </xf>
    <xf numFmtId="164" fontId="6" fillId="0" borderId="0" applyAlignment="1" pivotButton="0" quotePrefix="0" xfId="4">
      <alignment horizontal="right"/>
    </xf>
    <xf numFmtId="164" fontId="6" fillId="3" borderId="0" pivotButton="0" quotePrefix="0" xfId="4"/>
    <xf numFmtId="164" fontId="6" fillId="3" borderId="1" pivotButton="0" quotePrefix="0" xfId="4"/>
    <xf numFmtId="167" fontId="0" fillId="7" borderId="0" applyAlignment="1" pivotButton="0" quotePrefix="0" xfId="0">
      <alignment vertical="center"/>
    </xf>
    <xf numFmtId="0" fontId="0" fillId="7" borderId="0" pivotButton="0" quotePrefix="0" xfId="0"/>
    <xf numFmtId="167" fontId="0" fillId="0" borderId="0" pivotButton="0" quotePrefix="0" xfId="0"/>
    <xf numFmtId="169" fontId="6" fillId="0" borderId="0" applyAlignment="1" pivotButton="0" quotePrefix="0" xfId="1">
      <alignment horizontal="right"/>
    </xf>
    <xf numFmtId="167" fontId="0" fillId="8" borderId="0" pivotButton="0" quotePrefix="0" xfId="7"/>
    <xf numFmtId="164" fontId="16" fillId="0" borderId="0" applyAlignment="1" pivotButton="0" quotePrefix="0" xfId="5">
      <alignment horizontal="right"/>
    </xf>
    <xf numFmtId="10" fontId="6" fillId="0" borderId="0" applyAlignment="1" pivotButton="0" quotePrefix="0" xfId="2">
      <alignment horizontal="right"/>
    </xf>
    <xf numFmtId="164" fontId="14" fillId="0" borderId="0" applyAlignment="1" pivotButton="0" quotePrefix="0" xfId="5">
      <alignment horizontal="right"/>
    </xf>
    <xf numFmtId="164" fontId="18" fillId="0" borderId="0" applyAlignment="1" pivotButton="0" quotePrefix="0" xfId="5">
      <alignment horizontal="right"/>
    </xf>
    <xf numFmtId="164" fontId="17" fillId="0" borderId="0" applyAlignment="1" pivotButton="0" quotePrefix="0" xfId="5">
      <alignment horizontal="right"/>
    </xf>
    <xf numFmtId="0" fontId="3" fillId="0" borderId="0" applyAlignment="1" pivotButton="0" quotePrefix="0" xfId="3">
      <alignment horizontal="left" vertical="center"/>
    </xf>
    <xf numFmtId="165" fontId="0" fillId="0" borderId="0" applyAlignment="1" pivotButton="0" quotePrefix="0" xfId="10">
      <alignment vertical="center"/>
    </xf>
    <xf numFmtId="0" fontId="21" fillId="0" borderId="0" applyAlignment="1" pivotButton="0" quotePrefix="0" xfId="3">
      <alignment vertical="center"/>
    </xf>
    <xf numFmtId="167" fontId="3" fillId="0" borderId="0" applyAlignment="1" pivotButton="0" quotePrefix="0" xfId="3">
      <alignment vertical="center"/>
    </xf>
    <xf numFmtId="165" fontId="3" fillId="0" borderId="0" applyAlignment="1" pivotButton="0" quotePrefix="0" xfId="3">
      <alignment vertical="center" wrapText="1"/>
    </xf>
    <xf numFmtId="169" fontId="3" fillId="0" borderId="0" applyAlignment="1" pivotButton="0" quotePrefix="0" xfId="3">
      <alignment vertical="center"/>
    </xf>
    <xf numFmtId="170" fontId="0" fillId="0" borderId="0" applyAlignment="1" pivotButton="0" quotePrefix="0" xfId="11">
      <alignment vertical="center"/>
    </xf>
    <xf numFmtId="10" fontId="3" fillId="0" borderId="0" applyAlignment="1" pivotButton="0" quotePrefix="0" xfId="3">
      <alignment vertical="center"/>
    </xf>
    <xf numFmtId="165" fontId="0" fillId="0" borderId="0" applyAlignment="1" pivotButton="0" quotePrefix="0" xfId="12">
      <alignment vertical="center"/>
    </xf>
    <xf numFmtId="0" fontId="0" fillId="0" borderId="1" pivotButton="0" quotePrefix="0" xfId="0"/>
    <xf numFmtId="171" fontId="0" fillId="0" borderId="0" applyAlignment="1" pivotButton="0" quotePrefix="0" xfId="10">
      <alignment vertical="center"/>
    </xf>
    <xf numFmtId="169" fontId="0" fillId="0" borderId="0" applyAlignment="1" pivotButton="0" quotePrefix="0" xfId="10">
      <alignment vertical="center"/>
    </xf>
    <xf numFmtId="43" fontId="10" fillId="0" borderId="0" applyAlignment="1" pivotButton="0" quotePrefix="0" xfId="5">
      <alignment horizontal="right"/>
    </xf>
    <xf numFmtId="169" fontId="0" fillId="9" borderId="0" applyAlignment="1" pivotButton="0" quotePrefix="0" xfId="10">
      <alignment vertical="center"/>
    </xf>
    <xf numFmtId="165" fontId="3" fillId="10" borderId="0" applyAlignment="1" pivotButton="0" quotePrefix="0" xfId="3">
      <alignment vertical="center"/>
    </xf>
    <xf numFmtId="3" fontId="10" fillId="5" borderId="1" applyAlignment="1" pivotButton="0" quotePrefix="0" xfId="4">
      <alignment horizontal="right"/>
    </xf>
    <xf numFmtId="3" fontId="14" fillId="5" borderId="0" pivotButton="0" quotePrefix="0" xfId="5"/>
    <xf numFmtId="165" fontId="0" fillId="6" borderId="0" applyAlignment="1" pivotButton="0" quotePrefix="0" xfId="10">
      <alignment vertical="center"/>
    </xf>
    <xf numFmtId="165" fontId="0" fillId="6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165" fontId="0" fillId="0" borderId="0" applyAlignment="1" pivotButton="0" quotePrefix="0" xfId="10">
      <alignment vertical="center"/>
    </xf>
    <xf numFmtId="165" fontId="0" fillId="0" borderId="0" applyAlignment="1" pivotButton="0" quotePrefix="0" xfId="0">
      <alignment vertical="center"/>
    </xf>
    <xf numFmtId="165" fontId="3" fillId="6" borderId="0" applyAlignment="1" pivotButton="0" quotePrefix="0" xfId="3">
      <alignment vertical="center"/>
    </xf>
    <xf numFmtId="169" fontId="0" fillId="0" borderId="0" applyAlignment="1" pivotButton="0" quotePrefix="0" xfId="10">
      <alignment vertical="center" wrapText="1"/>
    </xf>
    <xf numFmtId="169" fontId="0" fillId="0" borderId="0" applyAlignment="1" pivotButton="0" quotePrefix="0" xfId="10">
      <alignment vertical="center"/>
    </xf>
    <xf numFmtId="164" fontId="16" fillId="3" borderId="0" applyAlignment="1" pivotButton="0" quotePrefix="0" xfId="5">
      <alignment horizontal="right"/>
    </xf>
    <xf numFmtId="164" fontId="14" fillId="3" borderId="0" applyAlignment="1" pivotButton="0" quotePrefix="0" xfId="5">
      <alignment horizontal="right"/>
    </xf>
    <xf numFmtId="164" fontId="10" fillId="3" borderId="0" applyAlignment="1" pivotButton="0" quotePrefix="0" xfId="5">
      <alignment horizontal="right"/>
    </xf>
    <xf numFmtId="10" fontId="6" fillId="3" borderId="0" applyAlignment="1" pivotButton="0" quotePrefix="0" xfId="2">
      <alignment horizontal="right"/>
    </xf>
    <xf numFmtId="164" fontId="6" fillId="3" borderId="0" applyAlignment="1" pivotButton="0" quotePrefix="0" xfId="5">
      <alignment horizontal="right"/>
    </xf>
    <xf numFmtId="164" fontId="18" fillId="3" borderId="0" applyAlignment="1" pivotButton="0" quotePrefix="0" xfId="5">
      <alignment horizontal="right"/>
    </xf>
    <xf numFmtId="164" fontId="17" fillId="3" borderId="0" applyAlignment="1" pivotButton="0" quotePrefix="0" xfId="5">
      <alignment horizontal="right"/>
    </xf>
    <xf numFmtId="0" fontId="0" fillId="3" borderId="0" pivotButton="0" quotePrefix="0" xfId="0"/>
    <xf numFmtId="10" fontId="6" fillId="0" borderId="0" pivotButton="0" quotePrefix="0" xfId="2"/>
    <xf numFmtId="43" fontId="6" fillId="0" borderId="0" pivotButton="0" quotePrefix="0" xfId="4"/>
    <xf numFmtId="169" fontId="26" fillId="0" borderId="0" applyAlignment="1" pivotButton="0" quotePrefix="0" xfId="10">
      <alignment vertical="center"/>
    </xf>
    <xf numFmtId="169" fontId="0" fillId="0" borderId="0" applyAlignment="1" pivotButton="0" quotePrefix="0" xfId="10">
      <alignment vertical="center"/>
    </xf>
    <xf numFmtId="169" fontId="0" fillId="5" borderId="0" applyAlignment="1" pivotButton="0" quotePrefix="0" xfId="10">
      <alignment vertical="center"/>
    </xf>
    <xf numFmtId="165" fontId="3" fillId="5" borderId="0" applyAlignment="1" pivotButton="0" quotePrefix="0" xfId="3">
      <alignment vertical="center"/>
    </xf>
    <xf numFmtId="169" fontId="26" fillId="5" borderId="0" applyAlignment="1" pivotButton="0" quotePrefix="0" xfId="10">
      <alignment vertical="center"/>
    </xf>
    <xf numFmtId="169" fontId="27" fillId="5" borderId="0" applyAlignment="1" pivotButton="0" quotePrefix="0" xfId="10">
      <alignment vertical="center"/>
    </xf>
    <xf numFmtId="165" fontId="0" fillId="5" borderId="0" applyAlignment="1" pivotButton="0" quotePrefix="0" xfId="10">
      <alignment vertical="center"/>
    </xf>
    <xf numFmtId="169" fontId="6" fillId="0" borderId="0" pivotButton="0" quotePrefix="0" xfId="1"/>
    <xf numFmtId="0" fontId="3" fillId="0" borderId="0" applyAlignment="1" pivotButton="0" quotePrefix="0" xfId="13">
      <alignment horizontal="left" vertical="center"/>
    </xf>
    <xf numFmtId="0" fontId="3" fillId="0" borderId="0" applyAlignment="1" pivotButton="0" quotePrefix="0" xfId="13">
      <alignment vertical="center"/>
    </xf>
    <xf numFmtId="169" fontId="3" fillId="0" borderId="0" applyAlignment="1" pivotButton="0" quotePrefix="0" xfId="14">
      <alignment vertical="center"/>
    </xf>
    <xf numFmtId="169" fontId="0" fillId="0" borderId="0" applyAlignment="1" pivotButton="0" quotePrefix="0" xfId="14">
      <alignment vertical="center"/>
    </xf>
    <xf numFmtId="165" fontId="3" fillId="0" borderId="0" applyAlignment="1" pivotButton="0" quotePrefix="0" xfId="13">
      <alignment vertical="center"/>
    </xf>
    <xf numFmtId="165" fontId="0" fillId="0" borderId="0" applyAlignment="1" pivotButton="0" quotePrefix="0" xfId="14">
      <alignment vertical="center"/>
    </xf>
    <xf numFmtId="0" fontId="21" fillId="0" borderId="0" applyAlignment="1" pivotButton="0" quotePrefix="0" xfId="13">
      <alignment vertical="center"/>
    </xf>
    <xf numFmtId="167" fontId="3" fillId="0" borderId="0" applyAlignment="1" pivotButton="0" quotePrefix="0" xfId="13">
      <alignment vertical="center"/>
    </xf>
    <xf numFmtId="169" fontId="26" fillId="0" borderId="0" applyAlignment="1" pivotButton="0" quotePrefix="0" xfId="14">
      <alignment vertical="center"/>
    </xf>
    <xf numFmtId="169" fontId="26" fillId="0" borderId="0" applyAlignment="1" pivotButton="0" quotePrefix="0" xfId="14">
      <alignment vertical="center"/>
    </xf>
    <xf numFmtId="170" fontId="0" fillId="0" borderId="0" applyAlignment="1" pivotButton="0" quotePrefix="0" xfId="15">
      <alignment vertical="center"/>
    </xf>
    <xf numFmtId="10" fontId="0" fillId="0" borderId="0" applyAlignment="1" pivotButton="0" quotePrefix="0" xfId="15">
      <alignment vertical="center"/>
    </xf>
    <xf numFmtId="169" fontId="27" fillId="0" borderId="0" applyAlignment="1" pivotButton="0" quotePrefix="0" xfId="14">
      <alignment vertical="center"/>
    </xf>
    <xf numFmtId="165" fontId="3" fillId="0" borderId="0" applyAlignment="1" pivotButton="0" quotePrefix="0" xfId="14">
      <alignment vertical="center"/>
    </xf>
    <xf numFmtId="165" fontId="26" fillId="11" borderId="0" applyAlignment="1" pivotButton="0" quotePrefix="0" xfId="13">
      <alignment vertical="center"/>
    </xf>
    <xf numFmtId="165" fontId="3" fillId="11" borderId="0" applyAlignment="1" pivotButton="0" quotePrefix="0" xfId="13">
      <alignment vertical="center"/>
    </xf>
    <xf numFmtId="169" fontId="3" fillId="6" borderId="0" applyAlignment="1" pivotButton="0" quotePrefix="0" xfId="14">
      <alignment vertical="center"/>
    </xf>
    <xf numFmtId="169" fontId="3" fillId="6" borderId="0" applyAlignment="1" pivotButton="0" quotePrefix="0" xfId="13">
      <alignment vertical="center"/>
    </xf>
    <xf numFmtId="165" fontId="3" fillId="6" borderId="0" applyAlignment="1" pivotButton="0" quotePrefix="0" xfId="13">
      <alignment vertical="center"/>
    </xf>
    <xf numFmtId="0" fontId="12" fillId="0" borderId="0" applyAlignment="1" pivotButton="0" quotePrefix="0" xfId="4">
      <alignment horizontal="left" vertical="top"/>
    </xf>
    <xf numFmtId="164" fontId="14" fillId="4" borderId="0" applyAlignment="1" pivotButton="0" quotePrefix="0" xfId="5">
      <alignment horizontal="right" vertical="top"/>
    </xf>
    <xf numFmtId="164" fontId="14" fillId="0" borderId="0" applyAlignment="1" pivotButton="0" quotePrefix="0" xfId="5">
      <alignment horizontal="right" vertical="top"/>
    </xf>
    <xf numFmtId="164" fontId="14" fillId="5" borderId="0" applyAlignment="1" pivotButton="0" quotePrefix="0" xfId="5">
      <alignment horizontal="right" vertical="top"/>
    </xf>
    <xf numFmtId="164" fontId="14" fillId="0" borderId="0" applyAlignment="1" pivotButton="0" quotePrefix="0" xfId="5">
      <alignment horizontal="right" vertical="top"/>
    </xf>
    <xf numFmtId="164" fontId="14" fillId="3" borderId="0" applyAlignment="1" pivotButton="0" quotePrefix="0" xfId="5">
      <alignment horizontal="right" vertical="top"/>
    </xf>
    <xf numFmtId="0" fontId="0" fillId="5" borderId="5" applyAlignment="1" pivotButton="0" quotePrefix="0" xfId="0">
      <alignment horizontal="left" wrapText="1"/>
    </xf>
    <xf numFmtId="169" fontId="0" fillId="0" borderId="0" applyAlignment="1" pivotButton="0" quotePrefix="0" xfId="14">
      <alignment vertical="center"/>
    </xf>
    <xf numFmtId="169" fontId="3" fillId="0" borderId="0" applyAlignment="1" pivotButton="0" quotePrefix="0" xfId="14">
      <alignment vertical="center"/>
    </xf>
    <xf numFmtId="165" fontId="0" fillId="0" borderId="3" applyAlignment="1" pivotButton="0" quotePrefix="0" xfId="0">
      <alignment vertical="center"/>
    </xf>
    <xf numFmtId="165" fontId="6" fillId="0" borderId="0" applyAlignment="1" pivotButton="0" quotePrefix="0" xfId="1">
      <alignment horizontal="right"/>
    </xf>
    <xf numFmtId="10" fontId="0" fillId="0" borderId="0" applyAlignment="1" pivotButton="0" quotePrefix="0" xfId="2">
      <alignment vertical="center"/>
    </xf>
    <xf numFmtId="165" fontId="0" fillId="0" borderId="0" applyAlignment="1" pivotButton="0" quotePrefix="0" xfId="14">
      <alignment vertical="center"/>
    </xf>
    <xf numFmtId="169" fontId="7" fillId="2" borderId="0" applyAlignment="1" pivotButton="0" quotePrefix="0" xfId="1">
      <alignment horizontal="right"/>
    </xf>
    <xf numFmtId="10" fontId="3" fillId="0" borderId="0" applyAlignment="1" pivotButton="0" quotePrefix="0" xfId="15">
      <alignment vertical="center"/>
    </xf>
    <xf numFmtId="165" fontId="0" fillId="0" borderId="0" applyAlignment="1" pivotButton="0" quotePrefix="0" xfId="14">
      <alignment vertical="center"/>
    </xf>
    <xf numFmtId="14" fontId="7" fillId="2" borderId="0" applyAlignment="1" pivotButton="0" quotePrefix="1" xfId="4">
      <alignment horizontal="right"/>
    </xf>
    <xf numFmtId="169" fontId="3" fillId="0" borderId="0" applyAlignment="1" pivotButton="0" quotePrefix="0" xfId="16">
      <alignment vertical="center"/>
    </xf>
    <xf numFmtId="169" fontId="3" fillId="12" borderId="0" applyAlignment="1" pivotButton="0" quotePrefix="0" xfId="14">
      <alignment vertical="center"/>
    </xf>
    <xf numFmtId="165" fontId="6" fillId="3" borderId="0" pivotButton="0" quotePrefix="0" xfId="1"/>
    <xf numFmtId="171" fontId="6" fillId="0" borderId="0" pivotButton="0" quotePrefix="0" xfId="1"/>
    <xf numFmtId="171" fontId="3" fillId="0" borderId="0" applyAlignment="1" pivotButton="0" quotePrefix="0" xfId="1">
      <alignment vertical="center"/>
    </xf>
    <xf numFmtId="169" fontId="0" fillId="0" borderId="0" pivotButton="0" quotePrefix="0" xfId="14"/>
    <xf numFmtId="169" fontId="3" fillId="5" borderId="0" applyAlignment="1" pivotButton="0" quotePrefix="0" xfId="14">
      <alignment vertical="center"/>
    </xf>
    <xf numFmtId="165" fontId="6" fillId="0" borderId="0" pivotButton="0" quotePrefix="0" xfId="1"/>
    <xf numFmtId="172" fontId="3" fillId="0" borderId="0" applyAlignment="1" pivotButton="0" quotePrefix="0" xfId="2">
      <alignment vertical="center"/>
    </xf>
    <xf numFmtId="169" fontId="3" fillId="0" borderId="0" applyAlignment="1" pivotButton="0" quotePrefix="0" xfId="13">
      <alignment vertical="center"/>
    </xf>
    <xf numFmtId="169" fontId="3" fillId="6" borderId="0" pivotButton="0" quotePrefix="0" xfId="14"/>
    <xf numFmtId="0" fontId="3" fillId="6" borderId="0" applyAlignment="1" pivotButton="0" quotePrefix="0" xfId="13">
      <alignment vertical="center"/>
    </xf>
    <xf numFmtId="169" fontId="3" fillId="0" borderId="0" pivotButton="0" quotePrefix="0" xfId="14"/>
    <xf numFmtId="169" fontId="0" fillId="0" borderId="0" applyAlignment="1" pivotButton="0" quotePrefix="0" xfId="14">
      <alignment horizontal="right" vertical="center"/>
    </xf>
    <xf numFmtId="10" fontId="17" fillId="0" borderId="0" pivotButton="0" quotePrefix="0" xfId="2"/>
    <xf numFmtId="164" fontId="0" fillId="0" borderId="0" pivotButton="0" quotePrefix="0" xfId="0"/>
    <xf numFmtId="0" fontId="28" fillId="0" borderId="0" applyAlignment="1" pivotButton="0" quotePrefix="0" xfId="13">
      <alignment vertical="center"/>
    </xf>
    <xf numFmtId="1" fontId="3" fillId="0" borderId="0" applyAlignment="1" pivotButton="0" quotePrefix="0" xfId="13">
      <alignment vertical="center"/>
    </xf>
    <xf numFmtId="169" fontId="0" fillId="0" borderId="0" pivotButton="0" quotePrefix="0" xfId="14"/>
    <xf numFmtId="169" fontId="3" fillId="13" borderId="0" pivotButton="0" quotePrefix="0" xfId="14"/>
    <xf numFmtId="43" fontId="0" fillId="0" borderId="0" pivotButton="0" quotePrefix="0" xfId="0"/>
    <xf numFmtId="169" fontId="0" fillId="0" borderId="0" applyAlignment="1" pivotButton="0" quotePrefix="0" xfId="0">
      <alignment vertical="center"/>
    </xf>
    <xf numFmtId="171" fontId="3" fillId="0" borderId="0" applyAlignment="1" pivotButton="0" quotePrefix="0" xfId="14">
      <alignment vertical="center"/>
    </xf>
    <xf numFmtId="169" fontId="3" fillId="0" borderId="0" applyAlignment="1" pivotButton="0" quotePrefix="0" xfId="17">
      <alignment vertical="center"/>
    </xf>
    <xf numFmtId="169" fontId="3" fillId="0" borderId="0" applyAlignment="1" pivotButton="0" quotePrefix="0" xfId="10">
      <alignment vertical="center"/>
    </xf>
    <xf numFmtId="169" fontId="26" fillId="0" borderId="0" applyAlignment="1" pivotButton="0" quotePrefix="0" xfId="10">
      <alignment vertical="center"/>
    </xf>
    <xf numFmtId="169" fontId="3" fillId="0" borderId="0" pivotButton="0" quotePrefix="0" xfId="10"/>
    <xf numFmtId="169" fontId="0" fillId="0" borderId="0" pivotButton="0" quotePrefix="0" xfId="10"/>
    <xf numFmtId="169" fontId="3" fillId="6" borderId="0" pivotButton="0" quotePrefix="0" xfId="10"/>
    <xf numFmtId="169" fontId="3" fillId="6" borderId="0" applyAlignment="1" pivotButton="0" quotePrefix="0" xfId="10">
      <alignment vertical="center"/>
    </xf>
    <xf numFmtId="165" fontId="3" fillId="0" borderId="0" applyAlignment="1" pivotButton="0" quotePrefix="0" xfId="10">
      <alignment vertical="center"/>
    </xf>
    <xf numFmtId="165" fontId="3" fillId="8" borderId="0" applyAlignment="1" pivotButton="0" quotePrefix="0" xfId="3">
      <alignment vertical="center"/>
    </xf>
    <xf numFmtId="169" fontId="3" fillId="14" borderId="0" applyAlignment="1" pivotButton="0" quotePrefix="0" xfId="10">
      <alignment vertical="center"/>
    </xf>
    <xf numFmtId="4" fontId="0" fillId="0" borderId="0" pivotButton="0" quotePrefix="0" xfId="0"/>
    <xf numFmtId="4" fontId="0" fillId="0" borderId="0" applyAlignment="1" pivotButton="0" quotePrefix="0" xfId="0">
      <alignment vertical="center"/>
    </xf>
    <xf numFmtId="4" fontId="3" fillId="0" borderId="0" applyAlignment="1" pivotButton="0" quotePrefix="0" xfId="3">
      <alignment vertical="center"/>
    </xf>
    <xf numFmtId="165" fontId="3" fillId="15" borderId="0" applyAlignment="1" pivotButton="0" quotePrefix="0" xfId="3">
      <alignment vertical="center"/>
    </xf>
    <xf numFmtId="165" fontId="3" fillId="3" borderId="0" applyAlignment="1" pivotButton="0" quotePrefix="0" xfId="3">
      <alignment vertical="center"/>
    </xf>
    <xf numFmtId="165" fontId="3" fillId="0" borderId="0" applyAlignment="1" pivotButton="0" quotePrefix="0" xfId="1">
      <alignment vertical="center"/>
    </xf>
    <xf numFmtId="4" fontId="29" fillId="0" borderId="0" applyAlignment="1" pivotButton="0" quotePrefix="0" xfId="18">
      <alignment vertical="center"/>
    </xf>
    <xf numFmtId="165" fontId="3" fillId="13" borderId="0" applyAlignment="1" pivotButton="0" quotePrefix="0" xfId="3">
      <alignment vertical="center"/>
    </xf>
    <xf numFmtId="169" fontId="3" fillId="13" borderId="0" applyAlignment="1" pivotButton="0" quotePrefix="0" xfId="10">
      <alignment vertical="center"/>
    </xf>
    <xf numFmtId="166" fontId="3" fillId="0" borderId="0" applyAlignment="1" pivotButton="0" quotePrefix="0" xfId="9">
      <alignment vertical="center"/>
    </xf>
    <xf numFmtId="169" fontId="28" fillId="0" borderId="0" applyAlignment="1" pivotButton="0" quotePrefix="0" xfId="10">
      <alignment vertical="center"/>
    </xf>
    <xf numFmtId="169" fontId="3" fillId="8" borderId="0" applyAlignment="1" pivotButton="0" quotePrefix="0" xfId="10">
      <alignment vertical="center"/>
    </xf>
    <xf numFmtId="0" fontId="28" fillId="0" borderId="0" applyAlignment="1" pivotButton="0" quotePrefix="0" xfId="0">
      <alignment vertical="center"/>
    </xf>
    <xf numFmtId="165" fontId="0" fillId="16" borderId="0" applyAlignment="1" pivotButton="0" quotePrefix="0" xfId="10">
      <alignment vertical="center"/>
    </xf>
    <xf numFmtId="0" fontId="28" fillId="0" borderId="0" applyAlignment="1" pivotButton="0" quotePrefix="0" xfId="3">
      <alignment vertical="center"/>
    </xf>
    <xf numFmtId="165" fontId="30" fillId="0" borderId="0" applyAlignment="1" pivotButton="0" quotePrefix="0" xfId="3">
      <alignment vertical="center"/>
    </xf>
    <xf numFmtId="165" fontId="3" fillId="6" borderId="0" applyAlignment="1" pivotButton="0" quotePrefix="0" xfId="10">
      <alignment vertical="center"/>
    </xf>
    <xf numFmtId="0" fontId="3" fillId="6" borderId="0" applyAlignment="1" pivotButton="0" quotePrefix="0" xfId="3">
      <alignment vertical="center"/>
    </xf>
    <xf numFmtId="169" fontId="3" fillId="0" borderId="0" applyAlignment="1" pivotButton="0" quotePrefix="0" xfId="1">
      <alignment vertical="center"/>
    </xf>
    <xf numFmtId="165" fontId="3" fillId="0" borderId="0" applyAlignment="1" pivotButton="0" quotePrefix="0" xfId="10">
      <alignment vertical="center"/>
    </xf>
    <xf numFmtId="169" fontId="3" fillId="15" borderId="0" applyAlignment="1" pivotButton="0" quotePrefix="0" xfId="10">
      <alignment vertical="center"/>
    </xf>
    <xf numFmtId="169" fontId="0" fillId="0" borderId="0" applyAlignment="1" pivotButton="0" quotePrefix="0" xfId="1">
      <alignment vertical="center"/>
    </xf>
    <xf numFmtId="0" fontId="27" fillId="0" borderId="0" applyAlignment="1" pivotButton="0" quotePrefix="0" xfId="3">
      <alignment vertical="center"/>
    </xf>
    <xf numFmtId="165" fontId="27" fillId="0" borderId="0" applyAlignment="1" pivotButton="0" quotePrefix="0" xfId="3">
      <alignment vertical="center"/>
    </xf>
    <xf numFmtId="0" fontId="3" fillId="17" borderId="0" applyAlignment="1" pivotButton="0" quotePrefix="0" xfId="3">
      <alignment vertical="center"/>
    </xf>
    <xf numFmtId="3" fontId="3" fillId="0" borderId="0" applyAlignment="1" pivotButton="0" quotePrefix="0" xfId="3">
      <alignment vertical="center"/>
    </xf>
    <xf numFmtId="3" fontId="0" fillId="0" borderId="0" applyAlignment="1" pivotButton="0" quotePrefix="0" xfId="10">
      <alignment vertical="center"/>
    </xf>
    <xf numFmtId="165" fontId="0" fillId="3" borderId="0" applyAlignment="1" pivotButton="0" quotePrefix="0" xfId="10">
      <alignment vertical="center"/>
    </xf>
    <xf numFmtId="0" fontId="27" fillId="0" borderId="0" applyAlignment="1" pivotButton="0" quotePrefix="0" xfId="0">
      <alignment vertical="center"/>
    </xf>
    <xf numFmtId="165" fontId="27" fillId="0" borderId="0" applyAlignment="1" pivotButton="0" quotePrefix="0" xfId="10">
      <alignment vertical="center"/>
    </xf>
    <xf numFmtId="165" fontId="27" fillId="0" borderId="0" applyAlignment="1" pivotButton="0" quotePrefix="0" xfId="0">
      <alignment vertical="center"/>
    </xf>
    <xf numFmtId="164" fontId="25" fillId="5" borderId="0" applyAlignment="1" pivotButton="0" quotePrefix="0" xfId="5">
      <alignment horizontal="right"/>
    </xf>
    <xf numFmtId="10" fontId="32" fillId="5" borderId="0" pivotButton="0" quotePrefix="0" xfId="2"/>
    <xf numFmtId="164" fontId="24" fillId="5" borderId="0" applyAlignment="1" pivotButton="0" quotePrefix="0" xfId="5">
      <alignment horizontal="right"/>
    </xf>
    <xf numFmtId="0" fontId="33" fillId="5" borderId="0" pivotButton="0" quotePrefix="0" xfId="0"/>
    <xf numFmtId="164" fontId="24" fillId="5" borderId="0" applyAlignment="1" pivotButton="0" quotePrefix="0" xfId="5">
      <alignment horizontal="right" vertical="top"/>
    </xf>
    <xf numFmtId="164" fontId="16" fillId="0" borderId="0" pivotButton="0" quotePrefix="0" xfId="4"/>
    <xf numFmtId="0" fontId="31" fillId="5" borderId="5" pivotButton="0" quotePrefix="0" xfId="0"/>
    <xf numFmtId="9" fontId="17" fillId="0" borderId="0" applyAlignment="1" pivotButton="0" quotePrefix="0" xfId="2">
      <alignment horizontal="right"/>
    </xf>
    <xf numFmtId="164" fontId="34" fillId="0" borderId="0" pivotButton="0" quotePrefix="0" xfId="5"/>
    <xf numFmtId="164" fontId="34" fillId="0" borderId="0" applyAlignment="1" pivotButton="0" quotePrefix="0" xfId="4">
      <alignment horizontal="right"/>
    </xf>
    <xf numFmtId="49" fontId="0" fillId="0" borderId="0" applyAlignment="1" pivotButton="0" quotePrefix="0" xfId="10">
      <alignment vertical="center"/>
    </xf>
    <xf numFmtId="173" fontId="6" fillId="0" borderId="0" applyAlignment="1" pivotButton="0" quotePrefix="0" xfId="1">
      <alignment horizontal="right"/>
    </xf>
    <xf numFmtId="174" fontId="6" fillId="0" borderId="0" pivotButton="0" quotePrefix="0" xfId="4"/>
    <xf numFmtId="3" fontId="10" fillId="5" borderId="3" pivotButton="0" quotePrefix="0" xfId="5"/>
    <xf numFmtId="169" fontId="0" fillId="0" borderId="0" pivotButton="0" quotePrefix="0" xfId="0"/>
    <xf numFmtId="164" fontId="34" fillId="0" borderId="0" applyAlignment="1" pivotButton="0" quotePrefix="0" xfId="5">
      <alignment horizontal="right"/>
    </xf>
    <xf numFmtId="165" fontId="3" fillId="0" borderId="0" applyAlignment="1" pivotButton="0" quotePrefix="0" xfId="1">
      <alignment vertical="center"/>
    </xf>
    <xf numFmtId="165" fontId="3" fillId="0" borderId="0" applyAlignment="1" pivotButton="0" quotePrefix="0" xfId="3">
      <alignment vertical="center"/>
    </xf>
    <xf numFmtId="166" fontId="0" fillId="0" borderId="0" applyAlignment="1" pivotButton="0" quotePrefix="0" xfId="7">
      <alignment vertical="center"/>
    </xf>
    <xf numFmtId="166" fontId="0" fillId="0" borderId="0" pivotButton="0" quotePrefix="0" xfId="7"/>
    <xf numFmtId="165" fontId="0" fillId="0" borderId="0" applyAlignment="1" pivotButton="0" quotePrefix="0" xfId="10">
      <alignment vertical="center"/>
    </xf>
    <xf numFmtId="165" fontId="0" fillId="6" borderId="0" applyAlignment="1" pivotButton="0" quotePrefix="0" xfId="10">
      <alignment vertical="center"/>
    </xf>
    <xf numFmtId="165" fontId="0" fillId="6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5" fontId="3" fillId="0" borderId="0" applyAlignment="1" pivotButton="0" quotePrefix="0" xfId="3">
      <alignment vertical="center" wrapText="1"/>
    </xf>
    <xf numFmtId="169" fontId="0" fillId="9" borderId="0" applyAlignment="1" pivotButton="0" quotePrefix="0" xfId="10">
      <alignment vertical="center"/>
    </xf>
    <xf numFmtId="169" fontId="3" fillId="0" borderId="0" applyAlignment="1" pivotButton="0" quotePrefix="0" xfId="3">
      <alignment vertical="center"/>
    </xf>
    <xf numFmtId="170" fontId="0" fillId="0" borderId="0" applyAlignment="1" pivotButton="0" quotePrefix="0" xfId="11">
      <alignment vertical="center"/>
    </xf>
    <xf numFmtId="165" fontId="0" fillId="0" borderId="0" applyAlignment="1" pivotButton="0" quotePrefix="0" xfId="12">
      <alignment vertical="center"/>
    </xf>
    <xf numFmtId="169" fontId="0" fillId="0" borderId="0" applyAlignment="1" pivotButton="0" quotePrefix="0" xfId="10">
      <alignment vertical="center"/>
    </xf>
    <xf numFmtId="165" fontId="3" fillId="10" borderId="0" applyAlignment="1" pivotButton="0" quotePrefix="0" xfId="3">
      <alignment vertical="center"/>
    </xf>
    <xf numFmtId="171" fontId="0" fillId="0" borderId="0" applyAlignment="1" pivotButton="0" quotePrefix="0" xfId="10">
      <alignment vertical="center"/>
    </xf>
    <xf numFmtId="165" fontId="3" fillId="6" borderId="0" applyAlignment="1" pivotButton="0" quotePrefix="0" xfId="3">
      <alignment vertical="center"/>
    </xf>
    <xf numFmtId="169" fontId="0" fillId="0" borderId="0" applyAlignment="1" pivotButton="0" quotePrefix="0" xfId="10">
      <alignment vertical="center" wrapText="1"/>
    </xf>
    <xf numFmtId="169" fontId="0" fillId="5" borderId="0" applyAlignment="1" pivotButton="0" quotePrefix="0" xfId="10">
      <alignment vertical="center"/>
    </xf>
    <xf numFmtId="165" fontId="3" fillId="5" borderId="0" applyAlignment="1" pivotButton="0" quotePrefix="0" xfId="3">
      <alignment vertical="center"/>
    </xf>
    <xf numFmtId="169" fontId="26" fillId="0" borderId="0" applyAlignment="1" pivotButton="0" quotePrefix="0" xfId="10">
      <alignment vertical="center"/>
    </xf>
    <xf numFmtId="169" fontId="26" fillId="5" borderId="0" applyAlignment="1" pivotButton="0" quotePrefix="0" xfId="10">
      <alignment vertical="center"/>
    </xf>
    <xf numFmtId="169" fontId="27" fillId="5" borderId="0" applyAlignment="1" pivotButton="0" quotePrefix="0" xfId="10">
      <alignment vertical="center"/>
    </xf>
    <xf numFmtId="165" fontId="0" fillId="5" borderId="0" applyAlignment="1" pivotButton="0" quotePrefix="0" xfId="10">
      <alignment vertical="center"/>
    </xf>
    <xf numFmtId="169" fontId="3" fillId="0" borderId="0" applyAlignment="1" pivotButton="0" quotePrefix="0" xfId="14">
      <alignment vertical="center"/>
    </xf>
    <xf numFmtId="169" fontId="0" fillId="0" borderId="0" applyAlignment="1" pivotButton="0" quotePrefix="0" xfId="14">
      <alignment vertical="center"/>
    </xf>
    <xf numFmtId="165" fontId="3" fillId="0" borderId="0" applyAlignment="1" pivotButton="0" quotePrefix="0" xfId="13">
      <alignment vertical="center"/>
    </xf>
    <xf numFmtId="165" fontId="0" fillId="0" borderId="0" applyAlignment="1" pivotButton="0" quotePrefix="0" xfId="14">
      <alignment vertical="center"/>
    </xf>
    <xf numFmtId="169" fontId="26" fillId="0" borderId="0" applyAlignment="1" pivotButton="0" quotePrefix="0" xfId="14">
      <alignment vertical="center"/>
    </xf>
    <xf numFmtId="170" fontId="0" fillId="0" borderId="0" applyAlignment="1" pivotButton="0" quotePrefix="0" xfId="15">
      <alignment vertical="center"/>
    </xf>
    <xf numFmtId="165" fontId="26" fillId="11" borderId="0" applyAlignment="1" pivotButton="0" quotePrefix="0" xfId="13">
      <alignment vertical="center"/>
    </xf>
    <xf numFmtId="165" fontId="3" fillId="11" borderId="0" applyAlignment="1" pivotButton="0" quotePrefix="0" xfId="13">
      <alignment vertical="center"/>
    </xf>
    <xf numFmtId="169" fontId="3" fillId="6" borderId="0" applyAlignment="1" pivotButton="0" quotePrefix="0" xfId="14">
      <alignment vertical="center"/>
    </xf>
    <xf numFmtId="165" fontId="3" fillId="6" borderId="0" applyAlignment="1" pivotButton="0" quotePrefix="0" xfId="13">
      <alignment vertical="center"/>
    </xf>
    <xf numFmtId="169" fontId="3" fillId="6" borderId="0" applyAlignment="1" pivotButton="0" quotePrefix="0" xfId="13">
      <alignment vertical="center"/>
    </xf>
    <xf numFmtId="169" fontId="27" fillId="0" borderId="0" applyAlignment="1" pivotButton="0" quotePrefix="0" xfId="14">
      <alignment vertical="center"/>
    </xf>
    <xf numFmtId="165" fontId="3" fillId="0" borderId="0" applyAlignment="1" pivotButton="0" quotePrefix="0" xfId="14">
      <alignment vertical="center"/>
    </xf>
    <xf numFmtId="165" fontId="0" fillId="0" borderId="3" applyAlignment="1" pivotButton="0" quotePrefix="0" xfId="0">
      <alignment vertical="center"/>
    </xf>
    <xf numFmtId="169" fontId="3" fillId="0" borderId="0" applyAlignment="1" pivotButton="0" quotePrefix="0" xfId="16">
      <alignment vertical="center"/>
    </xf>
    <xf numFmtId="171" fontId="3" fillId="0" borderId="0" applyAlignment="1" pivotButton="0" quotePrefix="0" xfId="1">
      <alignment vertical="center"/>
    </xf>
    <xf numFmtId="169" fontId="3" fillId="12" borderId="0" applyAlignment="1" pivotButton="0" quotePrefix="0" xfId="14">
      <alignment vertical="center"/>
    </xf>
    <xf numFmtId="169" fontId="0" fillId="0" borderId="0" pivotButton="0" quotePrefix="0" xfId="14"/>
    <xf numFmtId="172" fontId="3" fillId="0" borderId="0" applyAlignment="1" pivotButton="0" quotePrefix="0" xfId="2">
      <alignment vertical="center"/>
    </xf>
    <xf numFmtId="169" fontId="3" fillId="0" borderId="0" applyAlignment="1" pivotButton="0" quotePrefix="0" xfId="13">
      <alignment vertical="center"/>
    </xf>
    <xf numFmtId="169" fontId="3" fillId="5" borderId="0" applyAlignment="1" pivotButton="0" quotePrefix="0" xfId="14">
      <alignment vertical="center"/>
    </xf>
    <xf numFmtId="169" fontId="0" fillId="0" borderId="0" applyAlignment="1" pivotButton="0" quotePrefix="0" xfId="14">
      <alignment horizontal="right" vertical="center"/>
    </xf>
    <xf numFmtId="169" fontId="3" fillId="6" borderId="0" pivotButton="0" quotePrefix="0" xfId="14"/>
    <xf numFmtId="169" fontId="3" fillId="0" borderId="0" pivotButton="0" quotePrefix="0" xfId="14"/>
    <xf numFmtId="169" fontId="3" fillId="13" borderId="0" pivotButton="0" quotePrefix="0" xfId="14"/>
    <xf numFmtId="169" fontId="0" fillId="0" borderId="0" applyAlignment="1" pivotButton="0" quotePrefix="0" xfId="0">
      <alignment vertical="center"/>
    </xf>
    <xf numFmtId="169" fontId="3" fillId="0" borderId="0" applyAlignment="1" pivotButton="0" quotePrefix="0" xfId="17">
      <alignment vertical="center"/>
    </xf>
    <xf numFmtId="171" fontId="3" fillId="0" borderId="0" applyAlignment="1" pivotButton="0" quotePrefix="0" xfId="14">
      <alignment vertical="center"/>
    </xf>
    <xf numFmtId="169" fontId="3" fillId="0" borderId="0" applyAlignment="1" pivotButton="0" quotePrefix="0" xfId="10">
      <alignment vertical="center"/>
    </xf>
    <xf numFmtId="169" fontId="3" fillId="6" borderId="0" applyAlignment="1" pivotButton="0" quotePrefix="0" xfId="10">
      <alignment vertical="center"/>
    </xf>
    <xf numFmtId="169" fontId="3" fillId="0" borderId="0" pivotButton="0" quotePrefix="0" xfId="10"/>
    <xf numFmtId="169" fontId="0" fillId="0" borderId="0" pivotButton="0" quotePrefix="0" xfId="10"/>
    <xf numFmtId="169" fontId="3" fillId="6" borderId="0" pivotButton="0" quotePrefix="0" xfId="10"/>
    <xf numFmtId="165" fontId="3" fillId="0" borderId="0" applyAlignment="1" pivotButton="0" quotePrefix="0" xfId="10">
      <alignment vertical="center"/>
    </xf>
    <xf numFmtId="169" fontId="3" fillId="14" borderId="0" applyAlignment="1" pivotButton="0" quotePrefix="0" xfId="10">
      <alignment vertical="center"/>
    </xf>
    <xf numFmtId="165" fontId="3" fillId="8" borderId="0" applyAlignment="1" pivotButton="0" quotePrefix="0" xfId="3">
      <alignment vertical="center"/>
    </xf>
    <xf numFmtId="165" fontId="3" fillId="15" borderId="0" applyAlignment="1" pivotButton="0" quotePrefix="0" xfId="3">
      <alignment vertical="center"/>
    </xf>
    <xf numFmtId="165" fontId="3" fillId="3" borderId="0" applyAlignment="1" pivotButton="0" quotePrefix="0" xfId="3">
      <alignment vertical="center"/>
    </xf>
    <xf numFmtId="165" fontId="3" fillId="13" borderId="0" applyAlignment="1" pivotButton="0" quotePrefix="0" xfId="3">
      <alignment vertical="center"/>
    </xf>
    <xf numFmtId="166" fontId="3" fillId="0" borderId="0" applyAlignment="1" pivotButton="0" quotePrefix="0" xfId="9">
      <alignment vertical="center"/>
    </xf>
    <xf numFmtId="169" fontId="3" fillId="13" borderId="0" applyAlignment="1" pivotButton="0" quotePrefix="0" xfId="10">
      <alignment vertical="center"/>
    </xf>
    <xf numFmtId="169" fontId="28" fillId="0" borderId="0" applyAlignment="1" pivotButton="0" quotePrefix="0" xfId="10">
      <alignment vertical="center"/>
    </xf>
    <xf numFmtId="165" fontId="0" fillId="16" borderId="0" applyAlignment="1" pivotButton="0" quotePrefix="0" xfId="10">
      <alignment vertical="center"/>
    </xf>
    <xf numFmtId="169" fontId="3" fillId="8" borderId="0" applyAlignment="1" pivotButton="0" quotePrefix="0" xfId="10">
      <alignment vertical="center"/>
    </xf>
    <xf numFmtId="165" fontId="3" fillId="6" borderId="0" applyAlignment="1" pivotButton="0" quotePrefix="0" xfId="10">
      <alignment vertical="center"/>
    </xf>
    <xf numFmtId="165" fontId="30" fillId="0" borderId="0" applyAlignment="1" pivotButton="0" quotePrefix="0" xfId="3">
      <alignment vertical="center"/>
    </xf>
    <xf numFmtId="169" fontId="3" fillId="0" borderId="0" applyAlignment="1" pivotButton="0" quotePrefix="0" xfId="1">
      <alignment vertical="center"/>
    </xf>
    <xf numFmtId="169" fontId="3" fillId="15" borderId="0" applyAlignment="1" pivotButton="0" quotePrefix="0" xfId="10">
      <alignment vertical="center"/>
    </xf>
    <xf numFmtId="169" fontId="0" fillId="0" borderId="0" applyAlignment="1" pivotButton="0" quotePrefix="0" xfId="1">
      <alignment vertical="center"/>
    </xf>
    <xf numFmtId="165" fontId="27" fillId="0" borderId="0" applyAlignment="1" pivotButton="0" quotePrefix="0" xfId="3">
      <alignment vertical="center"/>
    </xf>
    <xf numFmtId="165" fontId="27" fillId="0" borderId="0" applyAlignment="1" pivotButton="0" quotePrefix="0" xfId="0">
      <alignment vertical="center"/>
    </xf>
    <xf numFmtId="165" fontId="27" fillId="0" borderId="0" applyAlignment="1" pivotButton="0" quotePrefix="0" xfId="10">
      <alignment vertical="center"/>
    </xf>
    <xf numFmtId="165" fontId="0" fillId="3" borderId="0" applyAlignment="1" pivotButton="0" quotePrefix="0" xfId="10">
      <alignment vertical="center"/>
    </xf>
    <xf numFmtId="169" fontId="0" fillId="0" borderId="0" pivotButton="0" quotePrefix="0" xfId="0"/>
    <xf numFmtId="0" fontId="3" fillId="0" borderId="0" pivotButton="0" quotePrefix="0" xfId="0"/>
    <xf numFmtId="169" fontId="28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3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65" fontId="3" fillId="6" borderId="0" applyAlignment="1" pivotButton="0" quotePrefix="0" xfId="0">
      <alignment vertical="center"/>
    </xf>
    <xf numFmtId="169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49" fontId="3" fillId="0" borderId="0" applyAlignment="1" pivotButton="0" quotePrefix="0" xfId="0">
      <alignment vertical="center"/>
    </xf>
    <xf numFmtId="0" fontId="7" fillId="18" borderId="0" pivotButton="0" quotePrefix="0" xfId="4"/>
    <xf numFmtId="14" fontId="7" fillId="18" borderId="0" pivotButton="0" quotePrefix="0" xfId="4"/>
    <xf numFmtId="14" fontId="7" fillId="18" borderId="0" applyAlignment="1" pivotButton="0" quotePrefix="0" xfId="4">
      <alignment horizontal="right"/>
    </xf>
    <xf numFmtId="14" fontId="7" fillId="18" borderId="0" applyAlignment="1" pivotButton="0" quotePrefix="1" xfId="4">
      <alignment horizontal="right"/>
    </xf>
    <xf numFmtId="14" fontId="7" fillId="18" borderId="0" applyAlignment="1" pivotButton="0" quotePrefix="0" xfId="0">
      <alignment horizontal="right"/>
    </xf>
    <xf numFmtId="14" fontId="35" fillId="18" borderId="0" pivotButton="0" quotePrefix="0" xfId="4"/>
    <xf numFmtId="164" fontId="8" fillId="19" borderId="0" pivotButton="0" quotePrefix="0" xfId="5"/>
    <xf numFmtId="0" fontId="1" fillId="0" borderId="1" pivotButton="0" quotePrefix="0" xfId="0"/>
    <xf numFmtId="164" fontId="8" fillId="19" borderId="1" pivotButton="0" quotePrefix="0" xfId="5"/>
    <xf numFmtId="0" fontId="37" fillId="0" borderId="0" pivotButton="0" quotePrefix="0" xfId="0"/>
    <xf numFmtId="164" fontId="37" fillId="0" borderId="0" pivotButton="0" quotePrefix="0" xfId="0"/>
    <xf numFmtId="164" fontId="9" fillId="19" borderId="0" pivotButton="0" quotePrefix="0" xfId="4"/>
    <xf numFmtId="43" fontId="6" fillId="0" borderId="0" pivotButton="0" quotePrefix="0" xfId="4"/>
    <xf numFmtId="171" fontId="6" fillId="0" borderId="0" pivotButton="0" quotePrefix="0" xfId="1"/>
    <xf numFmtId="165" fontId="6" fillId="0" borderId="0" pivotButton="0" quotePrefix="0" xfId="1"/>
    <xf numFmtId="165" fontId="6" fillId="0" borderId="0" pivotButton="0" quotePrefix="0" xfId="0"/>
    <xf numFmtId="164" fontId="8" fillId="0" borderId="0" pivotButton="0" quotePrefix="0" xfId="4"/>
    <xf numFmtId="169" fontId="6" fillId="0" borderId="0" pivotButton="0" quotePrefix="0" xfId="1"/>
    <xf numFmtId="164" fontId="1" fillId="0" borderId="0" pivotButton="0" quotePrefix="0" xfId="0"/>
    <xf numFmtId="164" fontId="7" fillId="18" borderId="0" applyAlignment="1" pivotButton="0" quotePrefix="0" xfId="4">
      <alignment horizontal="right"/>
    </xf>
    <xf numFmtId="164" fontId="7" fillId="18" borderId="0" applyAlignment="1" pivotButton="0" quotePrefix="0" xfId="0">
      <alignment horizontal="right"/>
    </xf>
    <xf numFmtId="164" fontId="35" fillId="18" borderId="0" applyAlignment="1" pivotButton="0" quotePrefix="0" xfId="4">
      <alignment horizontal="right"/>
    </xf>
    <xf numFmtId="164" fontId="16" fillId="0" borderId="0" applyAlignment="1" pivotButton="0" quotePrefix="0" xfId="0">
      <alignment horizontal="right"/>
    </xf>
    <xf numFmtId="164" fontId="10" fillId="0" borderId="0" applyAlignment="1" pivotButton="0" quotePrefix="0" xfId="0">
      <alignment horizontal="right"/>
    </xf>
    <xf numFmtId="10" fontId="17" fillId="0" borderId="0" pivotButton="0" quotePrefix="0" xfId="0"/>
    <xf numFmtId="10" fontId="8" fillId="19" borderId="0" pivotButton="0" quotePrefix="0" xfId="5"/>
    <xf numFmtId="164" fontId="14" fillId="0" borderId="0" applyAlignment="1" pivotButton="0" quotePrefix="0" xfId="0">
      <alignment horizontal="right"/>
    </xf>
    <xf numFmtId="164" fontId="6" fillId="0" borderId="0" applyAlignment="1" pivotButton="0" quotePrefix="0" xfId="0">
      <alignment horizontal="right"/>
    </xf>
    <xf numFmtId="164" fontId="6" fillId="3" borderId="0" applyAlignment="1" pivotButton="0" quotePrefix="0" xfId="0">
      <alignment horizontal="right"/>
    </xf>
    <xf numFmtId="164" fontId="18" fillId="0" borderId="0" applyAlignment="1" pivotButton="0" quotePrefix="0" xfId="0">
      <alignment horizontal="right"/>
    </xf>
    <xf numFmtId="9" fontId="17" fillId="0" borderId="0" applyAlignment="1" pivotButton="0" quotePrefix="0" xfId="0">
      <alignment horizontal="right"/>
    </xf>
    <xf numFmtId="164" fontId="14" fillId="0" borderId="0" applyAlignment="1" pivotButton="0" quotePrefix="0" xfId="0">
      <alignment horizontal="right" vertical="top"/>
    </xf>
    <xf numFmtId="43" fontId="10" fillId="0" borderId="0" applyAlignment="1" pivotButton="0" quotePrefix="0" xfId="5">
      <alignment horizontal="right"/>
    </xf>
    <xf numFmtId="164" fontId="9" fillId="19" borderId="0" pivotButton="0" quotePrefix="0" xfId="5"/>
    <xf numFmtId="164" fontId="34" fillId="0" borderId="0" applyAlignment="1" pivotButton="0" quotePrefix="0" xfId="0">
      <alignment horizontal="right"/>
    </xf>
    <xf numFmtId="0" fontId="38" fillId="20" borderId="0" pivotButton="0" quotePrefix="0" xfId="4"/>
    <xf numFmtId="169" fontId="6" fillId="0" borderId="0" applyAlignment="1" pivotButton="0" quotePrefix="0" xfId="1">
      <alignment horizontal="right"/>
    </xf>
    <xf numFmtId="165" fontId="6" fillId="0" borderId="0" applyAlignment="1" pivotButton="0" quotePrefix="0" xfId="1">
      <alignment horizontal="right"/>
    </xf>
    <xf numFmtId="173" fontId="6" fillId="0" borderId="0" applyAlignment="1" pivotButton="0" quotePrefix="0" xfId="1">
      <alignment horizontal="right"/>
    </xf>
    <xf numFmtId="173" fontId="6" fillId="0" borderId="0" applyAlignment="1" pivotButton="0" quotePrefix="0" xfId="0">
      <alignment horizontal="right"/>
    </xf>
    <xf numFmtId="174" fontId="8" fillId="0" borderId="0" pivotButton="0" quotePrefix="0" xfId="4"/>
    <xf numFmtId="0" fontId="39" fillId="2" borderId="0" pivotButton="0" quotePrefix="0" xfId="4"/>
    <xf numFmtId="164" fontId="7" fillId="2" borderId="0" applyAlignment="1" pivotButton="0" quotePrefix="0" xfId="0">
      <alignment horizontal="right"/>
    </xf>
    <xf numFmtId="164" fontId="8" fillId="0" borderId="0" applyAlignment="1" pivotButton="0" quotePrefix="0" xfId="4">
      <alignment horizontal="right"/>
    </xf>
    <xf numFmtId="0" fontId="39" fillId="0" borderId="0" pivotButton="0" quotePrefix="0" xfId="4"/>
    <xf numFmtId="3" fontId="10" fillId="3" borderId="0" pivotButton="0" quotePrefix="0" xfId="0"/>
    <xf numFmtId="3" fontId="9" fillId="0" borderId="0" pivotButton="0" quotePrefix="0" xfId="4"/>
    <xf numFmtId="3" fontId="8" fillId="0" borderId="0" pivotButton="0" quotePrefix="0" xfId="4"/>
    <xf numFmtId="0" fontId="39" fillId="0" borderId="0" applyAlignment="1" pivotButton="0" quotePrefix="0" xfId="4">
      <alignment horizontal="left" indent="2"/>
    </xf>
    <xf numFmtId="3" fontId="6" fillId="3" borderId="0" pivotButton="0" quotePrefix="0" xfId="0"/>
    <xf numFmtId="3" fontId="25" fillId="3" borderId="0" pivotButton="0" quotePrefix="0" xfId="0"/>
    <xf numFmtId="3" fontId="24" fillId="3" borderId="0" pivotButton="0" quotePrefix="0" xfId="0"/>
    <xf numFmtId="3" fontId="24" fillId="3" borderId="0" applyAlignment="1" pivotButton="0" quotePrefix="0" xfId="0">
      <alignment horizontal="right"/>
    </xf>
    <xf numFmtId="3" fontId="6" fillId="0" borderId="0" pivotButton="0" quotePrefix="0" xfId="0"/>
    <xf numFmtId="3" fontId="18" fillId="0" borderId="3" applyAlignment="1" pivotButton="0" quotePrefix="0" xfId="0">
      <alignment horizontal="right"/>
    </xf>
    <xf numFmtId="3" fontId="6" fillId="0" borderId="1" pivotButton="0" quotePrefix="0" xfId="0"/>
    <xf numFmtId="3" fontId="10" fillId="0" borderId="1" pivotButton="0" quotePrefix="0" xfId="0"/>
    <xf numFmtId="3" fontId="10" fillId="3" borderId="1" applyAlignment="1" pivotButton="0" quotePrefix="0" xfId="0">
      <alignment horizontal="right"/>
    </xf>
    <xf numFmtId="3" fontId="9" fillId="19" borderId="0" applyAlignment="1" pivotButton="0" quotePrefix="0" xfId="4">
      <alignment horizontal="right"/>
    </xf>
    <xf numFmtId="3" fontId="14" fillId="19" borderId="0" pivotButton="0" quotePrefix="0" xfId="5"/>
    <xf numFmtId="3" fontId="10" fillId="0" borderId="0" pivotButton="0" quotePrefix="0" xfId="0"/>
    <xf numFmtId="3" fontId="9" fillId="19" borderId="0" pivotButton="0" quotePrefix="0" xfId="5"/>
    <xf numFmtId="164" fontId="36" fillId="0" borderId="0" pivotButton="0" quotePrefix="0" xfId="0"/>
  </cellXfs>
  <cellStyles count="19">
    <cellStyle name="Normal" xfId="0" builtinId="0"/>
    <cellStyle name="Comma" xfId="1" builtinId="3"/>
    <cellStyle name="Percent" xfId="2" builtinId="5"/>
    <cellStyle name="Normal 2" xfId="3"/>
    <cellStyle name="Normal 3" xfId="4"/>
    <cellStyle name="Comma 3" xfId="5"/>
    <cellStyle name="Normal 4" xfId="6"/>
    <cellStyle name="Currency 2" xfId="7"/>
    <cellStyle name="Percent 2" xfId="8"/>
    <cellStyle name="Currency" xfId="9" builtinId="4"/>
    <cellStyle name="Comma 2" xfId="10"/>
    <cellStyle name="Percent 3" xfId="11"/>
    <cellStyle name="Currency 3" xfId="12"/>
    <cellStyle name="Standaard 2" xfId="13"/>
    <cellStyle name="Komma 2" xfId="14"/>
    <cellStyle name="Procent 2" xfId="15"/>
    <cellStyle name="Komma 3" xfId="16"/>
    <cellStyle name="Komma 4" xfId="17"/>
    <cellStyle name="Hyperlink" xfId="18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externalLink" Target="/xl/externalLinks/externalLink1.xml" Id="rId32"/><Relationship Type="http://schemas.openxmlformats.org/officeDocument/2006/relationships/externalLink" Target="/xl/externalLinks/externalLink2.xml" Id="rId33"/><Relationship Type="http://schemas.openxmlformats.org/officeDocument/2006/relationships/externalLink" Target="/xl/externalLinks/externalLink3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2025%20Q3/Cijfers%20QSP%2031-12-2024%20d.d.%2020-01-2025.xls" TargetMode="External" Id="rId3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2025%20Q3/Cijfers%20QSP%2031-03-2025%20d.d.%2018-04-2025.xls" TargetMode="External" Id="rId3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C:\Users\FolkertdeHaan\AppData\Local\Microsoft\Olk\Attachments\ooa-7262fe9e-a4e7-487b-9b0c-3a049d006ff3\a1900829b1764ecc3fb7852742ea14c73d2eea358c6bd445a710448bb0e1c6ae\Cijfers%20QSP%2030-06-2025%20d.d.%2015-07-2025.xls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alansenWinstverliesperperiode"/>
      <sheetName val="Kolommenbalans"/>
    </sheetNames>
    <sheetDataSet>
      <sheetData sheetId="0"/>
      <sheetData sheetId="1">
        <row r="1">
          <cell r="B1" t="str">
            <v>CodeGrootboekrekening</v>
          </cell>
          <cell r="C1" t="str">
            <v>NaamGrootboekrekening</v>
          </cell>
          <cell r="D1" t="str">
            <v>Saldo</v>
          </cell>
        </row>
        <row r="2">
          <cell r="B2" t="str">
            <v>1600000</v>
          </cell>
          <cell r="C2" t="str">
            <v>VG Vastgoedbeleggingen Verkrijgings- of vervaardigingsprijs -</v>
          </cell>
          <cell r="D2">
            <v>229438.2</v>
          </cell>
        </row>
        <row r="3">
          <cell r="B3" t="str">
            <v>1600200</v>
          </cell>
          <cell r="C3" t="str">
            <v>VG Vastgoedbeleggingen Cum afschrijvingen en waardeverm -</v>
          </cell>
          <cell r="D3">
            <v>-762225</v>
          </cell>
        </row>
        <row r="4">
          <cell r="B4" t="str">
            <v>1601000</v>
          </cell>
          <cell r="C4" t="str">
            <v>VG Vastgoedbeleggingen Buitengebruikstellingen CA en waardeverm. -</v>
          </cell>
          <cell r="D4">
            <v>-556326</v>
          </cell>
        </row>
        <row r="5">
          <cell r="B5" t="str">
            <v>1611003</v>
          </cell>
          <cell r="C5" t="str">
            <v>VG Comm VG in exploitatie Buitengebruikstellingen cum. afschr. en waardeverm.</v>
          </cell>
          <cell r="D5">
            <v>98174</v>
          </cell>
        </row>
        <row r="6">
          <cell r="B6" t="str">
            <v>1760300</v>
          </cell>
          <cell r="C6" t="str">
            <v>FVA Vord op DMRRP INV - I BV  aflossingen</v>
          </cell>
          <cell r="D6">
            <v>-394151.1</v>
          </cell>
        </row>
        <row r="7">
          <cell r="B7" t="str">
            <v>1790000</v>
          </cell>
          <cell r="C7" t="str">
            <v>FVA Swap fee</v>
          </cell>
          <cell r="D7">
            <v>-110650</v>
          </cell>
        </row>
        <row r="8">
          <cell r="B8" t="str">
            <v>1790002</v>
          </cell>
          <cell r="C8" t="str">
            <v>FVA Latente belastingvordering langlopend</v>
          </cell>
          <cell r="D8">
            <v>155489</v>
          </cell>
        </row>
        <row r="9">
          <cell r="B9" t="str">
            <v>2000000</v>
          </cell>
          <cell r="C9" t="str">
            <v>VOR Debiteuren</v>
          </cell>
          <cell r="D9">
            <v>423215.73</v>
          </cell>
        </row>
        <row r="10">
          <cell r="B10" t="str">
            <v>2620000</v>
          </cell>
          <cell r="C10" t="str">
            <v>RC Kortlopend D.M. Equity Partners C.V.</v>
          </cell>
        </row>
        <row r="11">
          <cell r="B11" t="str">
            <v>2640000</v>
          </cell>
          <cell r="C11" t="str">
            <v>RC Kortlopend DMRRP INV - I BV</v>
          </cell>
          <cell r="D11">
            <v>485985</v>
          </cell>
        </row>
        <row r="12">
          <cell r="B12" t="str">
            <v>2040100</v>
          </cell>
          <cell r="C12" t="str">
            <v>VOR Nog te factureren bedragen</v>
          </cell>
        </row>
        <row r="13">
          <cell r="B13" t="str">
            <v>2040500</v>
          </cell>
          <cell r="C13" t="str">
            <v>VOR Vooruitbetaalde verzekeringen</v>
          </cell>
          <cell r="D13">
            <v>-21435</v>
          </cell>
        </row>
        <row r="14">
          <cell r="B14" t="str">
            <v>2040900</v>
          </cell>
          <cell r="C14" t="str">
            <v>VOR Vooruitbetaalde overige kosten</v>
          </cell>
          <cell r="D14">
            <v>-89377.98</v>
          </cell>
        </row>
        <row r="15">
          <cell r="B15" t="str">
            <v>2300000</v>
          </cell>
          <cell r="C15" t="str">
            <v>LM Kruisposten</v>
          </cell>
          <cell r="D15">
            <v>-358000</v>
          </cell>
        </row>
        <row r="16">
          <cell r="B16" t="str">
            <v>2300001</v>
          </cell>
          <cell r="C16" t="str">
            <v>LM Kruisposten pin</v>
          </cell>
          <cell r="D16">
            <v>-1524.6</v>
          </cell>
        </row>
        <row r="17">
          <cell r="B17" t="str">
            <v>2400200</v>
          </cell>
          <cell r="C17" t="str">
            <v>LM ABN AMRO Bank Disposal NL58 ABNA 0818 9180 39</v>
          </cell>
          <cell r="D17">
            <v>0</v>
          </cell>
        </row>
        <row r="18">
          <cell r="B18" t="str">
            <v>2400201</v>
          </cell>
          <cell r="C18" t="str">
            <v>LM ABN AMRO Bank Deposit NL57 ABNA 0541 6205 68</v>
          </cell>
          <cell r="D18">
            <v>-9882.18</v>
          </cell>
        </row>
        <row r="19">
          <cell r="B19" t="str">
            <v>2400202</v>
          </cell>
          <cell r="C19" t="str">
            <v>LM ABN AMRO Bank General NL93 ABNA 0541 6132 27</v>
          </cell>
        </row>
        <row r="20">
          <cell r="B20" t="str">
            <v>2400203</v>
          </cell>
          <cell r="C20" t="str">
            <v>LM ABN AMRO Bank Maintres NL04 ABNA 0541 6188 06</v>
          </cell>
          <cell r="D20">
            <v>949.76</v>
          </cell>
        </row>
        <row r="21">
          <cell r="B21" t="str">
            <v>2400204</v>
          </cell>
          <cell r="C21" t="str">
            <v>LM ABN AMRO Bank Rent NL46 ABNA 0541 6088 35</v>
          </cell>
          <cell r="D21">
            <v>169867.27</v>
          </cell>
        </row>
        <row r="22">
          <cell r="B22" t="str">
            <v>2400205</v>
          </cell>
          <cell r="C22" t="str">
            <v>LM ABN AMRO Bank SR EXP NL88 ABNA 0541 6205 92</v>
          </cell>
          <cell r="D22">
            <v>2744.42</v>
          </cell>
        </row>
        <row r="23">
          <cell r="B23" t="str">
            <v>1930101</v>
          </cell>
          <cell r="C23" t="str">
            <v>LLS Cum aflossingen ABN AMRO Bank NV Senior Facility Agreement</v>
          </cell>
          <cell r="D23">
            <v>1449881.36</v>
          </cell>
        </row>
        <row r="24">
          <cell r="B24" t="str">
            <v>1930200</v>
          </cell>
          <cell r="C24" t="str">
            <v>LLS Extension fee&amp; professional fees</v>
          </cell>
          <cell r="D24">
            <v>-29069.05</v>
          </cell>
        </row>
        <row r="25">
          <cell r="B25" t="str">
            <v>2730000</v>
          </cell>
          <cell r="C25" t="str">
            <v>KLS Crediteuren</v>
          </cell>
          <cell r="D25">
            <v>277315</v>
          </cell>
        </row>
        <row r="26">
          <cell r="B26" t="str">
            <v>2730001</v>
          </cell>
          <cell r="C26" t="str">
            <v>KLS Crediteuren intercompany</v>
          </cell>
          <cell r="D26">
            <v>-9900</v>
          </cell>
        </row>
        <row r="27">
          <cell r="B27" t="str">
            <v>2512100</v>
          </cell>
          <cell r="C27" t="str">
            <v>BEL Afgedragen/ontvangen BTW</v>
          </cell>
          <cell r="D27">
            <v>-3177.21</v>
          </cell>
        </row>
        <row r="28">
          <cell r="B28" t="str">
            <v>2740100</v>
          </cell>
          <cell r="C28" t="str">
            <v>KLS Vooruitgefactureerde bedragen</v>
          </cell>
          <cell r="D28">
            <v>1145.22</v>
          </cell>
        </row>
        <row r="29">
          <cell r="B29" t="str">
            <v>2740300</v>
          </cell>
          <cell r="C29" t="str">
            <v>KLS Te betalen waarborgsommen kortlopend</v>
          </cell>
          <cell r="D29">
            <v>8472.82</v>
          </cell>
        </row>
        <row r="30">
          <cell r="B30" t="str">
            <v>2741000</v>
          </cell>
          <cell r="C30" t="str">
            <v>KLS Te betalen servicekosten</v>
          </cell>
        </row>
        <row r="31">
          <cell r="B31" t="str">
            <v>2741004</v>
          </cell>
          <cell r="C31" t="str">
            <v>KLS Te betalen Hoen</v>
          </cell>
          <cell r="D31">
            <v>216412.76</v>
          </cell>
        </row>
        <row r="32">
          <cell r="B32" t="str">
            <v>2741200</v>
          </cell>
          <cell r="C32" t="str">
            <v>KLS Te betalen overige kosten</v>
          </cell>
        </row>
        <row r="33">
          <cell r="B33" t="str">
            <v>2742000</v>
          </cell>
          <cell r="C33" t="str">
            <v>KLS Vraagposten</v>
          </cell>
        </row>
        <row r="34">
          <cell r="B34" t="str">
            <v>2760000</v>
          </cell>
          <cell r="C34" t="str">
            <v>KLS Saldo lening DMRRP INV - I BV</v>
          </cell>
          <cell r="D34">
            <v>0</v>
          </cell>
        </row>
        <row r="35">
          <cell r="B35" t="str">
            <v>1610803</v>
          </cell>
          <cell r="C35" t="str">
            <v>VG Comm VG in exploitatie Buitengebruikstellingen aanschaffingswaarde</v>
          </cell>
        </row>
        <row r="36">
          <cell r="B36" t="str">
            <v>2502021</v>
          </cell>
          <cell r="C36" t="str">
            <v>Servicekosten 2021</v>
          </cell>
          <cell r="D36">
            <v>0</v>
          </cell>
        </row>
        <row r="37">
          <cell r="B37" t="str">
            <v>2502022</v>
          </cell>
          <cell r="C37" t="str">
            <v>Servicekosten 2022</v>
          </cell>
          <cell r="D37">
            <v>-516.84</v>
          </cell>
        </row>
        <row r="38">
          <cell r="B38" t="str">
            <v>2502023</v>
          </cell>
          <cell r="C38" t="str">
            <v>Servicekosten 2023</v>
          </cell>
          <cell r="D38">
            <v>7601.93</v>
          </cell>
        </row>
        <row r="39">
          <cell r="B39" t="str">
            <v>2502024</v>
          </cell>
          <cell r="C39" t="str">
            <v>Servicekosten 2024</v>
          </cell>
          <cell r="D39">
            <v>49344.83</v>
          </cell>
        </row>
        <row r="40">
          <cell r="B40" t="str">
            <v>8000000</v>
          </cell>
          <cell r="C40" t="str">
            <v>OPB Netto-omzet</v>
          </cell>
        </row>
        <row r="41">
          <cell r="B41" t="str">
            <v>8000003</v>
          </cell>
          <cell r="C41" t="str">
            <v>OPB Netto-omzet Theoretische huuropbrengsten</v>
          </cell>
          <cell r="D41">
            <v>-3169839.55</v>
          </cell>
        </row>
        <row r="42">
          <cell r="B42" t="str">
            <v>8000004</v>
          </cell>
          <cell r="C42" t="str">
            <v>OPB Netto-omzet Leegstand huuropbrengsten</v>
          </cell>
          <cell r="D42">
            <v>93311.89</v>
          </cell>
        </row>
        <row r="43">
          <cell r="B43" t="str">
            <v>8400600</v>
          </cell>
          <cell r="C43" t="str">
            <v>OPB Overige bedrijfsopbrengsten Totale servicekosten</v>
          </cell>
          <cell r="D43">
            <v>-76472.45</v>
          </cell>
        </row>
        <row r="44">
          <cell r="B44" t="str">
            <v>8400700</v>
          </cell>
          <cell r="C44" t="str">
            <v>OPB Overige bedrijfsopbrengsten Servicekosten leegstand</v>
          </cell>
          <cell r="D44">
            <v>10335.44</v>
          </cell>
        </row>
        <row r="45">
          <cell r="B45" t="str">
            <v>8400800</v>
          </cell>
          <cell r="C45" t="str">
            <v>OPB Overige bedrijfsopbrengsten Gerealiseerde servicekosten</v>
          </cell>
          <cell r="D45">
            <v>77542.210000000006</v>
          </cell>
        </row>
        <row r="46">
          <cell r="B46" t="str">
            <v>4051400</v>
          </cell>
          <cell r="C46" t="str">
            <v>KN Diensten door derden</v>
          </cell>
          <cell r="D46">
            <v>134133.54999999999</v>
          </cell>
        </row>
        <row r="47">
          <cell r="B47" t="str">
            <v>4730000</v>
          </cell>
          <cell r="C47" t="str">
            <v>AFKN Afschrijvingskosten -</v>
          </cell>
          <cell r="D47">
            <v>762225</v>
          </cell>
        </row>
        <row r="48">
          <cell r="B48" t="str">
            <v>4730200</v>
          </cell>
          <cell r="C48" t="str">
            <v>AFKN Boekresultaat -</v>
          </cell>
          <cell r="D48">
            <v>-963848</v>
          </cell>
        </row>
        <row r="49">
          <cell r="B49" t="str">
            <v>4100400</v>
          </cell>
          <cell r="C49" t="str">
            <v>KN Onderhoud gebouwen</v>
          </cell>
          <cell r="D49">
            <v>308364.09000000003</v>
          </cell>
        </row>
        <row r="50">
          <cell r="B50" t="str">
            <v>4100900</v>
          </cell>
          <cell r="C50" t="str">
            <v>KN Onroerende zaakbelasting</v>
          </cell>
          <cell r="D50">
            <v>66062.67</v>
          </cell>
        </row>
        <row r="51">
          <cell r="B51" t="str">
            <v>4101000</v>
          </cell>
          <cell r="C51" t="str">
            <v>KN Vaste lasten</v>
          </cell>
          <cell r="D51">
            <v>188400.11</v>
          </cell>
        </row>
        <row r="52">
          <cell r="B52" t="str">
            <v>4501300</v>
          </cell>
          <cell r="C52" t="str">
            <v>KN Afboeking dubieuze debiteuren</v>
          </cell>
          <cell r="D52">
            <v>10114.98</v>
          </cell>
        </row>
        <row r="53">
          <cell r="B53" t="str">
            <v>4300500</v>
          </cell>
          <cell r="C53" t="str">
            <v>KN Incassokosten</v>
          </cell>
          <cell r="D53">
            <v>600</v>
          </cell>
        </row>
        <row r="54">
          <cell r="B54" t="str">
            <v>4310400</v>
          </cell>
          <cell r="C54" t="str">
            <v>KN Assurantiepremie algemeen</v>
          </cell>
          <cell r="D54">
            <v>21435</v>
          </cell>
        </row>
        <row r="55">
          <cell r="B55" t="str">
            <v>4310500</v>
          </cell>
          <cell r="C55" t="str">
            <v>KN Managementvergoeding</v>
          </cell>
          <cell r="D55">
            <v>1500</v>
          </cell>
        </row>
        <row r="56">
          <cell r="B56" t="str">
            <v>4310600</v>
          </cell>
          <cell r="C56" t="str">
            <v>KN Accountantskosten</v>
          </cell>
          <cell r="D56">
            <v>8698.33</v>
          </cell>
        </row>
        <row r="57">
          <cell r="B57" t="str">
            <v>4310700</v>
          </cell>
          <cell r="C57" t="str">
            <v>KN Administratiekosten</v>
          </cell>
          <cell r="D57">
            <v>1397.55</v>
          </cell>
        </row>
        <row r="58">
          <cell r="B58" t="str">
            <v>4310800</v>
          </cell>
          <cell r="C58" t="str">
            <v>KN Notariskosten</v>
          </cell>
          <cell r="D58">
            <v>47806.689999999995</v>
          </cell>
        </row>
        <row r="59">
          <cell r="B59" t="str">
            <v>4311000</v>
          </cell>
          <cell r="C59" t="str">
            <v>KN Juridische kosten</v>
          </cell>
          <cell r="D59">
            <v>6967.14</v>
          </cell>
        </row>
        <row r="60">
          <cell r="B60" t="str">
            <v>4311800</v>
          </cell>
          <cell r="C60" t="str">
            <v>KN Advieskosten</v>
          </cell>
          <cell r="D60">
            <v>100650</v>
          </cell>
        </row>
        <row r="61">
          <cell r="B61" t="str">
            <v>4311900</v>
          </cell>
          <cell r="C61" t="str">
            <v>KN Bankkosten</v>
          </cell>
          <cell r="D61">
            <v>8473.27</v>
          </cell>
        </row>
        <row r="62">
          <cell r="B62" t="str">
            <v>4312600</v>
          </cell>
          <cell r="C62" t="str">
            <v>KN Diverse lasten</v>
          </cell>
        </row>
        <row r="63">
          <cell r="B63" t="str">
            <v>4319800</v>
          </cell>
          <cell r="C63" t="str">
            <v>KN Overige algemene kosten</v>
          </cell>
          <cell r="D63">
            <v>-1507.82</v>
          </cell>
        </row>
        <row r="64">
          <cell r="B64" t="str">
            <v>4623001</v>
          </cell>
          <cell r="C64" t="str">
            <v>FINBL Rente ABN AMRO Bank NV Senior Facility Agreement</v>
          </cell>
          <cell r="D64">
            <v>1915107.54</v>
          </cell>
        </row>
        <row r="65">
          <cell r="B65" t="str">
            <v>4643000</v>
          </cell>
          <cell r="C65" t="str">
            <v>FINBL Overige rentelasten</v>
          </cell>
          <cell r="D65">
            <v>-159757.35</v>
          </cell>
        </row>
        <row r="66">
          <cell r="B66" t="str">
            <v>4642000</v>
          </cell>
          <cell r="C66" t="str">
            <v>FINBL Overige rentebaten</v>
          </cell>
          <cell r="D66">
            <v>51.12</v>
          </cell>
        </row>
        <row r="67">
          <cell r="B67" t="str">
            <v>4663000</v>
          </cell>
          <cell r="C67" t="str">
            <v>FINBL Rente vord DMRRP INV - I BV</v>
          </cell>
          <cell r="D67">
            <v>-519493.62</v>
          </cell>
        </row>
        <row r="68">
          <cell r="B68" t="str">
            <v>9510000</v>
          </cell>
          <cell r="C68" t="str">
            <v>VPB Mutatie belastinglatentie Mutatie actieve latentie</v>
          </cell>
          <cell r="D68">
            <v>-155489</v>
          </cell>
        </row>
        <row r="69">
          <cell r="B69" t="str">
            <v>4101010</v>
          </cell>
          <cell r="C69" t="str">
            <v>Gemeentelijke belastingen</v>
          </cell>
          <cell r="D69">
            <v>24496.54</v>
          </cell>
        </row>
        <row r="70">
          <cell r="B70" t="str">
            <v>4101020</v>
          </cell>
          <cell r="C70" t="str">
            <v>Waterschapsbelasting</v>
          </cell>
          <cell r="D70">
            <v>28932.33</v>
          </cell>
        </row>
        <row r="71">
          <cell r="B71" t="str">
            <v>4101300</v>
          </cell>
          <cell r="C71" t="str">
            <v>KN Servicekosten leegstand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BalansenWinstverliesperperiode"/>
      <sheetName val="Kolommenbalans"/>
    </sheetNames>
    <sheetDataSet>
      <sheetData sheetId="0" refreshError="1"/>
      <sheetData sheetId="1">
        <row r="1">
          <cell r="B1" t="str">
            <v>CodeGrootboekrekening</v>
          </cell>
          <cell r="C1" t="str">
            <v>NaamGrootboekrekening</v>
          </cell>
          <cell r="D1" t="str">
            <v>Saldo</v>
          </cell>
        </row>
        <row r="2">
          <cell r="B2" t="str">
            <v>1600000</v>
          </cell>
          <cell r="C2" t="str">
            <v>VG Vastgoedbeleggingen Verkrijgings- of vervaardigingsprijs -</v>
          </cell>
          <cell r="D2">
            <v>229438.2</v>
          </cell>
        </row>
        <row r="3">
          <cell r="B3" t="str">
            <v>1600200</v>
          </cell>
          <cell r="C3" t="str">
            <v>VG Vastgoedbeleggingen Cum afschrijvingen en waardeverm -</v>
          </cell>
          <cell r="D3">
            <v>-762225</v>
          </cell>
        </row>
        <row r="4">
          <cell r="B4" t="str">
            <v>1601000</v>
          </cell>
          <cell r="C4" t="str">
            <v>VG Vastgoedbeleggingen Buitengebruikstellingen CA en waardeverm. -</v>
          </cell>
          <cell r="D4">
            <v>-556326</v>
          </cell>
        </row>
        <row r="5">
          <cell r="B5" t="str">
            <v>1611003</v>
          </cell>
          <cell r="C5" t="str">
            <v>VG Comm VG in exploitatie Buitengebruikstellingen cum. afschr. en waardeverm.</v>
          </cell>
          <cell r="D5">
            <v>98174</v>
          </cell>
        </row>
        <row r="6">
          <cell r="B6" t="str">
            <v>1760300</v>
          </cell>
          <cell r="C6" t="str">
            <v>FVA Vord op DMRRP INV - I BV  aflossingen</v>
          </cell>
          <cell r="D6">
            <v>-394151.1</v>
          </cell>
        </row>
        <row r="7">
          <cell r="B7" t="str">
            <v>1790000</v>
          </cell>
          <cell r="C7" t="str">
            <v>FVA Swap fee</v>
          </cell>
          <cell r="D7">
            <v>-110650</v>
          </cell>
        </row>
        <row r="8">
          <cell r="B8" t="str">
            <v>1790002</v>
          </cell>
          <cell r="C8" t="str">
            <v>FVA Latente belastingvordering langlopend</v>
          </cell>
          <cell r="D8">
            <v>155489</v>
          </cell>
        </row>
        <row r="9">
          <cell r="B9" t="str">
            <v>2000000</v>
          </cell>
          <cell r="C9" t="str">
            <v>VOR Debiteuren</v>
          </cell>
          <cell r="D9">
            <v>423215.73</v>
          </cell>
        </row>
        <row r="10">
          <cell r="B10" t="str">
            <v>2620000</v>
          </cell>
          <cell r="C10" t="str">
            <v>RC Kortlopend D.M. Equity Partners C.V.</v>
          </cell>
        </row>
        <row r="11">
          <cell r="B11" t="str">
            <v>2640000</v>
          </cell>
          <cell r="C11" t="str">
            <v>RC Kortlopend DMRRP INV - I BV</v>
          </cell>
          <cell r="D11">
            <v>485985</v>
          </cell>
        </row>
        <row r="12">
          <cell r="B12" t="str">
            <v>2040100</v>
          </cell>
          <cell r="C12" t="str">
            <v>VOR Nog te factureren bedragen</v>
          </cell>
        </row>
        <row r="13">
          <cell r="B13" t="str">
            <v>2040500</v>
          </cell>
          <cell r="C13" t="str">
            <v>VOR Vooruitbetaalde verzekeringen</v>
          </cell>
          <cell r="D13">
            <v>-21435</v>
          </cell>
        </row>
        <row r="14">
          <cell r="B14" t="str">
            <v>2040900</v>
          </cell>
          <cell r="C14" t="str">
            <v>VOR Vooruitbetaalde overige kosten</v>
          </cell>
          <cell r="D14">
            <v>-89377.98</v>
          </cell>
        </row>
        <row r="15">
          <cell r="B15" t="str">
            <v>2300000</v>
          </cell>
          <cell r="C15" t="str">
            <v>LM Kruisposten</v>
          </cell>
          <cell r="D15">
            <v>-358000</v>
          </cell>
        </row>
        <row r="16">
          <cell r="B16" t="str">
            <v>2300001</v>
          </cell>
          <cell r="C16" t="str">
            <v>LM Kruisposten pin</v>
          </cell>
          <cell r="D16">
            <v>-1524.6</v>
          </cell>
        </row>
        <row r="17">
          <cell r="B17" t="str">
            <v>2400200</v>
          </cell>
          <cell r="C17" t="str">
            <v>LM ABN AMRO Bank Disposal NL58 ABNA 0818 9180 39</v>
          </cell>
          <cell r="D17">
            <v>0</v>
          </cell>
        </row>
        <row r="18">
          <cell r="B18" t="str">
            <v>2400201</v>
          </cell>
          <cell r="C18" t="str">
            <v>LM ABN AMRO Bank Deposit NL57 ABNA 0541 6205 68</v>
          </cell>
          <cell r="D18">
            <v>-9882.18</v>
          </cell>
        </row>
        <row r="19">
          <cell r="B19" t="str">
            <v>2400202</v>
          </cell>
          <cell r="C19" t="str">
            <v>LM ABN AMRO Bank General NL93 ABNA 0541 6132 27</v>
          </cell>
        </row>
        <row r="20">
          <cell r="B20" t="str">
            <v>2400203</v>
          </cell>
          <cell r="C20" t="str">
            <v>LM ABN AMRO Bank Maintres NL04 ABNA 0541 6188 06</v>
          </cell>
          <cell r="D20">
            <v>949.76</v>
          </cell>
        </row>
        <row r="21">
          <cell r="B21" t="str">
            <v>2400204</v>
          </cell>
          <cell r="C21" t="str">
            <v>LM ABN AMRO Bank Rent NL46 ABNA 0541 6088 35</v>
          </cell>
          <cell r="D21">
            <v>169867.27</v>
          </cell>
        </row>
        <row r="22">
          <cell r="B22" t="str">
            <v>2400205</v>
          </cell>
          <cell r="C22" t="str">
            <v>LM ABN AMRO Bank SR EXP NL88 ABNA 0541 6205 92</v>
          </cell>
          <cell r="D22">
            <v>2744.42</v>
          </cell>
        </row>
        <row r="23">
          <cell r="B23" t="str">
            <v>1930101</v>
          </cell>
          <cell r="C23" t="str">
            <v>LLS Cum aflossingen ABN AMRO Bank NV Senior Facility Agreement</v>
          </cell>
          <cell r="D23">
            <v>1449881.36</v>
          </cell>
        </row>
        <row r="24">
          <cell r="B24" t="str">
            <v>1930200</v>
          </cell>
          <cell r="C24" t="str">
            <v>LLS Extension fee&amp; professional fees</v>
          </cell>
          <cell r="D24">
            <v>-29069.05</v>
          </cell>
        </row>
        <row r="25">
          <cell r="B25" t="str">
            <v>2730000</v>
          </cell>
          <cell r="C25" t="str">
            <v>KLS Crediteuren</v>
          </cell>
          <cell r="D25">
            <v>277315</v>
          </cell>
        </row>
        <row r="26">
          <cell r="B26" t="str">
            <v>2730001</v>
          </cell>
          <cell r="C26" t="str">
            <v>KLS Crediteuren intercompany</v>
          </cell>
          <cell r="D26">
            <v>-9900</v>
          </cell>
        </row>
        <row r="27">
          <cell r="B27" t="str">
            <v>2512100</v>
          </cell>
          <cell r="C27" t="str">
            <v>BEL Afgedragen/ontvangen BTW</v>
          </cell>
          <cell r="D27">
            <v>-3177.21</v>
          </cell>
        </row>
        <row r="28">
          <cell r="B28" t="str">
            <v>2740100</v>
          </cell>
          <cell r="C28" t="str">
            <v>KLS Vooruitgefactureerde bedragen</v>
          </cell>
          <cell r="D28">
            <v>1145.22</v>
          </cell>
        </row>
        <row r="29">
          <cell r="B29" t="str">
            <v>2740300</v>
          </cell>
          <cell r="C29" t="str">
            <v>KLS Te betalen waarborgsommen kortlopend</v>
          </cell>
          <cell r="D29">
            <v>8472.82</v>
          </cell>
        </row>
        <row r="30">
          <cell r="B30" t="str">
            <v>2741000</v>
          </cell>
          <cell r="C30" t="str">
            <v>KLS Te betalen servicekosten</v>
          </cell>
        </row>
        <row r="31">
          <cell r="B31" t="str">
            <v>2741004</v>
          </cell>
          <cell r="C31" t="str">
            <v>KLS Te betalen Hoen</v>
          </cell>
          <cell r="D31">
            <v>216412.76</v>
          </cell>
        </row>
        <row r="32">
          <cell r="B32" t="str">
            <v>2741200</v>
          </cell>
          <cell r="C32" t="str">
            <v>KLS Te betalen overige kosten</v>
          </cell>
        </row>
        <row r="33">
          <cell r="B33" t="str">
            <v>2742000</v>
          </cell>
          <cell r="C33" t="str">
            <v>KLS Vraagposten</v>
          </cell>
        </row>
        <row r="34">
          <cell r="B34" t="str">
            <v>2760000</v>
          </cell>
          <cell r="C34" t="str">
            <v>KLS Saldo lening DMRRP INV - I BV</v>
          </cell>
          <cell r="D34">
            <v>0</v>
          </cell>
        </row>
        <row r="35">
          <cell r="B35" t="str">
            <v>1610803</v>
          </cell>
          <cell r="C35" t="str">
            <v>VG Comm VG in exploitatie Buitengebruikstellingen aanschaffingswaarde</v>
          </cell>
        </row>
        <row r="36">
          <cell r="B36" t="str">
            <v>2502021</v>
          </cell>
          <cell r="C36" t="str">
            <v>Servicekosten 2021</v>
          </cell>
          <cell r="D36">
            <v>0</v>
          </cell>
        </row>
        <row r="37">
          <cell r="B37" t="str">
            <v>2502022</v>
          </cell>
          <cell r="C37" t="str">
            <v>Servicekosten 2022</v>
          </cell>
          <cell r="D37">
            <v>-516.84</v>
          </cell>
        </row>
        <row r="38">
          <cell r="B38" t="str">
            <v>2502023</v>
          </cell>
          <cell r="C38" t="str">
            <v>Servicekosten 2023</v>
          </cell>
          <cell r="D38">
            <v>7601.93</v>
          </cell>
        </row>
        <row r="39">
          <cell r="B39" t="str">
            <v>2502024</v>
          </cell>
          <cell r="C39" t="str">
            <v>Servicekosten 2024</v>
          </cell>
          <cell r="D39">
            <v>49344.83</v>
          </cell>
        </row>
        <row r="40">
          <cell r="B40" t="str">
            <v>8000000</v>
          </cell>
          <cell r="C40" t="str">
            <v>OPB Netto-omzet</v>
          </cell>
        </row>
        <row r="41">
          <cell r="B41" t="str">
            <v>8000003</v>
          </cell>
          <cell r="C41" t="str">
            <v>OPB Netto-omzet Theoretische huuropbrengsten</v>
          </cell>
          <cell r="D41">
            <v>-3169839.55</v>
          </cell>
        </row>
        <row r="42">
          <cell r="B42" t="str">
            <v>8000004</v>
          </cell>
          <cell r="C42" t="str">
            <v>OPB Netto-omzet Leegstand huuropbrengsten</v>
          </cell>
          <cell r="D42">
            <v>93311.89</v>
          </cell>
        </row>
        <row r="43">
          <cell r="B43" t="str">
            <v>8400600</v>
          </cell>
          <cell r="C43" t="str">
            <v>OPB Overige bedrijfsopbrengsten Totale servicekosten</v>
          </cell>
          <cell r="D43">
            <v>-76472.45</v>
          </cell>
        </row>
        <row r="44">
          <cell r="B44" t="str">
            <v>8400700</v>
          </cell>
          <cell r="C44" t="str">
            <v>OPB Overige bedrijfsopbrengsten Servicekosten leegstand</v>
          </cell>
          <cell r="D44">
            <v>10335.44</v>
          </cell>
        </row>
        <row r="45">
          <cell r="B45" t="str">
            <v>8400800</v>
          </cell>
          <cell r="C45" t="str">
            <v>OPB Overige bedrijfsopbrengsten Gerealiseerde servicekosten</v>
          </cell>
          <cell r="D45">
            <v>77542.210000000006</v>
          </cell>
        </row>
        <row r="46">
          <cell r="B46" t="str">
            <v>4051400</v>
          </cell>
          <cell r="C46" t="str">
            <v>KN Diensten door derden</v>
          </cell>
          <cell r="D46">
            <v>134133.54999999999</v>
          </cell>
        </row>
        <row r="47">
          <cell r="B47" t="str">
            <v>4730000</v>
          </cell>
          <cell r="C47" t="str">
            <v>AFKN Afschrijvingskosten -</v>
          </cell>
          <cell r="D47">
            <v>762225</v>
          </cell>
        </row>
        <row r="48">
          <cell r="B48" t="str">
            <v>4730200</v>
          </cell>
          <cell r="C48" t="str">
            <v>AFKN Boekresultaat -</v>
          </cell>
          <cell r="D48">
            <v>-963848</v>
          </cell>
        </row>
        <row r="49">
          <cell r="B49" t="str">
            <v>4100400</v>
          </cell>
          <cell r="C49" t="str">
            <v>KN Onderhoud gebouwen</v>
          </cell>
          <cell r="D49">
            <v>308364.09000000003</v>
          </cell>
        </row>
        <row r="50">
          <cell r="B50" t="str">
            <v>4100900</v>
          </cell>
          <cell r="C50" t="str">
            <v>KN Onroerende zaakbelasting</v>
          </cell>
          <cell r="D50">
            <v>66062.67</v>
          </cell>
        </row>
        <row r="51">
          <cell r="B51" t="str">
            <v>4101000</v>
          </cell>
          <cell r="C51" t="str">
            <v>KN Vaste lasten</v>
          </cell>
          <cell r="D51">
            <v>188400.11</v>
          </cell>
        </row>
        <row r="52">
          <cell r="B52" t="str">
            <v>4501300</v>
          </cell>
          <cell r="C52" t="str">
            <v>KN Afboeking dubieuze debiteuren</v>
          </cell>
          <cell r="D52">
            <v>10114.98</v>
          </cell>
        </row>
        <row r="53">
          <cell r="B53" t="str">
            <v>4300500</v>
          </cell>
          <cell r="C53" t="str">
            <v>KN Incassokosten</v>
          </cell>
          <cell r="D53">
            <v>600</v>
          </cell>
        </row>
        <row r="54">
          <cell r="B54" t="str">
            <v>4310400</v>
          </cell>
          <cell r="C54" t="str">
            <v>KN Assurantiepremie algemeen</v>
          </cell>
          <cell r="D54">
            <v>21435</v>
          </cell>
        </row>
        <row r="55">
          <cell r="B55" t="str">
            <v>4310500</v>
          </cell>
          <cell r="C55" t="str">
            <v>KN Managementvergoeding</v>
          </cell>
          <cell r="D55">
            <v>1500</v>
          </cell>
        </row>
        <row r="56">
          <cell r="B56" t="str">
            <v>4310600</v>
          </cell>
          <cell r="C56" t="str">
            <v>KN Accountantskosten</v>
          </cell>
          <cell r="D56">
            <v>8698.33</v>
          </cell>
        </row>
        <row r="57">
          <cell r="B57" t="str">
            <v>4310700</v>
          </cell>
          <cell r="C57" t="str">
            <v>KN Administratiekosten</v>
          </cell>
          <cell r="D57">
            <v>1397.55</v>
          </cell>
        </row>
        <row r="58">
          <cell r="B58" t="str">
            <v>4310800</v>
          </cell>
          <cell r="C58" t="str">
            <v>KN Notariskosten</v>
          </cell>
          <cell r="D58">
            <v>47806.689999999995</v>
          </cell>
        </row>
        <row r="59">
          <cell r="B59" t="str">
            <v>4311000</v>
          </cell>
          <cell r="C59" t="str">
            <v>KN Juridische kosten</v>
          </cell>
          <cell r="D59">
            <v>6967.14</v>
          </cell>
        </row>
        <row r="60">
          <cell r="B60" t="str">
            <v>4311800</v>
          </cell>
          <cell r="C60" t="str">
            <v>KN Advieskosten</v>
          </cell>
          <cell r="D60">
            <v>100650</v>
          </cell>
        </row>
        <row r="61">
          <cell r="B61" t="str">
            <v>4311900</v>
          </cell>
          <cell r="C61" t="str">
            <v>KN Bankkosten</v>
          </cell>
          <cell r="D61">
            <v>8473.27</v>
          </cell>
        </row>
        <row r="62">
          <cell r="B62" t="str">
            <v>4312600</v>
          </cell>
          <cell r="C62" t="str">
            <v>KN Diverse lasten</v>
          </cell>
        </row>
        <row r="63">
          <cell r="B63" t="str">
            <v>4319800</v>
          </cell>
          <cell r="C63" t="str">
            <v>KN Overige algemene kosten</v>
          </cell>
          <cell r="D63">
            <v>-1507.82</v>
          </cell>
        </row>
        <row r="64">
          <cell r="B64" t="str">
            <v>4623001</v>
          </cell>
          <cell r="C64" t="str">
            <v>FINBL Rente ABN AMRO Bank NV Senior Facility Agreement</v>
          </cell>
          <cell r="D64">
            <v>1915107.54</v>
          </cell>
        </row>
        <row r="65">
          <cell r="B65" t="str">
            <v>4643000</v>
          </cell>
          <cell r="C65" t="str">
            <v>FINBL Overige rentelasten</v>
          </cell>
          <cell r="D65">
            <v>-159757.35</v>
          </cell>
        </row>
        <row r="66">
          <cell r="B66" t="str">
            <v>4642000</v>
          </cell>
          <cell r="C66" t="str">
            <v>FINBL Overige rentebaten</v>
          </cell>
          <cell r="D66">
            <v>51.12</v>
          </cell>
        </row>
        <row r="67">
          <cell r="B67" t="str">
            <v>4663000</v>
          </cell>
          <cell r="C67" t="str">
            <v>FINBL Rente vord DMRRP INV - I BV</v>
          </cell>
          <cell r="D67">
            <v>-519493.62</v>
          </cell>
        </row>
        <row r="68">
          <cell r="B68" t="str">
            <v>9510000</v>
          </cell>
          <cell r="C68" t="str">
            <v>VPB Mutatie belastinglatentie Mutatie actieve latentie</v>
          </cell>
          <cell r="D68">
            <v>-155489</v>
          </cell>
        </row>
        <row r="69">
          <cell r="B69" t="str">
            <v>4101010</v>
          </cell>
          <cell r="C69" t="str">
            <v>Gemeentelijke belastingen</v>
          </cell>
          <cell r="D69">
            <v>24496.54</v>
          </cell>
        </row>
        <row r="70">
          <cell r="B70" t="str">
            <v>4101020</v>
          </cell>
          <cell r="C70" t="str">
            <v>Waterschapsbelasting</v>
          </cell>
          <cell r="D70">
            <v>28932.33</v>
          </cell>
        </row>
        <row r="71">
          <cell r="B71" t="str">
            <v>4101300</v>
          </cell>
          <cell r="C71" t="str">
            <v>KN Servicekosten leegstand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BalansenWinstverliesperperiode"/>
      <sheetName val="Kolommenbalans"/>
    </sheetNames>
    <sheetDataSet>
      <sheetData sheetId="0"/>
      <sheetData sheetId="1">
        <row r="1">
          <cell r="B1" t="str">
            <v>CodeGrootboekrekening</v>
          </cell>
          <cell r="C1" t="str">
            <v>NaamGrootboekrekening</v>
          </cell>
          <cell r="D1" t="str">
            <v>Saldo</v>
          </cell>
        </row>
        <row r="2">
          <cell r="B2" t="str">
            <v>1600000</v>
          </cell>
          <cell r="C2" t="str">
            <v>VG Vastgoedbeleggingen Verkrijgings- of vervaardigingsprijs -</v>
          </cell>
          <cell r="D2">
            <v>229438.2</v>
          </cell>
        </row>
        <row r="3">
          <cell r="B3" t="str">
            <v>1600200</v>
          </cell>
          <cell r="C3" t="str">
            <v>VG Vastgoedbeleggingen Cum afschrijvingen en waardeverm -</v>
          </cell>
          <cell r="D3">
            <v>-762225</v>
          </cell>
        </row>
        <row r="4">
          <cell r="B4" t="str">
            <v>1601000</v>
          </cell>
          <cell r="C4" t="str">
            <v>VG Vastgoedbeleggingen Buitengebruikstellingen CA en waardeverm. -</v>
          </cell>
          <cell r="D4">
            <v>-556326</v>
          </cell>
        </row>
        <row r="5">
          <cell r="B5" t="str">
            <v>1611003</v>
          </cell>
          <cell r="C5" t="str">
            <v>VG Comm VG in exploitatie Buitengebruikstellingen cum. afschr. en waardeverm.</v>
          </cell>
          <cell r="D5">
            <v>98174</v>
          </cell>
        </row>
        <row r="6">
          <cell r="B6" t="str">
            <v>1760300</v>
          </cell>
          <cell r="C6" t="str">
            <v>FVA Vord op DMRRP INV - I BV  aflossingen</v>
          </cell>
          <cell r="D6">
            <v>-394151.1</v>
          </cell>
        </row>
        <row r="7">
          <cell r="B7" t="str">
            <v>1790000</v>
          </cell>
          <cell r="C7" t="str">
            <v>FVA Swap fee</v>
          </cell>
          <cell r="D7">
            <v>-110650</v>
          </cell>
        </row>
        <row r="8">
          <cell r="B8" t="str">
            <v>1790002</v>
          </cell>
          <cell r="C8" t="str">
            <v>FVA Latente belastingvordering langlopend</v>
          </cell>
          <cell r="D8">
            <v>155489</v>
          </cell>
        </row>
        <row r="9">
          <cell r="B9" t="str">
            <v>2000000</v>
          </cell>
          <cell r="C9" t="str">
            <v>VOR Debiteuren</v>
          </cell>
          <cell r="D9">
            <v>423215.73</v>
          </cell>
        </row>
        <row r="10">
          <cell r="B10" t="str">
            <v>2620000</v>
          </cell>
          <cell r="C10" t="str">
            <v>RC Kortlopend D.M. Equity Partners C.V.</v>
          </cell>
        </row>
        <row r="11">
          <cell r="B11" t="str">
            <v>2640000</v>
          </cell>
          <cell r="C11" t="str">
            <v>RC Kortlopend DMRRP INV - I BV</v>
          </cell>
          <cell r="D11">
            <v>485985</v>
          </cell>
        </row>
        <row r="12">
          <cell r="B12" t="str">
            <v>2040100</v>
          </cell>
          <cell r="C12" t="str">
            <v>VOR Nog te factureren bedragen</v>
          </cell>
        </row>
        <row r="13">
          <cell r="B13" t="str">
            <v>2040500</v>
          </cell>
          <cell r="C13" t="str">
            <v>VOR Vooruitbetaalde verzekeringen</v>
          </cell>
          <cell r="D13">
            <v>-21435</v>
          </cell>
        </row>
        <row r="14">
          <cell r="B14" t="str">
            <v>2040900</v>
          </cell>
          <cell r="C14" t="str">
            <v>VOR Vooruitbetaalde overige kosten</v>
          </cell>
          <cell r="D14">
            <v>-89377.98</v>
          </cell>
        </row>
        <row r="15">
          <cell r="B15" t="str">
            <v>2300000</v>
          </cell>
          <cell r="C15" t="str">
            <v>LM Kruisposten</v>
          </cell>
          <cell r="D15">
            <v>-358000</v>
          </cell>
        </row>
        <row r="16">
          <cell r="B16" t="str">
            <v>2300001</v>
          </cell>
          <cell r="C16" t="str">
            <v>LM Kruisposten pin</v>
          </cell>
          <cell r="D16">
            <v>-1524.6</v>
          </cell>
        </row>
        <row r="17">
          <cell r="B17" t="str">
            <v>2400200</v>
          </cell>
          <cell r="C17" t="str">
            <v>LM ABN AMRO Bank Disposal NL58 ABNA 0818 9180 39</v>
          </cell>
          <cell r="D17">
            <v>0</v>
          </cell>
        </row>
        <row r="18">
          <cell r="B18" t="str">
            <v>2400201</v>
          </cell>
          <cell r="C18" t="str">
            <v>LM ABN AMRO Bank Deposit NL57 ABNA 0541 6205 68</v>
          </cell>
          <cell r="D18">
            <v>-9882.18</v>
          </cell>
        </row>
        <row r="19">
          <cell r="B19" t="str">
            <v>2400202</v>
          </cell>
          <cell r="C19" t="str">
            <v>LM ABN AMRO Bank General NL93 ABNA 0541 6132 27</v>
          </cell>
        </row>
        <row r="20">
          <cell r="B20" t="str">
            <v>2400203</v>
          </cell>
          <cell r="C20" t="str">
            <v>LM ABN AMRO Bank Maintres NL04 ABNA 0541 6188 06</v>
          </cell>
          <cell r="D20">
            <v>949.76</v>
          </cell>
        </row>
        <row r="21">
          <cell r="B21" t="str">
            <v>2400204</v>
          </cell>
          <cell r="C21" t="str">
            <v>LM ABN AMRO Bank Rent NL46 ABNA 0541 6088 35</v>
          </cell>
          <cell r="D21">
            <v>169867.27</v>
          </cell>
        </row>
        <row r="22">
          <cell r="B22" t="str">
            <v>2400205</v>
          </cell>
          <cell r="C22" t="str">
            <v>LM ABN AMRO Bank SR EXP NL88 ABNA 0541 6205 92</v>
          </cell>
          <cell r="D22">
            <v>2744.42</v>
          </cell>
        </row>
        <row r="23">
          <cell r="B23" t="str">
            <v>1930101</v>
          </cell>
          <cell r="C23" t="str">
            <v>LLS Cum aflossingen ABN AMRO Bank NV Senior Facility Agreement</v>
          </cell>
          <cell r="D23">
            <v>1449881.36</v>
          </cell>
        </row>
        <row r="24">
          <cell r="B24" t="str">
            <v>1930200</v>
          </cell>
          <cell r="C24" t="str">
            <v>LLS Extension fee&amp; professional fees</v>
          </cell>
          <cell r="D24">
            <v>-29069.05</v>
          </cell>
        </row>
        <row r="25">
          <cell r="B25" t="str">
            <v>2730000</v>
          </cell>
          <cell r="C25" t="str">
            <v>KLS Crediteuren</v>
          </cell>
          <cell r="D25">
            <v>277315</v>
          </cell>
        </row>
        <row r="26">
          <cell r="B26" t="str">
            <v>2730001</v>
          </cell>
          <cell r="C26" t="str">
            <v>KLS Crediteuren intercompany</v>
          </cell>
          <cell r="D26">
            <v>-9900</v>
          </cell>
        </row>
        <row r="27">
          <cell r="B27" t="str">
            <v>2512100</v>
          </cell>
          <cell r="C27" t="str">
            <v>BEL Afgedragen/ontvangen BTW</v>
          </cell>
          <cell r="D27">
            <v>-3177.21</v>
          </cell>
        </row>
        <row r="28">
          <cell r="B28" t="str">
            <v>2740100</v>
          </cell>
          <cell r="C28" t="str">
            <v>KLS Vooruitgefactureerde bedragen</v>
          </cell>
          <cell r="D28">
            <v>1145.22</v>
          </cell>
        </row>
        <row r="29">
          <cell r="B29" t="str">
            <v>2740300</v>
          </cell>
          <cell r="C29" t="str">
            <v>KLS Te betalen waarborgsommen kortlopend</v>
          </cell>
          <cell r="D29">
            <v>8472.82</v>
          </cell>
        </row>
        <row r="30">
          <cell r="B30" t="str">
            <v>2741000</v>
          </cell>
          <cell r="C30" t="str">
            <v>KLS Te betalen servicekosten</v>
          </cell>
        </row>
        <row r="31">
          <cell r="B31" t="str">
            <v>2741004</v>
          </cell>
          <cell r="C31" t="str">
            <v>KLS Te betalen Hoen</v>
          </cell>
          <cell r="D31">
            <v>216412.76</v>
          </cell>
        </row>
        <row r="32">
          <cell r="B32" t="str">
            <v>2741200</v>
          </cell>
          <cell r="C32" t="str">
            <v>KLS Te betalen overige kosten</v>
          </cell>
        </row>
        <row r="33">
          <cell r="B33" t="str">
            <v>2742000</v>
          </cell>
          <cell r="C33" t="str">
            <v>KLS Vraagposten</v>
          </cell>
        </row>
        <row r="34">
          <cell r="B34" t="str">
            <v>2760000</v>
          </cell>
          <cell r="C34" t="str">
            <v>KLS Saldo lening DMRRP INV - I BV</v>
          </cell>
          <cell r="D34">
            <v>0</v>
          </cell>
        </row>
        <row r="35">
          <cell r="B35" t="str">
            <v>1610803</v>
          </cell>
          <cell r="C35" t="str">
            <v>VG Comm VG in exploitatie Buitengebruikstellingen aanschaffingswaarde</v>
          </cell>
        </row>
        <row r="36">
          <cell r="B36" t="str">
            <v>2502021</v>
          </cell>
          <cell r="C36" t="str">
            <v>Servicekosten 2021</v>
          </cell>
          <cell r="D36">
            <v>0</v>
          </cell>
        </row>
        <row r="37">
          <cell r="B37" t="str">
            <v>2502022</v>
          </cell>
          <cell r="C37" t="str">
            <v>Servicekosten 2022</v>
          </cell>
          <cell r="D37">
            <v>-516.84</v>
          </cell>
        </row>
        <row r="38">
          <cell r="B38" t="str">
            <v>2502023</v>
          </cell>
          <cell r="C38" t="str">
            <v>Servicekosten 2023</v>
          </cell>
          <cell r="D38">
            <v>7601.93</v>
          </cell>
        </row>
        <row r="39">
          <cell r="B39" t="str">
            <v>2502024</v>
          </cell>
          <cell r="C39" t="str">
            <v>Servicekosten 2024</v>
          </cell>
          <cell r="D39">
            <v>49344.83</v>
          </cell>
        </row>
        <row r="40">
          <cell r="B40" t="str">
            <v>8000000</v>
          </cell>
          <cell r="C40" t="str">
            <v>OPB Netto-omzet</v>
          </cell>
        </row>
        <row r="41">
          <cell r="B41" t="str">
            <v>8000003</v>
          </cell>
          <cell r="C41" t="str">
            <v>OPB Netto-omzet Theoretische huuropbrengsten</v>
          </cell>
          <cell r="D41">
            <v>-3169839.55</v>
          </cell>
        </row>
        <row r="42">
          <cell r="B42" t="str">
            <v>8000004</v>
          </cell>
          <cell r="C42" t="str">
            <v>OPB Netto-omzet Leegstand huuropbrengsten</v>
          </cell>
          <cell r="D42">
            <v>93311.89</v>
          </cell>
        </row>
        <row r="43">
          <cell r="B43" t="str">
            <v>8400600</v>
          </cell>
          <cell r="C43" t="str">
            <v>OPB Overige bedrijfsopbrengsten Totale servicekosten</v>
          </cell>
          <cell r="D43">
            <v>-76472.45</v>
          </cell>
        </row>
        <row r="44">
          <cell r="B44" t="str">
            <v>8400700</v>
          </cell>
          <cell r="C44" t="str">
            <v>OPB Overige bedrijfsopbrengsten Servicekosten leegstand</v>
          </cell>
          <cell r="D44">
            <v>10335.44</v>
          </cell>
        </row>
        <row r="45">
          <cell r="B45" t="str">
            <v>8400800</v>
          </cell>
          <cell r="C45" t="str">
            <v>OPB Overige bedrijfsopbrengsten Gerealiseerde servicekosten</v>
          </cell>
          <cell r="D45">
            <v>77542.210000000006</v>
          </cell>
        </row>
        <row r="46">
          <cell r="B46" t="str">
            <v>4051400</v>
          </cell>
          <cell r="C46" t="str">
            <v>KN Diensten door derden</v>
          </cell>
          <cell r="D46">
            <v>134133.54999999999</v>
          </cell>
        </row>
        <row r="47">
          <cell r="B47" t="str">
            <v>4730000</v>
          </cell>
          <cell r="C47" t="str">
            <v>AFKN Afschrijvingskosten -</v>
          </cell>
          <cell r="D47">
            <v>762225</v>
          </cell>
        </row>
        <row r="48">
          <cell r="B48" t="str">
            <v>4730200</v>
          </cell>
          <cell r="C48" t="str">
            <v>AFKN Boekresultaat -</v>
          </cell>
          <cell r="D48">
            <v>-963848</v>
          </cell>
        </row>
        <row r="49">
          <cell r="B49" t="str">
            <v>4100400</v>
          </cell>
          <cell r="C49" t="str">
            <v>KN Onderhoud gebouwen</v>
          </cell>
          <cell r="D49">
            <v>308364.09000000003</v>
          </cell>
        </row>
        <row r="50">
          <cell r="B50" t="str">
            <v>4100900</v>
          </cell>
          <cell r="C50" t="str">
            <v>KN Onroerende zaakbelasting</v>
          </cell>
          <cell r="D50">
            <v>66062.67</v>
          </cell>
        </row>
        <row r="51">
          <cell r="B51" t="str">
            <v>4101000</v>
          </cell>
          <cell r="C51" t="str">
            <v>KN Vaste lasten</v>
          </cell>
          <cell r="D51">
            <v>188400.11</v>
          </cell>
        </row>
        <row r="52">
          <cell r="B52" t="str">
            <v>4501300</v>
          </cell>
          <cell r="C52" t="str">
            <v>KN Afboeking dubieuze debiteuren</v>
          </cell>
          <cell r="D52">
            <v>10114.98</v>
          </cell>
        </row>
        <row r="53">
          <cell r="B53" t="str">
            <v>4300500</v>
          </cell>
          <cell r="C53" t="str">
            <v>KN Incassokosten</v>
          </cell>
          <cell r="D53">
            <v>600</v>
          </cell>
        </row>
        <row r="54">
          <cell r="B54" t="str">
            <v>4310400</v>
          </cell>
          <cell r="C54" t="str">
            <v>KN Assurantiepremie algemeen</v>
          </cell>
          <cell r="D54">
            <v>21435</v>
          </cell>
        </row>
        <row r="55">
          <cell r="B55" t="str">
            <v>4310500</v>
          </cell>
          <cell r="C55" t="str">
            <v>KN Managementvergoeding</v>
          </cell>
          <cell r="D55">
            <v>1500</v>
          </cell>
        </row>
        <row r="56">
          <cell r="B56" t="str">
            <v>4310600</v>
          </cell>
          <cell r="C56" t="str">
            <v>KN Accountantskosten</v>
          </cell>
          <cell r="D56">
            <v>8698.33</v>
          </cell>
        </row>
        <row r="57">
          <cell r="B57" t="str">
            <v>4310700</v>
          </cell>
          <cell r="C57" t="str">
            <v>KN Administratiekosten</v>
          </cell>
          <cell r="D57">
            <v>1397.55</v>
          </cell>
        </row>
        <row r="58">
          <cell r="B58" t="str">
            <v>4310800</v>
          </cell>
          <cell r="C58" t="str">
            <v>KN Notariskosten</v>
          </cell>
          <cell r="D58">
            <v>47806.689999999995</v>
          </cell>
        </row>
        <row r="59">
          <cell r="B59" t="str">
            <v>4311000</v>
          </cell>
          <cell r="C59" t="str">
            <v>KN Juridische kosten</v>
          </cell>
          <cell r="D59">
            <v>6967.14</v>
          </cell>
        </row>
        <row r="60">
          <cell r="B60" t="str">
            <v>4311800</v>
          </cell>
          <cell r="C60" t="str">
            <v>KN Advieskosten</v>
          </cell>
          <cell r="D60">
            <v>100650</v>
          </cell>
        </row>
        <row r="61">
          <cell r="B61" t="str">
            <v>4311900</v>
          </cell>
          <cell r="C61" t="str">
            <v>KN Bankkosten</v>
          </cell>
          <cell r="D61">
            <v>8473.27</v>
          </cell>
        </row>
        <row r="62">
          <cell r="B62" t="str">
            <v>4312600</v>
          </cell>
          <cell r="C62" t="str">
            <v>KN Diverse lasten</v>
          </cell>
        </row>
        <row r="63">
          <cell r="B63" t="str">
            <v>4319800</v>
          </cell>
          <cell r="C63" t="str">
            <v>KN Overige algemene kosten</v>
          </cell>
          <cell r="D63">
            <v>-1507.82</v>
          </cell>
        </row>
        <row r="64">
          <cell r="B64" t="str">
            <v>4623001</v>
          </cell>
          <cell r="C64" t="str">
            <v>FINBL Rente ABN AMRO Bank NV Senior Facility Agreement</v>
          </cell>
          <cell r="D64">
            <v>1915107.54</v>
          </cell>
        </row>
        <row r="65">
          <cell r="B65" t="str">
            <v>4643000</v>
          </cell>
          <cell r="C65" t="str">
            <v>FINBL Overige rentelasten</v>
          </cell>
          <cell r="D65">
            <v>-159757.35</v>
          </cell>
        </row>
        <row r="66">
          <cell r="B66" t="str">
            <v>4642000</v>
          </cell>
          <cell r="C66" t="str">
            <v>FINBL Overige rentebaten</v>
          </cell>
          <cell r="D66">
            <v>51.12</v>
          </cell>
        </row>
        <row r="67">
          <cell r="B67" t="str">
            <v>4663000</v>
          </cell>
          <cell r="C67" t="str">
            <v>FINBL Rente vord DMRRP INV - I BV</v>
          </cell>
          <cell r="D67">
            <v>-519493.62</v>
          </cell>
        </row>
        <row r="68">
          <cell r="B68" t="str">
            <v>9510000</v>
          </cell>
          <cell r="C68" t="str">
            <v>VPB Mutatie belastinglatentie Mutatie actieve latentie</v>
          </cell>
          <cell r="D68">
            <v>-155489</v>
          </cell>
        </row>
        <row r="69">
          <cell r="B69" t="str">
            <v>4101010</v>
          </cell>
          <cell r="C69" t="str">
            <v>Gemeentelijke belastingen</v>
          </cell>
          <cell r="D69">
            <v>24496.54</v>
          </cell>
        </row>
        <row r="70">
          <cell r="B70" t="str">
            <v>4101020</v>
          </cell>
          <cell r="C70" t="str">
            <v>Waterschapsbelasting</v>
          </cell>
          <cell r="D70">
            <v>28932.33</v>
          </cell>
        </row>
        <row r="71">
          <cell r="B71" t="str">
            <v>4101300</v>
          </cell>
          <cell r="C71" t="str">
            <v>KN Servicekosten leegstand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5"/>
  <sheetViews>
    <sheetView topLeftCell="G31" zoomScaleNormal="100" workbookViewId="0">
      <selection activeCell="H88" sqref="H88"/>
    </sheetView>
  </sheetViews>
  <sheetFormatPr baseColWidth="8" defaultColWidth="9.109375" defaultRowHeight="12.75" customHeight="1"/>
  <cols>
    <col width="9.109375" customWidth="1" style="1" min="1" max="5"/>
    <col width="28.6640625" bestFit="1" customWidth="1" style="1" min="6" max="6"/>
    <col width="9.109375" customWidth="1" style="1" min="7" max="9"/>
    <col width="10.33203125" customWidth="1" style="1" min="10" max="10"/>
    <col width="9.109375" customWidth="1" style="1" min="11" max="11"/>
    <col width="63.33203125" bestFit="1" customWidth="1" style="1" min="12" max="12"/>
    <col width="15.5546875" bestFit="1" customWidth="1" style="289" min="13" max="13"/>
    <col width="9.109375" customWidth="1" style="1" min="14" max="16384"/>
  </cols>
  <sheetData>
    <row r="1" ht="12.75" customHeight="1">
      <c r="A1" s="1" t="inlineStr">
        <is>
          <t>CodeAdministratie</t>
        </is>
      </c>
      <c r="B1" s="1" t="inlineStr">
        <is>
          <t>NaamAdministratie</t>
        </is>
      </c>
      <c r="C1" s="1" t="inlineStr">
        <is>
          <t>CodeDimensietype</t>
        </is>
      </c>
      <c r="D1" s="1" t="inlineStr">
        <is>
          <t>NaamDimensietype</t>
        </is>
      </c>
      <c r="E1" s="1" t="inlineStr">
        <is>
          <t>CodeRapportagestructuurgroep1</t>
        </is>
      </c>
      <c r="F1" s="1" t="inlineStr">
        <is>
          <t>NaamRapportagestructuurgroep2</t>
        </is>
      </c>
      <c r="G1" s="1" t="inlineStr">
        <is>
          <t>CodeRapportagestructuurgroep3</t>
        </is>
      </c>
      <c r="H1" s="1" t="inlineStr">
        <is>
          <t>NaamRapportagestructuurgroep4</t>
        </is>
      </c>
      <c r="I1" s="1" t="inlineStr">
        <is>
          <t>CodeRapportagestructuurgroep5</t>
        </is>
      </c>
      <c r="J1" s="1" t="inlineStr">
        <is>
          <t>NaamRapportagestructuurgroep6</t>
        </is>
      </c>
      <c r="K1" s="1" t="inlineStr">
        <is>
          <t>CodeGrootboekrekening</t>
        </is>
      </c>
      <c r="L1" s="1" t="inlineStr">
        <is>
          <t>NaamGrootboekrekening</t>
        </is>
      </c>
      <c r="M1" s="289" t="inlineStr">
        <is>
          <t>Saldo</t>
        </is>
      </c>
    </row>
    <row r="2" ht="12.75" customHeight="1">
      <c r="A2" s="1" t="inlineStr">
        <is>
          <t>041066359000</t>
        </is>
      </c>
      <c r="B2" s="1" t="inlineStr">
        <is>
          <t>QSP ESS B.V.</t>
        </is>
      </c>
      <c r="C2" s="1" t="inlineStr">
        <is>
          <t>BAS</t>
        </is>
      </c>
      <c r="D2" s="1" t="inlineStr">
        <is>
          <t>Balans</t>
        </is>
      </c>
      <c r="E2" s="1" t="inlineStr">
        <is>
          <t>GLB15</t>
        </is>
      </c>
      <c r="F2" s="1" t="inlineStr">
        <is>
          <t>Vastgoedbeleggingen</t>
        </is>
      </c>
      <c r="G2" s="1" t="inlineStr">
        <is>
          <t>SLB2510</t>
        </is>
      </c>
      <c r="H2" s="1" t="inlineStr">
        <is>
          <t>Vastgoedbeleggingen</t>
        </is>
      </c>
      <c r="I2" s="1" t="inlineStr"/>
      <c r="J2" s="1" t="inlineStr"/>
      <c r="K2" s="1" t="inlineStr">
        <is>
          <t>1600000</t>
        </is>
      </c>
      <c r="L2" s="1" t="inlineStr">
        <is>
          <t>VG Vastgoedbeleggingen Verkrijgings- of vervaardigingsprijs</t>
        </is>
      </c>
      <c r="M2" s="289" t="n">
        <v>134929584.62</v>
      </c>
    </row>
    <row r="3" ht="12.75" customHeight="1">
      <c r="A3" s="1" t="inlineStr">
        <is>
          <t>041066359000</t>
        </is>
      </c>
      <c r="B3" s="1" t="inlineStr">
        <is>
          <t>QSP ESS B.V.</t>
        </is>
      </c>
      <c r="C3" s="1" t="inlineStr">
        <is>
          <t>BAS</t>
        </is>
      </c>
      <c r="D3" s="1" t="inlineStr">
        <is>
          <t>Balans</t>
        </is>
      </c>
      <c r="E3" s="1" t="inlineStr">
        <is>
          <t>GLB15</t>
        </is>
      </c>
      <c r="F3" s="1" t="inlineStr">
        <is>
          <t>Vastgoedbeleggingen</t>
        </is>
      </c>
      <c r="G3" s="1" t="inlineStr">
        <is>
          <t>SLB2510</t>
        </is>
      </c>
      <c r="H3" s="1" t="inlineStr">
        <is>
          <t>Vastgoedbeleggingen</t>
        </is>
      </c>
      <c r="I3" s="1" t="inlineStr"/>
      <c r="J3" s="1" t="inlineStr"/>
      <c r="K3" s="1" t="inlineStr">
        <is>
          <t>1600200</t>
        </is>
      </c>
      <c r="L3" s="1" t="inlineStr">
        <is>
          <t>VG Vastgoedbeleggingen Cum afschrijvingen en waardeverm</t>
        </is>
      </c>
      <c r="M3" s="289" t="n">
        <v>-8089661.67</v>
      </c>
    </row>
    <row r="4" ht="12.75" customHeight="1">
      <c r="A4" s="1" t="inlineStr">
        <is>
          <t>041066359000</t>
        </is>
      </c>
      <c r="B4" s="1" t="inlineStr">
        <is>
          <t>QSP ESS B.V.</t>
        </is>
      </c>
      <c r="C4" s="1" t="inlineStr">
        <is>
          <t>BAS</t>
        </is>
      </c>
      <c r="D4" s="1" t="inlineStr">
        <is>
          <t>Balans</t>
        </is>
      </c>
      <c r="E4" s="1" t="inlineStr">
        <is>
          <t>GLB15</t>
        </is>
      </c>
      <c r="F4" s="1" t="inlineStr">
        <is>
          <t>Vastgoedbeleggingen</t>
        </is>
      </c>
      <c r="G4" s="1" t="inlineStr">
        <is>
          <t>SLB2510</t>
        </is>
      </c>
      <c r="H4" s="1" t="inlineStr">
        <is>
          <t>Vastgoedbeleggingen</t>
        </is>
      </c>
      <c r="I4" s="1" t="inlineStr"/>
      <c r="J4" s="1" t="inlineStr"/>
      <c r="K4" s="1" t="inlineStr">
        <is>
          <t>1610803</t>
        </is>
      </c>
      <c r="L4" s="1" t="inlineStr">
        <is>
          <t>VG Comm VG in exploitatie Buitengebruikstellingen aanschaffingswaarde</t>
        </is>
      </c>
      <c r="M4" s="289" t="n">
        <v>-2341968</v>
      </c>
    </row>
    <row r="5" ht="12.75" customHeight="1">
      <c r="A5" s="1" t="inlineStr">
        <is>
          <t>041066359000</t>
        </is>
      </c>
      <c r="B5" s="1" t="inlineStr">
        <is>
          <t>QSP ESS B.V.</t>
        </is>
      </c>
      <c r="C5" s="1" t="inlineStr">
        <is>
          <t>BAS</t>
        </is>
      </c>
      <c r="D5" s="1" t="inlineStr">
        <is>
          <t>Balans</t>
        </is>
      </c>
      <c r="E5" s="1" t="inlineStr">
        <is>
          <t>GLB20</t>
        </is>
      </c>
      <c r="F5" s="1" t="inlineStr">
        <is>
          <t>Financiële vaste activa</t>
        </is>
      </c>
      <c r="G5" s="1" t="inlineStr">
        <is>
          <t>SLB2020</t>
        </is>
      </c>
      <c r="H5" s="1" t="inlineStr">
        <is>
          <t>Overige deelneming</t>
        </is>
      </c>
      <c r="I5" s="1" t="inlineStr"/>
      <c r="J5" s="1" t="inlineStr"/>
      <c r="K5" s="1" t="inlineStr">
        <is>
          <t>1710004</t>
        </is>
      </c>
      <c r="L5" s="1" t="inlineStr">
        <is>
          <t>FVA Deelneming VvE portefeuille Vivare II</t>
        </is>
      </c>
      <c r="M5" s="289" t="n">
        <v>-0.24</v>
      </c>
    </row>
    <row r="6" ht="12.75" customHeight="1">
      <c r="A6" s="1" t="inlineStr">
        <is>
          <t>041066359000</t>
        </is>
      </c>
      <c r="B6" s="1" t="inlineStr">
        <is>
          <t>QSP ESS B.V.</t>
        </is>
      </c>
      <c r="C6" s="1" t="inlineStr">
        <is>
          <t>BAS</t>
        </is>
      </c>
      <c r="D6" s="1" t="inlineStr">
        <is>
          <t>Balans</t>
        </is>
      </c>
      <c r="E6" s="1" t="inlineStr">
        <is>
          <t>GLB20</t>
        </is>
      </c>
      <c r="F6" s="1" t="inlineStr">
        <is>
          <t>Financiële vaste activa</t>
        </is>
      </c>
      <c r="G6" s="1" t="inlineStr">
        <is>
          <t>SLB2100</t>
        </is>
      </c>
      <c r="H6" s="1" t="inlineStr">
        <is>
          <t>Overige vorderingen</t>
        </is>
      </c>
      <c r="I6" s="1" t="inlineStr"/>
      <c r="J6" s="1" t="inlineStr"/>
      <c r="K6" s="1" t="inlineStr">
        <is>
          <t>1790002</t>
        </is>
      </c>
      <c r="L6" s="1" t="inlineStr">
        <is>
          <t>FVA Latente belastingvordering langlopend</t>
        </is>
      </c>
      <c r="M6" s="289" t="n">
        <v>2022416.44</v>
      </c>
    </row>
    <row r="7" ht="12.75" customHeight="1">
      <c r="A7" s="1" t="inlineStr">
        <is>
          <t>041066359000</t>
        </is>
      </c>
      <c r="B7" s="1" t="inlineStr">
        <is>
          <t>QSP ESS B.V.</t>
        </is>
      </c>
      <c r="C7" s="1" t="inlineStr">
        <is>
          <t>BAS</t>
        </is>
      </c>
      <c r="D7" s="1" t="inlineStr">
        <is>
          <t>Balans</t>
        </is>
      </c>
      <c r="E7" s="1" t="inlineStr">
        <is>
          <t>GLB40</t>
        </is>
      </c>
      <c r="F7" s="1" t="inlineStr">
        <is>
          <t>Vorderingen</t>
        </is>
      </c>
      <c r="G7" s="1" t="inlineStr">
        <is>
          <t>SLB4010</t>
        </is>
      </c>
      <c r="H7" s="1" t="inlineStr">
        <is>
          <t>Debiteuren</t>
        </is>
      </c>
      <c r="I7" s="1" t="inlineStr"/>
      <c r="J7" s="1" t="inlineStr"/>
      <c r="K7" s="1" t="inlineStr">
        <is>
          <t>2000000</t>
        </is>
      </c>
      <c r="L7" s="1" t="inlineStr">
        <is>
          <t>VOR Debiteuren</t>
        </is>
      </c>
      <c r="M7" s="289" t="n">
        <v>171593.69</v>
      </c>
    </row>
    <row r="8" ht="12.75" customHeight="1">
      <c r="A8" s="1" t="inlineStr">
        <is>
          <t>041066359000</t>
        </is>
      </c>
      <c r="B8" s="1" t="inlineStr">
        <is>
          <t>QSP ESS B.V.</t>
        </is>
      </c>
      <c r="C8" s="1" t="inlineStr">
        <is>
          <t>BAS</t>
        </is>
      </c>
      <c r="D8" s="1" t="inlineStr">
        <is>
          <t>Balans</t>
        </is>
      </c>
      <c r="E8" s="1" t="inlineStr">
        <is>
          <t>GLB40</t>
        </is>
      </c>
      <c r="F8" s="1" t="inlineStr">
        <is>
          <t>Vorderingen</t>
        </is>
      </c>
      <c r="G8" s="1" t="inlineStr">
        <is>
          <t>SLB4010</t>
        </is>
      </c>
      <c r="H8" s="1" t="inlineStr">
        <is>
          <t>Debiteuren</t>
        </is>
      </c>
      <c r="I8" s="1" t="inlineStr"/>
      <c r="J8" s="1" t="inlineStr"/>
      <c r="K8" s="1" t="inlineStr">
        <is>
          <t>2000300</t>
        </is>
      </c>
      <c r="L8" s="1" t="inlineStr">
        <is>
          <t>VOR Voorziening dubieuze debiteuren</t>
        </is>
      </c>
      <c r="M8" s="289" t="n">
        <v>-14000</v>
      </c>
    </row>
    <row r="9" ht="12.75" customHeight="1">
      <c r="A9" s="1" t="inlineStr">
        <is>
          <t>041066359000</t>
        </is>
      </c>
      <c r="B9" s="1" t="inlineStr">
        <is>
          <t>QSP ESS B.V.</t>
        </is>
      </c>
      <c r="C9" s="1" t="inlineStr">
        <is>
          <t>BAS</t>
        </is>
      </c>
      <c r="D9" s="1" t="inlineStr">
        <is>
          <t>Balans</t>
        </is>
      </c>
      <c r="E9" s="1" t="inlineStr">
        <is>
          <t>GLB40</t>
        </is>
      </c>
      <c r="F9" s="1" t="inlineStr">
        <is>
          <t>Vorderingen</t>
        </is>
      </c>
      <c r="G9" s="1" t="inlineStr">
        <is>
          <t>SLB4076</t>
        </is>
      </c>
      <c r="H9" s="1" t="inlineStr">
        <is>
          <t>Rekening-courant aandeelhouder</t>
        </is>
      </c>
      <c r="I9" s="1" t="inlineStr"/>
      <c r="J9" s="1" t="inlineStr"/>
      <c r="K9" s="1" t="inlineStr">
        <is>
          <t>2640000</t>
        </is>
      </c>
      <c r="L9" s="1" t="inlineStr">
        <is>
          <t>RC Kortlopend DMRRP INV - I BV</t>
        </is>
      </c>
      <c r="M9" s="289" t="n">
        <v>110497</v>
      </c>
    </row>
    <row r="10" ht="12.75" customHeight="1">
      <c r="A10" s="1" t="inlineStr">
        <is>
          <t>041066359000</t>
        </is>
      </c>
      <c r="B10" s="1" t="inlineStr">
        <is>
          <t>QSP ESS B.V.</t>
        </is>
      </c>
      <c r="C10" s="1" t="inlineStr">
        <is>
          <t>BAS</t>
        </is>
      </c>
      <c r="D10" s="1" t="inlineStr">
        <is>
          <t>Balans</t>
        </is>
      </c>
      <c r="E10" s="1" t="inlineStr">
        <is>
          <t>GLB40</t>
        </is>
      </c>
      <c r="F10" s="1" t="inlineStr">
        <is>
          <t>Vorderingen</t>
        </is>
      </c>
      <c r="G10" s="1" t="inlineStr">
        <is>
          <t>SLB4076</t>
        </is>
      </c>
      <c r="H10" s="1" t="inlineStr">
        <is>
          <t>Rekening-courant aandeelhouder</t>
        </is>
      </c>
      <c r="I10" s="1" t="inlineStr"/>
      <c r="J10" s="1" t="inlineStr"/>
      <c r="K10" s="1" t="inlineStr">
        <is>
          <t>2640001</t>
        </is>
      </c>
      <c r="L10" s="1" t="inlineStr">
        <is>
          <t>RC Kortlopend QSPESS Limited</t>
        </is>
      </c>
      <c r="M10" s="289" t="n">
        <v>0</v>
      </c>
    </row>
    <row r="11" ht="12.75" customHeight="1">
      <c r="A11" s="1" t="inlineStr">
        <is>
          <t>041066359000</t>
        </is>
      </c>
      <c r="B11" s="1" t="inlineStr">
        <is>
          <t>QSP ESS B.V.</t>
        </is>
      </c>
      <c r="C11" s="1" t="inlineStr">
        <is>
          <t>BAS</t>
        </is>
      </c>
      <c r="D11" s="1" t="inlineStr">
        <is>
          <t>Balans</t>
        </is>
      </c>
      <c r="E11" s="1" t="inlineStr">
        <is>
          <t>GLB40</t>
        </is>
      </c>
      <c r="F11" s="1" t="inlineStr">
        <is>
          <t>Vorderingen</t>
        </is>
      </c>
      <c r="G11" s="1" t="inlineStr">
        <is>
          <t>SLB4080</t>
        </is>
      </c>
      <c r="H11" s="1" t="inlineStr">
        <is>
          <t>Overige vorderingen en overlopende activa</t>
        </is>
      </c>
      <c r="I11" s="1" t="inlineStr"/>
      <c r="J11" s="1" t="inlineStr"/>
      <c r="K11" s="1" t="inlineStr">
        <is>
          <t>2040700</t>
        </is>
      </c>
      <c r="L11" s="1" t="inlineStr">
        <is>
          <t>VOR Vooruitbetaalde servicekosten</t>
        </is>
      </c>
      <c r="M11" s="289" t="n">
        <v>0</v>
      </c>
    </row>
    <row r="12" ht="12.75" customHeight="1">
      <c r="A12" s="1" t="inlineStr">
        <is>
          <t>041066359000</t>
        </is>
      </c>
      <c r="B12" s="1" t="inlineStr">
        <is>
          <t>QSP ESS B.V.</t>
        </is>
      </c>
      <c r="C12" s="1" t="inlineStr">
        <is>
          <t>BAS</t>
        </is>
      </c>
      <c r="D12" s="1" t="inlineStr">
        <is>
          <t>Balans</t>
        </is>
      </c>
      <c r="E12" s="1" t="inlineStr">
        <is>
          <t>GLB40</t>
        </is>
      </c>
      <c r="F12" s="1" t="inlineStr">
        <is>
          <t>Vorderingen</t>
        </is>
      </c>
      <c r="G12" s="1" t="inlineStr">
        <is>
          <t>SLB4080</t>
        </is>
      </c>
      <c r="H12" s="1" t="inlineStr">
        <is>
          <t>Overige vorderingen en overlopende activa</t>
        </is>
      </c>
      <c r="I12" s="1" t="inlineStr"/>
      <c r="J12" s="1" t="inlineStr"/>
      <c r="K12" s="1" t="inlineStr">
        <is>
          <t>2040900</t>
        </is>
      </c>
      <c r="L12" s="1" t="inlineStr">
        <is>
          <t>VOR Vooruitbetaalde overige kosten</t>
        </is>
      </c>
      <c r="M12" s="289" t="n">
        <v>0</v>
      </c>
    </row>
    <row r="13" ht="12.75" customHeight="1">
      <c r="A13" s="1" t="inlineStr">
        <is>
          <t>041066359000</t>
        </is>
      </c>
      <c r="B13" s="1" t="inlineStr">
        <is>
          <t>QSP ESS B.V.</t>
        </is>
      </c>
      <c r="C13" s="1" t="inlineStr">
        <is>
          <t>BAS</t>
        </is>
      </c>
      <c r="D13" s="1" t="inlineStr">
        <is>
          <t>Balans</t>
        </is>
      </c>
      <c r="E13" s="1" t="inlineStr">
        <is>
          <t>GLB50</t>
        </is>
      </c>
      <c r="F13" s="1" t="inlineStr">
        <is>
          <t>Liquide middelen</t>
        </is>
      </c>
      <c r="G13" s="1" t="inlineStr">
        <is>
          <t>SLB5020</t>
        </is>
      </c>
      <c r="H13" s="1" t="inlineStr">
        <is>
          <t>Kruisposten</t>
        </is>
      </c>
      <c r="I13" s="1" t="inlineStr"/>
      <c r="J13" s="1" t="inlineStr"/>
      <c r="K13" s="1" t="inlineStr">
        <is>
          <t>2300000</t>
        </is>
      </c>
      <c r="L13" s="1" t="inlineStr">
        <is>
          <t>LM Kruisposten</t>
        </is>
      </c>
      <c r="M13" s="289" t="n">
        <v>0</v>
      </c>
    </row>
    <row r="14" ht="12.75" customHeight="1">
      <c r="A14" s="1" t="inlineStr">
        <is>
          <t>041066359000</t>
        </is>
      </c>
      <c r="B14" s="1" t="inlineStr">
        <is>
          <t>QSP ESS B.V.</t>
        </is>
      </c>
      <c r="C14" s="1" t="inlineStr">
        <is>
          <t>BAS</t>
        </is>
      </c>
      <c r="D14" s="1" t="inlineStr">
        <is>
          <t>Balans</t>
        </is>
      </c>
      <c r="E14" s="1" t="inlineStr">
        <is>
          <t>GLB50</t>
        </is>
      </c>
      <c r="F14" s="1" t="inlineStr">
        <is>
          <t>Liquide middelen</t>
        </is>
      </c>
      <c r="G14" s="1" t="inlineStr">
        <is>
          <t>SLB5096</t>
        </is>
      </c>
      <c r="H14" s="1" t="inlineStr">
        <is>
          <t>Banken</t>
        </is>
      </c>
      <c r="I14" s="1" t="inlineStr"/>
      <c r="J14" s="1" t="inlineStr"/>
      <c r="K14" s="1" t="inlineStr">
        <is>
          <t>2400200</t>
        </is>
      </c>
      <c r="L14" s="1" t="inlineStr">
        <is>
          <t>LM ABN AMRO Bank Disposal NL58 ABNA 0818 9180 39</t>
        </is>
      </c>
      <c r="M14" s="289" t="n">
        <v>986584.53</v>
      </c>
    </row>
    <row r="15" ht="12.75" customHeight="1">
      <c r="A15" s="1" t="inlineStr">
        <is>
          <t>041066359000</t>
        </is>
      </c>
      <c r="B15" s="1" t="inlineStr">
        <is>
          <t>QSP ESS B.V.</t>
        </is>
      </c>
      <c r="C15" s="1" t="inlineStr">
        <is>
          <t>BAS</t>
        </is>
      </c>
      <c r="D15" s="1" t="inlineStr">
        <is>
          <t>Balans</t>
        </is>
      </c>
      <c r="E15" s="1" t="inlineStr">
        <is>
          <t>GLB50</t>
        </is>
      </c>
      <c r="F15" s="1" t="inlineStr">
        <is>
          <t>Liquide middelen</t>
        </is>
      </c>
      <c r="G15" s="1" t="inlineStr">
        <is>
          <t>SLB5096</t>
        </is>
      </c>
      <c r="H15" s="1" t="inlineStr">
        <is>
          <t>Banken</t>
        </is>
      </c>
      <c r="I15" s="1" t="inlineStr"/>
      <c r="J15" s="1" t="inlineStr"/>
      <c r="K15" s="1" t="inlineStr">
        <is>
          <t>2400201</t>
        </is>
      </c>
      <c r="L15" s="1" t="inlineStr">
        <is>
          <t>LM ABN AMRO Bank Deposit NL57 ABNA 0541 6205 68</t>
        </is>
      </c>
      <c r="M15" s="289" t="n">
        <v>9648.09</v>
      </c>
    </row>
    <row r="16" ht="12.75" customHeight="1">
      <c r="A16" s="1" t="inlineStr">
        <is>
          <t>041066359000</t>
        </is>
      </c>
      <c r="B16" s="1" t="inlineStr">
        <is>
          <t>QSP ESS B.V.</t>
        </is>
      </c>
      <c r="C16" s="1" t="inlineStr">
        <is>
          <t>BAS</t>
        </is>
      </c>
      <c r="D16" s="1" t="inlineStr">
        <is>
          <t>Balans</t>
        </is>
      </c>
      <c r="E16" s="1" t="inlineStr">
        <is>
          <t>GLB50</t>
        </is>
      </c>
      <c r="F16" s="1" t="inlineStr">
        <is>
          <t>Liquide middelen</t>
        </is>
      </c>
      <c r="G16" s="1" t="inlineStr">
        <is>
          <t>SLB5096</t>
        </is>
      </c>
      <c r="H16" s="1" t="inlineStr">
        <is>
          <t>Banken</t>
        </is>
      </c>
      <c r="I16" s="1" t="inlineStr"/>
      <c r="J16" s="1" t="inlineStr"/>
      <c r="K16" s="1" t="inlineStr">
        <is>
          <t>2400202</t>
        </is>
      </c>
      <c r="L16" s="1" t="inlineStr">
        <is>
          <t>LM ABN AMRO Bank General NL93 ABNA 0541 6132 27</t>
        </is>
      </c>
      <c r="M16" s="289" t="n">
        <v>191789.66</v>
      </c>
    </row>
    <row r="17" ht="12.75" customHeight="1">
      <c r="A17" s="1" t="inlineStr">
        <is>
          <t>041066359000</t>
        </is>
      </c>
      <c r="B17" s="1" t="inlineStr">
        <is>
          <t>QSP ESS B.V.</t>
        </is>
      </c>
      <c r="C17" s="1" t="inlineStr">
        <is>
          <t>BAS</t>
        </is>
      </c>
      <c r="D17" s="1" t="inlineStr">
        <is>
          <t>Balans</t>
        </is>
      </c>
      <c r="E17" s="1" t="inlineStr">
        <is>
          <t>GLB50</t>
        </is>
      </c>
      <c r="F17" s="1" t="inlineStr">
        <is>
          <t>Liquide middelen</t>
        </is>
      </c>
      <c r="G17" s="1" t="inlineStr">
        <is>
          <t>SLB5096</t>
        </is>
      </c>
      <c r="H17" s="1" t="inlineStr">
        <is>
          <t>Banken</t>
        </is>
      </c>
      <c r="I17" s="1" t="inlineStr"/>
      <c r="J17" s="1" t="inlineStr"/>
      <c r="K17" s="1" t="inlineStr">
        <is>
          <t>2400203</t>
        </is>
      </c>
      <c r="L17" s="1" t="inlineStr">
        <is>
          <t>LM ABN AMRO Bank Maintres NL04 ABNA 0541 6188 06</t>
        </is>
      </c>
      <c r="M17" s="289" t="n">
        <v>491535.05</v>
      </c>
      <c r="O17" s="290" t="n"/>
    </row>
    <row r="18" ht="12.75" customHeight="1">
      <c r="A18" s="1" t="inlineStr">
        <is>
          <t>041066359000</t>
        </is>
      </c>
      <c r="B18" s="1" t="inlineStr">
        <is>
          <t>QSP ESS B.V.</t>
        </is>
      </c>
      <c r="C18" s="1" t="inlineStr">
        <is>
          <t>BAS</t>
        </is>
      </c>
      <c r="D18" s="1" t="inlineStr">
        <is>
          <t>Balans</t>
        </is>
      </c>
      <c r="E18" s="1" t="inlineStr">
        <is>
          <t>GLB50</t>
        </is>
      </c>
      <c r="F18" s="1" t="inlineStr">
        <is>
          <t>Liquide middelen</t>
        </is>
      </c>
      <c r="G18" s="1" t="inlineStr">
        <is>
          <t>SLB5096</t>
        </is>
      </c>
      <c r="H18" s="1" t="inlineStr">
        <is>
          <t>Banken</t>
        </is>
      </c>
      <c r="I18" s="1" t="inlineStr"/>
      <c r="J18" s="1" t="inlineStr"/>
      <c r="K18" s="1" t="inlineStr">
        <is>
          <t>2400204</t>
        </is>
      </c>
      <c r="L18" s="1" t="inlineStr">
        <is>
          <t>LM ABN AMRO Bank Rent NL46 ABNA 0541 6088 35</t>
        </is>
      </c>
      <c r="M18" s="289" t="n">
        <v>415424.01</v>
      </c>
    </row>
    <row r="19" ht="12.75" customHeight="1">
      <c r="A19" s="1" t="inlineStr">
        <is>
          <t>041066359000</t>
        </is>
      </c>
      <c r="B19" s="1" t="inlineStr">
        <is>
          <t>QSP ESS B.V.</t>
        </is>
      </c>
      <c r="C19" s="1" t="inlineStr">
        <is>
          <t>BAS</t>
        </is>
      </c>
      <c r="D19" s="1" t="inlineStr">
        <is>
          <t>Balans</t>
        </is>
      </c>
      <c r="E19" s="1" t="inlineStr">
        <is>
          <t>GLB50</t>
        </is>
      </c>
      <c r="F19" s="1" t="inlineStr">
        <is>
          <t>Liquide middelen</t>
        </is>
      </c>
      <c r="G19" s="1" t="inlineStr">
        <is>
          <t>SLB5096</t>
        </is>
      </c>
      <c r="H19" s="1" t="inlineStr">
        <is>
          <t>Banken</t>
        </is>
      </c>
      <c r="I19" s="1" t="inlineStr"/>
      <c r="J19" s="1" t="inlineStr"/>
      <c r="K19" s="1" t="inlineStr">
        <is>
          <t>2400205</t>
        </is>
      </c>
      <c r="L19" s="1" t="inlineStr">
        <is>
          <t>LM ABN AMRO Bank SR EXP NL88 ABNA 0541 6205 92</t>
        </is>
      </c>
      <c r="M19" s="289" t="n">
        <v>275171.2</v>
      </c>
    </row>
    <row r="20" ht="12.75" customHeight="1">
      <c r="A20" s="1" t="inlineStr">
        <is>
          <t>041066359000</t>
        </is>
      </c>
      <c r="B20" s="1" t="inlineStr">
        <is>
          <t>QSP ESS B.V.</t>
        </is>
      </c>
      <c r="C20" s="1" t="inlineStr">
        <is>
          <t>BAS</t>
        </is>
      </c>
      <c r="D20" s="1" t="inlineStr">
        <is>
          <t>Balans</t>
        </is>
      </c>
      <c r="E20" s="1" t="inlineStr">
        <is>
          <t>GLB60</t>
        </is>
      </c>
      <c r="F20" s="1" t="inlineStr">
        <is>
          <t>Aandelenkapitaal</t>
        </is>
      </c>
      <c r="G20" s="1" t="inlineStr">
        <is>
          <t>SLB6010</t>
        </is>
      </c>
      <c r="H20" s="1" t="inlineStr">
        <is>
          <t>Normale aandelen</t>
        </is>
      </c>
      <c r="I20" s="1" t="inlineStr"/>
      <c r="J20" s="1" t="inlineStr"/>
      <c r="K20" s="1" t="inlineStr">
        <is>
          <t>1000002</t>
        </is>
      </c>
      <c r="L20" s="1" t="inlineStr">
        <is>
          <t>EV Normale aandelen  Saldo</t>
        </is>
      </c>
      <c r="M20" s="289" t="n">
        <v>-1</v>
      </c>
    </row>
    <row r="21" ht="12.75" customHeight="1">
      <c r="A21" s="1" t="inlineStr">
        <is>
          <t>041066359000</t>
        </is>
      </c>
      <c r="B21" s="1" t="inlineStr">
        <is>
          <t>QSP ESS B.V.</t>
        </is>
      </c>
      <c r="C21" s="1" t="inlineStr">
        <is>
          <t>BAS</t>
        </is>
      </c>
      <c r="D21" s="1" t="inlineStr">
        <is>
          <t>Balans</t>
        </is>
      </c>
      <c r="E21" s="1" t="inlineStr">
        <is>
          <t>GLB62</t>
        </is>
      </c>
      <c r="F21" s="1" t="inlineStr">
        <is>
          <t>Reserves</t>
        </is>
      </c>
      <c r="G21" s="1" t="inlineStr">
        <is>
          <t>SLB6210</t>
        </is>
      </c>
      <c r="H21" s="1" t="inlineStr">
        <is>
          <t>Agioreserve</t>
        </is>
      </c>
      <c r="I21" s="1" t="inlineStr"/>
      <c r="J21" s="1" t="inlineStr"/>
      <c r="K21" s="1" t="inlineStr">
        <is>
          <t>1100000</t>
        </is>
      </c>
      <c r="L21" s="1" t="inlineStr">
        <is>
          <t>EV Agioreserve  Agio aandelen</t>
        </is>
      </c>
      <c r="M21" s="289" t="n">
        <v>-19431219.48</v>
      </c>
    </row>
    <row r="22" ht="12.75" customHeight="1">
      <c r="A22" s="1" t="inlineStr">
        <is>
          <t>041066359000</t>
        </is>
      </c>
      <c r="B22" s="1" t="inlineStr">
        <is>
          <t>QSP ESS B.V.</t>
        </is>
      </c>
      <c r="C22" s="1" t="inlineStr">
        <is>
          <t>BAS</t>
        </is>
      </c>
      <c r="D22" s="1" t="inlineStr">
        <is>
          <t>Balans</t>
        </is>
      </c>
      <c r="E22" s="1" t="inlineStr">
        <is>
          <t>GLB62</t>
        </is>
      </c>
      <c r="F22" s="1" t="inlineStr">
        <is>
          <t>Reserves</t>
        </is>
      </c>
      <c r="G22" s="1" t="inlineStr">
        <is>
          <t>SLB6210</t>
        </is>
      </c>
      <c r="H22" s="1" t="inlineStr">
        <is>
          <t>Agioreserve</t>
        </is>
      </c>
      <c r="I22" s="1" t="inlineStr"/>
      <c r="J22" s="1" t="inlineStr"/>
      <c r="K22" s="1" t="inlineStr">
        <is>
          <t>1100100</t>
        </is>
      </c>
      <c r="L22" s="1" t="inlineStr">
        <is>
          <t>EV Agioreserve  Storting door aandeelhouders aandelen</t>
        </is>
      </c>
      <c r="M22" s="289" t="n">
        <v>0</v>
      </c>
    </row>
    <row r="23" ht="12.75" customHeight="1">
      <c r="A23" s="1" t="inlineStr">
        <is>
          <t>041066359000</t>
        </is>
      </c>
      <c r="B23" s="1" t="inlineStr">
        <is>
          <t>QSP ESS B.V.</t>
        </is>
      </c>
      <c r="C23" s="1" t="inlineStr">
        <is>
          <t>BAS</t>
        </is>
      </c>
      <c r="D23" s="1" t="inlineStr">
        <is>
          <t>Balans</t>
        </is>
      </c>
      <c r="E23" s="1" t="inlineStr">
        <is>
          <t>GLB62</t>
        </is>
      </c>
      <c r="F23" s="1" t="inlineStr">
        <is>
          <t>Reserves</t>
        </is>
      </c>
      <c r="G23" s="1" t="inlineStr">
        <is>
          <t>SLB6270</t>
        </is>
      </c>
      <c r="H23" s="1" t="inlineStr">
        <is>
          <t>Overige reserve</t>
        </is>
      </c>
      <c r="I23" s="1" t="inlineStr"/>
      <c r="J23" s="1" t="inlineStr"/>
      <c r="K23" s="1" t="inlineStr">
        <is>
          <t>1160000</t>
        </is>
      </c>
      <c r="L23" s="1" t="inlineStr">
        <is>
          <t>EV Overige reserve Reserve aandelen</t>
        </is>
      </c>
      <c r="M23" s="289" t="n">
        <v>9899539.199999999</v>
      </c>
    </row>
    <row r="24" ht="12.75" customHeight="1">
      <c r="A24" s="1" t="inlineStr">
        <is>
          <t>041066359000</t>
        </is>
      </c>
      <c r="B24" s="1" t="inlineStr">
        <is>
          <t>QSP ESS B.V.</t>
        </is>
      </c>
      <c r="C24" s="1" t="inlineStr">
        <is>
          <t>BAS</t>
        </is>
      </c>
      <c r="D24" s="1" t="inlineStr">
        <is>
          <t>Balans</t>
        </is>
      </c>
      <c r="E24" s="1" t="inlineStr">
        <is>
          <t>GLB62</t>
        </is>
      </c>
      <c r="F24" s="1" t="inlineStr">
        <is>
          <t>Reserves</t>
        </is>
      </c>
      <c r="G24" s="1" t="inlineStr">
        <is>
          <t>SLB6270</t>
        </is>
      </c>
      <c r="H24" s="1" t="inlineStr">
        <is>
          <t>Overige reserve</t>
        </is>
      </c>
      <c r="I24" s="1" t="inlineStr"/>
      <c r="J24" s="1" t="inlineStr"/>
      <c r="K24" s="1" t="inlineStr">
        <is>
          <t>1160100</t>
        </is>
      </c>
      <c r="L24" s="1" t="inlineStr">
        <is>
          <t>EV Overige reserve  Dividenduitkeringen aandelen</t>
        </is>
      </c>
      <c r="M24" s="289" t="n">
        <v>7727104.1</v>
      </c>
    </row>
    <row r="25" ht="12.75" customHeight="1">
      <c r="A25" s="1" t="inlineStr">
        <is>
          <t>041066359000</t>
        </is>
      </c>
      <c r="B25" s="1" t="inlineStr">
        <is>
          <t>QSP ESS B.V.</t>
        </is>
      </c>
      <c r="C25" s="1" t="inlineStr">
        <is>
          <t>BAS</t>
        </is>
      </c>
      <c r="D25" s="1" t="inlineStr">
        <is>
          <t>Balans</t>
        </is>
      </c>
      <c r="E25" s="1" t="inlineStr">
        <is>
          <t>GLB70</t>
        </is>
      </c>
      <c r="F25" s="1" t="inlineStr">
        <is>
          <t>Langlopende schulden</t>
        </is>
      </c>
      <c r="G25" s="1" t="inlineStr">
        <is>
          <t>SLB7040</t>
        </is>
      </c>
      <c r="H25" s="1" t="inlineStr">
        <is>
          <t>Hypotheek</t>
        </is>
      </c>
      <c r="I25" s="1" t="inlineStr"/>
      <c r="J25" s="1" t="inlineStr"/>
      <c r="K25" s="1" t="inlineStr">
        <is>
          <t>1930000</t>
        </is>
      </c>
      <c r="L25" s="1" t="inlineStr">
        <is>
          <t>LLS Hoofdsom ABN AMRO Bank NV leningen</t>
        </is>
      </c>
      <c r="M25" s="289" t="n">
        <v>0</v>
      </c>
    </row>
    <row r="26" ht="12.75" customHeight="1">
      <c r="A26" s="1" t="inlineStr">
        <is>
          <t>041066359000</t>
        </is>
      </c>
      <c r="B26" s="1" t="inlineStr">
        <is>
          <t>QSP ESS B.V.</t>
        </is>
      </c>
      <c r="C26" s="1" t="inlineStr">
        <is>
          <t>BAS</t>
        </is>
      </c>
      <c r="D26" s="1" t="inlineStr">
        <is>
          <t>Balans</t>
        </is>
      </c>
      <c r="E26" s="1" t="inlineStr">
        <is>
          <t>GLB70</t>
        </is>
      </c>
      <c r="F26" s="1" t="inlineStr">
        <is>
          <t>Langlopende schulden</t>
        </is>
      </c>
      <c r="G26" s="1" t="inlineStr">
        <is>
          <t>SLB7040</t>
        </is>
      </c>
      <c r="H26" s="1" t="inlineStr">
        <is>
          <t>Hypotheek</t>
        </is>
      </c>
      <c r="I26" s="1" t="inlineStr"/>
      <c r="J26" s="1" t="inlineStr"/>
      <c r="K26" s="1" t="inlineStr">
        <is>
          <t>1930001</t>
        </is>
      </c>
      <c r="L26" s="1" t="inlineStr">
        <is>
          <t>LLS Hoofdsom ABN AMRO Bank NV Senior Facility Agreement</t>
        </is>
      </c>
      <c r="M26" s="289" t="n">
        <v>-130000000</v>
      </c>
    </row>
    <row r="27" ht="12.75" customHeight="1">
      <c r="A27" s="1" t="inlineStr">
        <is>
          <t>041066359000</t>
        </is>
      </c>
      <c r="B27" s="1" t="inlineStr">
        <is>
          <t>QSP ESS B.V.</t>
        </is>
      </c>
      <c r="C27" s="1" t="inlineStr">
        <is>
          <t>BAS</t>
        </is>
      </c>
      <c r="D27" s="1" t="inlineStr">
        <is>
          <t>Balans</t>
        </is>
      </c>
      <c r="E27" s="1" t="inlineStr">
        <is>
          <t>GLB70</t>
        </is>
      </c>
      <c r="F27" s="1" t="inlineStr">
        <is>
          <t>Langlopende schulden</t>
        </is>
      </c>
      <c r="G27" s="1" t="inlineStr">
        <is>
          <t>SLB7040</t>
        </is>
      </c>
      <c r="H27" s="1" t="inlineStr">
        <is>
          <t>Hypotheek</t>
        </is>
      </c>
      <c r="I27" s="1" t="inlineStr"/>
      <c r="J27" s="1" t="inlineStr"/>
      <c r="K27" s="1" t="inlineStr">
        <is>
          <t>1930100</t>
        </is>
      </c>
      <c r="L27" s="1" t="inlineStr">
        <is>
          <t>LLS Cum aflossingen ABN AMRO Bank NV leningen</t>
        </is>
      </c>
      <c r="M27" s="289" t="n">
        <v>0</v>
      </c>
    </row>
    <row r="28" ht="12.75" customHeight="1">
      <c r="A28" s="1" t="inlineStr">
        <is>
          <t>041066359000</t>
        </is>
      </c>
      <c r="B28" s="1" t="inlineStr">
        <is>
          <t>QSP ESS B.V.</t>
        </is>
      </c>
      <c r="C28" s="1" t="inlineStr">
        <is>
          <t>BAS</t>
        </is>
      </c>
      <c r="D28" s="1" t="inlineStr">
        <is>
          <t>Balans</t>
        </is>
      </c>
      <c r="E28" s="1" t="inlineStr">
        <is>
          <t>GLB70</t>
        </is>
      </c>
      <c r="F28" s="1" t="inlineStr">
        <is>
          <t>Langlopende schulden</t>
        </is>
      </c>
      <c r="G28" s="1" t="inlineStr">
        <is>
          <t>SLB7040</t>
        </is>
      </c>
      <c r="H28" s="1" t="inlineStr">
        <is>
          <t>Hypotheek</t>
        </is>
      </c>
      <c r="I28" s="1" t="inlineStr"/>
      <c r="J28" s="1" t="inlineStr"/>
      <c r="K28" s="1" t="inlineStr">
        <is>
          <t>1930101</t>
        </is>
      </c>
      <c r="L28" s="1" t="inlineStr">
        <is>
          <t>LLS Cum aflossingen ABN AMRO Bank NV Senior Facility Agreement</t>
        </is>
      </c>
      <c r="M28" s="289" t="n">
        <v>5070232.5</v>
      </c>
    </row>
    <row r="29" ht="12.75" customHeight="1">
      <c r="A29" s="1" t="inlineStr">
        <is>
          <t>041066359000</t>
        </is>
      </c>
      <c r="B29" s="1" t="inlineStr">
        <is>
          <t>QSP ESS B.V.</t>
        </is>
      </c>
      <c r="C29" s="1" t="inlineStr">
        <is>
          <t>BAS</t>
        </is>
      </c>
      <c r="D29" s="1" t="inlineStr">
        <is>
          <t>Balans</t>
        </is>
      </c>
      <c r="E29" s="1" t="inlineStr">
        <is>
          <t>GLB70</t>
        </is>
      </c>
      <c r="F29" s="1" t="inlineStr">
        <is>
          <t>Langlopende schulden</t>
        </is>
      </c>
      <c r="G29" s="1" t="inlineStr">
        <is>
          <t>SLB7040</t>
        </is>
      </c>
      <c r="H29" s="1" t="inlineStr">
        <is>
          <t>Hypotheek</t>
        </is>
      </c>
      <c r="I29" s="1" t="inlineStr"/>
      <c r="J29" s="1" t="inlineStr"/>
      <c r="K29" s="1" t="inlineStr">
        <is>
          <t>1930201</t>
        </is>
      </c>
      <c r="L29" s="1" t="inlineStr">
        <is>
          <t>LLS Kortlopend deel ABN AMRO Bank NV Senior Facility Agreement</t>
        </is>
      </c>
      <c r="M29" s="289" t="n">
        <v>-306833.59</v>
      </c>
    </row>
    <row r="30" ht="12.75" customHeight="1">
      <c r="A30" s="1" t="inlineStr">
        <is>
          <t>041066359000</t>
        </is>
      </c>
      <c r="B30" s="1" t="inlineStr">
        <is>
          <t>QSP ESS B.V.</t>
        </is>
      </c>
      <c r="C30" s="1" t="inlineStr">
        <is>
          <t>BAS</t>
        </is>
      </c>
      <c r="D30" s="1" t="inlineStr">
        <is>
          <t>Balans</t>
        </is>
      </c>
      <c r="E30" s="1" t="inlineStr">
        <is>
          <t>GLB70</t>
        </is>
      </c>
      <c r="F30" s="1" t="inlineStr">
        <is>
          <t>Langlopende schulden</t>
        </is>
      </c>
      <c r="G30" s="1" t="inlineStr">
        <is>
          <t>SLB7100</t>
        </is>
      </c>
      <c r="H30" s="1" t="inlineStr">
        <is>
          <t>Aandeelhouder</t>
        </is>
      </c>
      <c r="I30" s="1" t="inlineStr"/>
      <c r="J30" s="1" t="inlineStr"/>
      <c r="K30" s="1" t="inlineStr">
        <is>
          <t>1990001</t>
        </is>
      </c>
      <c r="L30" s="1" t="inlineStr">
        <is>
          <t>LLS Hoofdsom QSPESS Limited</t>
        </is>
      </c>
      <c r="M30" s="289" t="n">
        <v>0</v>
      </c>
    </row>
    <row r="31" ht="12.75" customHeight="1">
      <c r="A31" s="1" t="inlineStr">
        <is>
          <t>041066359000</t>
        </is>
      </c>
      <c r="B31" s="1" t="inlineStr">
        <is>
          <t>QSP ESS B.V.</t>
        </is>
      </c>
      <c r="C31" s="1" t="inlineStr">
        <is>
          <t>BAS</t>
        </is>
      </c>
      <c r="D31" s="1" t="inlineStr">
        <is>
          <t>Balans</t>
        </is>
      </c>
      <c r="E31" s="1" t="inlineStr">
        <is>
          <t>GLB70</t>
        </is>
      </c>
      <c r="F31" s="1" t="inlineStr">
        <is>
          <t>Langlopende schulden</t>
        </is>
      </c>
      <c r="G31" s="1" t="inlineStr">
        <is>
          <t>SLB7100</t>
        </is>
      </c>
      <c r="H31" s="1" t="inlineStr">
        <is>
          <t>Aandeelhouder</t>
        </is>
      </c>
      <c r="I31" s="1" t="inlineStr"/>
      <c r="J31" s="1" t="inlineStr"/>
      <c r="K31" s="1" t="inlineStr">
        <is>
          <t>1990101</t>
        </is>
      </c>
      <c r="L31" s="1" t="inlineStr">
        <is>
          <t>LLS Cum aflossingen QSPESS Limited</t>
        </is>
      </c>
      <c r="M31" s="289" t="n">
        <v>0</v>
      </c>
    </row>
    <row r="32" ht="12.75" customHeight="1">
      <c r="A32" s="1" t="inlineStr">
        <is>
          <t>041066359000</t>
        </is>
      </c>
      <c r="B32" s="1" t="inlineStr">
        <is>
          <t>QSP ESS B.V.</t>
        </is>
      </c>
      <c r="C32" s="1" t="inlineStr">
        <is>
          <t>BAS</t>
        </is>
      </c>
      <c r="D32" s="1" t="inlineStr">
        <is>
          <t>Balans</t>
        </is>
      </c>
      <c r="E32" s="1" t="inlineStr">
        <is>
          <t>GLB80</t>
        </is>
      </c>
      <c r="F32" s="1" t="inlineStr">
        <is>
          <t>Kortlopende schulden</t>
        </is>
      </c>
      <c r="G32" s="1" t="inlineStr">
        <is>
          <t>SLB8025</t>
        </is>
      </c>
      <c r="H32" s="1" t="inlineStr">
        <is>
          <t>Schulden aan lev en handelskred</t>
        </is>
      </c>
      <c r="I32" s="1" t="inlineStr"/>
      <c r="J32" s="1" t="inlineStr"/>
      <c r="K32" s="1" t="inlineStr">
        <is>
          <t>2730000</t>
        </is>
      </c>
      <c r="L32" s="1" t="inlineStr">
        <is>
          <t>KLS Crediteuren</t>
        </is>
      </c>
      <c r="M32" s="289" t="n">
        <v>-9075.01</v>
      </c>
    </row>
    <row r="33" ht="12.75" customHeight="1">
      <c r="A33" s="1" t="inlineStr">
        <is>
          <t>041066359000</t>
        </is>
      </c>
      <c r="B33" s="1" t="inlineStr">
        <is>
          <t>QSP ESS B.V.</t>
        </is>
      </c>
      <c r="C33" s="1" t="inlineStr">
        <is>
          <t>BAS</t>
        </is>
      </c>
      <c r="D33" s="1" t="inlineStr">
        <is>
          <t>Balans</t>
        </is>
      </c>
      <c r="E33" s="1" t="inlineStr">
        <is>
          <t>GLB80</t>
        </is>
      </c>
      <c r="F33" s="1" t="inlineStr">
        <is>
          <t>Kortlopende schulden</t>
        </is>
      </c>
      <c r="G33" s="1" t="inlineStr">
        <is>
          <t>SLB8025</t>
        </is>
      </c>
      <c r="H33" s="1" t="inlineStr">
        <is>
          <t>Schulden aan lev en handelskred</t>
        </is>
      </c>
      <c r="I33" s="1" t="inlineStr"/>
      <c r="J33" s="1" t="inlineStr"/>
      <c r="K33" s="1" t="inlineStr">
        <is>
          <t>2730001</t>
        </is>
      </c>
      <c r="L33" s="1" t="inlineStr">
        <is>
          <t>KLS Crediteuren intercompany</t>
        </is>
      </c>
      <c r="M33" s="289" t="n">
        <v>0</v>
      </c>
    </row>
    <row r="34" ht="12.75" customHeight="1">
      <c r="A34" s="1" t="inlineStr">
        <is>
          <t>041066359000</t>
        </is>
      </c>
      <c r="B34" s="1" t="inlineStr">
        <is>
          <t>QSP ESS B.V.</t>
        </is>
      </c>
      <c r="C34" s="1" t="inlineStr">
        <is>
          <t>BAS</t>
        </is>
      </c>
      <c r="D34" s="1" t="inlineStr">
        <is>
          <t>Balans</t>
        </is>
      </c>
      <c r="E34" s="1" t="inlineStr">
        <is>
          <t>GLB80</t>
        </is>
      </c>
      <c r="F34" s="1" t="inlineStr">
        <is>
          <t>Kortlopende schulden</t>
        </is>
      </c>
      <c r="G34" s="1" t="inlineStr">
        <is>
          <t>SLB8060</t>
        </is>
      </c>
      <c r="H34" s="1" t="inlineStr">
        <is>
          <t>Belastingen en pensioen</t>
        </is>
      </c>
      <c r="I34" s="1" t="inlineStr">
        <is>
          <t>SLB80601</t>
        </is>
      </c>
      <c r="J34" s="1" t="inlineStr">
        <is>
          <t>Omzetbelasting</t>
        </is>
      </c>
      <c r="K34" s="1" t="inlineStr">
        <is>
          <t>2512100</t>
        </is>
      </c>
      <c r="L34" s="1" t="inlineStr">
        <is>
          <t>BEL Afgedragen/ontvangen BTW</t>
        </is>
      </c>
      <c r="M34" s="289" t="n">
        <v>-6845.46</v>
      </c>
    </row>
    <row r="35" ht="12.75" customHeight="1">
      <c r="A35" s="1" t="inlineStr">
        <is>
          <t>041066359000</t>
        </is>
      </c>
      <c r="B35" s="1" t="inlineStr">
        <is>
          <t>QSP ESS B.V.</t>
        </is>
      </c>
      <c r="C35" s="1" t="inlineStr">
        <is>
          <t>BAS</t>
        </is>
      </c>
      <c r="D35" s="1" t="inlineStr">
        <is>
          <t>Balans</t>
        </is>
      </c>
      <c r="E35" s="1" t="inlineStr">
        <is>
          <t>GLB80</t>
        </is>
      </c>
      <c r="F35" s="1" t="inlineStr">
        <is>
          <t>Kortlopende schulden</t>
        </is>
      </c>
      <c r="G35" s="1" t="inlineStr">
        <is>
          <t>SLB8060</t>
        </is>
      </c>
      <c r="H35" s="1" t="inlineStr">
        <is>
          <t>Belastingen en pensioen</t>
        </is>
      </c>
      <c r="I35" s="1" t="inlineStr">
        <is>
          <t>SLB80603</t>
        </is>
      </c>
      <c r="J35" s="1" t="inlineStr">
        <is>
          <t>Vennootschapsbelasting</t>
        </is>
      </c>
      <c r="K35" s="1" t="inlineStr">
        <is>
          <t>2530000</t>
        </is>
      </c>
      <c r="L35" s="1" t="inlineStr">
        <is>
          <t>BEL Te betalen vennootschapsbelasting</t>
        </is>
      </c>
      <c r="M35" s="289" t="n">
        <v>536277</v>
      </c>
    </row>
    <row r="36" ht="12.75" customHeight="1">
      <c r="A36" s="1" t="inlineStr">
        <is>
          <t>041066359000</t>
        </is>
      </c>
      <c r="B36" s="1" t="inlineStr">
        <is>
          <t>QSP ESS B.V.</t>
        </is>
      </c>
      <c r="C36" s="1" t="inlineStr">
        <is>
          <t>BAS</t>
        </is>
      </c>
      <c r="D36" s="1" t="inlineStr">
        <is>
          <t>Balans</t>
        </is>
      </c>
      <c r="E36" s="1" t="inlineStr">
        <is>
          <t>GLB80</t>
        </is>
      </c>
      <c r="F36" s="1" t="inlineStr">
        <is>
          <t>Kortlopende schulden</t>
        </is>
      </c>
      <c r="G36" s="1" t="inlineStr">
        <is>
          <t>SLB8060</t>
        </is>
      </c>
      <c r="H36" s="1" t="inlineStr">
        <is>
          <t>Belastingen en pensioen</t>
        </is>
      </c>
      <c r="I36" s="1" t="inlineStr">
        <is>
          <t>SLB80606</t>
        </is>
      </c>
      <c r="J36" s="1" t="inlineStr">
        <is>
          <t>Overige belastingen</t>
        </is>
      </c>
      <c r="K36" s="1" t="inlineStr">
        <is>
          <t>2550000</t>
        </is>
      </c>
      <c r="L36" s="1" t="inlineStr">
        <is>
          <t>BEL Te betalen overige belastingen</t>
        </is>
      </c>
      <c r="M36" s="289" t="n">
        <v>0</v>
      </c>
    </row>
    <row r="37" ht="12.75" customHeight="1">
      <c r="A37" s="1" t="inlineStr">
        <is>
          <t>041066359000</t>
        </is>
      </c>
      <c r="B37" s="1" t="inlineStr">
        <is>
          <t>QSP ESS B.V.</t>
        </is>
      </c>
      <c r="C37" s="1" t="inlineStr">
        <is>
          <t>BAS</t>
        </is>
      </c>
      <c r="D37" s="1" t="inlineStr">
        <is>
          <t>Balans</t>
        </is>
      </c>
      <c r="E37" s="1" t="inlineStr">
        <is>
          <t>GLB80</t>
        </is>
      </c>
      <c r="F37" s="1" t="inlineStr">
        <is>
          <t>Kortlopende schulden</t>
        </is>
      </c>
      <c r="G37" s="1" t="inlineStr">
        <is>
          <t>SLB8065</t>
        </is>
      </c>
      <c r="H37" s="1" t="inlineStr">
        <is>
          <t>Overige schulden</t>
        </is>
      </c>
      <c r="I37" s="1" t="inlineStr"/>
      <c r="J37" s="1" t="inlineStr"/>
      <c r="K37" s="1" t="inlineStr">
        <is>
          <t>2740300</t>
        </is>
      </c>
      <c r="L37" s="1" t="inlineStr">
        <is>
          <t>KLS Te betalen waarborgsommen kortlopend</t>
        </is>
      </c>
      <c r="M37" s="289" t="n">
        <v>-666513.99</v>
      </c>
    </row>
    <row r="38" ht="12.75" customHeight="1">
      <c r="A38" s="1" t="inlineStr">
        <is>
          <t>041066359000</t>
        </is>
      </c>
      <c r="B38" s="1" t="inlineStr">
        <is>
          <t>QSP ESS B.V.</t>
        </is>
      </c>
      <c r="C38" s="1" t="inlineStr">
        <is>
          <t>BAS</t>
        </is>
      </c>
      <c r="D38" s="1" t="inlineStr">
        <is>
          <t>Balans</t>
        </is>
      </c>
      <c r="E38" s="1" t="inlineStr">
        <is>
          <t>GLB80</t>
        </is>
      </c>
      <c r="F38" s="1" t="inlineStr">
        <is>
          <t>Kortlopende schulden</t>
        </is>
      </c>
      <c r="G38" s="1" t="inlineStr">
        <is>
          <t>SLB8065</t>
        </is>
      </c>
      <c r="H38" s="1" t="inlineStr">
        <is>
          <t>Overige schulden</t>
        </is>
      </c>
      <c r="I38" s="1" t="inlineStr"/>
      <c r="J38" s="1" t="inlineStr"/>
      <c r="K38" s="1" t="inlineStr">
        <is>
          <t>2740500</t>
        </is>
      </c>
      <c r="L38" s="1" t="inlineStr">
        <is>
          <t>KLS Te betalen accountants- en administratiekosten</t>
        </is>
      </c>
      <c r="M38" s="289" t="n">
        <v>-22500</v>
      </c>
    </row>
    <row r="39" ht="12.75" customHeight="1">
      <c r="A39" s="1" t="inlineStr">
        <is>
          <t>041066359000</t>
        </is>
      </c>
      <c r="B39" s="1" t="inlineStr">
        <is>
          <t>QSP ESS B.V.</t>
        </is>
      </c>
      <c r="C39" s="1" t="inlineStr">
        <is>
          <t>BAS</t>
        </is>
      </c>
      <c r="D39" s="1" t="inlineStr">
        <is>
          <t>Balans</t>
        </is>
      </c>
      <c r="E39" s="1" t="inlineStr">
        <is>
          <t>GLB80</t>
        </is>
      </c>
      <c r="F39" s="1" t="inlineStr">
        <is>
          <t>Kortlopende schulden</t>
        </is>
      </c>
      <c r="G39" s="1" t="inlineStr">
        <is>
          <t>SLB8065</t>
        </is>
      </c>
      <c r="H39" s="1" t="inlineStr">
        <is>
          <t>Overige schulden</t>
        </is>
      </c>
      <c r="I39" s="1" t="inlineStr"/>
      <c r="J39" s="1" t="inlineStr"/>
      <c r="K39" s="1" t="inlineStr">
        <is>
          <t>2740600</t>
        </is>
      </c>
      <c r="L39" s="1" t="inlineStr">
        <is>
          <t>KLS Te betalen rente</t>
        </is>
      </c>
      <c r="M39" s="289" t="n">
        <v>0</v>
      </c>
    </row>
    <row r="40" ht="12.75" customHeight="1">
      <c r="A40" s="1" t="inlineStr">
        <is>
          <t>041066359000</t>
        </is>
      </c>
      <c r="B40" s="1" t="inlineStr">
        <is>
          <t>QSP ESS B.V.</t>
        </is>
      </c>
      <c r="C40" s="1" t="inlineStr">
        <is>
          <t>BAS</t>
        </is>
      </c>
      <c r="D40" s="1" t="inlineStr">
        <is>
          <t>Balans</t>
        </is>
      </c>
      <c r="E40" s="1" t="inlineStr">
        <is>
          <t>GLB80</t>
        </is>
      </c>
      <c r="F40" s="1" t="inlineStr">
        <is>
          <t>Kortlopende schulden</t>
        </is>
      </c>
      <c r="G40" s="1" t="inlineStr">
        <is>
          <t>SLB8065</t>
        </is>
      </c>
      <c r="H40" s="1" t="inlineStr">
        <is>
          <t>Overige schulden</t>
        </is>
      </c>
      <c r="I40" s="1" t="inlineStr"/>
      <c r="J40" s="1" t="inlineStr"/>
      <c r="K40" s="1" t="inlineStr">
        <is>
          <t>2741000</t>
        </is>
      </c>
      <c r="L40" s="1" t="inlineStr">
        <is>
          <t>KLS Te betalen servicekosten</t>
        </is>
      </c>
      <c r="M40" s="289" t="n">
        <v>-18117.02</v>
      </c>
    </row>
    <row r="41" ht="12.75" customHeight="1">
      <c r="A41" s="1" t="inlineStr">
        <is>
          <t>041066359000</t>
        </is>
      </c>
      <c r="B41" s="1" t="inlineStr">
        <is>
          <t>QSP ESS B.V.</t>
        </is>
      </c>
      <c r="C41" s="1" t="inlineStr">
        <is>
          <t>BAS</t>
        </is>
      </c>
      <c r="D41" s="1" t="inlineStr">
        <is>
          <t>Balans</t>
        </is>
      </c>
      <c r="E41" s="1" t="inlineStr">
        <is>
          <t>GLB80</t>
        </is>
      </c>
      <c r="F41" s="1" t="inlineStr">
        <is>
          <t>Kortlopende schulden</t>
        </is>
      </c>
      <c r="G41" s="1" t="inlineStr">
        <is>
          <t>SLB8065</t>
        </is>
      </c>
      <c r="H41" s="1" t="inlineStr">
        <is>
          <t>Overige schulden</t>
        </is>
      </c>
      <c r="I41" s="1" t="inlineStr"/>
      <c r="J41" s="1" t="inlineStr"/>
      <c r="K41" s="1" t="inlineStr">
        <is>
          <t>2741001</t>
        </is>
      </c>
      <c r="L41" s="1" t="inlineStr">
        <is>
          <t>KLS Te betalen exploitatiekosten</t>
        </is>
      </c>
      <c r="M41" s="289" t="n">
        <v>0</v>
      </c>
    </row>
    <row r="42" ht="12.75" customHeight="1">
      <c r="A42" s="1" t="inlineStr">
        <is>
          <t>041066359000</t>
        </is>
      </c>
      <c r="B42" s="1" t="inlineStr">
        <is>
          <t>QSP ESS B.V.</t>
        </is>
      </c>
      <c r="C42" s="1" t="inlineStr">
        <is>
          <t>BAS</t>
        </is>
      </c>
      <c r="D42" s="1" t="inlineStr">
        <is>
          <t>Balans</t>
        </is>
      </c>
      <c r="E42" s="1" t="inlineStr">
        <is>
          <t>GLB80</t>
        </is>
      </c>
      <c r="F42" s="1" t="inlineStr">
        <is>
          <t>Kortlopende schulden</t>
        </is>
      </c>
      <c r="G42" s="1" t="inlineStr">
        <is>
          <t>SLB8065</t>
        </is>
      </c>
      <c r="H42" s="1" t="inlineStr">
        <is>
          <t>Overige schulden</t>
        </is>
      </c>
      <c r="I42" s="1" t="inlineStr"/>
      <c r="J42" s="1" t="inlineStr"/>
      <c r="K42" s="1" t="inlineStr">
        <is>
          <t>2741002</t>
        </is>
      </c>
      <c r="L42" s="1" t="inlineStr">
        <is>
          <t>KLS Te betalen VVE</t>
        </is>
      </c>
      <c r="M42" s="289" t="n">
        <v>0</v>
      </c>
    </row>
    <row r="43" ht="12.75" customHeight="1">
      <c r="A43" s="1" t="inlineStr">
        <is>
          <t>041066359000</t>
        </is>
      </c>
      <c r="B43" s="1" t="inlineStr">
        <is>
          <t>QSP ESS B.V.</t>
        </is>
      </c>
      <c r="C43" s="1" t="inlineStr">
        <is>
          <t>BAS</t>
        </is>
      </c>
      <c r="D43" s="1" t="inlineStr">
        <is>
          <t>Balans</t>
        </is>
      </c>
      <c r="E43" s="1" t="inlineStr">
        <is>
          <t>GLB80</t>
        </is>
      </c>
      <c r="F43" s="1" t="inlineStr">
        <is>
          <t>Kortlopende schulden</t>
        </is>
      </c>
      <c r="G43" s="1" t="inlineStr">
        <is>
          <t>SLB8065</t>
        </is>
      </c>
      <c r="H43" s="1" t="inlineStr">
        <is>
          <t>Overige schulden</t>
        </is>
      </c>
      <c r="I43" s="1" t="inlineStr"/>
      <c r="J43" s="1" t="inlineStr"/>
      <c r="K43" s="1" t="inlineStr">
        <is>
          <t>2741003</t>
        </is>
      </c>
      <c r="L43" s="1" t="inlineStr">
        <is>
          <t>KLS Te betalen Wieglia</t>
        </is>
      </c>
      <c r="M43" s="289" t="n">
        <v>0</v>
      </c>
    </row>
    <row r="44" ht="12.75" customHeight="1">
      <c r="A44" s="1" t="inlineStr">
        <is>
          <t>041066359000</t>
        </is>
      </c>
      <c r="B44" s="1" t="inlineStr">
        <is>
          <t>QSP ESS B.V.</t>
        </is>
      </c>
      <c r="C44" s="1" t="inlineStr">
        <is>
          <t>BAS</t>
        </is>
      </c>
      <c r="D44" s="1" t="inlineStr">
        <is>
          <t>Balans</t>
        </is>
      </c>
      <c r="E44" s="1" t="inlineStr">
        <is>
          <t>GLB80</t>
        </is>
      </c>
      <c r="F44" s="1" t="inlineStr">
        <is>
          <t>Kortlopende schulden</t>
        </is>
      </c>
      <c r="G44" s="1" t="inlineStr">
        <is>
          <t>SLB8065</t>
        </is>
      </c>
      <c r="H44" s="1" t="inlineStr">
        <is>
          <t>Overige schulden</t>
        </is>
      </c>
      <c r="I44" s="1" t="inlineStr"/>
      <c r="J44" s="1" t="inlineStr"/>
      <c r="K44" s="1" t="inlineStr">
        <is>
          <t>2741004</t>
        </is>
      </c>
      <c r="L44" s="1" t="inlineStr">
        <is>
          <t>KLS Te betalen Hoen</t>
        </is>
      </c>
      <c r="M44" s="289" t="n">
        <v>-40157.89</v>
      </c>
    </row>
    <row r="45" ht="12.75" customHeight="1">
      <c r="A45" s="1" t="inlineStr">
        <is>
          <t>041066359000</t>
        </is>
      </c>
      <c r="B45" s="1" t="inlineStr">
        <is>
          <t>QSP ESS B.V.</t>
        </is>
      </c>
      <c r="C45" s="1" t="inlineStr">
        <is>
          <t>BAS</t>
        </is>
      </c>
      <c r="D45" s="1" t="inlineStr">
        <is>
          <t>Balans</t>
        </is>
      </c>
      <c r="E45" s="1" t="inlineStr">
        <is>
          <t>GLB80</t>
        </is>
      </c>
      <c r="F45" s="1" t="inlineStr">
        <is>
          <t>Kortlopende schulden</t>
        </is>
      </c>
      <c r="G45" s="1" t="inlineStr">
        <is>
          <t>SLB8065</t>
        </is>
      </c>
      <c r="H45" s="1" t="inlineStr">
        <is>
          <t>Overige schulden</t>
        </is>
      </c>
      <c r="I45" s="1" t="inlineStr"/>
      <c r="J45" s="1" t="inlineStr"/>
      <c r="K45" s="1" t="inlineStr">
        <is>
          <t>2741005</t>
        </is>
      </c>
      <c r="L45" s="1" t="inlineStr">
        <is>
          <t>KLS Te betalen managementvergoedingen</t>
        </is>
      </c>
      <c r="M45" s="289" t="n">
        <v>0</v>
      </c>
    </row>
    <row r="46" ht="12.75" customHeight="1">
      <c r="A46" s="1" t="inlineStr">
        <is>
          <t>041066359000</t>
        </is>
      </c>
      <c r="B46" s="1" t="inlineStr">
        <is>
          <t>QSP ESS B.V.</t>
        </is>
      </c>
      <c r="C46" s="1" t="inlineStr">
        <is>
          <t>BAS</t>
        </is>
      </c>
      <c r="D46" s="1" t="inlineStr">
        <is>
          <t>Balans</t>
        </is>
      </c>
      <c r="E46" s="1" t="inlineStr">
        <is>
          <t>GLB80</t>
        </is>
      </c>
      <c r="F46" s="1" t="inlineStr">
        <is>
          <t>Kortlopende schulden</t>
        </is>
      </c>
      <c r="G46" s="1" t="inlineStr">
        <is>
          <t>SLB8065</t>
        </is>
      </c>
      <c r="H46" s="1" t="inlineStr">
        <is>
          <t>Overige schulden</t>
        </is>
      </c>
      <c r="I46" s="1" t="inlineStr"/>
      <c r="J46" s="1" t="inlineStr"/>
      <c r="K46" s="1" t="inlineStr">
        <is>
          <t>2741200</t>
        </is>
      </c>
      <c r="L46" s="1" t="inlineStr">
        <is>
          <t>KLS Te betalen overige kosten</t>
        </is>
      </c>
      <c r="M46" s="289" t="n">
        <v>-5040</v>
      </c>
    </row>
    <row r="47" ht="12.75" customHeight="1">
      <c r="A47" s="1" t="inlineStr">
        <is>
          <t>041066359000</t>
        </is>
      </c>
      <c r="B47" s="1" t="inlineStr">
        <is>
          <t>QSP ESS B.V.</t>
        </is>
      </c>
      <c r="C47" s="1" t="inlineStr">
        <is>
          <t>BAS</t>
        </is>
      </c>
      <c r="D47" s="1" t="inlineStr">
        <is>
          <t>Balans</t>
        </is>
      </c>
      <c r="E47" s="1" t="inlineStr">
        <is>
          <t>GLB80</t>
        </is>
      </c>
      <c r="F47" s="1" t="inlineStr">
        <is>
          <t>Kortlopende schulden</t>
        </is>
      </c>
      <c r="G47" s="1" t="inlineStr">
        <is>
          <t>SLB8065</t>
        </is>
      </c>
      <c r="H47" s="1" t="inlineStr">
        <is>
          <t>Overige schulden</t>
        </is>
      </c>
      <c r="I47" s="1" t="inlineStr"/>
      <c r="J47" s="1" t="inlineStr"/>
      <c r="K47" s="1" t="inlineStr">
        <is>
          <t>2741900</t>
        </is>
      </c>
      <c r="L47" s="1" t="inlineStr">
        <is>
          <t>KLS Nog uit te zoeken posten MT940</t>
        </is>
      </c>
      <c r="M47" s="289" t="n">
        <v>918.63</v>
      </c>
    </row>
    <row r="48" ht="12.75" customHeight="1">
      <c r="A48" s="1" t="inlineStr">
        <is>
          <t>041066359000</t>
        </is>
      </c>
      <c r="B48" s="1" t="inlineStr">
        <is>
          <t>QSP ESS B.V.</t>
        </is>
      </c>
      <c r="C48" s="1" t="inlineStr">
        <is>
          <t>BAS</t>
        </is>
      </c>
      <c r="D48" s="1" t="inlineStr">
        <is>
          <t>Balans</t>
        </is>
      </c>
      <c r="E48" s="1" t="inlineStr">
        <is>
          <t>GLB80</t>
        </is>
      </c>
      <c r="F48" s="1" t="inlineStr">
        <is>
          <t>Kortlopende schulden</t>
        </is>
      </c>
      <c r="G48" s="1" t="inlineStr">
        <is>
          <t>SLB8065</t>
        </is>
      </c>
      <c r="H48" s="1" t="inlineStr">
        <is>
          <t>Overige schulden</t>
        </is>
      </c>
      <c r="I48" s="1" t="inlineStr"/>
      <c r="J48" s="1" t="inlineStr"/>
      <c r="K48" s="1" t="inlineStr">
        <is>
          <t>2742200</t>
        </is>
      </c>
      <c r="L48" s="1" t="inlineStr">
        <is>
          <t>KLS Vooruitontvangen bedragen</t>
        </is>
      </c>
      <c r="M48" s="289" t="n">
        <v>-146910.69</v>
      </c>
    </row>
    <row r="49" ht="12.75" customHeight="1">
      <c r="A49" s="1" t="inlineStr">
        <is>
          <t>041066359000</t>
        </is>
      </c>
      <c r="B49" s="1" t="inlineStr">
        <is>
          <t>QSP ESS B.V.</t>
        </is>
      </c>
      <c r="C49" s="1" t="inlineStr">
        <is>
          <t>BAS</t>
        </is>
      </c>
      <c r="D49" s="1" t="inlineStr">
        <is>
          <t>Balans</t>
        </is>
      </c>
      <c r="E49" s="1" t="inlineStr">
        <is>
          <t>GLB80</t>
        </is>
      </c>
      <c r="F49" s="1" t="inlineStr">
        <is>
          <t>Kortlopende schulden</t>
        </is>
      </c>
      <c r="G49" s="1" t="inlineStr">
        <is>
          <t>SLB8065</t>
        </is>
      </c>
      <c r="H49" s="1" t="inlineStr">
        <is>
          <t>Overige schulden</t>
        </is>
      </c>
      <c r="I49" s="1" t="inlineStr"/>
      <c r="J49" s="1" t="inlineStr"/>
      <c r="K49" s="1" t="inlineStr">
        <is>
          <t>2749800</t>
        </is>
      </c>
      <c r="L49" s="1" t="inlineStr">
        <is>
          <t>KLS Diverse overige schulden</t>
        </is>
      </c>
      <c r="M49" s="289" t="n">
        <v>-3.66</v>
      </c>
    </row>
    <row r="51" ht="12.75" customHeight="1">
      <c r="A51" s="1" t="inlineStr">
        <is>
          <t>041066359000</t>
        </is>
      </c>
      <c r="B51" s="1" t="inlineStr">
        <is>
          <t>QSP ESS B.V.</t>
        </is>
      </c>
      <c r="C51" s="1" t="inlineStr">
        <is>
          <t>PNL</t>
        </is>
      </c>
      <c r="D51" s="1" t="inlineStr">
        <is>
          <t>Winst &amp; verlies</t>
        </is>
      </c>
      <c r="E51" s="1" t="inlineStr">
        <is>
          <t>GLP00</t>
        </is>
      </c>
      <c r="F51" s="1" t="inlineStr">
        <is>
          <t>Netto-omzet</t>
        </is>
      </c>
      <c r="G51" s="1" t="inlineStr">
        <is>
          <t>SLP0010</t>
        </is>
      </c>
      <c r="H51" s="1" t="inlineStr">
        <is>
          <t>Netto-omzet</t>
        </is>
      </c>
      <c r="I51" s="1" t="inlineStr"/>
      <c r="J51" s="1" t="inlineStr"/>
      <c r="K51" s="1" t="inlineStr">
        <is>
          <t>8000000</t>
        </is>
      </c>
      <c r="L51" s="1" t="inlineStr">
        <is>
          <t>OPB Netto-omzet</t>
        </is>
      </c>
      <c r="M51" s="289" t="n">
        <v>0</v>
      </c>
    </row>
    <row r="52" ht="12.75" customHeight="1">
      <c r="A52" s="1" t="inlineStr">
        <is>
          <t>041066359000</t>
        </is>
      </c>
      <c r="B52" s="1" t="inlineStr">
        <is>
          <t>QSP ESS B.V.</t>
        </is>
      </c>
      <c r="C52" s="1" t="inlineStr">
        <is>
          <t>PNL</t>
        </is>
      </c>
      <c r="D52" s="1" t="inlineStr">
        <is>
          <t>Winst &amp; verlies</t>
        </is>
      </c>
      <c r="E52" s="1" t="inlineStr">
        <is>
          <t>GLP00</t>
        </is>
      </c>
      <c r="F52" s="1" t="inlineStr">
        <is>
          <t>Netto-omzet</t>
        </is>
      </c>
      <c r="G52" s="1" t="inlineStr">
        <is>
          <t>SLP0010</t>
        </is>
      </c>
      <c r="H52" s="1" t="inlineStr">
        <is>
          <t>Netto-omzet</t>
        </is>
      </c>
      <c r="I52" s="1" t="inlineStr"/>
      <c r="J52" s="1" t="inlineStr"/>
      <c r="K52" s="1" t="inlineStr">
        <is>
          <t>8000003</t>
        </is>
      </c>
      <c r="L52" s="1" t="inlineStr">
        <is>
          <t>OPB Netto-omzet Theoretische huuropbrengsten</t>
        </is>
      </c>
      <c r="M52" s="289" t="n">
        <v>-11116814.02</v>
      </c>
    </row>
    <row r="53" ht="12.75" customHeight="1">
      <c r="A53" s="1" t="inlineStr">
        <is>
          <t>041066359000</t>
        </is>
      </c>
      <c r="B53" s="1" t="inlineStr">
        <is>
          <t>QSP ESS B.V.</t>
        </is>
      </c>
      <c r="C53" s="1" t="inlineStr">
        <is>
          <t>PNL</t>
        </is>
      </c>
      <c r="D53" s="1" t="inlineStr">
        <is>
          <t>Winst &amp; verlies</t>
        </is>
      </c>
      <c r="E53" s="1" t="inlineStr">
        <is>
          <t>GLP00</t>
        </is>
      </c>
      <c r="F53" s="1" t="inlineStr">
        <is>
          <t>Netto-omzet</t>
        </is>
      </c>
      <c r="G53" s="1" t="inlineStr">
        <is>
          <t>SLP0010</t>
        </is>
      </c>
      <c r="H53" s="1" t="inlineStr">
        <is>
          <t>Netto-omzet</t>
        </is>
      </c>
      <c r="I53" s="1" t="inlineStr"/>
      <c r="J53" s="1" t="inlineStr"/>
      <c r="K53" s="1" t="inlineStr">
        <is>
          <t>8000004</t>
        </is>
      </c>
      <c r="L53" s="1" t="inlineStr">
        <is>
          <t>OPB Netto-omzet Leegstand huuropbrengsten</t>
        </is>
      </c>
      <c r="M53" s="289" t="n">
        <v>307315.71</v>
      </c>
    </row>
    <row r="54" ht="12.75" customHeight="1">
      <c r="A54" s="1" t="inlineStr">
        <is>
          <t>041066359000</t>
        </is>
      </c>
      <c r="B54" s="1" t="inlineStr">
        <is>
          <t>QSP ESS B.V.</t>
        </is>
      </c>
      <c r="C54" s="1" t="inlineStr">
        <is>
          <t>PNL</t>
        </is>
      </c>
      <c r="D54" s="1" t="inlineStr">
        <is>
          <t>Winst &amp; verlies</t>
        </is>
      </c>
      <c r="E54" s="1" t="inlineStr">
        <is>
          <t>GLP00</t>
        </is>
      </c>
      <c r="F54" s="1" t="inlineStr">
        <is>
          <t>Netto-omzet</t>
        </is>
      </c>
      <c r="G54" s="1" t="inlineStr">
        <is>
          <t>SLP0050</t>
        </is>
      </c>
      <c r="H54" s="1" t="inlineStr">
        <is>
          <t>Overige bedrijfsopbrengsten</t>
        </is>
      </c>
      <c r="I54" s="1" t="inlineStr"/>
      <c r="J54" s="1" t="inlineStr"/>
      <c r="K54" s="1" t="inlineStr">
        <is>
          <t>8400400</t>
        </is>
      </c>
      <c r="L54" s="1" t="inlineStr">
        <is>
          <t>OPB Overige bedrijfsopbrengsten</t>
        </is>
      </c>
      <c r="M54" s="289" t="n">
        <v>0</v>
      </c>
    </row>
    <row r="55" ht="12.75" customHeight="1">
      <c r="A55" s="1" t="inlineStr">
        <is>
          <t>041066359000</t>
        </is>
      </c>
      <c r="B55" s="1" t="inlineStr">
        <is>
          <t>QSP ESS B.V.</t>
        </is>
      </c>
      <c r="C55" s="1" t="inlineStr">
        <is>
          <t>PNL</t>
        </is>
      </c>
      <c r="D55" s="1" t="inlineStr">
        <is>
          <t>Winst &amp; verlies</t>
        </is>
      </c>
      <c r="E55" s="1" t="inlineStr">
        <is>
          <t>GLP00</t>
        </is>
      </c>
      <c r="F55" s="1" t="inlineStr">
        <is>
          <t>Netto-omzet</t>
        </is>
      </c>
      <c r="G55" s="1" t="inlineStr">
        <is>
          <t>SLP0050</t>
        </is>
      </c>
      <c r="H55" s="1" t="inlineStr">
        <is>
          <t>Overige bedrijfsopbrengsten</t>
        </is>
      </c>
      <c r="I55" s="1" t="inlineStr"/>
      <c r="J55" s="1" t="inlineStr"/>
      <c r="K55" s="1" t="inlineStr">
        <is>
          <t>8400600</t>
        </is>
      </c>
      <c r="L55" s="1" t="inlineStr">
        <is>
          <t>OPB Overige bedrijfsopbrengsten Totale servicekosten</t>
        </is>
      </c>
      <c r="M55" s="289" t="n">
        <v>-681254.98</v>
      </c>
    </row>
    <row r="56" ht="12.75" customHeight="1">
      <c r="A56" s="1" t="inlineStr">
        <is>
          <t>041066359000</t>
        </is>
      </c>
      <c r="B56" s="1" t="inlineStr">
        <is>
          <t>QSP ESS B.V.</t>
        </is>
      </c>
      <c r="C56" s="1" t="inlineStr">
        <is>
          <t>PNL</t>
        </is>
      </c>
      <c r="D56" s="1" t="inlineStr">
        <is>
          <t>Winst &amp; verlies</t>
        </is>
      </c>
      <c r="E56" s="1" t="inlineStr">
        <is>
          <t>GLP00</t>
        </is>
      </c>
      <c r="F56" s="1" t="inlineStr">
        <is>
          <t>Netto-omzet</t>
        </is>
      </c>
      <c r="G56" s="1" t="inlineStr">
        <is>
          <t>SLP0050</t>
        </is>
      </c>
      <c r="H56" s="1" t="inlineStr">
        <is>
          <t>Overige bedrijfsopbrengsten</t>
        </is>
      </c>
      <c r="I56" s="1" t="inlineStr"/>
      <c r="J56" s="1" t="inlineStr"/>
      <c r="K56" s="1" t="inlineStr">
        <is>
          <t>8400700</t>
        </is>
      </c>
      <c r="L56" s="1" t="inlineStr">
        <is>
          <t>OPB Overige bedrijfsopbrengsten Servicekosten leegstand</t>
        </is>
      </c>
      <c r="M56" s="289" t="n">
        <v>74071.97</v>
      </c>
    </row>
    <row r="57" ht="12.75" customHeight="1">
      <c r="A57" s="1" t="inlineStr">
        <is>
          <t>041066359000</t>
        </is>
      </c>
      <c r="B57" s="1" t="inlineStr">
        <is>
          <t>QSP ESS B.V.</t>
        </is>
      </c>
      <c r="C57" s="1" t="inlineStr">
        <is>
          <t>PNL</t>
        </is>
      </c>
      <c r="D57" s="1" t="inlineStr">
        <is>
          <t>Winst &amp; verlies</t>
        </is>
      </c>
      <c r="E57" s="1" t="inlineStr">
        <is>
          <t>GLP00</t>
        </is>
      </c>
      <c r="F57" s="1" t="inlineStr">
        <is>
          <t>Netto-omzet</t>
        </is>
      </c>
      <c r="G57" s="1" t="inlineStr">
        <is>
          <t>SLP0050</t>
        </is>
      </c>
      <c r="H57" s="1" t="inlineStr">
        <is>
          <t>Overige bedrijfsopbrengsten</t>
        </is>
      </c>
      <c r="I57" s="1" t="inlineStr"/>
      <c r="J57" s="1" t="inlineStr"/>
      <c r="K57" s="1" t="inlineStr">
        <is>
          <t>8400800</t>
        </is>
      </c>
      <c r="L57" s="1" t="inlineStr">
        <is>
          <t>OPB Overige bedrijfsopbrengsten Gerealiseerde servicekosten</t>
        </is>
      </c>
      <c r="M57" s="289" t="n">
        <v>561128.36</v>
      </c>
    </row>
    <row r="58" ht="12.75" customHeight="1">
      <c r="A58" s="1" t="inlineStr">
        <is>
          <t>041066359000</t>
        </is>
      </c>
      <c r="B58" s="1" t="inlineStr">
        <is>
          <t>QSP ESS B.V.</t>
        </is>
      </c>
      <c r="C58" s="1" t="inlineStr">
        <is>
          <t>PNL</t>
        </is>
      </c>
      <c r="D58" s="1" t="inlineStr">
        <is>
          <t>Winst &amp; verlies</t>
        </is>
      </c>
      <c r="E58" s="1" t="inlineStr">
        <is>
          <t>GLP10</t>
        </is>
      </c>
      <c r="F58" s="1" t="inlineStr">
        <is>
          <t>Kostprijs van de omzet</t>
        </is>
      </c>
      <c r="G58" s="1" t="inlineStr">
        <is>
          <t>SLP1010</t>
        </is>
      </c>
      <c r="H58" s="1" t="inlineStr">
        <is>
          <t>Inkoopwaarde omzet</t>
        </is>
      </c>
      <c r="I58" s="1" t="inlineStr"/>
      <c r="J58" s="1" t="inlineStr"/>
      <c r="K58" s="1" t="inlineStr">
        <is>
          <t>7000000</t>
        </is>
      </c>
      <c r="L58" s="1" t="inlineStr">
        <is>
          <t>KP Inkoopwaarde omzet</t>
        </is>
      </c>
      <c r="M58" s="289" t="n">
        <v>0</v>
      </c>
    </row>
    <row r="59" ht="12.75" customHeight="1">
      <c r="A59" s="1" t="inlineStr">
        <is>
          <t>041066359000</t>
        </is>
      </c>
      <c r="B59" s="1" t="inlineStr">
        <is>
          <t>QSP ESS B.V.</t>
        </is>
      </c>
      <c r="C59" s="1" t="inlineStr">
        <is>
          <t>PNL</t>
        </is>
      </c>
      <c r="D59" s="1" t="inlineStr">
        <is>
          <t>Winst &amp; verlies</t>
        </is>
      </c>
      <c r="E59" s="1" t="inlineStr">
        <is>
          <t>GLP20</t>
        </is>
      </c>
      <c r="F59" s="1" t="inlineStr">
        <is>
          <t>Bedrijfslasten</t>
        </is>
      </c>
      <c r="G59" s="1" t="inlineStr">
        <is>
          <t>SLP2025</t>
        </is>
      </c>
      <c r="H59" s="1" t="inlineStr">
        <is>
          <t>Overige personeelskosten</t>
        </is>
      </c>
      <c r="I59" s="1" t="inlineStr"/>
      <c r="J59" s="1" t="inlineStr"/>
      <c r="K59" s="1" t="inlineStr">
        <is>
          <t>4051400</t>
        </is>
      </c>
      <c r="L59" s="1" t="inlineStr">
        <is>
          <t>KN Diensten door derden</t>
        </is>
      </c>
      <c r="M59" s="289" t="n">
        <v>472384.16</v>
      </c>
    </row>
    <row r="60" ht="12.75" customHeight="1">
      <c r="A60" s="1" t="inlineStr">
        <is>
          <t>041066359000</t>
        </is>
      </c>
      <c r="B60" s="1" t="inlineStr">
        <is>
          <t>QSP ESS B.V.</t>
        </is>
      </c>
      <c r="C60" s="1" t="inlineStr">
        <is>
          <t>PNL</t>
        </is>
      </c>
      <c r="D60" s="1" t="inlineStr">
        <is>
          <t>Winst &amp; verlies</t>
        </is>
      </c>
      <c r="E60" s="1" t="inlineStr">
        <is>
          <t>GLP20</t>
        </is>
      </c>
      <c r="F60" s="1" t="inlineStr">
        <is>
          <t>Bedrijfslasten</t>
        </is>
      </c>
      <c r="G60" s="1" t="inlineStr">
        <is>
          <t>SLP2030</t>
        </is>
      </c>
      <c r="H60" s="1" t="inlineStr">
        <is>
          <t>Afschrijvingen</t>
        </is>
      </c>
      <c r="I60" s="1" t="inlineStr">
        <is>
          <t>SLP20303</t>
        </is>
      </c>
      <c r="J60" s="1" t="inlineStr">
        <is>
          <t>Afschrijvingen VG</t>
        </is>
      </c>
      <c r="K60" s="1" t="inlineStr">
        <is>
          <t>4730000</t>
        </is>
      </c>
      <c r="L60" s="1" t="inlineStr">
        <is>
          <t>AFKN Afschrijvingskosten Vastgoedbeleggingen</t>
        </is>
      </c>
      <c r="M60" s="289" t="n">
        <v>2698591.67</v>
      </c>
    </row>
    <row r="61" ht="12.75" customHeight="1">
      <c r="A61" s="1" t="inlineStr">
        <is>
          <t>041066359000</t>
        </is>
      </c>
      <c r="B61" s="1" t="inlineStr">
        <is>
          <t>QSP ESS B.V.</t>
        </is>
      </c>
      <c r="C61" s="1" t="inlineStr">
        <is>
          <t>PNL</t>
        </is>
      </c>
      <c r="D61" s="1" t="inlineStr">
        <is>
          <t>Winst &amp; verlies</t>
        </is>
      </c>
      <c r="E61" s="1" t="inlineStr">
        <is>
          <t>GLP20</t>
        </is>
      </c>
      <c r="F61" s="1" t="inlineStr">
        <is>
          <t>Bedrijfslasten</t>
        </is>
      </c>
      <c r="G61" s="1" t="inlineStr">
        <is>
          <t>SLP2030</t>
        </is>
      </c>
      <c r="H61" s="1" t="inlineStr">
        <is>
          <t>Afschrijvingen</t>
        </is>
      </c>
      <c r="I61" s="1" t="inlineStr">
        <is>
          <t>SLP20303</t>
        </is>
      </c>
      <c r="J61" s="1" t="inlineStr">
        <is>
          <t>Afschrijvingen VG</t>
        </is>
      </c>
      <c r="K61" s="1" t="inlineStr">
        <is>
          <t>4730200</t>
        </is>
      </c>
      <c r="L61" s="1" t="inlineStr">
        <is>
          <t>AFKN Boekresultaat Vastgoedbeleggingen</t>
        </is>
      </c>
      <c r="M61" s="289" t="n">
        <v>-1219532</v>
      </c>
    </row>
    <row r="62" ht="12.75" customHeight="1">
      <c r="A62" s="1" t="inlineStr">
        <is>
          <t>041066359000</t>
        </is>
      </c>
      <c r="B62" s="1" t="inlineStr">
        <is>
          <t>QSP ESS B.V.</t>
        </is>
      </c>
      <c r="C62" s="1" t="inlineStr">
        <is>
          <t>PNL</t>
        </is>
      </c>
      <c r="D62" s="1" t="inlineStr">
        <is>
          <t>Winst &amp; verlies</t>
        </is>
      </c>
      <c r="E62" s="1" t="inlineStr">
        <is>
          <t>GLP20</t>
        </is>
      </c>
      <c r="F62" s="1" t="inlineStr">
        <is>
          <t>Bedrijfslasten</t>
        </is>
      </c>
      <c r="G62" s="1" t="inlineStr">
        <is>
          <t>SLP2040</t>
        </is>
      </c>
      <c r="H62" s="1" t="inlineStr">
        <is>
          <t>Huisvestingskosten</t>
        </is>
      </c>
      <c r="I62" s="1" t="inlineStr"/>
      <c r="J62" s="1" t="inlineStr"/>
      <c r="K62" s="1" t="inlineStr">
        <is>
          <t>4100400</t>
        </is>
      </c>
      <c r="L62" s="1" t="inlineStr">
        <is>
          <t>KN Onderhoud gebouwen</t>
        </is>
      </c>
      <c r="M62" s="289" t="n">
        <v>1015338.54</v>
      </c>
    </row>
    <row r="63" ht="12.75" customHeight="1">
      <c r="A63" s="1" t="inlineStr">
        <is>
          <t>041066359000</t>
        </is>
      </c>
      <c r="B63" s="1" t="inlineStr">
        <is>
          <t>QSP ESS B.V.</t>
        </is>
      </c>
      <c r="C63" s="1" t="inlineStr">
        <is>
          <t>PNL</t>
        </is>
      </c>
      <c r="D63" s="1" t="inlineStr">
        <is>
          <t>Winst &amp; verlies</t>
        </is>
      </c>
      <c r="E63" s="1" t="inlineStr">
        <is>
          <t>GLP20</t>
        </is>
      </c>
      <c r="F63" s="1" t="inlineStr">
        <is>
          <t>Bedrijfslasten</t>
        </is>
      </c>
      <c r="G63" s="1" t="inlineStr">
        <is>
          <t>SLP2040</t>
        </is>
      </c>
      <c r="H63" s="1" t="inlineStr">
        <is>
          <t>Huisvestingskosten</t>
        </is>
      </c>
      <c r="I63" s="1" t="inlineStr"/>
      <c r="J63" s="1" t="inlineStr"/>
      <c r="K63" s="1" t="inlineStr">
        <is>
          <t>4100410</t>
        </is>
      </c>
      <c r="L63" s="1" t="inlineStr">
        <is>
          <t>Verhuurdersheffing</t>
        </is>
      </c>
      <c r="M63" s="289" t="n">
        <v>568182</v>
      </c>
    </row>
    <row r="64" ht="12.75" customHeight="1">
      <c r="A64" s="1" t="inlineStr">
        <is>
          <t>041066359000</t>
        </is>
      </c>
      <c r="B64" s="1" t="inlineStr">
        <is>
          <t>QSP ESS B.V.</t>
        </is>
      </c>
      <c r="C64" s="1" t="inlineStr">
        <is>
          <t>PNL</t>
        </is>
      </c>
      <c r="D64" s="1" t="inlineStr">
        <is>
          <t>Winst &amp; verlies</t>
        </is>
      </c>
      <c r="E64" s="1" t="inlineStr">
        <is>
          <t>GLP20</t>
        </is>
      </c>
      <c r="F64" s="1" t="inlineStr">
        <is>
          <t>Bedrijfslasten</t>
        </is>
      </c>
      <c r="G64" s="1" t="inlineStr">
        <is>
          <t>SLP2040</t>
        </is>
      </c>
      <c r="H64" s="1" t="inlineStr">
        <is>
          <t>Huisvestingskosten</t>
        </is>
      </c>
      <c r="I64" s="1" t="inlineStr"/>
      <c r="J64" s="1" t="inlineStr"/>
      <c r="K64" s="1" t="inlineStr">
        <is>
          <t>4100900</t>
        </is>
      </c>
      <c r="L64" s="1" t="inlineStr">
        <is>
          <t>KN Onroerende zaakbelasting</t>
        </is>
      </c>
      <c r="M64" s="289" t="n">
        <v>316136.1</v>
      </c>
    </row>
    <row r="65" ht="12.75" customHeight="1">
      <c r="A65" s="1" t="inlineStr">
        <is>
          <t>041066359000</t>
        </is>
      </c>
      <c r="B65" s="1" t="inlineStr">
        <is>
          <t>QSP ESS B.V.</t>
        </is>
      </c>
      <c r="C65" s="1" t="inlineStr">
        <is>
          <t>PNL</t>
        </is>
      </c>
      <c r="D65" s="1" t="inlineStr">
        <is>
          <t>Winst &amp; verlies</t>
        </is>
      </c>
      <c r="E65" s="1" t="inlineStr">
        <is>
          <t>GLP20</t>
        </is>
      </c>
      <c r="F65" s="1" t="inlineStr">
        <is>
          <t>Bedrijfslasten</t>
        </is>
      </c>
      <c r="G65" s="1" t="inlineStr">
        <is>
          <t>SLP2040</t>
        </is>
      </c>
      <c r="H65" s="1" t="inlineStr">
        <is>
          <t>Huisvestingskosten</t>
        </is>
      </c>
      <c r="I65" s="1" t="inlineStr"/>
      <c r="J65" s="1" t="inlineStr"/>
      <c r="K65" s="1" t="inlineStr">
        <is>
          <t>4101000</t>
        </is>
      </c>
      <c r="L65" s="1" t="inlineStr">
        <is>
          <t>KN VvE-kosten</t>
        </is>
      </c>
      <c r="M65" s="289" t="n">
        <v>630780.63</v>
      </c>
    </row>
    <row r="66" ht="12.75" customHeight="1">
      <c r="A66" s="1" t="inlineStr">
        <is>
          <t>041066359000</t>
        </is>
      </c>
      <c r="B66" s="1" t="inlineStr">
        <is>
          <t>QSP ESS B.V.</t>
        </is>
      </c>
      <c r="C66" s="1" t="inlineStr">
        <is>
          <t>PNL</t>
        </is>
      </c>
      <c r="D66" s="1" t="inlineStr">
        <is>
          <t>Winst &amp; verlies</t>
        </is>
      </c>
      <c r="E66" s="1" t="inlineStr">
        <is>
          <t>GLP20</t>
        </is>
      </c>
      <c r="F66" s="1" t="inlineStr">
        <is>
          <t>Bedrijfslasten</t>
        </is>
      </c>
      <c r="G66" s="1" t="inlineStr">
        <is>
          <t>SLP2040</t>
        </is>
      </c>
      <c r="H66" s="1" t="inlineStr">
        <is>
          <t>Huisvestingskosten</t>
        </is>
      </c>
      <c r="I66" s="1" t="inlineStr"/>
      <c r="J66" s="1" t="inlineStr"/>
      <c r="K66" s="1" t="inlineStr">
        <is>
          <t>4101010</t>
        </is>
      </c>
      <c r="L66" s="1" t="inlineStr">
        <is>
          <t>Gemeentelijke belastingen</t>
        </is>
      </c>
      <c r="M66" s="289" t="n">
        <v>1026.53</v>
      </c>
    </row>
    <row r="67" ht="12.75" customHeight="1">
      <c r="A67" s="1" t="inlineStr">
        <is>
          <t>041066359000</t>
        </is>
      </c>
      <c r="B67" s="1" t="inlineStr">
        <is>
          <t>QSP ESS B.V.</t>
        </is>
      </c>
      <c r="C67" s="1" t="inlineStr">
        <is>
          <t>PNL</t>
        </is>
      </c>
      <c r="D67" s="1" t="inlineStr">
        <is>
          <t>Winst &amp; verlies</t>
        </is>
      </c>
      <c r="E67" s="1" t="inlineStr">
        <is>
          <t>GLP20</t>
        </is>
      </c>
      <c r="F67" s="1" t="inlineStr">
        <is>
          <t>Bedrijfslasten</t>
        </is>
      </c>
      <c r="G67" s="1" t="inlineStr">
        <is>
          <t>SLP2040</t>
        </is>
      </c>
      <c r="H67" s="1" t="inlineStr">
        <is>
          <t>Huisvestingskosten</t>
        </is>
      </c>
      <c r="I67" s="1" t="inlineStr"/>
      <c r="J67" s="1" t="inlineStr"/>
      <c r="K67" s="1" t="inlineStr">
        <is>
          <t>4101020</t>
        </is>
      </c>
      <c r="L67" s="1" t="inlineStr">
        <is>
          <t>Waterschapsbelasting</t>
        </is>
      </c>
      <c r="M67" s="289" t="n">
        <v>116470.82</v>
      </c>
    </row>
    <row r="68" ht="12.75" customHeight="1">
      <c r="A68" s="1" t="inlineStr">
        <is>
          <t>041066359000</t>
        </is>
      </c>
      <c r="B68" s="1" t="inlineStr">
        <is>
          <t>QSP ESS B.V.</t>
        </is>
      </c>
      <c r="C68" s="1" t="inlineStr">
        <is>
          <t>PNL</t>
        </is>
      </c>
      <c r="D68" s="1" t="inlineStr">
        <is>
          <t>Winst &amp; verlies</t>
        </is>
      </c>
      <c r="E68" s="1" t="inlineStr">
        <is>
          <t>GLP20</t>
        </is>
      </c>
      <c r="F68" s="1" t="inlineStr">
        <is>
          <t>Bedrijfslasten</t>
        </is>
      </c>
      <c r="G68" s="1" t="inlineStr">
        <is>
          <t>SLP2040</t>
        </is>
      </c>
      <c r="H68" s="1" t="inlineStr">
        <is>
          <t>Huisvestingskosten</t>
        </is>
      </c>
      <c r="I68" s="1" t="inlineStr"/>
      <c r="J68" s="1" t="inlineStr"/>
      <c r="K68" s="1" t="inlineStr">
        <is>
          <t>4101400</t>
        </is>
      </c>
      <c r="L68" s="1" t="inlineStr">
        <is>
          <t>KN Kosten vereniging van eigenaren</t>
        </is>
      </c>
      <c r="M68" s="289" t="n">
        <v>0</v>
      </c>
    </row>
    <row r="69" ht="12.75" customHeight="1">
      <c r="A69" s="1" t="inlineStr">
        <is>
          <t>041066359000</t>
        </is>
      </c>
      <c r="B69" s="1" t="inlineStr">
        <is>
          <t>QSP ESS B.V.</t>
        </is>
      </c>
      <c r="C69" s="1" t="inlineStr">
        <is>
          <t>PNL</t>
        </is>
      </c>
      <c r="D69" s="1" t="inlineStr">
        <is>
          <t>Winst &amp; verlies</t>
        </is>
      </c>
      <c r="E69" s="1" t="inlineStr">
        <is>
          <t>GLP20</t>
        </is>
      </c>
      <c r="F69" s="1" t="inlineStr">
        <is>
          <t>Bedrijfslasten</t>
        </is>
      </c>
      <c r="G69" s="1" t="inlineStr">
        <is>
          <t>SLP2050</t>
        </is>
      </c>
      <c r="H69" s="1" t="inlineStr">
        <is>
          <t>Verkoopkosten</t>
        </is>
      </c>
      <c r="I69" s="1" t="inlineStr"/>
      <c r="J69" s="1" t="inlineStr"/>
      <c r="K69" s="1" t="inlineStr">
        <is>
          <t>4501300</t>
        </is>
      </c>
      <c r="L69" s="1" t="inlineStr">
        <is>
          <t>KN Afboeking dubieuze debiteuren</t>
        </is>
      </c>
      <c r="M69" s="289" t="n">
        <v>1215.23</v>
      </c>
    </row>
    <row r="70" ht="12.75" customHeight="1">
      <c r="A70" s="1" t="inlineStr">
        <is>
          <t>041066359000</t>
        </is>
      </c>
      <c r="B70" s="1" t="inlineStr">
        <is>
          <t>QSP ESS B.V.</t>
        </is>
      </c>
      <c r="C70" s="1" t="inlineStr">
        <is>
          <t>PNL</t>
        </is>
      </c>
      <c r="D70" s="1" t="inlineStr">
        <is>
          <t>Winst &amp; verlies</t>
        </is>
      </c>
      <c r="E70" s="1" t="inlineStr">
        <is>
          <t>GLP20</t>
        </is>
      </c>
      <c r="F70" s="1" t="inlineStr">
        <is>
          <t>Bedrijfslasten</t>
        </is>
      </c>
      <c r="G70" s="1" t="inlineStr">
        <is>
          <t>SLP2060</t>
        </is>
      </c>
      <c r="H70" s="1" t="inlineStr">
        <is>
          <t>Kantoorkosten</t>
        </is>
      </c>
      <c r="I70" s="1" t="inlineStr"/>
      <c r="J70" s="1" t="inlineStr"/>
      <c r="K70" s="1" t="inlineStr">
        <is>
          <t>4300500</t>
        </is>
      </c>
      <c r="L70" s="1" t="inlineStr">
        <is>
          <t>KN Incassokosten</t>
        </is>
      </c>
      <c r="M70" s="289" t="n">
        <v>45372.76</v>
      </c>
    </row>
    <row r="71" ht="12.75" customHeight="1">
      <c r="A71" s="1" t="inlineStr">
        <is>
          <t>041066359000</t>
        </is>
      </c>
      <c r="B71" s="1" t="inlineStr">
        <is>
          <t>QSP ESS B.V.</t>
        </is>
      </c>
      <c r="C71" s="1" t="inlineStr">
        <is>
          <t>PNL</t>
        </is>
      </c>
      <c r="D71" s="1" t="inlineStr">
        <is>
          <t>Winst &amp; verlies</t>
        </is>
      </c>
      <c r="E71" s="1" t="inlineStr">
        <is>
          <t>GLP20</t>
        </is>
      </c>
      <c r="F71" s="1" t="inlineStr">
        <is>
          <t>Bedrijfslasten</t>
        </is>
      </c>
      <c r="G71" s="1" t="inlineStr">
        <is>
          <t>SLP2065</t>
        </is>
      </c>
      <c r="H71" s="1" t="inlineStr">
        <is>
          <t>Algemene kosten</t>
        </is>
      </c>
      <c r="I71" s="1" t="inlineStr"/>
      <c r="J71" s="1" t="inlineStr"/>
      <c r="K71" s="1" t="inlineStr">
        <is>
          <t>4310400</t>
        </is>
      </c>
      <c r="L71" s="1" t="inlineStr">
        <is>
          <t>KN Assurantiepremie algemeen</t>
        </is>
      </c>
      <c r="M71" s="289" t="n">
        <v>85028.99000000001</v>
      </c>
    </row>
    <row r="72" ht="12.75" customHeight="1">
      <c r="A72" s="1" t="inlineStr">
        <is>
          <t>041066359000</t>
        </is>
      </c>
      <c r="B72" s="1" t="inlineStr">
        <is>
          <t>QSP ESS B.V.</t>
        </is>
      </c>
      <c r="C72" s="1" t="inlineStr">
        <is>
          <t>PNL</t>
        </is>
      </c>
      <c r="D72" s="1" t="inlineStr">
        <is>
          <t>Winst &amp; verlies</t>
        </is>
      </c>
      <c r="E72" s="1" t="inlineStr">
        <is>
          <t>GLP20</t>
        </is>
      </c>
      <c r="F72" s="1" t="inlineStr">
        <is>
          <t>Bedrijfslasten</t>
        </is>
      </c>
      <c r="G72" s="1" t="inlineStr">
        <is>
          <t>SLP2065</t>
        </is>
      </c>
      <c r="H72" s="1" t="inlineStr">
        <is>
          <t>Algemene kosten</t>
        </is>
      </c>
      <c r="I72" s="1" t="inlineStr"/>
      <c r="J72" s="1" t="inlineStr"/>
      <c r="K72" s="1" t="inlineStr">
        <is>
          <t>4310500</t>
        </is>
      </c>
      <c r="L72" s="1" t="inlineStr">
        <is>
          <t>KN Managementvergoeding</t>
        </is>
      </c>
      <c r="M72" s="289" t="n">
        <v>16335</v>
      </c>
    </row>
    <row r="73" ht="12.75" customHeight="1">
      <c r="A73" s="1" t="inlineStr">
        <is>
          <t>041066359000</t>
        </is>
      </c>
      <c r="B73" s="1" t="inlineStr">
        <is>
          <t>QSP ESS B.V.</t>
        </is>
      </c>
      <c r="C73" s="1" t="inlineStr">
        <is>
          <t>PNL</t>
        </is>
      </c>
      <c r="D73" s="1" t="inlineStr">
        <is>
          <t>Winst &amp; verlies</t>
        </is>
      </c>
      <c r="E73" s="1" t="inlineStr">
        <is>
          <t>GLP20</t>
        </is>
      </c>
      <c r="F73" s="1" t="inlineStr">
        <is>
          <t>Bedrijfslasten</t>
        </is>
      </c>
      <c r="G73" s="1" t="inlineStr">
        <is>
          <t>SLP2065</t>
        </is>
      </c>
      <c r="H73" s="1" t="inlineStr">
        <is>
          <t>Algemene kosten</t>
        </is>
      </c>
      <c r="I73" s="1" t="inlineStr"/>
      <c r="J73" s="1" t="inlineStr"/>
      <c r="K73" s="1" t="inlineStr">
        <is>
          <t>4310600</t>
        </is>
      </c>
      <c r="L73" s="1" t="inlineStr">
        <is>
          <t>KN Accountantskosten</t>
        </is>
      </c>
      <c r="M73" s="289" t="n">
        <v>122608.27</v>
      </c>
    </row>
    <row r="74" ht="12.75" customHeight="1">
      <c r="A74" s="1" t="inlineStr">
        <is>
          <t>041066359000</t>
        </is>
      </c>
      <c r="B74" s="1" t="inlineStr">
        <is>
          <t>QSP ESS B.V.</t>
        </is>
      </c>
      <c r="C74" s="1" t="inlineStr">
        <is>
          <t>PNL</t>
        </is>
      </c>
      <c r="D74" s="1" t="inlineStr">
        <is>
          <t>Winst &amp; verlies</t>
        </is>
      </c>
      <c r="E74" s="1" t="inlineStr">
        <is>
          <t>GLP20</t>
        </is>
      </c>
      <c r="F74" s="1" t="inlineStr">
        <is>
          <t>Bedrijfslasten</t>
        </is>
      </c>
      <c r="G74" s="1" t="inlineStr">
        <is>
          <t>SLP2065</t>
        </is>
      </c>
      <c r="H74" s="1" t="inlineStr">
        <is>
          <t>Algemene kosten</t>
        </is>
      </c>
      <c r="I74" s="1" t="inlineStr"/>
      <c r="J74" s="1" t="inlineStr"/>
      <c r="K74" s="1" t="inlineStr">
        <is>
          <t>4310700</t>
        </is>
      </c>
      <c r="L74" s="1" t="inlineStr">
        <is>
          <t>KN Administratiekosten</t>
        </is>
      </c>
      <c r="M74" s="289" t="n">
        <v>3630</v>
      </c>
    </row>
    <row r="75" ht="12.75" customHeight="1">
      <c r="A75" s="1" t="inlineStr">
        <is>
          <t>041066359000</t>
        </is>
      </c>
      <c r="B75" s="1" t="inlineStr">
        <is>
          <t>QSP ESS B.V.</t>
        </is>
      </c>
      <c r="C75" s="1" t="inlineStr">
        <is>
          <t>PNL</t>
        </is>
      </c>
      <c r="D75" s="1" t="inlineStr">
        <is>
          <t>Winst &amp; verlies</t>
        </is>
      </c>
      <c r="E75" s="1" t="inlineStr">
        <is>
          <t>GLP20</t>
        </is>
      </c>
      <c r="F75" s="1" t="inlineStr">
        <is>
          <t>Bedrijfslasten</t>
        </is>
      </c>
      <c r="G75" s="1" t="inlineStr">
        <is>
          <t>SLP2065</t>
        </is>
      </c>
      <c r="H75" s="1" t="inlineStr">
        <is>
          <t>Algemene kosten</t>
        </is>
      </c>
      <c r="I75" s="1" t="inlineStr"/>
      <c r="J75" s="1" t="inlineStr"/>
      <c r="K75" s="1" t="inlineStr">
        <is>
          <t>4310800</t>
        </is>
      </c>
      <c r="L75" s="1" t="inlineStr">
        <is>
          <t>KN Makelaarskosten</t>
        </is>
      </c>
      <c r="M75" s="289" t="n">
        <v>157427.41</v>
      </c>
    </row>
    <row r="76" ht="12.75" customHeight="1">
      <c r="A76" s="1" t="inlineStr">
        <is>
          <t>041066359000</t>
        </is>
      </c>
      <c r="B76" s="1" t="inlineStr">
        <is>
          <t>QSP ESS B.V.</t>
        </is>
      </c>
      <c r="C76" s="1" t="inlineStr">
        <is>
          <t>PNL</t>
        </is>
      </c>
      <c r="D76" s="1" t="inlineStr">
        <is>
          <t>Winst &amp; verlies</t>
        </is>
      </c>
      <c r="E76" s="1" t="inlineStr">
        <is>
          <t>GLP20</t>
        </is>
      </c>
      <c r="F76" s="1" t="inlineStr">
        <is>
          <t>Bedrijfslasten</t>
        </is>
      </c>
      <c r="G76" s="1" t="inlineStr">
        <is>
          <t>SLP2065</t>
        </is>
      </c>
      <c r="H76" s="1" t="inlineStr">
        <is>
          <t>Algemene kosten</t>
        </is>
      </c>
      <c r="I76" s="1" t="inlineStr"/>
      <c r="J76" s="1" t="inlineStr"/>
      <c r="K76" s="1" t="inlineStr">
        <is>
          <t>4311000</t>
        </is>
      </c>
      <c r="L76" s="1" t="inlineStr">
        <is>
          <t>KN Juridische kosten</t>
        </is>
      </c>
      <c r="M76" s="289" t="n">
        <v>50438.06</v>
      </c>
    </row>
    <row r="77" ht="12.75" customHeight="1">
      <c r="A77" s="1" t="inlineStr">
        <is>
          <t>041066359000</t>
        </is>
      </c>
      <c r="B77" s="1" t="inlineStr">
        <is>
          <t>QSP ESS B.V.</t>
        </is>
      </c>
      <c r="C77" s="1" t="inlineStr">
        <is>
          <t>PNL</t>
        </is>
      </c>
      <c r="D77" s="1" t="inlineStr">
        <is>
          <t>Winst &amp; verlies</t>
        </is>
      </c>
      <c r="E77" s="1" t="inlineStr">
        <is>
          <t>GLP20</t>
        </is>
      </c>
      <c r="F77" s="1" t="inlineStr">
        <is>
          <t>Bedrijfslasten</t>
        </is>
      </c>
      <c r="G77" s="1" t="inlineStr">
        <is>
          <t>SLP2065</t>
        </is>
      </c>
      <c r="H77" s="1" t="inlineStr">
        <is>
          <t>Algemene kosten</t>
        </is>
      </c>
      <c r="I77" s="1" t="inlineStr"/>
      <c r="J77" s="1" t="inlineStr"/>
      <c r="K77" s="1" t="inlineStr">
        <is>
          <t>4311800</t>
        </is>
      </c>
      <c r="L77" s="1" t="inlineStr">
        <is>
          <t>KN Advieskosten</t>
        </is>
      </c>
      <c r="M77" s="289" t="n">
        <v>165684.92</v>
      </c>
    </row>
    <row r="78" ht="12.75" customHeight="1">
      <c r="A78" s="1" t="inlineStr">
        <is>
          <t>041066359000</t>
        </is>
      </c>
      <c r="B78" s="1" t="inlineStr">
        <is>
          <t>QSP ESS B.V.</t>
        </is>
      </c>
      <c r="C78" s="1" t="inlineStr">
        <is>
          <t>PNL</t>
        </is>
      </c>
      <c r="D78" s="1" t="inlineStr">
        <is>
          <t>Winst &amp; verlies</t>
        </is>
      </c>
      <c r="E78" s="1" t="inlineStr">
        <is>
          <t>GLP20</t>
        </is>
      </c>
      <c r="F78" s="1" t="inlineStr">
        <is>
          <t>Bedrijfslasten</t>
        </is>
      </c>
      <c r="G78" s="1" t="inlineStr">
        <is>
          <t>SLP2065</t>
        </is>
      </c>
      <c r="H78" s="1" t="inlineStr">
        <is>
          <t>Algemene kosten</t>
        </is>
      </c>
      <c r="I78" s="1" t="inlineStr"/>
      <c r="J78" s="1" t="inlineStr"/>
      <c r="K78" s="1" t="inlineStr">
        <is>
          <t>4311900</t>
        </is>
      </c>
      <c r="L78" s="1" t="inlineStr">
        <is>
          <t>KN Bankkosten</t>
        </is>
      </c>
      <c r="M78" s="289" t="n">
        <v>5040.23</v>
      </c>
    </row>
    <row r="79" ht="12.75" customHeight="1">
      <c r="A79" s="1" t="inlineStr">
        <is>
          <t>041066359000</t>
        </is>
      </c>
      <c r="B79" s="1" t="inlineStr">
        <is>
          <t>QSP ESS B.V.</t>
        </is>
      </c>
      <c r="C79" s="1" t="inlineStr">
        <is>
          <t>PNL</t>
        </is>
      </c>
      <c r="D79" s="1" t="inlineStr">
        <is>
          <t>Winst &amp; verlies</t>
        </is>
      </c>
      <c r="E79" s="1" t="inlineStr">
        <is>
          <t>GLP20</t>
        </is>
      </c>
      <c r="F79" s="1" t="inlineStr">
        <is>
          <t>Bedrijfslasten</t>
        </is>
      </c>
      <c r="G79" s="1" t="inlineStr">
        <is>
          <t>SLP2065</t>
        </is>
      </c>
      <c r="H79" s="1" t="inlineStr">
        <is>
          <t>Algemene kosten</t>
        </is>
      </c>
      <c r="I79" s="1" t="inlineStr"/>
      <c r="J79" s="1" t="inlineStr"/>
      <c r="K79" s="1" t="inlineStr">
        <is>
          <t>4319800</t>
        </is>
      </c>
      <c r="L79" s="1" t="inlineStr">
        <is>
          <t>KN Overige algemene kosten</t>
        </is>
      </c>
      <c r="M79" s="289" t="n">
        <v>-24.33</v>
      </c>
    </row>
    <row r="80" ht="12.75" customHeight="1">
      <c r="A80" s="1" t="inlineStr">
        <is>
          <t>041066359000</t>
        </is>
      </c>
      <c r="B80" s="1" t="inlineStr">
        <is>
          <t>QSP ESS B.V.</t>
        </is>
      </c>
      <c r="C80" s="1" t="inlineStr">
        <is>
          <t>PNL</t>
        </is>
      </c>
      <c r="D80" s="1" t="inlineStr">
        <is>
          <t>Winst &amp; verlies</t>
        </is>
      </c>
      <c r="E80" s="1" t="inlineStr">
        <is>
          <t>GLP25</t>
        </is>
      </c>
      <c r="F80" s="1" t="inlineStr">
        <is>
          <t>Financiële baten en lasten</t>
        </is>
      </c>
      <c r="G80" s="1" t="inlineStr">
        <is>
          <t>GLP30</t>
        </is>
      </c>
      <c r="H80" s="1" t="inlineStr">
        <is>
          <t>Andere rentebaten/-lasten en soortgelijken opbrengsten/kosten</t>
        </is>
      </c>
      <c r="I80" s="1" t="inlineStr">
        <is>
          <t>SLP3025</t>
        </is>
      </c>
      <c r="J80" s="1" t="inlineStr">
        <is>
          <t>Overige rentelasten</t>
        </is>
      </c>
      <c r="K80" s="1" t="inlineStr">
        <is>
          <t>4623000</t>
        </is>
      </c>
      <c r="L80" s="1" t="inlineStr">
        <is>
          <t>FINBL Rente ABN AMRO Bank NV leningen</t>
        </is>
      </c>
      <c r="M80" s="289" t="n">
        <v>832383.46</v>
      </c>
    </row>
    <row r="81" ht="12.75" customHeight="1">
      <c r="A81" s="1" t="inlineStr">
        <is>
          <t>041066359000</t>
        </is>
      </c>
      <c r="B81" s="1" t="inlineStr">
        <is>
          <t>QSP ESS B.V.</t>
        </is>
      </c>
      <c r="C81" s="1" t="inlineStr">
        <is>
          <t>PNL</t>
        </is>
      </c>
      <c r="D81" s="1" t="inlineStr">
        <is>
          <t>Winst &amp; verlies</t>
        </is>
      </c>
      <c r="E81" s="1" t="inlineStr">
        <is>
          <t>GLP25</t>
        </is>
      </c>
      <c r="F81" s="1" t="inlineStr">
        <is>
          <t>Financiële baten en lasten</t>
        </is>
      </c>
      <c r="G81" s="1" t="inlineStr">
        <is>
          <t>GLP30</t>
        </is>
      </c>
      <c r="H81" s="1" t="inlineStr">
        <is>
          <t>Andere rentebaten/-lasten en soortgelijken opbrengsten/kosten</t>
        </is>
      </c>
      <c r="I81" s="1" t="inlineStr">
        <is>
          <t>SLP3025</t>
        </is>
      </c>
      <c r="J81" s="1" t="inlineStr">
        <is>
          <t>Overige rentelasten</t>
        </is>
      </c>
      <c r="K81" s="1" t="inlineStr">
        <is>
          <t>4623001</t>
        </is>
      </c>
      <c r="L81" s="1" t="inlineStr">
        <is>
          <t>FINBL Rente ABN AMRO Bank NV Senior Facility Agreement</t>
        </is>
      </c>
      <c r="M81" s="289" t="n">
        <v>2477628.48</v>
      </c>
    </row>
    <row r="82" ht="12.75" customHeight="1">
      <c r="A82" s="1" t="inlineStr">
        <is>
          <t>041066359000</t>
        </is>
      </c>
      <c r="B82" s="1" t="inlineStr">
        <is>
          <t>QSP ESS B.V.</t>
        </is>
      </c>
      <c r="C82" s="1" t="inlineStr">
        <is>
          <t>PNL</t>
        </is>
      </c>
      <c r="D82" s="1" t="inlineStr">
        <is>
          <t>Winst &amp; verlies</t>
        </is>
      </c>
      <c r="E82" s="1" t="inlineStr">
        <is>
          <t>GLP25</t>
        </is>
      </c>
      <c r="F82" s="1" t="inlineStr">
        <is>
          <t>Financiële baten en lasten</t>
        </is>
      </c>
      <c r="G82" s="1" t="inlineStr">
        <is>
          <t>GLP30</t>
        </is>
      </c>
      <c r="H82" s="1" t="inlineStr">
        <is>
          <t>Andere rentebaten/-lasten en soortgelijken opbrengsten/kosten</t>
        </is>
      </c>
      <c r="I82" s="1" t="inlineStr">
        <is>
          <t>SLP3025</t>
        </is>
      </c>
      <c r="J82" s="1" t="inlineStr">
        <is>
          <t>Overige rentelasten</t>
        </is>
      </c>
      <c r="K82" s="1" t="inlineStr">
        <is>
          <t>4628001</t>
        </is>
      </c>
      <c r="L82" s="1" t="inlineStr">
        <is>
          <t>FINBL Rente LLS QSPESS Limited</t>
        </is>
      </c>
      <c r="M82" s="289" t="n">
        <v>872526.9399999999</v>
      </c>
    </row>
    <row r="83" ht="12.75" customHeight="1">
      <c r="A83" s="1" t="inlineStr">
        <is>
          <t>041066359000</t>
        </is>
      </c>
      <c r="B83" s="1" t="inlineStr">
        <is>
          <t>QSP ESS B.V.</t>
        </is>
      </c>
      <c r="C83" s="1" t="inlineStr">
        <is>
          <t>PNL</t>
        </is>
      </c>
      <c r="D83" s="1" t="inlineStr">
        <is>
          <t>Winst &amp; verlies</t>
        </is>
      </c>
      <c r="E83" s="1" t="inlineStr">
        <is>
          <t>GLP25</t>
        </is>
      </c>
      <c r="F83" s="1" t="inlineStr">
        <is>
          <t>Financiële baten en lasten</t>
        </is>
      </c>
      <c r="G83" s="1" t="inlineStr">
        <is>
          <t>GLP30</t>
        </is>
      </c>
      <c r="H83" s="1" t="inlineStr">
        <is>
          <t>Andere rentebaten/-lasten en soortgelijken opbrengsten/kosten</t>
        </is>
      </c>
      <c r="I83" s="1" t="inlineStr">
        <is>
          <t>SLP3025</t>
        </is>
      </c>
      <c r="J83" s="1" t="inlineStr">
        <is>
          <t>Overige rentelasten</t>
        </is>
      </c>
      <c r="K83" s="1" t="inlineStr">
        <is>
          <t>4630000</t>
        </is>
      </c>
      <c r="L83" s="1" t="inlineStr">
        <is>
          <t>FINBL Rente belastingen</t>
        </is>
      </c>
      <c r="M83" s="289" t="n">
        <v>18603</v>
      </c>
    </row>
    <row r="84" ht="12.75" customHeight="1">
      <c r="A84" s="1" t="inlineStr">
        <is>
          <t>041066359000</t>
        </is>
      </c>
      <c r="B84" s="1" t="inlineStr">
        <is>
          <t>QSP ESS B.V.</t>
        </is>
      </c>
      <c r="C84" s="1" t="inlineStr">
        <is>
          <t>PNL</t>
        </is>
      </c>
      <c r="D84" s="1" t="inlineStr">
        <is>
          <t>Winst &amp; verlies</t>
        </is>
      </c>
      <c r="E84" s="1" t="inlineStr">
        <is>
          <t>GLP25</t>
        </is>
      </c>
      <c r="F84" s="1" t="inlineStr">
        <is>
          <t>Financiële baten en lasten</t>
        </is>
      </c>
      <c r="G84" s="1" t="inlineStr">
        <is>
          <t>GLP30</t>
        </is>
      </c>
      <c r="H84" s="1" t="inlineStr">
        <is>
          <t>Andere rentebaten/-lasten en soortgelijken opbrengsten/kosten</t>
        </is>
      </c>
      <c r="I84" s="1" t="inlineStr">
        <is>
          <t>SLP3025</t>
        </is>
      </c>
      <c r="J84" s="1" t="inlineStr">
        <is>
          <t>Overige rentelasten</t>
        </is>
      </c>
      <c r="K84" s="1" t="inlineStr">
        <is>
          <t>4643000</t>
        </is>
      </c>
      <c r="L84" s="1" t="inlineStr">
        <is>
          <t>FINBL Overige rentelasten</t>
        </is>
      </c>
      <c r="M84" s="289" t="n">
        <v>337456.51</v>
      </c>
    </row>
    <row r="85" ht="12.75" customHeight="1">
      <c r="A85" s="1" t="inlineStr">
        <is>
          <t>041066359000</t>
        </is>
      </c>
      <c r="B85" s="1" t="inlineStr">
        <is>
          <t>QSP ESS B.V.</t>
        </is>
      </c>
      <c r="C85" s="1" t="inlineStr">
        <is>
          <t>PNL</t>
        </is>
      </c>
      <c r="D85" s="1" t="inlineStr">
        <is>
          <t>Winst &amp; verlies</t>
        </is>
      </c>
      <c r="E85" s="1" t="inlineStr">
        <is>
          <t>GLP55</t>
        </is>
      </c>
      <c r="F85" s="1" t="inlineStr">
        <is>
          <t>Belastingen</t>
        </is>
      </c>
      <c r="G85" s="1" t="inlineStr">
        <is>
          <t>SLP5520</t>
        </is>
      </c>
      <c r="H85" s="1" t="inlineStr">
        <is>
          <t>Mutatie belastinglatentie</t>
        </is>
      </c>
      <c r="I85" s="1" t="inlineStr"/>
      <c r="J85" s="1" t="inlineStr"/>
      <c r="K85" s="1" t="inlineStr">
        <is>
          <t>9510000</t>
        </is>
      </c>
      <c r="L85" s="1" t="inlineStr">
        <is>
          <t>VPB Mutatie belastinglatentie Mutatie actieve latentie</t>
        </is>
      </c>
      <c r="M85" s="289" t="n">
        <v>-674648.4399999999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T134"/>
  <sheetViews>
    <sheetView topLeftCell="A3" zoomScale="68" zoomScaleNormal="68" workbookViewId="0">
      <pane xSplit="2" topLeftCell="F1" activePane="topRight" state="frozen"/>
      <selection activeCell="H88" sqref="H88"/>
      <selection pane="topRight" activeCell="H88" sqref="H88"/>
    </sheetView>
  </sheetViews>
  <sheetFormatPr baseColWidth="8" defaultColWidth="9" defaultRowHeight="14.4"/>
  <cols>
    <col width="9.109375" customWidth="1" style="63" min="1" max="1"/>
    <col width="79.6640625" customWidth="1" style="63" min="2" max="2"/>
    <col width="65.33203125" customWidth="1" style="63" min="3" max="5"/>
    <col width="21.88671875" customWidth="1" style="63" min="6" max="16"/>
    <col width="6.109375" customWidth="1" style="63" min="17" max="17"/>
    <col width="33.88671875" customWidth="1" style="63" min="18" max="18"/>
    <col width="10.44140625" bestFit="1" customWidth="1" style="63" min="19" max="19"/>
    <col width="13.88671875" bestFit="1" customWidth="1" style="63" min="20" max="20"/>
    <col width="9" customWidth="1" style="63" min="21" max="16384"/>
  </cols>
  <sheetData>
    <row r="2">
      <c r="C2" s="64" t="inlineStr">
        <is>
          <t>Beginbalans (01-04-2018)</t>
        </is>
      </c>
      <c r="D2" s="64" t="n"/>
      <c r="E2" s="64" t="inlineStr">
        <is>
          <t>Balans per 30-06-2018</t>
        </is>
      </c>
      <c r="F2" s="64" t="n"/>
      <c r="G2" s="64" t="n"/>
      <c r="H2" s="64" t="inlineStr">
        <is>
          <t>Balans per 30-09-2018</t>
        </is>
      </c>
      <c r="I2" s="64" t="n"/>
      <c r="J2" s="64" t="n"/>
      <c r="K2" s="64" t="inlineStr">
        <is>
          <t>Balans per 31-12-2018</t>
        </is>
      </c>
      <c r="L2" s="64" t="n"/>
      <c r="M2" s="64" t="n"/>
      <c r="N2" s="64" t="n"/>
      <c r="O2" s="64" t="n"/>
      <c r="P2" s="64" t="inlineStr">
        <is>
          <t>Balans per 31-03-2019</t>
        </is>
      </c>
    </row>
    <row r="3">
      <c r="A3" s="65" t="inlineStr">
        <is>
          <t>Balans</t>
        </is>
      </c>
      <c r="B3" s="66" t="n"/>
      <c r="C3" s="291" t="n"/>
      <c r="D3" s="291" t="n"/>
    </row>
    <row r="4" ht="15" customHeight="1">
      <c r="A4" s="66" t="inlineStr">
        <is>
          <t>1600000</t>
        </is>
      </c>
      <c r="B4" s="66" t="inlineStr">
        <is>
          <t>VG Vastgoedbeleggingen Verkrijgings- of vervaardigingsprijs</t>
        </is>
      </c>
      <c r="C4" s="68" t="n">
        <v>134929584.62</v>
      </c>
      <c r="D4" s="68" t="n"/>
      <c r="E4" s="68">
        <f>C4</f>
        <v/>
      </c>
      <c r="F4" s="68" t="n"/>
      <c r="G4" s="68" t="n"/>
      <c r="H4" s="68">
        <f>E4</f>
        <v/>
      </c>
      <c r="I4" s="68" t="n"/>
      <c r="J4" s="68" t="n"/>
      <c r="K4" s="69" t="n">
        <v>134929584.62</v>
      </c>
      <c r="L4" s="69" t="n"/>
      <c r="M4" s="69" t="n"/>
      <c r="N4" s="69" t="n"/>
      <c r="O4" s="69" t="n"/>
      <c r="P4" s="70" t="n">
        <v>134929585</v>
      </c>
    </row>
    <row r="5" ht="15" customHeight="1">
      <c r="A5" s="66" t="inlineStr">
        <is>
          <t>1600200</t>
        </is>
      </c>
      <c r="B5" s="66" t="inlineStr">
        <is>
          <t>VG Vastgoedbeleggingen Cum afschrijvingen en waardeverm</t>
        </is>
      </c>
      <c r="C5" s="68" t="n">
        <v>-6065717.89</v>
      </c>
      <c r="D5" s="68" t="n"/>
      <c r="E5" s="68">
        <f>C5-556672.89</f>
        <v/>
      </c>
      <c r="F5" s="68" t="n"/>
      <c r="G5" s="68" t="n"/>
      <c r="H5" s="68">
        <f>E5-556672.89</f>
        <v/>
      </c>
      <c r="I5" s="68" t="n"/>
      <c r="J5" s="68" t="n"/>
      <c r="K5" s="69" t="n">
        <v>-8089661.669999999</v>
      </c>
      <c r="L5" s="69" t="n"/>
      <c r="M5" s="69" t="n"/>
      <c r="N5" s="69" t="n"/>
      <c r="O5" s="69" t="n"/>
      <c r="P5" s="70" t="n">
        <v>-8764309.669999998</v>
      </c>
    </row>
    <row r="6" ht="15" customHeight="1">
      <c r="A6" s="66" t="inlineStr">
        <is>
          <t>1610803</t>
        </is>
      </c>
      <c r="B6" s="66" t="inlineStr">
        <is>
          <t>VG Comm VG in exploitatie Buitengebruikstellingen aanschaffingswaarde</t>
        </is>
      </c>
      <c r="C6" s="68" t="n"/>
      <c r="D6" s="68" t="n"/>
      <c r="E6" s="68" t="n"/>
      <c r="F6" s="68" t="n"/>
      <c r="G6" s="68" t="n"/>
      <c r="H6" s="68" t="n"/>
      <c r="I6" s="68" t="n"/>
      <c r="J6" s="68" t="n"/>
      <c r="K6" s="69" t="n">
        <v>-2341968</v>
      </c>
      <c r="L6" s="69" t="n"/>
      <c r="M6" s="69" t="n"/>
      <c r="N6" s="69" t="n"/>
      <c r="O6" s="69" t="n"/>
      <c r="P6" s="70" t="n">
        <v>-2967534</v>
      </c>
    </row>
    <row r="7">
      <c r="A7" s="66" t="inlineStr">
        <is>
          <t>Totaal Vastgoedbeleggingen</t>
        </is>
      </c>
      <c r="B7" s="66" t="n"/>
      <c r="C7" s="68">
        <f>SUM(C4:C6)</f>
        <v/>
      </c>
      <c r="D7" s="68" t="n"/>
      <c r="E7" s="68">
        <f>SUM(E4:E6)</f>
        <v/>
      </c>
      <c r="F7" s="68" t="n"/>
      <c r="G7" s="68" t="n"/>
      <c r="H7" s="68">
        <f>SUM(H4:H6)</f>
        <v/>
      </c>
      <c r="I7" s="68" t="n"/>
      <c r="J7" s="68" t="n"/>
      <c r="K7" s="68">
        <f>SUM(K4:K6)</f>
        <v/>
      </c>
      <c r="L7" s="68" t="n"/>
      <c r="M7" s="68" t="n"/>
      <c r="N7" s="68" t="n"/>
      <c r="O7" s="68" t="n"/>
      <c r="P7" s="68">
        <f>SUM(P4:P6)</f>
        <v/>
      </c>
    </row>
    <row r="8" ht="15" customHeight="1">
      <c r="A8" s="66" t="n"/>
      <c r="B8" s="66" t="n"/>
      <c r="C8" s="68" t="n"/>
      <c r="D8" s="68" t="n"/>
      <c r="E8" s="68" t="n"/>
      <c r="F8" s="68" t="n"/>
      <c r="G8" s="68" t="n"/>
      <c r="H8" s="68" t="n"/>
      <c r="I8" s="68" t="n"/>
      <c r="J8" s="68" t="n"/>
      <c r="K8" s="69" t="n"/>
      <c r="L8" s="69" t="n"/>
      <c r="M8" s="69" t="n"/>
      <c r="N8" s="69" t="n"/>
      <c r="O8" s="69" t="n"/>
      <c r="P8" s="70" t="n"/>
    </row>
    <row r="9" ht="15" customHeight="1">
      <c r="A9" s="66" t="inlineStr">
        <is>
          <t>1790002</t>
        </is>
      </c>
      <c r="B9" s="66" t="inlineStr">
        <is>
          <t>FVA Latente belastingvordering langlopend</t>
        </is>
      </c>
      <c r="C9" s="68" t="n">
        <v>1516430</v>
      </c>
      <c r="D9" s="68" t="n"/>
      <c r="E9" s="68">
        <f>C9</f>
        <v/>
      </c>
      <c r="F9" s="68" t="n"/>
      <c r="G9" s="68" t="n"/>
      <c r="H9" s="68">
        <f>E9+139168.22</f>
        <v/>
      </c>
      <c r="I9" s="68" t="n"/>
      <c r="J9" s="68" t="n"/>
      <c r="K9" s="69" t="n">
        <v>2051910.22</v>
      </c>
      <c r="L9" s="69" t="n"/>
      <c r="M9" s="69" t="n"/>
      <c r="N9" s="69" t="n"/>
      <c r="O9" s="69" t="n"/>
      <c r="P9" s="70" t="n">
        <v>2220572.22</v>
      </c>
    </row>
    <row r="10">
      <c r="A10" s="66" t="inlineStr">
        <is>
          <t>Totaal Financiële vaste activa</t>
        </is>
      </c>
      <c r="B10" s="66" t="n"/>
      <c r="C10" s="68">
        <f>SUM(C9)</f>
        <v/>
      </c>
      <c r="D10" s="68" t="n"/>
      <c r="E10" s="68">
        <f>SUM(E9)</f>
        <v/>
      </c>
      <c r="F10" s="68" t="n"/>
      <c r="G10" s="68" t="n"/>
      <c r="H10" s="68">
        <f>SUM(H9)</f>
        <v/>
      </c>
      <c r="I10" s="68" t="n"/>
      <c r="J10" s="68" t="n"/>
      <c r="K10" s="68">
        <f>SUM(K9)</f>
        <v/>
      </c>
      <c r="L10" s="68" t="n"/>
      <c r="M10" s="68" t="n"/>
      <c r="N10" s="68" t="n"/>
      <c r="O10" s="68" t="n"/>
      <c r="P10" s="68">
        <f>SUM(P9)</f>
        <v/>
      </c>
    </row>
    <row r="11" ht="15" customHeight="1">
      <c r="A11" s="66" t="n"/>
      <c r="B11" s="66" t="n"/>
      <c r="C11" s="68" t="n"/>
      <c r="D11" s="68" t="n"/>
      <c r="E11" s="68" t="n"/>
      <c r="F11" s="68" t="n"/>
      <c r="G11" s="68" t="n"/>
      <c r="H11" s="68" t="n"/>
      <c r="I11" s="68" t="n"/>
      <c r="J11" s="68" t="n"/>
      <c r="K11" s="69" t="n"/>
      <c r="L11" s="69" t="n"/>
      <c r="M11" s="69" t="n"/>
      <c r="N11" s="69" t="n"/>
      <c r="O11" s="69" t="n"/>
      <c r="P11" s="70" t="n"/>
    </row>
    <row r="12" ht="15" customHeight="1">
      <c r="A12" s="66" t="inlineStr">
        <is>
          <t>2000000</t>
        </is>
      </c>
      <c r="B12" s="66" t="inlineStr">
        <is>
          <t>VOR Debiteuren</t>
        </is>
      </c>
      <c r="C12" s="68" t="n">
        <v>101970.5</v>
      </c>
      <c r="D12" s="68" t="n"/>
      <c r="E12" s="68">
        <f>C12+142289.81</f>
        <v/>
      </c>
      <c r="F12" s="68" t="n"/>
      <c r="G12" s="68" t="n"/>
      <c r="H12" s="68">
        <f>E12+271621.52</f>
        <v/>
      </c>
      <c r="I12" s="68" t="n"/>
      <c r="J12" s="68" t="n"/>
      <c r="K12" s="69" t="n">
        <v>171593.69</v>
      </c>
      <c r="L12" s="69" t="n"/>
      <c r="M12" s="69" t="n"/>
      <c r="N12" s="69" t="n"/>
      <c r="O12" s="69" t="n"/>
      <c r="P12" s="70" t="n">
        <v>329178.26</v>
      </c>
    </row>
    <row r="13" ht="15" customHeight="1">
      <c r="A13" s="66" t="inlineStr">
        <is>
          <t>2000300</t>
        </is>
      </c>
      <c r="B13" s="66" t="inlineStr">
        <is>
          <t>VOR Voorziening dubieuze debiteuren</t>
        </is>
      </c>
      <c r="C13" s="68" t="n">
        <v>-14000</v>
      </c>
      <c r="D13" s="68" t="n"/>
      <c r="E13" s="68">
        <f>C13</f>
        <v/>
      </c>
      <c r="F13" s="68" t="n"/>
      <c r="G13" s="68" t="n"/>
      <c r="H13" s="68">
        <f>E13</f>
        <v/>
      </c>
      <c r="I13" s="68" t="n"/>
      <c r="J13" s="68" t="n"/>
      <c r="K13" s="69" t="n">
        <v>-14000</v>
      </c>
      <c r="L13" s="69" t="n"/>
      <c r="M13" s="69" t="n"/>
      <c r="N13" s="69" t="n"/>
      <c r="O13" s="69" t="n"/>
      <c r="P13" s="70" t="n">
        <v>-14000</v>
      </c>
    </row>
    <row r="14">
      <c r="A14" s="66" t="inlineStr">
        <is>
          <t>Totaal Debiteuren</t>
        </is>
      </c>
      <c r="B14" s="66" t="n"/>
      <c r="C14" s="68">
        <f>SUM(C12:C13)</f>
        <v/>
      </c>
      <c r="D14" s="68" t="n"/>
      <c r="E14" s="68">
        <f>SUM(E12:E13)</f>
        <v/>
      </c>
      <c r="F14" s="68" t="n"/>
      <c r="G14" s="68" t="n"/>
      <c r="H14" s="68">
        <f>SUM(H12:H13)</f>
        <v/>
      </c>
      <c r="I14" s="68" t="n"/>
      <c r="J14" s="68" t="n"/>
      <c r="K14" s="68">
        <f>SUM(K12:K13)</f>
        <v/>
      </c>
      <c r="L14" s="68" t="n"/>
      <c r="M14" s="68" t="n"/>
      <c r="N14" s="68" t="n"/>
      <c r="O14" s="68" t="n"/>
      <c r="P14" s="68">
        <f>SUM(P12:P13)</f>
        <v/>
      </c>
    </row>
    <row r="15" ht="15" customHeight="1">
      <c r="A15" s="71" t="n"/>
      <c r="B15" s="66" t="n"/>
      <c r="C15" s="68" t="n"/>
      <c r="D15" s="68" t="n"/>
      <c r="E15" s="68" t="n"/>
      <c r="F15" s="68" t="n"/>
      <c r="G15" s="68" t="n"/>
      <c r="H15" s="68" t="n"/>
      <c r="I15" s="68" t="n"/>
      <c r="J15" s="68" t="n"/>
      <c r="K15" s="69" t="n"/>
      <c r="L15" s="69" t="n"/>
      <c r="M15" s="69" t="n"/>
      <c r="N15" s="69" t="n"/>
      <c r="O15" s="69" t="n"/>
      <c r="P15" s="70" t="n"/>
    </row>
    <row r="16" ht="15" customHeight="1">
      <c r="A16" s="71" t="n">
        <v>2040700</v>
      </c>
      <c r="B16" s="66" t="inlineStr">
        <is>
          <t xml:space="preserve">VOR Vooruitbetaalde servicekosten </t>
        </is>
      </c>
      <c r="C16" s="68" t="n">
        <v>29258.85</v>
      </c>
      <c r="D16" s="68" t="n"/>
      <c r="E16" s="68" t="n">
        <v>0</v>
      </c>
      <c r="F16" s="68" t="n"/>
      <c r="G16" s="68" t="n"/>
      <c r="H16" s="68" t="n">
        <v>0</v>
      </c>
      <c r="I16" s="68" t="n"/>
      <c r="J16" s="68" t="n"/>
      <c r="K16" s="69" t="n">
        <v>0</v>
      </c>
      <c r="L16" s="69" t="n"/>
      <c r="M16" s="69" t="n"/>
      <c r="N16" s="69" t="n"/>
      <c r="O16" s="69" t="n"/>
      <c r="P16" s="70" t="n">
        <v>0</v>
      </c>
    </row>
    <row r="17" ht="15" customHeight="1">
      <c r="A17" s="71" t="n">
        <v>2040900</v>
      </c>
      <c r="B17" s="66" t="inlineStr">
        <is>
          <t xml:space="preserve">VOR Vooruitbetaalde overige kosten </t>
        </is>
      </c>
      <c r="C17" s="68" t="n">
        <v>51218.7</v>
      </c>
      <c r="D17" s="68" t="n"/>
      <c r="E17" s="68" t="n">
        <v>0</v>
      </c>
      <c r="F17" s="68" t="n"/>
      <c r="G17" s="68" t="n"/>
      <c r="H17" s="68" t="n">
        <v>0</v>
      </c>
      <c r="I17" s="68" t="n"/>
      <c r="J17" s="68" t="n"/>
      <c r="K17" s="69" t="n">
        <v>0</v>
      </c>
      <c r="L17" s="69" t="n"/>
      <c r="M17" s="69" t="n"/>
      <c r="N17" s="69" t="n"/>
      <c r="O17" s="69" t="n"/>
      <c r="P17" s="70" t="n">
        <v>0</v>
      </c>
    </row>
    <row r="18">
      <c r="A18" s="66" t="inlineStr">
        <is>
          <t>Totaal Overige vorderingen en overlopende activa</t>
        </is>
      </c>
      <c r="B18" s="66" t="n"/>
      <c r="C18" s="68">
        <f>SUM(C16:C17)</f>
        <v/>
      </c>
      <c r="D18" s="68" t="n"/>
      <c r="E18" s="68">
        <f>SUM(E16:E17)</f>
        <v/>
      </c>
      <c r="F18" s="68" t="n"/>
      <c r="G18" s="68" t="n"/>
      <c r="H18" s="68">
        <f>SUM(H16:H17)</f>
        <v/>
      </c>
      <c r="I18" s="68" t="n"/>
      <c r="J18" s="68" t="n"/>
      <c r="K18" s="68">
        <f>SUM(K16:K17)</f>
        <v/>
      </c>
      <c r="L18" s="68" t="n"/>
      <c r="M18" s="68" t="n"/>
      <c r="N18" s="68" t="n"/>
      <c r="O18" s="68" t="n"/>
      <c r="P18" s="68">
        <f>SUM(P16:P17)</f>
        <v/>
      </c>
    </row>
    <row r="19" ht="15" customHeight="1">
      <c r="A19" s="66" t="n"/>
      <c r="B19" s="66" t="n"/>
      <c r="C19" s="68" t="n"/>
      <c r="D19" s="68" t="n"/>
      <c r="E19" s="68" t="n"/>
      <c r="F19" s="68" t="n"/>
      <c r="G19" s="68" t="n"/>
      <c r="H19" s="68" t="n"/>
      <c r="I19" s="68" t="n"/>
      <c r="J19" s="68" t="n"/>
      <c r="K19" s="69" t="n"/>
      <c r="L19" s="69" t="n"/>
      <c r="M19" s="69" t="n"/>
      <c r="N19" s="69" t="n"/>
      <c r="O19" s="69" t="n"/>
      <c r="P19" s="70" t="n"/>
    </row>
    <row r="20" ht="15" customHeight="1">
      <c r="A20" s="66" t="inlineStr">
        <is>
          <t>2640000</t>
        </is>
      </c>
      <c r="B20" s="66" t="inlineStr">
        <is>
          <t>RC Kortlopend DMRRP INV - I BV</t>
        </is>
      </c>
      <c r="C20" s="68" t="n">
        <v>510497</v>
      </c>
      <c r="D20" s="68" t="n"/>
      <c r="E20" s="68">
        <f>C20-400000</f>
        <v/>
      </c>
      <c r="F20" s="68" t="n"/>
      <c r="G20" s="68" t="n"/>
      <c r="H20" s="68">
        <f>E20</f>
        <v/>
      </c>
      <c r="I20" s="68" t="n"/>
      <c r="J20" s="68" t="n"/>
      <c r="K20" s="69" t="n">
        <v>110497</v>
      </c>
      <c r="L20" s="69" t="n"/>
      <c r="M20" s="69" t="n"/>
      <c r="N20" s="69" t="n"/>
      <c r="O20" s="69" t="n"/>
      <c r="P20" s="70" t="n">
        <v>110497</v>
      </c>
    </row>
    <row r="21">
      <c r="A21" s="66" t="inlineStr">
        <is>
          <t>Totaal Rekening-courant aandeelhouder</t>
        </is>
      </c>
      <c r="B21" s="66" t="n"/>
      <c r="C21" s="68">
        <f>C20</f>
        <v/>
      </c>
      <c r="D21" s="68" t="n"/>
      <c r="E21" s="68">
        <f>E20</f>
        <v/>
      </c>
      <c r="F21" s="68" t="n"/>
      <c r="G21" s="68" t="n"/>
      <c r="H21" s="68">
        <f>H20</f>
        <v/>
      </c>
      <c r="I21" s="68" t="n"/>
      <c r="J21" s="68" t="n"/>
      <c r="K21" s="68">
        <f>K20</f>
        <v/>
      </c>
      <c r="L21" s="68" t="n"/>
      <c r="M21" s="68" t="n"/>
      <c r="N21" s="68" t="n"/>
      <c r="O21" s="68" t="n"/>
      <c r="P21" s="68">
        <f>P20</f>
        <v/>
      </c>
    </row>
    <row r="22" ht="15" customHeight="1">
      <c r="A22" s="66" t="n"/>
      <c r="B22" s="66" t="n"/>
      <c r="C22" s="68" t="n"/>
      <c r="D22" s="68" t="n"/>
      <c r="E22" s="68" t="n"/>
      <c r="F22" s="68" t="n"/>
      <c r="G22" s="68" t="n"/>
      <c r="H22" s="68" t="n"/>
      <c r="I22" s="68" t="n"/>
      <c r="J22" s="68" t="n"/>
      <c r="K22" s="69" t="n"/>
      <c r="L22" s="69" t="n"/>
      <c r="M22" s="69" t="n"/>
      <c r="N22" s="69" t="n"/>
      <c r="O22" s="69" t="n"/>
      <c r="P22" s="70" t="n"/>
    </row>
    <row r="23" ht="15" customHeight="1">
      <c r="A23" s="66" t="inlineStr">
        <is>
          <t>2300000</t>
        </is>
      </c>
      <c r="B23" s="66" t="inlineStr">
        <is>
          <t>LM Kruisposten</t>
        </is>
      </c>
      <c r="C23" s="68" t="n">
        <v>0</v>
      </c>
      <c r="D23" s="68" t="n"/>
      <c r="E23" s="70" t="n">
        <v>0</v>
      </c>
      <c r="F23" s="70" t="n"/>
      <c r="G23" s="70" t="n"/>
      <c r="H23" s="70" t="n">
        <v>0</v>
      </c>
      <c r="I23" s="70" t="n"/>
      <c r="J23" s="70" t="n"/>
      <c r="K23" s="69" t="n">
        <v>0</v>
      </c>
      <c r="L23" s="69" t="n"/>
      <c r="M23" s="69" t="n"/>
      <c r="N23" s="69" t="n"/>
      <c r="O23" s="69" t="n"/>
      <c r="P23" s="70" t="n">
        <v>671.55</v>
      </c>
    </row>
    <row r="24" ht="15" customHeight="1">
      <c r="A24" s="66" t="inlineStr">
        <is>
          <t>2400200</t>
        </is>
      </c>
      <c r="B24" s="66" t="inlineStr">
        <is>
          <t>LM ABN AMRO Bank Disposal NL58 ABNA 0818 9180 39</t>
        </is>
      </c>
      <c r="C24" s="70" t="n">
        <v>0</v>
      </c>
      <c r="D24" s="70" t="n"/>
      <c r="E24" s="70" t="n">
        <v>985.8200000000001</v>
      </c>
      <c r="F24" s="70" t="n"/>
      <c r="G24" s="70" t="n"/>
      <c r="H24" s="70">
        <f>E24+2403985.53</f>
        <v/>
      </c>
      <c r="I24" s="70" t="n"/>
      <c r="J24" s="70" t="n"/>
      <c r="K24" s="69" t="n">
        <v>986584.5299999996</v>
      </c>
      <c r="L24" s="69" t="n"/>
      <c r="M24" s="69" t="n"/>
      <c r="N24" s="69" t="n"/>
      <c r="O24" s="69" t="n"/>
      <c r="P24" s="70" t="n">
        <v>538961.8199999996</v>
      </c>
    </row>
    <row r="25" ht="15" customHeight="1">
      <c r="A25" s="66" t="inlineStr">
        <is>
          <t>2400201</t>
        </is>
      </c>
      <c r="B25" s="66" t="inlineStr">
        <is>
          <t>LM ABN AMRO Bank Deposit NL57 ABNA 0541 6205 68</t>
        </is>
      </c>
      <c r="C25" s="68" t="n">
        <v>17365.7</v>
      </c>
      <c r="D25" s="68" t="n"/>
      <c r="E25" s="70">
        <f>C25+101804.22</f>
        <v/>
      </c>
      <c r="F25" s="70" t="n"/>
      <c r="G25" s="70" t="n"/>
      <c r="H25" s="70">
        <f>E25-101349.86</f>
        <v/>
      </c>
      <c r="I25" s="70" t="n"/>
      <c r="J25" s="70" t="n"/>
      <c r="K25" s="69" t="n">
        <v>9648.089999999997</v>
      </c>
      <c r="L25" s="69" t="n"/>
      <c r="M25" s="69" t="n"/>
      <c r="N25" s="69" t="n"/>
      <c r="O25" s="69" t="n"/>
      <c r="P25" s="70" t="n">
        <v>1369615.4</v>
      </c>
    </row>
    <row r="26" ht="15" customHeight="1">
      <c r="A26" s="66" t="inlineStr">
        <is>
          <t>2400202</t>
        </is>
      </c>
      <c r="B26" s="66" t="inlineStr">
        <is>
          <t>LM ABN AMRO Bank General NL93 ABNA 0541 6132 27</t>
        </is>
      </c>
      <c r="C26" s="68" t="n">
        <v>116513.7</v>
      </c>
      <c r="D26" s="68" t="n"/>
      <c r="E26" s="70">
        <f>C26-9646.52</f>
        <v/>
      </c>
      <c r="F26" s="70" t="n"/>
      <c r="G26" s="70" t="n"/>
      <c r="H26" s="70">
        <f>E26-83687.36</f>
        <v/>
      </c>
      <c r="I26" s="70" t="n"/>
      <c r="J26" s="70" t="n"/>
      <c r="K26" s="69" t="n">
        <v>191789.66</v>
      </c>
      <c r="L26" s="69" t="n"/>
      <c r="M26" s="69" t="n"/>
      <c r="N26" s="69" t="n"/>
      <c r="O26" s="69" t="n"/>
      <c r="P26" s="70" t="n">
        <v>1034628.15</v>
      </c>
    </row>
    <row r="27" ht="15" customHeight="1">
      <c r="A27" s="66" t="inlineStr">
        <is>
          <t>2400203</t>
        </is>
      </c>
      <c r="B27" s="66" t="inlineStr">
        <is>
          <t>LM ABN AMRO Bank Maintres NL04 ABNA 0541 6188 06</t>
        </is>
      </c>
      <c r="C27" s="68" t="n">
        <v>12.23</v>
      </c>
      <c r="D27" s="68" t="n"/>
      <c r="E27" s="70">
        <f>C27+654441.82</f>
        <v/>
      </c>
      <c r="F27" s="70" t="n"/>
      <c r="G27" s="70" t="n"/>
      <c r="H27" s="70">
        <f>E27-219333.49</f>
        <v/>
      </c>
      <c r="I27" s="70" t="n"/>
      <c r="J27" s="70" t="n"/>
      <c r="K27" s="69" t="n">
        <v>491535.0499999999</v>
      </c>
      <c r="L27" s="69" t="n"/>
      <c r="M27" s="69" t="n"/>
      <c r="N27" s="69" t="n"/>
      <c r="O27" s="69" t="n"/>
      <c r="P27" s="70" t="n">
        <v>601349.86</v>
      </c>
      <c r="R27" s="72" t="n"/>
    </row>
    <row r="28" ht="15" customHeight="1">
      <c r="A28" s="66" t="inlineStr">
        <is>
          <t>2400204</t>
        </is>
      </c>
      <c r="B28" s="66" t="inlineStr">
        <is>
          <t>LM ABN AMRO Bank Rent NL46 ABNA 0541 6088 35</t>
        </is>
      </c>
      <c r="C28" s="68" t="n">
        <v>290930.72</v>
      </c>
      <c r="D28" s="68" t="n"/>
      <c r="E28" s="70">
        <f>C28-416085.32</f>
        <v/>
      </c>
      <c r="F28" s="70" t="n"/>
      <c r="G28" s="70" t="n"/>
      <c r="H28" s="70">
        <f>E28+374178.16</f>
        <v/>
      </c>
      <c r="I28" s="70" t="n"/>
      <c r="J28" s="70" t="n"/>
      <c r="K28" s="69" t="n">
        <v>415424.01</v>
      </c>
      <c r="L28" s="69" t="n"/>
      <c r="M28" s="69" t="n"/>
      <c r="N28" s="69" t="n"/>
      <c r="O28" s="69" t="n"/>
      <c r="P28" s="70" t="n">
        <v>499735.95</v>
      </c>
    </row>
    <row r="29" ht="15" customHeight="1">
      <c r="A29" s="66" t="inlineStr">
        <is>
          <t>2400205</t>
        </is>
      </c>
      <c r="B29" s="66" t="inlineStr">
        <is>
          <t>LM ABN AMRO Bank SR EXP NL88 ABNA 0541 6205 92</t>
        </is>
      </c>
      <c r="C29" s="68" t="n">
        <v>10983.92</v>
      </c>
      <c r="D29" s="68" t="n"/>
      <c r="E29" s="70">
        <f>C29+200327.39</f>
        <v/>
      </c>
      <c r="F29" s="70" t="n"/>
      <c r="G29" s="70" t="n"/>
      <c r="H29" s="70">
        <f>E29-61914.41</f>
        <v/>
      </c>
      <c r="I29" s="70" t="n"/>
      <c r="J29" s="70" t="n"/>
      <c r="K29" s="69" t="n">
        <v>275171.2</v>
      </c>
      <c r="L29" s="69" t="n"/>
      <c r="M29" s="69" t="n"/>
      <c r="N29" s="69" t="n"/>
      <c r="O29" s="69" t="n"/>
      <c r="P29" s="70" t="n">
        <v>58139.79000000001</v>
      </c>
    </row>
    <row r="30">
      <c r="A30" s="66" t="inlineStr">
        <is>
          <t>Totaal Liquide middelen</t>
        </is>
      </c>
      <c r="B30" s="66" t="n"/>
      <c r="C30" s="68">
        <f>SUM(C23:C29)</f>
        <v/>
      </c>
      <c r="D30" s="68" t="n"/>
      <c r="E30" s="68">
        <f>SUM(E23:E29)</f>
        <v/>
      </c>
      <c r="F30" s="68" t="n"/>
      <c r="G30" s="68" t="n"/>
      <c r="H30" s="68">
        <f>SUM(H23:H29)</f>
        <v/>
      </c>
      <c r="I30" s="68" t="n"/>
      <c r="J30" s="68" t="n"/>
      <c r="K30" s="68">
        <f>SUM(K23:K29)</f>
        <v/>
      </c>
      <c r="L30" s="68" t="n"/>
      <c r="M30" s="68" t="n"/>
      <c r="N30" s="68" t="n"/>
      <c r="O30" s="68" t="n"/>
      <c r="P30" s="68">
        <f>SUM(P23:P29)</f>
        <v/>
      </c>
    </row>
    <row r="31" ht="15" customHeight="1">
      <c r="A31" s="66" t="n"/>
      <c r="B31" s="66" t="n"/>
      <c r="C31" s="68" t="n"/>
      <c r="D31" s="68" t="n"/>
      <c r="E31" s="68" t="n"/>
      <c r="F31" s="68" t="n"/>
      <c r="G31" s="68" t="n"/>
      <c r="H31" s="68" t="n"/>
      <c r="I31" s="68" t="n"/>
      <c r="J31" s="68" t="n"/>
      <c r="K31" s="69" t="n"/>
      <c r="L31" s="69" t="n"/>
      <c r="M31" s="69" t="n"/>
      <c r="N31" s="69" t="n"/>
      <c r="O31" s="69" t="n"/>
      <c r="P31" s="70" t="n"/>
    </row>
    <row r="32" ht="15" customHeight="1">
      <c r="A32" s="66" t="inlineStr">
        <is>
          <t>1000002</t>
        </is>
      </c>
      <c r="B32" s="66" t="inlineStr">
        <is>
          <t>EV Normale aandelen  Saldo</t>
        </is>
      </c>
      <c r="C32" s="68" t="n">
        <v>-1</v>
      </c>
      <c r="D32" s="68" t="n"/>
      <c r="E32" s="68">
        <f>C32</f>
        <v/>
      </c>
      <c r="F32" s="68" t="n"/>
      <c r="G32" s="68" t="n"/>
      <c r="H32" s="68">
        <f>E32</f>
        <v/>
      </c>
      <c r="I32" s="68" t="n"/>
      <c r="J32" s="68" t="n"/>
      <c r="K32" s="69" t="n">
        <v>-1</v>
      </c>
      <c r="L32" s="69" t="n"/>
      <c r="M32" s="69" t="n"/>
      <c r="N32" s="69" t="n"/>
      <c r="O32" s="69" t="n"/>
      <c r="P32" s="70" t="n">
        <v>-1</v>
      </c>
    </row>
    <row r="33" ht="15" customHeight="1">
      <c r="A33" s="66" t="inlineStr">
        <is>
          <t>1100000</t>
        </is>
      </c>
      <c r="B33" s="66" t="inlineStr">
        <is>
          <t>EV Agioreserve  Agio aandelen</t>
        </is>
      </c>
      <c r="C33" s="68" t="n">
        <v>-19431219.48</v>
      </c>
      <c r="D33" s="68" t="n"/>
      <c r="E33" s="68">
        <f>C33</f>
        <v/>
      </c>
      <c r="F33" s="68" t="n"/>
      <c r="G33" s="68" t="n"/>
      <c r="H33" s="68">
        <f>E33</f>
        <v/>
      </c>
      <c r="I33" s="68" t="n"/>
      <c r="J33" s="68" t="n"/>
      <c r="K33" s="69" t="n">
        <v>-19431219.48</v>
      </c>
      <c r="L33" s="69" t="n"/>
      <c r="M33" s="69" t="n"/>
      <c r="N33" s="69" t="n"/>
      <c r="O33" s="69" t="n"/>
      <c r="P33" s="70" t="n">
        <v>-19431219.48</v>
      </c>
    </row>
    <row r="34" ht="15" customHeight="1">
      <c r="A34" s="66" t="inlineStr">
        <is>
          <t>1160000</t>
        </is>
      </c>
      <c r="B34" s="66" t="inlineStr">
        <is>
          <t>EV Overige reserve Reserve aandelen</t>
        </is>
      </c>
      <c r="C34" s="68">
        <f>9890198.2+417450.68</f>
        <v/>
      </c>
      <c r="D34" s="68" t="n"/>
      <c r="E34" s="68">
        <f>C34</f>
        <v/>
      </c>
      <c r="F34" s="68" t="n"/>
      <c r="G34" s="68" t="n"/>
      <c r="H34" s="68">
        <f>E34</f>
        <v/>
      </c>
      <c r="I34" s="68" t="n"/>
      <c r="J34" s="68" t="n"/>
      <c r="K34" s="69" t="n">
        <v>9890198.199999999</v>
      </c>
      <c r="L34" s="69" t="n"/>
      <c r="M34" s="69" t="n"/>
      <c r="N34" s="69" t="n"/>
      <c r="O34" s="69" t="n"/>
      <c r="P34" s="70" t="n">
        <v>16135048</v>
      </c>
    </row>
    <row r="35" ht="15" customHeight="1">
      <c r="A35" s="66" t="inlineStr">
        <is>
          <t>1160100</t>
        </is>
      </c>
      <c r="B35" s="66" t="inlineStr">
        <is>
          <t>EV Overige reserve  Dividenduitkeringen aandelen</t>
        </is>
      </c>
      <c r="C35" s="68" t="n">
        <v>0</v>
      </c>
      <c r="D35" s="68" t="n"/>
      <c r="E35" s="68" t="n">
        <v>7497104.1</v>
      </c>
      <c r="F35" s="68" t="n"/>
      <c r="G35" s="68" t="n"/>
      <c r="H35" s="68" t="n">
        <v>7497104.1</v>
      </c>
      <c r="I35" s="68" t="n"/>
      <c r="J35" s="68" t="n"/>
      <c r="K35" s="69" t="n">
        <v>7727104.1</v>
      </c>
      <c r="L35" s="69" t="n"/>
      <c r="M35" s="69" t="n"/>
      <c r="N35" s="69" t="n"/>
      <c r="O35" s="69" t="n"/>
      <c r="P35" s="70" t="n">
        <v>310000</v>
      </c>
    </row>
    <row r="36">
      <c r="A36" s="66" t="inlineStr">
        <is>
          <t>Totaal Eigen vermogen</t>
        </is>
      </c>
      <c r="B36" s="66" t="n"/>
      <c r="C36" s="68">
        <f>SUM(C32:C35)</f>
        <v/>
      </c>
      <c r="D36" s="68" t="n"/>
      <c r="E36" s="68">
        <f>SUM(E32:E35)</f>
        <v/>
      </c>
      <c r="F36" s="68" t="n"/>
      <c r="G36" s="68" t="n"/>
      <c r="H36" s="68">
        <f>SUM(H32:H35)</f>
        <v/>
      </c>
      <c r="I36" s="68" t="n"/>
      <c r="J36" s="68" t="n"/>
      <c r="K36" s="68">
        <f>SUM(K32:K35)</f>
        <v/>
      </c>
      <c r="L36" s="68" t="n"/>
      <c r="M36" s="68" t="n"/>
      <c r="N36" s="68" t="n"/>
      <c r="O36" s="68" t="n"/>
      <c r="P36" s="68">
        <f>SUM(P32:P35)</f>
        <v/>
      </c>
    </row>
    <row r="37" ht="15" customHeight="1">
      <c r="A37" s="66" t="n"/>
      <c r="B37" s="66" t="n"/>
      <c r="C37" s="68" t="n"/>
      <c r="D37" s="68" t="n"/>
      <c r="E37" s="68" t="n"/>
      <c r="F37" s="68" t="n"/>
      <c r="G37" s="68" t="n"/>
      <c r="H37" s="68" t="n"/>
      <c r="I37" s="68" t="n"/>
      <c r="J37" s="68" t="n"/>
      <c r="K37" s="69" t="n"/>
      <c r="L37" s="69" t="n"/>
      <c r="M37" s="69" t="n"/>
      <c r="N37" s="69" t="n"/>
      <c r="O37" s="69" t="n"/>
      <c r="P37" s="70" t="n">
        <v>0</v>
      </c>
    </row>
    <row r="38" ht="15" customHeight="1">
      <c r="A38" s="71" t="n">
        <v>1930000</v>
      </c>
      <c r="B38" s="66" t="inlineStr">
        <is>
          <t xml:space="preserve">LLS Hoofdsom ABN AMRO Bank NV leningen </t>
        </is>
      </c>
      <c r="C38" s="68" t="n">
        <v>-86326750</v>
      </c>
      <c r="D38" s="68" t="n"/>
      <c r="E38" s="68" t="n">
        <v>0</v>
      </c>
      <c r="F38" s="68" t="n"/>
      <c r="G38" s="68" t="n"/>
      <c r="H38" s="68" t="n">
        <v>0</v>
      </c>
      <c r="I38" s="68" t="n"/>
      <c r="J38" s="68" t="n"/>
      <c r="K38" s="69" t="n">
        <v>0</v>
      </c>
      <c r="L38" s="69" t="n"/>
      <c r="M38" s="69" t="n"/>
      <c r="N38" s="69" t="n"/>
      <c r="O38" s="69" t="n"/>
      <c r="P38" s="70" t="n">
        <v>-130000000</v>
      </c>
    </row>
    <row r="39" ht="15" customHeight="1">
      <c r="A39" s="66" t="inlineStr">
        <is>
          <t>1930001</t>
        </is>
      </c>
      <c r="B39" s="66" t="inlineStr">
        <is>
          <t>LLS Hoofdsom ABN AMRO Bank NV Senior Facility Agreement</t>
        </is>
      </c>
      <c r="C39" s="68" t="n">
        <v>0</v>
      </c>
      <c r="D39" s="68" t="n"/>
      <c r="E39" s="68" t="n">
        <v>-130000000</v>
      </c>
      <c r="F39" s="68" t="n"/>
      <c r="G39" s="68" t="n"/>
      <c r="H39" s="68" t="n">
        <v>-130000000</v>
      </c>
      <c r="I39" s="68" t="n"/>
      <c r="J39" s="68" t="n"/>
      <c r="K39" s="69" t="n">
        <v>-130000000</v>
      </c>
      <c r="L39" s="69" t="n"/>
      <c r="M39" s="69" t="n"/>
      <c r="N39" s="69" t="n"/>
      <c r="O39" s="69" t="n"/>
      <c r="P39" s="70" t="n">
        <v>0</v>
      </c>
    </row>
    <row r="40" ht="15" customHeight="1">
      <c r="A40" s="71" t="n">
        <v>1930100</v>
      </c>
      <c r="B40" s="66" t="inlineStr">
        <is>
          <t xml:space="preserve">LLS Cum aflossingen ABN AMRO Bank NV leningen </t>
        </is>
      </c>
      <c r="C40" s="68" t="n">
        <v>759062.1800000001</v>
      </c>
      <c r="D40" s="68" t="n"/>
      <c r="E40" s="68" t="n">
        <v>0</v>
      </c>
      <c r="F40" s="68" t="n"/>
      <c r="G40" s="68" t="n"/>
      <c r="H40" s="68" t="n">
        <v>0</v>
      </c>
      <c r="I40" s="68" t="n"/>
      <c r="J40" s="68" t="n"/>
      <c r="K40" s="69" t="n">
        <v>0</v>
      </c>
      <c r="L40" s="69" t="n"/>
      <c r="M40" s="69" t="n"/>
      <c r="N40" s="69" t="n"/>
      <c r="O40" s="69" t="n"/>
      <c r="P40" s="70" t="n">
        <v>5070232.5</v>
      </c>
    </row>
    <row r="41" ht="15" customHeight="1">
      <c r="A41" s="66" t="inlineStr">
        <is>
          <t>1930101</t>
        </is>
      </c>
      <c r="B41" s="66" t="inlineStr">
        <is>
          <t>LLS Cum aflossingen ABN AMRO Bank NV Senior Facility Agreement</t>
        </is>
      </c>
      <c r="C41" s="68" t="n">
        <v>0</v>
      </c>
      <c r="D41" s="68" t="n"/>
      <c r="E41" s="68" t="n">
        <v>812500</v>
      </c>
      <c r="F41" s="68" t="n"/>
      <c r="G41" s="68" t="n"/>
      <c r="H41" s="68">
        <f>E41+812500</f>
        <v/>
      </c>
      <c r="I41" s="68" t="n"/>
      <c r="J41" s="68" t="n"/>
      <c r="K41" s="69" t="n">
        <v>5070232.5</v>
      </c>
      <c r="L41" s="69" t="n"/>
      <c r="M41" s="69" t="n"/>
      <c r="N41" s="69" t="n"/>
      <c r="O41" s="69" t="n"/>
      <c r="P41" s="70" t="n">
        <v>0</v>
      </c>
    </row>
    <row r="42" ht="15" customHeight="1">
      <c r="A42" s="71" t="n">
        <v>1930201</v>
      </c>
      <c r="B42" s="66" t="inlineStr">
        <is>
          <t>LLS Kortlopend deel ABN AMRO Bank NV Senior Facility Agreement</t>
        </is>
      </c>
      <c r="C42" s="68" t="n">
        <v>0</v>
      </c>
      <c r="D42" s="68" t="n"/>
      <c r="E42" s="68">
        <f>C42</f>
        <v/>
      </c>
      <c r="F42" s="68" t="n"/>
      <c r="G42" s="68" t="n"/>
      <c r="H42" s="68">
        <f>E42</f>
        <v/>
      </c>
      <c r="I42" s="68" t="n"/>
      <c r="J42" s="68" t="n"/>
      <c r="K42" s="69" t="n">
        <v>-306833.59</v>
      </c>
      <c r="L42" s="69" t="n"/>
      <c r="M42" s="69" t="n"/>
      <c r="N42" s="69" t="n"/>
      <c r="O42" s="69" t="n"/>
      <c r="P42" s="70" t="n"/>
    </row>
    <row r="43" ht="15" customHeight="1">
      <c r="A43" s="66" t="n"/>
      <c r="B43" s="66" t="n"/>
      <c r="C43" s="68" t="n"/>
      <c r="D43" s="68" t="n"/>
      <c r="E43" s="68" t="n"/>
      <c r="F43" s="68" t="n"/>
      <c r="G43" s="68" t="n"/>
      <c r="H43" s="68" t="n"/>
      <c r="I43" s="68" t="n"/>
      <c r="J43" s="68" t="n"/>
      <c r="K43" s="69" t="n"/>
      <c r="L43" s="69" t="n"/>
      <c r="M43" s="69" t="n"/>
      <c r="N43" s="69" t="n"/>
      <c r="O43" s="69" t="n"/>
      <c r="P43" s="70" t="n">
        <v>0</v>
      </c>
    </row>
    <row r="44" ht="15" customHeight="1">
      <c r="A44" s="71" t="n">
        <v>1990001</v>
      </c>
      <c r="B44" s="66" t="inlineStr">
        <is>
          <t>LLS Hoofdsom QSPESS Limited</t>
        </is>
      </c>
      <c r="C44" s="68" t="n">
        <v>-35257824.94</v>
      </c>
      <c r="D44" s="68" t="n"/>
      <c r="E44" s="68" t="n">
        <v>0</v>
      </c>
      <c r="F44" s="68" t="n"/>
      <c r="G44" s="68" t="n"/>
      <c r="H44" s="68" t="n">
        <v>0</v>
      </c>
      <c r="I44" s="68" t="n"/>
      <c r="J44" s="68" t="n"/>
      <c r="K44" s="69" t="n">
        <v>0</v>
      </c>
      <c r="L44" s="69" t="n"/>
      <c r="M44" s="69" t="n"/>
      <c r="N44" s="69" t="n"/>
      <c r="O44" s="69" t="n"/>
      <c r="P44" s="70" t="n"/>
    </row>
    <row r="45">
      <c r="A45" s="66" t="inlineStr">
        <is>
          <t>Totaal Langlopende schulden</t>
        </is>
      </c>
      <c r="B45" s="66" t="n"/>
      <c r="C45" s="68">
        <f>SUM(C38:C44)</f>
        <v/>
      </c>
      <c r="D45" s="68" t="n"/>
      <c r="E45" s="68">
        <f>SUM(E38:E44)</f>
        <v/>
      </c>
      <c r="F45" s="68" t="n"/>
      <c r="G45" s="68" t="n"/>
      <c r="H45" s="68">
        <f>SUM(H38:H44)</f>
        <v/>
      </c>
      <c r="I45" s="68" t="n"/>
      <c r="J45" s="68" t="n"/>
      <c r="K45" s="68">
        <f>SUM(K38:K44)</f>
        <v/>
      </c>
      <c r="L45" s="68" t="n"/>
      <c r="M45" s="68" t="n"/>
      <c r="N45" s="68" t="n"/>
      <c r="O45" s="68" t="n"/>
      <c r="P45" s="68">
        <f>SUM(P38:P44)</f>
        <v/>
      </c>
    </row>
    <row r="46" ht="15" customHeight="1">
      <c r="A46" s="66" t="n"/>
      <c r="B46" s="66" t="n"/>
      <c r="C46" s="68" t="n"/>
      <c r="D46" s="68" t="n"/>
      <c r="E46" s="68" t="n"/>
      <c r="F46" s="68" t="n"/>
      <c r="G46" s="68" t="n"/>
      <c r="H46" s="68" t="n"/>
      <c r="I46" s="68" t="n"/>
      <c r="J46" s="68" t="n"/>
      <c r="K46" s="69" t="n"/>
      <c r="L46" s="69" t="n"/>
      <c r="M46" s="69" t="n"/>
      <c r="N46" s="69" t="n"/>
      <c r="O46" s="69" t="n"/>
      <c r="P46" s="70" t="n">
        <v>-22162.98</v>
      </c>
    </row>
    <row r="47" ht="15" customHeight="1">
      <c r="A47" s="66" t="inlineStr">
        <is>
          <t>2730000</t>
        </is>
      </c>
      <c r="B47" s="66" t="inlineStr">
        <is>
          <t>KLS Crediteuren</t>
        </is>
      </c>
      <c r="C47" s="68" t="n">
        <v>-143296.28</v>
      </c>
      <c r="D47" s="68" t="n"/>
      <c r="E47" s="68">
        <f>C47+137851.28</f>
        <v/>
      </c>
      <c r="F47" s="68" t="n"/>
      <c r="G47" s="68" t="n"/>
      <c r="H47" s="68">
        <f>E47+5444.99</f>
        <v/>
      </c>
      <c r="I47" s="68" t="n"/>
      <c r="J47" s="68" t="n"/>
      <c r="K47" s="69" t="n">
        <v>-9075.01</v>
      </c>
      <c r="L47" s="69" t="n"/>
      <c r="M47" s="69" t="n"/>
      <c r="N47" s="69" t="n"/>
      <c r="O47" s="69" t="n"/>
      <c r="P47" s="70" t="n">
        <v>0</v>
      </c>
    </row>
    <row r="48" ht="15" customHeight="1">
      <c r="A48" s="71" t="n">
        <v>2730001</v>
      </c>
      <c r="B48" s="66" t="inlineStr">
        <is>
          <t>KLS Crediteuren intercompany</t>
        </is>
      </c>
      <c r="C48" s="68" t="n">
        <v>0</v>
      </c>
      <c r="D48" s="68" t="n"/>
      <c r="E48" s="68" t="n">
        <v>5445</v>
      </c>
      <c r="F48" s="68" t="n"/>
      <c r="G48" s="68" t="n"/>
      <c r="H48" s="68">
        <f>E48-5445</f>
        <v/>
      </c>
      <c r="I48" s="68" t="n"/>
      <c r="J48" s="68" t="n"/>
      <c r="K48" s="69" t="n">
        <v>0</v>
      </c>
      <c r="L48" s="69" t="n"/>
      <c r="M48" s="69" t="n"/>
      <c r="N48" s="69" t="n"/>
      <c r="O48" s="69" t="n"/>
      <c r="P48" s="70" t="n"/>
    </row>
    <row r="49">
      <c r="A49" s="66" t="inlineStr">
        <is>
          <t>Totaal Crediteuren</t>
        </is>
      </c>
      <c r="B49" s="66" t="n"/>
      <c r="C49" s="68">
        <f>SUM(C47:C48)</f>
        <v/>
      </c>
      <c r="D49" s="68" t="n"/>
      <c r="E49" s="68">
        <f>SUM(E47:E48)</f>
        <v/>
      </c>
      <c r="F49" s="68" t="n"/>
      <c r="G49" s="68" t="n"/>
      <c r="H49" s="68">
        <f>SUM(H47:H48)</f>
        <v/>
      </c>
      <c r="I49" s="68" t="n"/>
      <c r="J49" s="68" t="n"/>
      <c r="K49" s="68">
        <f>SUM(K47:K48)</f>
        <v/>
      </c>
      <c r="L49" s="68" t="n"/>
      <c r="M49" s="68" t="n"/>
      <c r="N49" s="68" t="n"/>
      <c r="O49" s="68" t="n"/>
      <c r="P49" s="68">
        <f>SUM(P47:P48)</f>
        <v/>
      </c>
    </row>
    <row r="50">
      <c r="A50" s="66" t="n"/>
      <c r="B50" s="66" t="n"/>
      <c r="C50" s="68" t="n"/>
      <c r="D50" s="68" t="n"/>
      <c r="E50" s="68" t="n"/>
      <c r="F50" s="68" t="n"/>
      <c r="G50" s="68" t="n"/>
      <c r="H50" s="68" t="n"/>
      <c r="I50" s="68" t="n"/>
      <c r="J50" s="68" t="n"/>
      <c r="K50" s="69" t="n"/>
      <c r="L50" s="69" t="n"/>
      <c r="M50" s="69" t="n"/>
      <c r="N50" s="69" t="n"/>
      <c r="O50" s="69" t="n"/>
    </row>
    <row r="51" ht="15" customHeight="1">
      <c r="A51" s="66" t="inlineStr">
        <is>
          <t>2511000</t>
        </is>
      </c>
      <c r="B51" s="66" t="inlineStr">
        <is>
          <t>BEL BTW te vorderen hoog</t>
        </is>
      </c>
      <c r="C51" s="68" t="n">
        <v>0</v>
      </c>
      <c r="D51" s="68" t="n"/>
      <c r="E51" s="68">
        <f>C51</f>
        <v/>
      </c>
      <c r="F51" s="68" t="n"/>
      <c r="G51" s="68" t="n"/>
      <c r="H51" s="68">
        <f>E51</f>
        <v/>
      </c>
      <c r="I51" s="68" t="n"/>
      <c r="J51" s="68" t="n"/>
      <c r="K51" s="69" t="n">
        <v>0</v>
      </c>
      <c r="L51" s="69" t="n"/>
      <c r="M51" s="69" t="n"/>
      <c r="N51" s="69" t="n"/>
      <c r="O51" s="69" t="n"/>
      <c r="P51" s="70" t="n">
        <v>4791.47</v>
      </c>
    </row>
    <row r="52" ht="15" customHeight="1">
      <c r="A52" s="66" t="inlineStr">
        <is>
          <t>2512100</t>
        </is>
      </c>
      <c r="B52" s="66" t="inlineStr">
        <is>
          <t>BEL Afgedragen/ontvangen BTW</t>
        </is>
      </c>
      <c r="C52" s="68" t="n">
        <v>-4583</v>
      </c>
      <c r="D52" s="68" t="n"/>
      <c r="E52" s="68">
        <f>C52-2003.99</f>
        <v/>
      </c>
      <c r="F52" s="68" t="n"/>
      <c r="G52" s="68" t="n"/>
      <c r="H52" s="68">
        <f>E52-248.2</f>
        <v/>
      </c>
      <c r="I52" s="68" t="n"/>
      <c r="J52" s="68" t="n"/>
      <c r="K52" s="69" t="n">
        <v>-6845.46</v>
      </c>
      <c r="L52" s="69" t="n"/>
      <c r="M52" s="69" t="n"/>
      <c r="N52" s="69" t="n"/>
      <c r="O52" s="69" t="n"/>
      <c r="P52" s="70" t="n">
        <v>-2695.96</v>
      </c>
    </row>
    <row r="53" ht="15" customHeight="1">
      <c r="A53" s="66" t="inlineStr">
        <is>
          <t>2530000</t>
        </is>
      </c>
      <c r="B53" s="66" t="inlineStr">
        <is>
          <t>BEL Te betalen vennootschapsbelasting</t>
        </is>
      </c>
      <c r="C53" s="68" t="n">
        <v>-178576</v>
      </c>
      <c r="D53" s="68" t="n"/>
      <c r="E53" s="68">
        <f>C53+396906</f>
        <v/>
      </c>
      <c r="F53" s="68" t="n"/>
      <c r="G53" s="68" t="n"/>
      <c r="H53" s="68">
        <f>E53+40582</f>
        <v/>
      </c>
      <c r="I53" s="68" t="n"/>
      <c r="J53" s="68" t="n"/>
      <c r="K53" s="69" t="n">
        <v>258912</v>
      </c>
      <c r="L53" s="69" t="n"/>
      <c r="M53" s="69" t="n"/>
      <c r="N53" s="69" t="n"/>
      <c r="O53" s="69" t="n"/>
      <c r="P53" s="70" t="n">
        <v>258912</v>
      </c>
    </row>
    <row r="54" ht="15" customHeight="1">
      <c r="A54" s="66" t="inlineStr">
        <is>
          <t>2550000</t>
        </is>
      </c>
      <c r="B54" s="66" t="inlineStr">
        <is>
          <t>BEL Te betalen overige belastingen</t>
        </is>
      </c>
      <c r="C54" s="68" t="n">
        <v>330803</v>
      </c>
      <c r="D54" s="68" t="n"/>
      <c r="E54" s="68">
        <f>C54-330803</f>
        <v/>
      </c>
      <c r="F54" s="68" t="n"/>
      <c r="G54" s="68" t="n"/>
      <c r="H54" s="68" t="n">
        <v>0</v>
      </c>
      <c r="I54" s="68" t="n"/>
      <c r="J54" s="68" t="n"/>
      <c r="K54" s="69" t="n">
        <v>0</v>
      </c>
      <c r="L54" s="69" t="n"/>
      <c r="M54" s="69" t="n"/>
      <c r="N54" s="69" t="n"/>
      <c r="O54" s="69" t="n"/>
      <c r="P54" s="70" t="n">
        <v>284637.87</v>
      </c>
    </row>
    <row r="55">
      <c r="A55" s="66" t="inlineStr">
        <is>
          <t>Totaal Belastingen</t>
        </is>
      </c>
      <c r="B55" s="66" t="n"/>
      <c r="C55" s="68">
        <f>SUM(C51:C54)</f>
        <v/>
      </c>
      <c r="D55" s="68" t="n"/>
      <c r="E55" s="68">
        <f>SUM(E51:E54)</f>
        <v/>
      </c>
      <c r="F55" s="68" t="n"/>
      <c r="G55" s="68" t="n"/>
      <c r="H55" s="68">
        <f>SUM(H51:H54)</f>
        <v/>
      </c>
      <c r="I55" s="68" t="n"/>
      <c r="J55" s="68" t="n"/>
      <c r="K55" s="68">
        <f>SUM(K51:K54)</f>
        <v/>
      </c>
      <c r="L55" s="68" t="n"/>
      <c r="M55" s="68" t="n"/>
      <c r="N55" s="68" t="n"/>
      <c r="O55" s="68" t="n"/>
      <c r="P55" s="68">
        <f>SUM(P51:P54)</f>
        <v/>
      </c>
    </row>
    <row r="56">
      <c r="A56" s="66" t="n"/>
      <c r="B56" s="66" t="n"/>
      <c r="C56" s="68" t="n"/>
      <c r="D56" s="68" t="n"/>
      <c r="E56" s="68" t="n"/>
      <c r="F56" s="68" t="n"/>
      <c r="G56" s="68" t="n"/>
      <c r="H56" s="68" t="n"/>
      <c r="I56" s="68" t="n"/>
      <c r="J56" s="68" t="n"/>
      <c r="K56" s="69" t="n"/>
      <c r="L56" s="69" t="n"/>
      <c r="M56" s="69" t="n"/>
      <c r="N56" s="69" t="n"/>
      <c r="O56" s="69" t="n"/>
    </row>
    <row r="57" ht="15" customHeight="1">
      <c r="A57" s="66" t="inlineStr">
        <is>
          <t>2740300</t>
        </is>
      </c>
      <c r="B57" s="66" t="inlineStr">
        <is>
          <t>KLS Te betalen waarborgsommen kortlopend</t>
        </is>
      </c>
      <c r="C57" s="68" t="n">
        <v>-615377.22</v>
      </c>
      <c r="D57" s="68" t="n"/>
      <c r="E57" s="68">
        <f>C57-4490.01</f>
        <v/>
      </c>
      <c r="F57" s="68" t="n"/>
      <c r="G57" s="68" t="n"/>
      <c r="H57" s="68">
        <f>E57-14716.27</f>
        <v/>
      </c>
      <c r="I57" s="68" t="n"/>
      <c r="J57" s="68" t="n"/>
      <c r="K57" s="69" t="n">
        <v>-666513.99</v>
      </c>
      <c r="L57" s="69" t="n"/>
      <c r="M57" s="69" t="n"/>
      <c r="N57" s="69" t="n"/>
      <c r="O57" s="69" t="n"/>
      <c r="P57" s="70" t="n">
        <v>-678422.47</v>
      </c>
    </row>
    <row r="58" ht="15" customHeight="1">
      <c r="A58" s="66" t="inlineStr">
        <is>
          <t>2740500</t>
        </is>
      </c>
      <c r="B58" s="66" t="inlineStr">
        <is>
          <t>KLS Te betalen accountants- en administratiekosten</t>
        </is>
      </c>
      <c r="C58" s="68" t="n">
        <v>-22500</v>
      </c>
      <c r="D58" s="68" t="n"/>
      <c r="E58" s="68">
        <f>C58</f>
        <v/>
      </c>
      <c r="F58" s="68" t="n"/>
      <c r="G58" s="68" t="n"/>
      <c r="H58" s="68">
        <f>E58</f>
        <v/>
      </c>
      <c r="I58" s="68" t="n"/>
      <c r="J58" s="68" t="n"/>
      <c r="K58" s="69" t="n">
        <v>-22500</v>
      </c>
      <c r="L58" s="69" t="n"/>
      <c r="M58" s="69" t="n"/>
      <c r="N58" s="69" t="n"/>
      <c r="O58" s="69" t="n"/>
      <c r="P58" s="70" t="n">
        <v>-22500</v>
      </c>
    </row>
    <row r="59" ht="15" customHeight="1">
      <c r="A59" s="66" t="inlineStr">
        <is>
          <t>2740600</t>
        </is>
      </c>
      <c r="B59" s="66" t="inlineStr">
        <is>
          <t>KLS Te betalen rente</t>
        </is>
      </c>
      <c r="C59" s="68" t="n">
        <v>-405058</v>
      </c>
      <c r="D59" s="68" t="n"/>
      <c r="E59" s="68">
        <f>C59+405058</f>
        <v/>
      </c>
      <c r="F59" s="68" t="n"/>
      <c r="G59" s="68" t="n"/>
      <c r="H59" s="68">
        <f>E59</f>
        <v/>
      </c>
      <c r="I59" s="68" t="n"/>
      <c r="J59" s="68" t="n"/>
      <c r="K59" s="69" t="n">
        <v>0</v>
      </c>
      <c r="L59" s="69" t="n"/>
      <c r="M59" s="69" t="n"/>
      <c r="N59" s="69" t="n"/>
      <c r="O59" s="69" t="n"/>
      <c r="P59" s="70" t="n">
        <v>-503883.39</v>
      </c>
    </row>
    <row r="60" ht="15" customHeight="1">
      <c r="A60" s="66" t="inlineStr">
        <is>
          <t>2740700</t>
        </is>
      </c>
      <c r="B60" s="66" t="inlineStr">
        <is>
          <t>KLS Te betalen verzekeringen</t>
        </is>
      </c>
      <c r="C60" s="68" t="n">
        <v>0</v>
      </c>
      <c r="D60" s="68" t="n"/>
      <c r="E60" s="68">
        <f>C60</f>
        <v/>
      </c>
      <c r="F60" s="68" t="n"/>
      <c r="G60" s="68" t="n"/>
      <c r="H60" s="68">
        <f>E60</f>
        <v/>
      </c>
      <c r="I60" s="68" t="n"/>
      <c r="J60" s="68" t="n"/>
      <c r="K60" s="69" t="n">
        <v>0</v>
      </c>
      <c r="L60" s="69" t="n"/>
      <c r="M60" s="69" t="n"/>
      <c r="N60" s="69" t="n"/>
      <c r="O60" s="69" t="n"/>
      <c r="P60" s="70" t="n">
        <v>47711.56</v>
      </c>
    </row>
    <row r="61" ht="15" customHeight="1">
      <c r="A61" s="66" t="inlineStr">
        <is>
          <t>2741000</t>
        </is>
      </c>
      <c r="B61" s="66" t="inlineStr">
        <is>
          <t>KLS Te betalen servicekosten</t>
        </is>
      </c>
      <c r="C61" s="68" t="n">
        <v>-93947.02</v>
      </c>
      <c r="D61" s="68" t="n"/>
      <c r="E61" s="68">
        <f>C61+3500</f>
        <v/>
      </c>
      <c r="F61" s="68" t="n"/>
      <c r="G61" s="68" t="n"/>
      <c r="H61" s="68">
        <f>E61+63230</f>
        <v/>
      </c>
      <c r="I61" s="68" t="n"/>
      <c r="J61" s="68" t="n"/>
      <c r="K61" s="69" t="n">
        <v>-18117.02</v>
      </c>
      <c r="L61" s="69" t="n"/>
      <c r="M61" s="69" t="n"/>
      <c r="N61" s="69" t="n"/>
      <c r="O61" s="69" t="n"/>
      <c r="P61" s="70" t="n">
        <v>-9417.020000000004</v>
      </c>
    </row>
    <row r="62" ht="15" customHeight="1">
      <c r="A62" s="66" t="inlineStr">
        <is>
          <t>2741001</t>
        </is>
      </c>
      <c r="B62" s="66" t="inlineStr">
        <is>
          <t>KLS Te betalen exploitatiekosten</t>
        </is>
      </c>
      <c r="C62" s="68" t="n">
        <v>-238421.31</v>
      </c>
      <c r="D62" s="68" t="n"/>
      <c r="E62" s="68">
        <f>C62+238421.31</f>
        <v/>
      </c>
      <c r="F62" s="68" t="n"/>
      <c r="G62" s="68" t="n"/>
      <c r="H62" s="68">
        <f>E62</f>
        <v/>
      </c>
      <c r="I62" s="68" t="n"/>
      <c r="J62" s="68" t="n"/>
      <c r="K62" s="69" t="n">
        <v>0</v>
      </c>
      <c r="L62" s="69" t="n"/>
      <c r="M62" s="69" t="n"/>
      <c r="N62" s="69" t="n"/>
      <c r="O62" s="69" t="n"/>
      <c r="P62" s="70" t="n">
        <v>0</v>
      </c>
    </row>
    <row r="63" ht="15" customHeight="1">
      <c r="A63" s="66" t="inlineStr">
        <is>
          <t>2741002</t>
        </is>
      </c>
      <c r="B63" s="66" t="inlineStr">
        <is>
          <t>KLS Te betalen VVE</t>
        </is>
      </c>
      <c r="C63" s="68" t="n">
        <v>-4268.84</v>
      </c>
      <c r="D63" s="68" t="n"/>
      <c r="E63" s="68">
        <f>C63+4268.84</f>
        <v/>
      </c>
      <c r="F63" s="68" t="n"/>
      <c r="G63" s="68" t="n"/>
      <c r="H63" s="68">
        <f>E63</f>
        <v/>
      </c>
      <c r="I63" s="68" t="n"/>
      <c r="J63" s="68" t="n"/>
      <c r="K63" s="69" t="n">
        <v>0</v>
      </c>
      <c r="L63" s="69" t="n"/>
      <c r="M63" s="69" t="n"/>
      <c r="N63" s="69" t="n"/>
      <c r="O63" s="69" t="n"/>
      <c r="P63" s="70" t="n">
        <v>0</v>
      </c>
    </row>
    <row r="64" ht="15" customHeight="1">
      <c r="A64" s="66" t="inlineStr">
        <is>
          <t>2741003</t>
        </is>
      </c>
      <c r="B64" s="66" t="inlineStr">
        <is>
          <t>KLS Te betalen Wieglia</t>
        </is>
      </c>
      <c r="C64" s="68" t="n">
        <v>-10938.05</v>
      </c>
      <c r="D64" s="68" t="n"/>
      <c r="E64" s="68">
        <f>C64+10938.05</f>
        <v/>
      </c>
      <c r="F64" s="68" t="n"/>
      <c r="G64" s="68" t="n"/>
      <c r="H64" s="68">
        <f>E64</f>
        <v/>
      </c>
      <c r="I64" s="68" t="n"/>
      <c r="J64" s="68" t="n"/>
      <c r="K64" s="69" t="n">
        <v>0</v>
      </c>
      <c r="L64" s="69" t="n"/>
      <c r="M64" s="69" t="n"/>
      <c r="N64" s="69" t="n"/>
      <c r="O64" s="69" t="n"/>
      <c r="P64" s="70" t="n">
        <v>0</v>
      </c>
    </row>
    <row r="65" ht="15" customHeight="1">
      <c r="A65" s="66" t="inlineStr">
        <is>
          <t>2741004</t>
        </is>
      </c>
      <c r="B65" s="66" t="inlineStr">
        <is>
          <t>KLS Te betalen Hoen</t>
        </is>
      </c>
      <c r="C65" s="68" t="n">
        <v>-28081.34</v>
      </c>
      <c r="D65" s="68" t="n"/>
      <c r="E65" s="68">
        <f>C65-11612.19</f>
        <v/>
      </c>
      <c r="F65" s="68" t="n"/>
      <c r="G65" s="68" t="n"/>
      <c r="H65" s="68">
        <f>E65-488.11</f>
        <v/>
      </c>
      <c r="I65" s="68" t="n"/>
      <c r="J65" s="68" t="n"/>
      <c r="K65" s="69" t="n">
        <v>-40157.89</v>
      </c>
      <c r="L65" s="69" t="n"/>
      <c r="M65" s="69" t="n"/>
      <c r="N65" s="69" t="n"/>
      <c r="O65" s="69" t="n"/>
      <c r="P65" s="70" t="n">
        <v>-80047.10000000001</v>
      </c>
    </row>
    <row r="66" ht="15" customHeight="1">
      <c r="A66" s="66" t="inlineStr">
        <is>
          <t>2741005</t>
        </is>
      </c>
      <c r="B66" s="66" t="inlineStr">
        <is>
          <t>KLS Te betalen managementvergoedingen</t>
        </is>
      </c>
      <c r="C66" s="68" t="n">
        <v>0</v>
      </c>
      <c r="D66" s="68" t="n"/>
      <c r="E66" s="68">
        <f>C66</f>
        <v/>
      </c>
      <c r="F66" s="68" t="n"/>
      <c r="G66" s="68" t="n"/>
      <c r="H66" s="68">
        <f>E66</f>
        <v/>
      </c>
      <c r="I66" s="68" t="n"/>
      <c r="J66" s="68" t="n"/>
      <c r="K66" s="69" t="n">
        <v>0</v>
      </c>
      <c r="L66" s="69" t="n"/>
      <c r="M66" s="69" t="n"/>
      <c r="N66" s="69" t="n"/>
      <c r="O66" s="69" t="n"/>
      <c r="P66" s="70" t="n">
        <v>0</v>
      </c>
    </row>
    <row r="67" ht="15" customHeight="1">
      <c r="A67" s="66" t="inlineStr">
        <is>
          <t>2741200</t>
        </is>
      </c>
      <c r="B67" s="66" t="inlineStr">
        <is>
          <t>KLS Te betalen overige kosten</t>
        </is>
      </c>
      <c r="C67" s="68" t="n">
        <v>-5040</v>
      </c>
      <c r="D67" s="68" t="n"/>
      <c r="E67" s="68">
        <f>C67</f>
        <v/>
      </c>
      <c r="F67" s="68" t="n"/>
      <c r="G67" s="68" t="n"/>
      <c r="H67" s="68">
        <f>E67</f>
        <v/>
      </c>
      <c r="I67" s="68" t="n"/>
      <c r="J67" s="68" t="n"/>
      <c r="K67" s="69" t="n">
        <v>-5040</v>
      </c>
      <c r="L67" s="69" t="n"/>
      <c r="M67" s="69" t="n"/>
      <c r="N67" s="69" t="n"/>
      <c r="O67" s="69" t="n"/>
      <c r="P67" s="70" t="n">
        <v>-5040</v>
      </c>
    </row>
    <row r="68" ht="15" customHeight="1">
      <c r="A68" s="66" t="inlineStr">
        <is>
          <t>2741900</t>
        </is>
      </c>
      <c r="B68" s="66" t="inlineStr">
        <is>
          <t>KLS Nog uit te zoeken posten MT940</t>
        </is>
      </c>
      <c r="C68" s="68" t="n">
        <v>0</v>
      </c>
      <c r="D68" s="68" t="n"/>
      <c r="E68" s="68" t="n">
        <v>-5044.68</v>
      </c>
      <c r="F68" s="68" t="n"/>
      <c r="G68" s="68" t="n"/>
      <c r="H68" s="68">
        <f>E68+4404.2</f>
        <v/>
      </c>
      <c r="I68" s="68" t="n"/>
      <c r="J68" s="68" t="n"/>
      <c r="K68" s="69" t="n">
        <v>918.6299999999994</v>
      </c>
      <c r="L68" s="69" t="n"/>
      <c r="M68" s="69" t="n"/>
      <c r="N68" s="69" t="n"/>
      <c r="O68" s="69" t="n"/>
      <c r="P68" s="70" t="n">
        <v>-465.8600000000006</v>
      </c>
    </row>
    <row r="69" ht="15" customHeight="1">
      <c r="A69" s="66" t="inlineStr">
        <is>
          <t>2742200</t>
        </is>
      </c>
      <c r="B69" s="66" t="inlineStr">
        <is>
          <t>KLS Vooruitontvangen bedragen</t>
        </is>
      </c>
      <c r="C69" s="68" t="n">
        <v>-126675.73</v>
      </c>
      <c r="D69" s="68" t="n"/>
      <c r="E69" s="68">
        <f>C69+14685.03</f>
        <v/>
      </c>
      <c r="F69" s="68" t="n"/>
      <c r="G69" s="68" t="n"/>
      <c r="H69" s="68">
        <f>E69-5052.83</f>
        <v/>
      </c>
      <c r="I69" s="68" t="n"/>
      <c r="J69" s="68" t="n"/>
      <c r="K69" s="69" t="n">
        <v>-146910.69</v>
      </c>
      <c r="L69" s="69" t="n"/>
      <c r="M69" s="69" t="n"/>
      <c r="N69" s="69" t="n"/>
      <c r="O69" s="69" t="n"/>
      <c r="P69" s="70" t="n">
        <v>-120768.08</v>
      </c>
    </row>
    <row r="70" ht="15" customHeight="1">
      <c r="A70" s="66" t="inlineStr">
        <is>
          <t>2749800</t>
        </is>
      </c>
      <c r="B70" s="66" t="inlineStr">
        <is>
          <t>KLS Diverse overige schulden</t>
        </is>
      </c>
      <c r="C70" s="68" t="n">
        <v>-3.66</v>
      </c>
      <c r="D70" s="68" t="n"/>
      <c r="E70" s="68">
        <f>C70</f>
        <v/>
      </c>
      <c r="F70" s="68" t="n"/>
      <c r="G70" s="68" t="n"/>
      <c r="H70" s="68">
        <f>E70</f>
        <v/>
      </c>
      <c r="I70" s="68" t="n"/>
      <c r="J70" s="68" t="n"/>
      <c r="K70" s="69" t="n">
        <v>-3.66</v>
      </c>
      <c r="L70" s="69" t="n"/>
      <c r="M70" s="69" t="n"/>
      <c r="N70" s="69" t="n"/>
      <c r="O70" s="69" t="n"/>
      <c r="P70" s="70" t="n">
        <v>-3.66</v>
      </c>
    </row>
    <row r="71">
      <c r="A71" s="66" t="inlineStr">
        <is>
          <t>Totaal Overige schulden</t>
        </is>
      </c>
      <c r="B71" s="66" t="n"/>
      <c r="C71" s="68">
        <f>SUM(C57:C70)</f>
        <v/>
      </c>
      <c r="D71" s="68" t="n"/>
      <c r="E71" s="68">
        <f>SUM(E57:E70)</f>
        <v/>
      </c>
      <c r="F71" s="68" t="n"/>
      <c r="G71" s="68" t="n"/>
      <c r="H71" s="68">
        <f>SUM(H57:H70)</f>
        <v/>
      </c>
      <c r="I71" s="68" t="n"/>
      <c r="J71" s="68" t="n"/>
      <c r="K71" s="68">
        <f>SUM(K57:K70)</f>
        <v/>
      </c>
      <c r="L71" s="68" t="n"/>
      <c r="M71" s="68" t="n"/>
      <c r="N71" s="68" t="n"/>
      <c r="O71" s="68" t="n"/>
      <c r="P71" s="68">
        <f>SUM(P57:P70)</f>
        <v/>
      </c>
      <c r="T71" s="69" t="n"/>
    </row>
    <row r="72" ht="15" customHeight="1">
      <c r="A72" s="66" t="n"/>
      <c r="B72" s="66" t="n"/>
      <c r="C72" s="68" t="n"/>
      <c r="D72" s="68" t="n"/>
      <c r="E72" s="68" t="n"/>
      <c r="F72" s="68" t="n"/>
      <c r="G72" s="68" t="n"/>
      <c r="H72" s="68" t="n"/>
      <c r="I72" s="68" t="n"/>
      <c r="J72" s="68" t="n"/>
      <c r="K72" s="69" t="n"/>
      <c r="L72" s="69" t="n"/>
      <c r="M72" s="69" t="n"/>
      <c r="N72" s="69" t="n"/>
      <c r="O72" s="69" t="n"/>
      <c r="P72" s="70" t="n"/>
      <c r="T72" s="69" t="n"/>
    </row>
    <row r="73">
      <c r="A73" s="65" t="inlineStr">
        <is>
          <t>Winst- en verliesrekening (baten zijn positief, kosten negatief)</t>
        </is>
      </c>
      <c r="B73" s="66" t="n"/>
      <c r="C73" s="68" t="inlineStr">
        <is>
          <t>Q1 - Actuals</t>
        </is>
      </c>
      <c r="D73" s="68" t="n"/>
      <c r="E73" s="68" t="inlineStr">
        <is>
          <t>Q2 - Cumulatief</t>
        </is>
      </c>
      <c r="F73" s="68" t="inlineStr">
        <is>
          <t>Q2 - Actuals</t>
        </is>
      </c>
      <c r="G73" s="68" t="n"/>
      <c r="H73" s="68" t="inlineStr">
        <is>
          <t>Q3 - Cumulatief</t>
        </is>
      </c>
      <c r="I73" s="68" t="inlineStr">
        <is>
          <t>Q3 - Actuals</t>
        </is>
      </c>
      <c r="J73" s="68" t="n"/>
      <c r="K73" s="68" t="inlineStr">
        <is>
          <t>Q4 - Cumulatief</t>
        </is>
      </c>
      <c r="L73" s="68" t="inlineStr">
        <is>
          <t>Q4 - Actuals</t>
        </is>
      </c>
      <c r="M73" s="69" t="inlineStr">
        <is>
          <t>Check</t>
        </is>
      </c>
      <c r="N73" s="69" t="n"/>
      <c r="O73" s="69" t="n"/>
      <c r="P73" s="69" t="inlineStr">
        <is>
          <t>Q1 2019 - Actuals</t>
        </is>
      </c>
      <c r="R73" s="63" t="inlineStr">
        <is>
          <t>Q2-2018 tm Q1 2019</t>
        </is>
      </c>
    </row>
    <row r="74" ht="15" customHeight="1">
      <c r="A74" s="66" t="inlineStr">
        <is>
          <t>8000003</t>
        </is>
      </c>
      <c r="B74" s="66" t="inlineStr">
        <is>
          <t>OPB Netto-omzet Theoretische huuropbrengsten</t>
        </is>
      </c>
      <c r="C74" s="68">
        <f>-(K74+-H74+-E74)</f>
        <v/>
      </c>
      <c r="D74" s="68" t="n"/>
      <c r="E74" s="70" t="n">
        <v>-5491757.26</v>
      </c>
      <c r="F74" s="70">
        <f>E74-C74</f>
        <v/>
      </c>
      <c r="H74" s="70" t="n">
        <v>-8311858.33</v>
      </c>
      <c r="I74" s="70">
        <f>H74-E74</f>
        <v/>
      </c>
      <c r="J74" s="70" t="n"/>
      <c r="K74" s="69" t="n">
        <v>-11116814.02</v>
      </c>
      <c r="L74" s="69">
        <f>K74-H74</f>
        <v/>
      </c>
      <c r="M74" s="69">
        <f>L74+I74+F74+C74</f>
        <v/>
      </c>
      <c r="N74" s="69">
        <f>M74-K74</f>
        <v/>
      </c>
      <c r="O74" s="69" t="n"/>
      <c r="P74" s="70" t="n">
        <v>-2797626.07</v>
      </c>
      <c r="R74" s="69">
        <f>P74+L74+I74+F74</f>
        <v/>
      </c>
      <c r="T74" s="69" t="n"/>
    </row>
    <row r="75" ht="15" customHeight="1">
      <c r="A75" s="66" t="inlineStr">
        <is>
          <t>8000004</t>
        </is>
      </c>
      <c r="B75" s="66" t="inlineStr">
        <is>
          <t>OPB Netto-omzet Leegstand huuropbrengsten</t>
        </is>
      </c>
      <c r="C75" s="68">
        <f>-(K75+-H75+-E75)</f>
        <v/>
      </c>
      <c r="D75" s="68" t="n"/>
      <c r="E75" s="70" t="n">
        <v>138590.8</v>
      </c>
      <c r="F75" s="70">
        <f>E75-C75</f>
        <v/>
      </c>
      <c r="G75" s="70" t="n"/>
      <c r="H75" s="70" t="n">
        <v>238421.04</v>
      </c>
      <c r="I75" s="70">
        <f>H75-E75</f>
        <v/>
      </c>
      <c r="J75" s="70" t="n"/>
      <c r="K75" s="69" t="n">
        <v>307315.71</v>
      </c>
      <c r="L75" s="69">
        <f>K75-H75</f>
        <v/>
      </c>
      <c r="M75" s="69">
        <f>L75+I75+F75+C75</f>
        <v/>
      </c>
      <c r="N75" s="69">
        <f>M75-K75</f>
        <v/>
      </c>
      <c r="O75" s="69" t="n"/>
      <c r="P75" s="70" t="n">
        <v>69244.36</v>
      </c>
      <c r="R75" s="69">
        <f>P75+L75+I75+F75</f>
        <v/>
      </c>
    </row>
    <row r="76" ht="15" customHeight="1">
      <c r="A76" s="66" t="inlineStr">
        <is>
          <t>Totaal Netto-omzet</t>
        </is>
      </c>
      <c r="B76" s="66" t="n"/>
      <c r="C76" s="68">
        <f>-(K76+-H76+-E76)</f>
        <v/>
      </c>
      <c r="D76" s="68" t="n"/>
      <c r="E76" s="68" t="n">
        <v>-5353166.46</v>
      </c>
      <c r="F76" s="70">
        <f>E76-C76</f>
        <v/>
      </c>
      <c r="G76" s="68" t="n"/>
      <c r="H76" s="68" t="n">
        <v>-8073437.29</v>
      </c>
      <c r="I76" s="70">
        <f>H76-E76</f>
        <v/>
      </c>
      <c r="J76" s="68" t="n"/>
      <c r="K76" s="68" t="n">
        <v>-10809498.31</v>
      </c>
      <c r="L76" s="69">
        <f>K76-H76</f>
        <v/>
      </c>
      <c r="M76" s="69">
        <f>L76+I76+F76+C76</f>
        <v/>
      </c>
      <c r="N76" s="69">
        <f>M76-K76</f>
        <v/>
      </c>
      <c r="O76" s="69" t="n"/>
      <c r="P76" s="68" t="n">
        <v>-2728381.71</v>
      </c>
      <c r="R76" s="69">
        <f>P76+L76+I76+F76</f>
        <v/>
      </c>
      <c r="S76" s="73" t="n"/>
    </row>
    <row r="77" ht="15" customHeight="1">
      <c r="A77" s="66" t="n"/>
      <c r="B77" s="66" t="n"/>
      <c r="C77" s="68">
        <f>-(K77+-H77+-E77)</f>
        <v/>
      </c>
      <c r="D77" s="68" t="n"/>
      <c r="E77" s="70" t="n"/>
      <c r="F77" s="70">
        <f>E77-C77</f>
        <v/>
      </c>
      <c r="G77" s="70" t="n"/>
      <c r="H77" s="70" t="n"/>
      <c r="I77" s="70">
        <f>H77-E77</f>
        <v/>
      </c>
      <c r="J77" s="70" t="n"/>
      <c r="K77" s="69" t="n"/>
      <c r="L77" s="69">
        <f>K77-H77</f>
        <v/>
      </c>
      <c r="M77" s="69">
        <f>L77+I77+F77+C77</f>
        <v/>
      </c>
      <c r="N77" s="69">
        <f>M77-K77</f>
        <v/>
      </c>
      <c r="O77" s="69" t="n"/>
      <c r="P77" s="70" t="n"/>
      <c r="R77" s="69">
        <f>P77+L77+I77+F77</f>
        <v/>
      </c>
    </row>
    <row r="78" ht="15" customHeight="1">
      <c r="A78" s="66" t="inlineStr">
        <is>
          <t>8400600</t>
        </is>
      </c>
      <c r="B78" s="66" t="inlineStr">
        <is>
          <t>OPB Overige bedrijfsopbrengsten Totale servicekosten</t>
        </is>
      </c>
      <c r="C78" s="68">
        <f>-(K78+-H78+-E78)</f>
        <v/>
      </c>
      <c r="D78" s="68" t="n"/>
      <c r="E78" s="70" t="n">
        <v>-360058.39</v>
      </c>
      <c r="F78" s="70">
        <f>E78-C78</f>
        <v/>
      </c>
      <c r="G78" s="70" t="n"/>
      <c r="H78" s="70" t="n">
        <v>-521030.1800000001</v>
      </c>
      <c r="I78" s="70">
        <f>H78-E78</f>
        <v/>
      </c>
      <c r="J78" s="70">
        <f>I78+L78</f>
        <v/>
      </c>
      <c r="K78" s="69" t="n">
        <v>-681254.98</v>
      </c>
      <c r="L78" s="69">
        <f>K78-H78</f>
        <v/>
      </c>
      <c r="M78" s="69">
        <f>L78+I78+F78+C78</f>
        <v/>
      </c>
      <c r="N78" s="69">
        <f>M78-K78</f>
        <v/>
      </c>
      <c r="O78" s="69" t="n"/>
      <c r="P78" s="70" t="n">
        <v>-174607.96</v>
      </c>
      <c r="R78" s="69">
        <f>P78+L78+I78+F78</f>
        <v/>
      </c>
    </row>
    <row r="79" ht="15" customHeight="1">
      <c r="A79" s="66" t="inlineStr">
        <is>
          <t>8400700</t>
        </is>
      </c>
      <c r="B79" s="66" t="inlineStr">
        <is>
          <t>OPB Overige bedrijfsopbrengsten Servicekosten leegstand</t>
        </is>
      </c>
      <c r="C79" s="68">
        <f>-(K79+-H79+-E79)</f>
        <v/>
      </c>
      <c r="D79" s="68" t="n"/>
      <c r="E79" s="70" t="n">
        <v>12394.03</v>
      </c>
      <c r="F79" s="70">
        <f>E79-C79</f>
        <v/>
      </c>
      <c r="G79" s="70" t="n"/>
      <c r="H79" s="70" t="n">
        <v>54417.25</v>
      </c>
      <c r="I79" s="70">
        <f>H79-E79</f>
        <v/>
      </c>
      <c r="J79" s="70">
        <f>I79+L79</f>
        <v/>
      </c>
      <c r="K79" s="69" t="n">
        <v>74071.97</v>
      </c>
      <c r="L79" s="69">
        <f>K79-H79</f>
        <v/>
      </c>
      <c r="M79" s="69">
        <f>L79+I79+F79+C79</f>
        <v/>
      </c>
      <c r="N79" s="69">
        <f>M79-K79</f>
        <v/>
      </c>
      <c r="O79" s="69" t="n"/>
      <c r="P79" s="70" t="n">
        <v>10049.7</v>
      </c>
      <c r="R79" s="69">
        <f>P79+L79+I79+F79</f>
        <v/>
      </c>
    </row>
    <row r="80" ht="15" customHeight="1">
      <c r="A80" s="66" t="inlineStr">
        <is>
          <t>8400800</t>
        </is>
      </c>
      <c r="B80" s="66" t="inlineStr">
        <is>
          <t>OPB Overige bedrijfsopbrengsten Gerealiseerde servicekosten</t>
        </is>
      </c>
      <c r="C80" s="68">
        <f>-(K80+-H80+-E80)</f>
        <v/>
      </c>
      <c r="D80" s="68" t="n"/>
      <c r="E80" s="70" t="n">
        <v>284906.44</v>
      </c>
      <c r="F80" s="70">
        <f>E80-C80</f>
        <v/>
      </c>
      <c r="G80" s="70" t="n"/>
      <c r="H80" s="70" t="n">
        <v>411383.19</v>
      </c>
      <c r="I80" s="70">
        <f>H80-E80</f>
        <v/>
      </c>
      <c r="J80" s="124">
        <f>I80+L80</f>
        <v/>
      </c>
      <c r="K80" s="69" t="n">
        <v>561128.36</v>
      </c>
      <c r="L80" s="69">
        <f>K80-H80</f>
        <v/>
      </c>
      <c r="M80" s="69">
        <f>L80+I80+F80+C80</f>
        <v/>
      </c>
      <c r="N80" s="69">
        <f>M80-K80</f>
        <v/>
      </c>
      <c r="O80" s="69" t="n"/>
      <c r="P80" s="70" t="n">
        <v>173160.71</v>
      </c>
      <c r="R80" s="69">
        <f>P80+L80+I80+F80</f>
        <v/>
      </c>
    </row>
    <row r="81" ht="15" customHeight="1">
      <c r="A81" s="66" t="inlineStr">
        <is>
          <t>Totaal Overige bedrijfsopbrengsten</t>
        </is>
      </c>
      <c r="B81" s="66" t="n"/>
      <c r="C81" s="68">
        <f>-(K81+-H81+-E81)</f>
        <v/>
      </c>
      <c r="D81" s="68" t="n"/>
      <c r="E81" s="68" t="n">
        <v>-62757.91999999998</v>
      </c>
      <c r="F81" s="70">
        <f>E81-C81</f>
        <v/>
      </c>
      <c r="G81" s="68" t="n"/>
      <c r="H81" s="68" t="n">
        <v>-55229.74000000005</v>
      </c>
      <c r="I81" s="70">
        <f>H81-E81</f>
        <v/>
      </c>
      <c r="J81" s="70">
        <f>I81+L81</f>
        <v/>
      </c>
      <c r="K81" s="68" t="n">
        <v>-46054.65000000002</v>
      </c>
      <c r="L81" s="69">
        <f>K81-H81</f>
        <v/>
      </c>
      <c r="M81" s="69">
        <f>L81+I81+F81+C81</f>
        <v/>
      </c>
      <c r="N81" s="69">
        <f>M81-K81</f>
        <v/>
      </c>
      <c r="O81" s="69" t="n"/>
      <c r="P81" s="68" t="n">
        <v>8602.450000000012</v>
      </c>
      <c r="R81" s="69">
        <f>P81+L81+I81+F81</f>
        <v/>
      </c>
    </row>
    <row r="82" ht="15" customHeight="1">
      <c r="A82" s="66" t="n"/>
      <c r="B82" s="66" t="n"/>
      <c r="C82" s="68">
        <f>-(K82+-H82+-E82)</f>
        <v/>
      </c>
      <c r="D82" s="68" t="n"/>
      <c r="E82" s="70" t="n"/>
      <c r="F82" s="70">
        <f>E82-C82</f>
        <v/>
      </c>
      <c r="G82" s="70" t="n"/>
      <c r="H82" s="70" t="n"/>
      <c r="I82" s="70">
        <f>H82-E82</f>
        <v/>
      </c>
      <c r="J82" s="70" t="n"/>
      <c r="K82" s="69" t="n"/>
      <c r="L82" s="69">
        <f>K82-H82</f>
        <v/>
      </c>
      <c r="M82" s="69">
        <f>L82+I82+F82+C82</f>
        <v/>
      </c>
      <c r="N82" s="69">
        <f>M82-K82</f>
        <v/>
      </c>
      <c r="O82" s="69" t="n"/>
      <c r="P82" s="70" t="n"/>
      <c r="R82" s="69">
        <f>P82+L82+I82+F82</f>
        <v/>
      </c>
    </row>
    <row r="83" ht="15" customHeight="1">
      <c r="A83" s="71" t="n">
        <v>7000000</v>
      </c>
      <c r="B83" s="66" t="inlineStr">
        <is>
          <t>KP Inkoopwaarde omzet</t>
        </is>
      </c>
      <c r="C83" s="68">
        <f>-(K83+-H83+-E83)</f>
        <v/>
      </c>
      <c r="D83" s="68" t="n"/>
      <c r="E83" s="70" t="n">
        <v>0</v>
      </c>
      <c r="F83" s="70">
        <f>E83-C83</f>
        <v/>
      </c>
      <c r="G83" s="70" t="n"/>
      <c r="H83" s="70" t="n">
        <v>0</v>
      </c>
      <c r="I83" s="70">
        <f>H83-E83</f>
        <v/>
      </c>
      <c r="J83" s="70" t="n"/>
      <c r="K83" s="69" t="n">
        <v>0</v>
      </c>
      <c r="L83" s="69">
        <f>K83-H83</f>
        <v/>
      </c>
      <c r="M83" s="69">
        <f>L83+I83+F83+C83</f>
        <v/>
      </c>
      <c r="N83" s="69">
        <f>M83-K83</f>
        <v/>
      </c>
      <c r="O83" s="69" t="n"/>
      <c r="P83" s="70" t="n">
        <v>0</v>
      </c>
      <c r="R83" s="69">
        <f>P83+L83+I83+F83</f>
        <v/>
      </c>
    </row>
    <row r="84" ht="15" customHeight="1">
      <c r="A84" s="66" t="inlineStr">
        <is>
          <t>Totaal Inkoopwaarde omzet</t>
        </is>
      </c>
      <c r="B84" s="66" t="n"/>
      <c r="C84" s="68">
        <f>-(K84+-H84+-E84)</f>
        <v/>
      </c>
      <c r="D84" s="68" t="n"/>
      <c r="E84" s="68" t="n">
        <v>0</v>
      </c>
      <c r="F84" s="70">
        <f>E84-C84</f>
        <v/>
      </c>
      <c r="G84" s="68" t="n"/>
      <c r="H84" s="68" t="n">
        <v>0</v>
      </c>
      <c r="I84" s="70">
        <f>H84-E84</f>
        <v/>
      </c>
      <c r="J84" s="68" t="n"/>
      <c r="K84" s="68" t="n">
        <v>0</v>
      </c>
      <c r="L84" s="69">
        <f>K84-H84</f>
        <v/>
      </c>
      <c r="M84" s="69">
        <f>L84+I84+F84+C84</f>
        <v/>
      </c>
      <c r="N84" s="69">
        <f>M84-K84</f>
        <v/>
      </c>
      <c r="O84" s="69" t="n"/>
      <c r="P84" s="68" t="n">
        <v>0</v>
      </c>
      <c r="R84" s="69">
        <f>P84+L84+I84+F84</f>
        <v/>
      </c>
    </row>
    <row r="85" ht="15" customHeight="1">
      <c r="A85" s="66" t="n"/>
      <c r="B85" s="66" t="n"/>
      <c r="C85" s="68">
        <f>-(K85+-H85+-E85)</f>
        <v/>
      </c>
      <c r="D85" s="68" t="n"/>
      <c r="E85" s="70" t="n"/>
      <c r="F85" s="70">
        <f>E85-C85</f>
        <v/>
      </c>
      <c r="G85" s="70" t="n"/>
      <c r="H85" s="70" t="n"/>
      <c r="I85" s="70">
        <f>H85-E85</f>
        <v/>
      </c>
      <c r="J85" s="70" t="n"/>
      <c r="K85" s="69" t="n"/>
      <c r="L85" s="69">
        <f>K85-H85</f>
        <v/>
      </c>
      <c r="M85" s="69">
        <f>L85+I85+F85+C85</f>
        <v/>
      </c>
      <c r="N85" s="69">
        <f>M85-K85</f>
        <v/>
      </c>
      <c r="O85" s="69" t="n"/>
      <c r="P85" s="70" t="n"/>
      <c r="R85" s="69">
        <f>P85+L85+I85+F85</f>
        <v/>
      </c>
    </row>
    <row r="86" ht="15" customHeight="1">
      <c r="A86" s="66" t="inlineStr">
        <is>
          <t>4730000</t>
        </is>
      </c>
      <c r="B86" s="66" t="inlineStr">
        <is>
          <t>AFKN Afschrijvingskosten Vastgoedbeleggingen</t>
        </is>
      </c>
      <c r="C86" s="68">
        <f>-(K86+-H86+-E86)</f>
        <v/>
      </c>
      <c r="D86" s="68" t="n"/>
      <c r="E86" s="70" t="n">
        <v>1231320.78</v>
      </c>
      <c r="F86" s="70">
        <f>E86-C86</f>
        <v/>
      </c>
      <c r="G86" s="70" t="n"/>
      <c r="H86" s="70" t="n">
        <v>1787993.67</v>
      </c>
      <c r="I86" s="70">
        <f>H86-E86</f>
        <v/>
      </c>
      <c r="J86" s="70" t="n"/>
      <c r="K86" s="69" t="n">
        <v>2698591.67</v>
      </c>
      <c r="L86" s="69">
        <f>K86-H86</f>
        <v/>
      </c>
      <c r="M86" s="69">
        <f>L86+I86+F86+C86</f>
        <v/>
      </c>
      <c r="N86" s="69">
        <f>M86-K86</f>
        <v/>
      </c>
      <c r="O86" s="69" t="n"/>
      <c r="P86" s="70" t="n">
        <v>674648</v>
      </c>
      <c r="R86" s="69">
        <f>P86+L86+I86+F86</f>
        <v/>
      </c>
    </row>
    <row r="87" ht="15" customHeight="1">
      <c r="A87" s="66" t="inlineStr">
        <is>
          <t>4730200</t>
        </is>
      </c>
      <c r="B87" s="66" t="inlineStr">
        <is>
          <t>AFKN Boekresultaat Vastgoedbeleggingen</t>
        </is>
      </c>
      <c r="C87" s="68">
        <f>-(K87+-H87+-E87)</f>
        <v/>
      </c>
      <c r="D87" s="68" t="n"/>
      <c r="E87" s="70" t="n">
        <v>-139500</v>
      </c>
      <c r="F87" s="70">
        <f>E87-C87</f>
        <v/>
      </c>
      <c r="G87" s="70" t="n"/>
      <c r="H87" s="70" t="n">
        <v>-2834000</v>
      </c>
      <c r="I87" s="70">
        <f>H87-E87</f>
        <v/>
      </c>
      <c r="J87" s="70" t="n"/>
      <c r="K87" s="69" t="n">
        <v>-1219532</v>
      </c>
      <c r="L87" s="69">
        <f>K87-H87</f>
        <v/>
      </c>
      <c r="M87" s="69">
        <f>L87+I87+F87+C87</f>
        <v/>
      </c>
      <c r="N87" s="69">
        <f>M87-K87</f>
        <v/>
      </c>
      <c r="O87" s="69" t="n"/>
      <c r="P87" s="70" t="n">
        <v>-393684</v>
      </c>
      <c r="R87" s="77">
        <f>M87+P87</f>
        <v/>
      </c>
    </row>
    <row r="88" ht="15" customHeight="1">
      <c r="A88" s="66" t="inlineStr">
        <is>
          <t>Totaal Afschrijvingen vastgoedbeleggingen</t>
        </is>
      </c>
      <c r="B88" s="66" t="n"/>
      <c r="C88" s="68">
        <f>-(K88+-H88+-E88)</f>
        <v/>
      </c>
      <c r="D88" s="68" t="n"/>
      <c r="E88" s="68" t="n">
        <v>1091820.78</v>
      </c>
      <c r="F88" s="70">
        <f>E88-C88</f>
        <v/>
      </c>
      <c r="G88" s="68" t="n"/>
      <c r="H88" s="68" t="n">
        <v>-1046006.33</v>
      </c>
      <c r="I88" s="70">
        <f>H88-E88</f>
        <v/>
      </c>
      <c r="J88" s="68" t="n"/>
      <c r="K88" s="68" t="n">
        <v>1479059.67</v>
      </c>
      <c r="L88" s="69">
        <f>K88-H88</f>
        <v/>
      </c>
      <c r="M88" s="69">
        <f>L88+I88+F88+C88</f>
        <v/>
      </c>
      <c r="N88" s="69">
        <f>M88-K88</f>
        <v/>
      </c>
      <c r="O88" s="69" t="n"/>
      <c r="P88" s="68" t="n">
        <v>280964</v>
      </c>
      <c r="R88" s="69">
        <f>P88+L88+I88+F88</f>
        <v/>
      </c>
    </row>
    <row r="89" ht="15" customHeight="1">
      <c r="A89" s="66" t="n"/>
      <c r="B89" s="66" t="n"/>
      <c r="C89" s="68">
        <f>-(K89+-H89+-E89)</f>
        <v/>
      </c>
      <c r="D89" s="68" t="n"/>
      <c r="E89" s="70" t="n"/>
      <c r="F89" s="70">
        <f>E89-C89</f>
        <v/>
      </c>
      <c r="G89" s="70" t="n"/>
      <c r="H89" s="70" t="n"/>
      <c r="I89" s="70">
        <f>H89-E89</f>
        <v/>
      </c>
      <c r="J89" s="70" t="n"/>
      <c r="K89" s="69" t="n"/>
      <c r="L89" s="69">
        <f>K89-H89</f>
        <v/>
      </c>
      <c r="M89" s="69">
        <f>L89+I89+F89+C89</f>
        <v/>
      </c>
      <c r="N89" s="69">
        <f>M89-K89</f>
        <v/>
      </c>
      <c r="O89" s="69" t="n"/>
      <c r="P89" s="70" t="n"/>
      <c r="R89" s="69">
        <f>P89+L89+I89+F89</f>
        <v/>
      </c>
    </row>
    <row r="90" ht="15" customHeight="1">
      <c r="A90" s="66" t="inlineStr">
        <is>
          <t>4100400</t>
        </is>
      </c>
      <c r="B90" s="66" t="inlineStr">
        <is>
          <t>KN Onderhoud gebouwen</t>
        </is>
      </c>
      <c r="C90" s="68">
        <f>-(K90+-H90+-E90)</f>
        <v/>
      </c>
      <c r="D90" s="68" t="n"/>
      <c r="E90" s="70" t="n">
        <v>375194.12</v>
      </c>
      <c r="F90" s="70">
        <f>E90-C90</f>
        <v/>
      </c>
      <c r="G90" s="70" t="n"/>
      <c r="H90" s="70" t="n">
        <v>627422.75</v>
      </c>
      <c r="I90" s="70">
        <f>H90-E90</f>
        <v/>
      </c>
      <c r="J90" s="70" t="n"/>
      <c r="K90" s="69" t="n">
        <v>1015338.54</v>
      </c>
      <c r="L90" s="69">
        <f>K90-H90</f>
        <v/>
      </c>
      <c r="M90" s="69">
        <f>L90+I90+F90+C90</f>
        <v/>
      </c>
      <c r="N90" s="69">
        <f>M90-K90</f>
        <v/>
      </c>
      <c r="O90" s="69" t="n"/>
      <c r="P90" s="70" t="n">
        <v>292677.44</v>
      </c>
      <c r="R90" s="69">
        <f>P90+L90+I90+F90</f>
        <v/>
      </c>
      <c r="S90" s="69" t="n"/>
      <c r="T90" s="69" t="n"/>
    </row>
    <row r="91" ht="15" customHeight="1">
      <c r="A91" s="66" t="inlineStr">
        <is>
          <t>4100410</t>
        </is>
      </c>
      <c r="B91" s="66" t="inlineStr">
        <is>
          <t>Verhuurdersheffing</t>
        </is>
      </c>
      <c r="C91" s="68">
        <f>-(K91+-H91+-E91)</f>
        <v/>
      </c>
      <c r="D91" s="68" t="n"/>
      <c r="E91" s="70" t="n">
        <v>0</v>
      </c>
      <c r="F91" s="70">
        <f>E91-C91</f>
        <v/>
      </c>
      <c r="G91" s="70" t="n"/>
      <c r="H91" s="70" t="n">
        <v>568182</v>
      </c>
      <c r="I91" s="70">
        <f>H91-E91</f>
        <v/>
      </c>
      <c r="J91" s="70" t="n"/>
      <c r="K91" s="69" t="n">
        <v>568182</v>
      </c>
      <c r="L91" s="69">
        <f>K91-H91</f>
        <v/>
      </c>
      <c r="M91" s="69">
        <f>L91+I91+F91+C91</f>
        <v/>
      </c>
      <c r="N91" s="69">
        <f>M91-K91</f>
        <v/>
      </c>
      <c r="O91" s="69" t="n"/>
      <c r="P91" s="70" t="n">
        <v>0</v>
      </c>
      <c r="R91" s="69">
        <f>P91+L91+I91+F91</f>
        <v/>
      </c>
    </row>
    <row r="92" ht="15" customHeight="1">
      <c r="A92" s="66" t="inlineStr">
        <is>
          <t>4100900</t>
        </is>
      </c>
      <c r="B92" s="66" t="inlineStr">
        <is>
          <t>KN Onroerende zaakbelasting</t>
        </is>
      </c>
      <c r="C92" s="68">
        <f>-(K92+-H92+-E92)</f>
        <v/>
      </c>
      <c r="D92" s="68" t="n"/>
      <c r="E92" s="70" t="n">
        <v>318063.49</v>
      </c>
      <c r="F92" s="70">
        <f>E92-C92</f>
        <v/>
      </c>
      <c r="G92" s="70" t="n"/>
      <c r="H92" s="70" t="n">
        <v>315859.53</v>
      </c>
      <c r="I92" s="70">
        <f>H92-E92</f>
        <v/>
      </c>
      <c r="J92" s="70" t="n"/>
      <c r="K92" s="69" t="n">
        <v>316136.1</v>
      </c>
      <c r="L92" s="69">
        <f>K92-H92</f>
        <v/>
      </c>
      <c r="M92" s="69">
        <f>L92+I92+F92+C92</f>
        <v/>
      </c>
      <c r="N92" s="69">
        <f>M92-K92</f>
        <v/>
      </c>
      <c r="O92" s="69" t="n"/>
      <c r="P92" s="70" t="n">
        <v>98935.71000000001</v>
      </c>
      <c r="R92" s="69">
        <f>P92+L92+I92+F92</f>
        <v/>
      </c>
    </row>
    <row r="93" ht="15" customHeight="1">
      <c r="A93" s="66" t="inlineStr">
        <is>
          <t>4101000</t>
        </is>
      </c>
      <c r="B93" s="66" t="inlineStr">
        <is>
          <t>KN VvE-kosten</t>
        </is>
      </c>
      <c r="C93" s="68">
        <f>-(K93+-H93+-E93)</f>
        <v/>
      </c>
      <c r="D93" s="68" t="n"/>
      <c r="E93" s="70" t="n">
        <v>327503.56</v>
      </c>
      <c r="F93" s="70">
        <f>E93-C93</f>
        <v/>
      </c>
      <c r="G93" s="70" t="n"/>
      <c r="H93" s="70" t="n">
        <v>513878.88</v>
      </c>
      <c r="I93" s="70">
        <f>H93-E93</f>
        <v/>
      </c>
      <c r="J93" s="70" t="n"/>
      <c r="K93" s="69" t="n">
        <v>630780.63</v>
      </c>
      <c r="L93" s="69">
        <f>K93-H93</f>
        <v/>
      </c>
      <c r="M93" s="69">
        <f>L93+I93+F93+C93</f>
        <v/>
      </c>
      <c r="N93" s="69">
        <f>M93-K93</f>
        <v/>
      </c>
      <c r="O93" s="69" t="n"/>
      <c r="P93" s="70" t="n">
        <v>132836.8</v>
      </c>
      <c r="R93" s="69">
        <f>P93+L93+I93+F93</f>
        <v/>
      </c>
    </row>
    <row r="94" ht="15" customHeight="1">
      <c r="A94" s="66" t="inlineStr">
        <is>
          <t>4101010</t>
        </is>
      </c>
      <c r="B94" s="66" t="inlineStr">
        <is>
          <t>Gemeentelijke belastingen</t>
        </is>
      </c>
      <c r="C94" s="68">
        <f>-(K94+-H94+-E94)</f>
        <v/>
      </c>
      <c r="D94" s="68" t="n"/>
      <c r="E94" s="70" t="n">
        <v>890.96</v>
      </c>
      <c r="F94" s="70">
        <f>E94-C94</f>
        <v/>
      </c>
      <c r="G94" s="70" t="n"/>
      <c r="H94" s="70" t="n">
        <v>890.96</v>
      </c>
      <c r="I94" s="70">
        <f>H94-E94</f>
        <v/>
      </c>
      <c r="J94" s="70" t="n"/>
      <c r="K94" s="69" t="n">
        <v>1026.53</v>
      </c>
      <c r="L94" s="69">
        <f>K94-H94</f>
        <v/>
      </c>
      <c r="M94" s="69">
        <f>L94+I94+F94+C94</f>
        <v/>
      </c>
      <c r="N94" s="69">
        <f>M94-K94</f>
        <v/>
      </c>
      <c r="O94" s="69" t="n"/>
      <c r="P94" s="70" t="n">
        <v>29292.78</v>
      </c>
      <c r="R94" s="69">
        <f>P94+L94+I94+F94</f>
        <v/>
      </c>
    </row>
    <row r="95" ht="15" customHeight="1">
      <c r="A95" s="66" t="inlineStr">
        <is>
          <t>4101020</t>
        </is>
      </c>
      <c r="B95" s="66" t="inlineStr">
        <is>
          <t>Waterschapsbelasting</t>
        </is>
      </c>
      <c r="C95" s="68">
        <f>-(K95+-H95+-E95)</f>
        <v/>
      </c>
      <c r="D95" s="68" t="n"/>
      <c r="E95" s="70" t="n">
        <v>93200.16</v>
      </c>
      <c r="F95" s="70">
        <f>E95-C95</f>
        <v/>
      </c>
      <c r="G95" s="70" t="n"/>
      <c r="H95" s="70" t="n">
        <v>115137.13</v>
      </c>
      <c r="I95" s="70">
        <f>H95-E95</f>
        <v/>
      </c>
      <c r="J95" s="70" t="n"/>
      <c r="K95" s="69" t="n">
        <v>116470.82</v>
      </c>
      <c r="L95" s="69">
        <f>K95-H95</f>
        <v/>
      </c>
      <c r="M95" s="69">
        <f>L95+I95+F95+C95</f>
        <v/>
      </c>
      <c r="N95" s="69">
        <f>M95-K95</f>
        <v/>
      </c>
      <c r="O95" s="69" t="n"/>
      <c r="P95" s="70" t="n">
        <v>3342.08</v>
      </c>
      <c r="R95" s="69">
        <f>P95+L95+I95+F95</f>
        <v/>
      </c>
    </row>
    <row r="96" ht="15" customHeight="1">
      <c r="A96" s="66" t="inlineStr">
        <is>
          <t>4101300</t>
        </is>
      </c>
      <c r="B96" s="66" t="inlineStr">
        <is>
          <t>KN Servicekosten leegstand</t>
        </is>
      </c>
      <c r="C96" s="68">
        <f>-(K96+-H96+-E96)</f>
        <v/>
      </c>
      <c r="D96" s="68" t="n"/>
      <c r="E96" s="70" t="n">
        <v>0</v>
      </c>
      <c r="F96" s="70">
        <f>E96-C96</f>
        <v/>
      </c>
      <c r="G96" s="70" t="n"/>
      <c r="H96" s="70" t="n">
        <v>0</v>
      </c>
      <c r="I96" s="70">
        <f>H96-E96</f>
        <v/>
      </c>
      <c r="J96" s="70" t="n"/>
      <c r="K96" s="69" t="n">
        <v>0</v>
      </c>
      <c r="L96" s="69">
        <f>K96-H96</f>
        <v/>
      </c>
      <c r="M96" s="69">
        <f>L96+I96+F96+C96</f>
        <v/>
      </c>
      <c r="N96" s="69">
        <f>M96-K96</f>
        <v/>
      </c>
      <c r="O96" s="69" t="n"/>
      <c r="P96" s="70" t="n">
        <v>-1.35</v>
      </c>
      <c r="R96" s="69">
        <f>P96+L96+I96+F96</f>
        <v/>
      </c>
    </row>
    <row r="97" ht="15" customHeight="1">
      <c r="A97" s="66" t="inlineStr">
        <is>
          <t>4051400</t>
        </is>
      </c>
      <c r="B97" s="66" t="inlineStr">
        <is>
          <t>KN Diensten door derden</t>
        </is>
      </c>
      <c r="C97" s="68">
        <f>-(K97+-H97+-E97)</f>
        <v/>
      </c>
      <c r="D97" s="68" t="n"/>
      <c r="E97" s="70" t="n">
        <v>233501.76</v>
      </c>
      <c r="F97" s="70">
        <f>E97-C97</f>
        <v/>
      </c>
      <c r="G97" s="70" t="n"/>
      <c r="H97" s="70" t="n">
        <v>353150.56</v>
      </c>
      <c r="I97" s="70">
        <f>H97-E97</f>
        <v/>
      </c>
      <c r="J97" s="70" t="n"/>
      <c r="K97" s="69" t="n">
        <v>472384.16</v>
      </c>
      <c r="L97" s="69">
        <f>K97-H97</f>
        <v/>
      </c>
      <c r="M97" s="69">
        <f>L97+I97+F97+C97</f>
        <v/>
      </c>
      <c r="N97" s="69">
        <f>M97-K97</f>
        <v/>
      </c>
      <c r="O97" s="69" t="n"/>
      <c r="P97" s="70" t="n">
        <v>119182.54</v>
      </c>
      <c r="R97" s="69">
        <f>P97+L97+I97+F97</f>
        <v/>
      </c>
    </row>
    <row r="98" ht="15" customHeight="1">
      <c r="A98" s="66" t="inlineStr">
        <is>
          <t>Totaal Huisvestingskosten</t>
        </is>
      </c>
      <c r="B98" s="66" t="n"/>
      <c r="C98" s="68">
        <f>-(K98+-H98+-E98)</f>
        <v/>
      </c>
      <c r="D98" s="68" t="n"/>
      <c r="E98" s="68" t="n">
        <v>1348354.05</v>
      </c>
      <c r="F98" s="70">
        <f>E98-C98</f>
        <v/>
      </c>
      <c r="G98" s="68" t="n"/>
      <c r="H98" s="68" t="n">
        <v>2494521.81</v>
      </c>
      <c r="I98" s="70">
        <f>H98-E98</f>
        <v/>
      </c>
      <c r="J98" s="68" t="n"/>
      <c r="K98" s="68" t="n">
        <v>3120318.78</v>
      </c>
      <c r="L98" s="69">
        <f>K98-H98</f>
        <v/>
      </c>
      <c r="M98" s="69">
        <f>L98+I98+F98+C98</f>
        <v/>
      </c>
      <c r="N98" s="69">
        <f>M98-K98</f>
        <v/>
      </c>
      <c r="O98" s="69" t="n"/>
      <c r="P98" s="68" t="n">
        <v>676266</v>
      </c>
      <c r="Q98" s="69" t="n"/>
      <c r="R98" s="69">
        <f>P98+L98+I98+F98</f>
        <v/>
      </c>
    </row>
    <row r="99" ht="15" customHeight="1">
      <c r="A99" s="66" t="n"/>
      <c r="B99" s="66" t="n"/>
      <c r="C99" s="68">
        <f>-(K99+-H99+-E99)</f>
        <v/>
      </c>
      <c r="D99" s="68" t="n"/>
      <c r="E99" s="70" t="n"/>
      <c r="F99" s="70">
        <f>E99-C99</f>
        <v/>
      </c>
      <c r="G99" s="70" t="n"/>
      <c r="H99" s="70" t="n"/>
      <c r="I99" s="70">
        <f>H99-E99</f>
        <v/>
      </c>
      <c r="J99" s="70" t="n"/>
      <c r="K99" s="69" t="n"/>
      <c r="L99" s="69">
        <f>K99-H99</f>
        <v/>
      </c>
      <c r="M99" s="69">
        <f>L99+I99+F99+C99</f>
        <v/>
      </c>
      <c r="N99" s="69">
        <f>M99-K99</f>
        <v/>
      </c>
      <c r="O99" s="69" t="n"/>
      <c r="P99" s="70" t="n"/>
      <c r="R99" s="69">
        <f>P99+L99+I99+F99</f>
        <v/>
      </c>
    </row>
    <row r="100" ht="15" customHeight="1">
      <c r="A100" s="66" t="inlineStr">
        <is>
          <t>4501300</t>
        </is>
      </c>
      <c r="B100" s="66" t="inlineStr">
        <is>
          <t>KN Afboeking dubieuze debiteuren</t>
        </is>
      </c>
      <c r="C100" s="68">
        <f>-(K100+-H100+-E100)</f>
        <v/>
      </c>
      <c r="D100" s="68" t="n"/>
      <c r="E100" s="70" t="n">
        <v>575.0500000000001</v>
      </c>
      <c r="F100" s="70">
        <f>E100-C100</f>
        <v/>
      </c>
      <c r="G100" s="70" t="n"/>
      <c r="H100" s="70" t="n">
        <v>1194.48</v>
      </c>
      <c r="I100" s="70">
        <f>H100-E100</f>
        <v/>
      </c>
      <c r="J100" s="70" t="n"/>
      <c r="K100" s="69" t="n">
        <v>1215.23</v>
      </c>
      <c r="L100" s="69">
        <f>K100-H100</f>
        <v/>
      </c>
      <c r="M100" s="69">
        <f>L100+I100+F100+C100</f>
        <v/>
      </c>
      <c r="N100" s="69">
        <f>M100-K100</f>
        <v/>
      </c>
      <c r="O100" s="69" t="n"/>
      <c r="P100" s="70" t="n">
        <v>13168.22</v>
      </c>
      <c r="R100" s="69">
        <f>P100+L100+I100+F100</f>
        <v/>
      </c>
    </row>
    <row r="101" ht="15" customHeight="1">
      <c r="A101" s="66" t="inlineStr">
        <is>
          <t>Totaal Verkoopkosten</t>
        </is>
      </c>
      <c r="B101" s="66" t="n"/>
      <c r="C101" s="68">
        <f>-(K101+-H101+-E101)</f>
        <v/>
      </c>
      <c r="D101" s="68" t="n"/>
      <c r="E101" s="68" t="n">
        <v>575.0500000000001</v>
      </c>
      <c r="F101" s="70">
        <f>E101-C101</f>
        <v/>
      </c>
      <c r="G101" s="68" t="n"/>
      <c r="H101" s="68" t="n">
        <v>1194.48</v>
      </c>
      <c r="I101" s="70">
        <f>H101-E101</f>
        <v/>
      </c>
      <c r="J101" s="68" t="n"/>
      <c r="K101" s="68" t="n">
        <v>1215.23</v>
      </c>
      <c r="L101" s="69">
        <f>K101-H101</f>
        <v/>
      </c>
      <c r="M101" s="69">
        <f>L101+I101+F101+C101</f>
        <v/>
      </c>
      <c r="N101" s="69">
        <f>M101-K101</f>
        <v/>
      </c>
      <c r="O101" s="69" t="n"/>
      <c r="P101" s="68" t="n">
        <v>13168.22</v>
      </c>
      <c r="R101" s="69">
        <f>P101+L101+I101+F101</f>
        <v/>
      </c>
    </row>
    <row r="102" ht="15" customHeight="1">
      <c r="A102" s="66" t="n"/>
      <c r="B102" s="66" t="n"/>
      <c r="C102" s="68">
        <f>-(K102+-H102+-E102)</f>
        <v/>
      </c>
      <c r="D102" s="68" t="n"/>
      <c r="E102" s="70" t="n"/>
      <c r="F102" s="70">
        <f>E102-C102</f>
        <v/>
      </c>
      <c r="G102" s="70" t="n"/>
      <c r="H102" s="70" t="n"/>
      <c r="I102" s="70">
        <f>H102-E102</f>
        <v/>
      </c>
      <c r="J102" s="70" t="n"/>
      <c r="K102" s="69" t="n"/>
      <c r="L102" s="69">
        <f>K102-H102</f>
        <v/>
      </c>
      <c r="M102" s="69">
        <f>L102+I102+F102+C102</f>
        <v/>
      </c>
      <c r="N102" s="69">
        <f>M102-K102</f>
        <v/>
      </c>
      <c r="O102" s="69" t="n"/>
      <c r="P102" s="70" t="n"/>
      <c r="R102" s="69">
        <f>P102+L102+I102+F102</f>
        <v/>
      </c>
    </row>
    <row r="103" ht="15" customHeight="1">
      <c r="A103" s="66" t="inlineStr">
        <is>
          <t>4300500</t>
        </is>
      </c>
      <c r="B103" s="66" t="inlineStr">
        <is>
          <t>KN Incassokosten</t>
        </is>
      </c>
      <c r="C103" s="68">
        <f>-(K103+-H103+-E103)</f>
        <v/>
      </c>
      <c r="D103" s="68" t="n"/>
      <c r="E103" s="70" t="n">
        <v>41479.54</v>
      </c>
      <c r="F103" s="70">
        <f>E103-C103</f>
        <v/>
      </c>
      <c r="G103" s="70" t="n"/>
      <c r="H103" s="70" t="n">
        <v>45269.91</v>
      </c>
      <c r="I103" s="70">
        <f>H103-E103</f>
        <v/>
      </c>
      <c r="J103" s="70" t="n"/>
      <c r="K103" s="69" t="n">
        <v>45372.76</v>
      </c>
      <c r="L103" s="69">
        <f>K103-H103</f>
        <v/>
      </c>
      <c r="M103" s="69">
        <f>L103+I103+F103+C103</f>
        <v/>
      </c>
      <c r="N103" s="69">
        <f>M103-K103</f>
        <v/>
      </c>
      <c r="O103" s="69" t="n"/>
      <c r="P103" s="70" t="n">
        <v>450</v>
      </c>
      <c r="R103" s="69">
        <f>P103+L103+I103+F103</f>
        <v/>
      </c>
    </row>
    <row r="104" ht="15" customHeight="1">
      <c r="A104" s="66" t="inlineStr">
        <is>
          <t>Totaal Kantoorkosten</t>
        </is>
      </c>
      <c r="B104" s="66" t="n"/>
      <c r="C104" s="68">
        <f>-(K104+-H104+-E104)</f>
        <v/>
      </c>
      <c r="D104" s="68" t="n"/>
      <c r="E104" s="68" t="n">
        <v>41479.54</v>
      </c>
      <c r="F104" s="70">
        <f>E104-C104</f>
        <v/>
      </c>
      <c r="G104" s="68" t="n"/>
      <c r="H104" s="68" t="n">
        <v>45269.91</v>
      </c>
      <c r="I104" s="70">
        <f>H104-E104</f>
        <v/>
      </c>
      <c r="J104" s="68" t="n"/>
      <c r="K104" s="68" t="n">
        <v>45372.76</v>
      </c>
      <c r="L104" s="69">
        <f>K104-H104</f>
        <v/>
      </c>
      <c r="M104" s="69">
        <f>L104+I104+F104+C104</f>
        <v/>
      </c>
      <c r="N104" s="69">
        <f>M104-K104</f>
        <v/>
      </c>
      <c r="O104" s="69" t="n"/>
      <c r="P104" s="68" t="n">
        <v>450</v>
      </c>
      <c r="R104" s="69">
        <f>P104+L104+I104+F104</f>
        <v/>
      </c>
    </row>
    <row r="105" ht="15" customHeight="1">
      <c r="A105" s="66" t="n"/>
      <c r="B105" s="66" t="n"/>
      <c r="C105" s="68">
        <f>-(K105+-H105+-E105)</f>
        <v/>
      </c>
      <c r="D105" s="68" t="n"/>
      <c r="E105" s="70" t="n"/>
      <c r="F105" s="70">
        <f>E105-C105</f>
        <v/>
      </c>
      <c r="G105" s="70" t="n"/>
      <c r="H105" s="70" t="n"/>
      <c r="I105" s="70">
        <f>H105-E105</f>
        <v/>
      </c>
      <c r="J105" s="70" t="n"/>
      <c r="K105" s="69" t="n"/>
      <c r="L105" s="69">
        <f>K105-H105</f>
        <v/>
      </c>
      <c r="M105" s="69">
        <f>L105+I105+F105+C105</f>
        <v/>
      </c>
      <c r="N105" s="69">
        <f>M105-K105</f>
        <v/>
      </c>
      <c r="O105" s="69" t="n"/>
      <c r="P105" s="70" t="n"/>
      <c r="R105" s="69">
        <f>P105+L105+I105+F105</f>
        <v/>
      </c>
    </row>
    <row r="106" ht="15" customHeight="1">
      <c r="A106" s="66" t="inlineStr">
        <is>
          <t>4310400</t>
        </is>
      </c>
      <c r="B106" s="66" t="inlineStr">
        <is>
          <t>KN Assurantiepremie algemeen</t>
        </is>
      </c>
      <c r="C106" s="68">
        <f>-(K106+-H106+-E106)</f>
        <v/>
      </c>
      <c r="D106" s="68" t="n"/>
      <c r="E106" s="70" t="n">
        <v>70171.39</v>
      </c>
      <c r="F106" s="70">
        <f>E106-C106</f>
        <v/>
      </c>
      <c r="G106" s="70" t="n"/>
      <c r="H106" s="70" t="n">
        <v>72586.86</v>
      </c>
      <c r="I106" s="70">
        <f>H106-E106</f>
        <v/>
      </c>
      <c r="J106" s="70" t="n"/>
      <c r="K106" s="69" t="n">
        <v>85028.99000000001</v>
      </c>
      <c r="L106" s="69">
        <f>K106-H106</f>
        <v/>
      </c>
      <c r="M106" s="69">
        <f>L106+I106+F106+C106</f>
        <v/>
      </c>
      <c r="N106" s="69">
        <f>M106-K106</f>
        <v/>
      </c>
      <c r="O106" s="69" t="n"/>
      <c r="P106" s="70" t="n">
        <v>17390.79</v>
      </c>
      <c r="R106" s="69">
        <f>P106+L106+I106+F106</f>
        <v/>
      </c>
    </row>
    <row r="107" ht="15" customHeight="1">
      <c r="A107" s="66" t="inlineStr">
        <is>
          <t>4310500</t>
        </is>
      </c>
      <c r="B107" s="66" t="inlineStr">
        <is>
          <t>KN Managementvergoeding</t>
        </is>
      </c>
      <c r="C107" s="68">
        <f>-(K107+-H107+-E107)</f>
        <v/>
      </c>
      <c r="D107" s="68" t="n"/>
      <c r="E107" s="70" t="n">
        <v>5445</v>
      </c>
      <c r="F107" s="70">
        <f>E107-C107</f>
        <v/>
      </c>
      <c r="G107" s="70" t="n"/>
      <c r="H107" s="70" t="n">
        <v>10890</v>
      </c>
      <c r="I107" s="70">
        <f>H107-E107</f>
        <v/>
      </c>
      <c r="J107" s="70" t="n"/>
      <c r="K107" s="69" t="n">
        <v>16335</v>
      </c>
      <c r="L107" s="69">
        <f>K107-H107</f>
        <v/>
      </c>
      <c r="M107" s="69">
        <f>L107+I107+F107+C107</f>
        <v/>
      </c>
      <c r="N107" s="69">
        <f>M107-K107</f>
        <v/>
      </c>
      <c r="O107" s="69" t="n"/>
      <c r="P107" s="70" t="n">
        <v>4500</v>
      </c>
      <c r="R107" s="69">
        <f>P107+L107+I107+F107</f>
        <v/>
      </c>
    </row>
    <row r="108" ht="15" customHeight="1">
      <c r="A108" s="66" t="inlineStr">
        <is>
          <t>4310600</t>
        </is>
      </c>
      <c r="B108" s="66" t="inlineStr">
        <is>
          <t>KN Accountantskosten</t>
        </is>
      </c>
      <c r="C108" s="68">
        <f>-(K108+-H108+-E108)</f>
        <v/>
      </c>
      <c r="D108" s="68" t="n"/>
      <c r="E108" s="70" t="n">
        <v>66268.05</v>
      </c>
      <c r="F108" s="70">
        <f>E108-C108</f>
        <v/>
      </c>
      <c r="G108" s="70" t="n"/>
      <c r="H108" s="70" t="n">
        <v>103893.83</v>
      </c>
      <c r="I108" s="70">
        <f>H108-E108</f>
        <v/>
      </c>
      <c r="J108" s="70" t="n"/>
      <c r="K108" s="69" t="n">
        <v>122608.27</v>
      </c>
      <c r="L108" s="69">
        <f>K108-H108</f>
        <v/>
      </c>
      <c r="M108" s="69">
        <f>L108+I108+F108+C108</f>
        <v/>
      </c>
      <c r="N108" s="69">
        <f>M108-K108</f>
        <v/>
      </c>
      <c r="O108" s="69" t="n"/>
      <c r="P108" s="70" t="n">
        <v>7500</v>
      </c>
      <c r="R108" s="69">
        <f>P108+L108+I108+F108</f>
        <v/>
      </c>
    </row>
    <row r="109" ht="15" customHeight="1">
      <c r="A109" s="66" t="inlineStr">
        <is>
          <t>4310700</t>
        </is>
      </c>
      <c r="B109" s="66" t="inlineStr">
        <is>
          <t>KN Administratiekosten</t>
        </is>
      </c>
      <c r="C109" s="68">
        <f>-(K109+-H109+-E109)</f>
        <v/>
      </c>
      <c r="D109" s="68" t="n"/>
      <c r="E109" s="70" t="n">
        <v>1210</v>
      </c>
      <c r="F109" s="70">
        <f>E109-C109</f>
        <v/>
      </c>
      <c r="G109" s="70" t="n"/>
      <c r="H109" s="70" t="n">
        <v>2420</v>
      </c>
      <c r="I109" s="70">
        <f>H109-E109</f>
        <v/>
      </c>
      <c r="J109" s="70" t="n"/>
      <c r="K109" s="69" t="n">
        <v>3630</v>
      </c>
      <c r="L109" s="69">
        <f>K109-H109</f>
        <v/>
      </c>
      <c r="M109" s="69">
        <f>L109+I109+F109+C109</f>
        <v/>
      </c>
      <c r="N109" s="69">
        <f>M109-K109</f>
        <v/>
      </c>
      <c r="O109" s="69" t="n"/>
      <c r="P109" s="70" t="n">
        <v>1210</v>
      </c>
      <c r="R109" s="69">
        <f>P109+L109+I109+F109</f>
        <v/>
      </c>
    </row>
    <row r="110" ht="15" customHeight="1">
      <c r="A110" s="66" t="inlineStr">
        <is>
          <t>4310800</t>
        </is>
      </c>
      <c r="B110" s="66" t="inlineStr">
        <is>
          <t>KN Makelaarskosten</t>
        </is>
      </c>
      <c r="C110" s="68">
        <f>-(K110+-H110+-E110)</f>
        <v/>
      </c>
      <c r="D110" s="68" t="n"/>
      <c r="E110" s="70" t="n">
        <v>29277.71</v>
      </c>
      <c r="F110" s="70">
        <f>E110-C110</f>
        <v/>
      </c>
      <c r="G110" s="70" t="n"/>
      <c r="H110" s="70" t="n">
        <v>100812.93</v>
      </c>
      <c r="I110" s="70">
        <f>H110-E110</f>
        <v/>
      </c>
      <c r="J110" s="70" t="n"/>
      <c r="K110" s="69" t="n">
        <v>157427.41</v>
      </c>
      <c r="L110" s="69">
        <f>K110-H110</f>
        <v/>
      </c>
      <c r="M110" s="69">
        <f>L110+I110+F110+C110</f>
        <v/>
      </c>
      <c r="N110" s="69">
        <f>M110-K110</f>
        <v/>
      </c>
      <c r="O110" s="69" t="n"/>
      <c r="P110" s="70" t="n">
        <v>68270.42999999999</v>
      </c>
      <c r="R110" s="69">
        <f>P110+L110+I110+F110</f>
        <v/>
      </c>
    </row>
    <row r="111" ht="15" customHeight="1">
      <c r="A111" s="66" t="inlineStr">
        <is>
          <t>4311000</t>
        </is>
      </c>
      <c r="B111" s="66" t="inlineStr">
        <is>
          <t>KN Juridische kosten</t>
        </is>
      </c>
      <c r="C111" s="68">
        <f>-(K111+-H111+-E111)</f>
        <v/>
      </c>
      <c r="D111" s="68" t="n"/>
      <c r="E111" s="70" t="n">
        <v>33609.46</v>
      </c>
      <c r="F111" s="70">
        <f>E111-C111</f>
        <v/>
      </c>
      <c r="G111" s="70" t="n"/>
      <c r="H111" s="70" t="n">
        <v>37173.8</v>
      </c>
      <c r="I111" s="70">
        <f>H111-E111</f>
        <v/>
      </c>
      <c r="J111" s="70" t="n"/>
      <c r="K111" s="69" t="n">
        <v>50438.06</v>
      </c>
      <c r="L111" s="69">
        <f>K111-H111</f>
        <v/>
      </c>
      <c r="M111" s="69">
        <f>L111+I111+F111+C111</f>
        <v/>
      </c>
      <c r="N111" s="69">
        <f>M111-K111</f>
        <v/>
      </c>
      <c r="O111" s="69" t="n"/>
      <c r="P111" s="70" t="n">
        <v>23194.35</v>
      </c>
      <c r="R111" s="69">
        <f>P111+L111+I111+F111</f>
        <v/>
      </c>
    </row>
    <row r="112" ht="15" customHeight="1">
      <c r="A112" s="71" t="n">
        <v>4311800</v>
      </c>
      <c r="B112" s="66" t="inlineStr">
        <is>
          <t xml:space="preserve">KN Advieskosten </t>
        </is>
      </c>
      <c r="C112" s="68">
        <f>-(K112+-H112+-E112)</f>
        <v/>
      </c>
      <c r="D112" s="68" t="n"/>
      <c r="E112" s="70" t="n">
        <v>160239.92</v>
      </c>
      <c r="F112" s="70">
        <f>E112-C112</f>
        <v/>
      </c>
      <c r="G112" s="70" t="n"/>
      <c r="H112" s="70" t="n">
        <v>160239.92</v>
      </c>
      <c r="I112" s="70">
        <f>H112-E112</f>
        <v/>
      </c>
      <c r="J112" s="70" t="n"/>
      <c r="K112" s="69" t="n">
        <v>165684.92</v>
      </c>
      <c r="L112" s="69">
        <f>K112-H112</f>
        <v/>
      </c>
      <c r="M112" s="69">
        <f>L112+I112+F112+C112</f>
        <v/>
      </c>
      <c r="N112" s="69">
        <f>M112-K112</f>
        <v/>
      </c>
      <c r="O112" s="69" t="n"/>
      <c r="P112" s="70" t="n">
        <v>0</v>
      </c>
      <c r="R112" s="69">
        <f>P112+L112+I112+F112</f>
        <v/>
      </c>
    </row>
    <row r="113" ht="15" customHeight="1">
      <c r="A113" s="66" t="inlineStr">
        <is>
          <t>4311900</t>
        </is>
      </c>
      <c r="B113" s="66" t="inlineStr">
        <is>
          <t>KN Bankkosten</t>
        </is>
      </c>
      <c r="C113" s="68">
        <f>-(K113+-H113+-E113)</f>
        <v/>
      </c>
      <c r="D113" s="68" t="n"/>
      <c r="E113" s="70" t="n">
        <v>2316.35</v>
      </c>
      <c r="F113" s="70">
        <f>E113-C113</f>
        <v/>
      </c>
      <c r="G113" s="70" t="n"/>
      <c r="H113" s="70" t="n">
        <v>3704.33</v>
      </c>
      <c r="I113" s="70">
        <f>H113-E113</f>
        <v/>
      </c>
      <c r="J113" s="70" t="n"/>
      <c r="K113" s="69" t="n">
        <v>5040.23</v>
      </c>
      <c r="L113" s="69">
        <f>K113-H113</f>
        <v/>
      </c>
      <c r="M113" s="69">
        <f>L113+I113+F113+C113</f>
        <v/>
      </c>
      <c r="N113" s="69">
        <f>M113-K113</f>
        <v/>
      </c>
      <c r="O113" s="69" t="n"/>
      <c r="P113" s="70" t="n">
        <v>1306.23</v>
      </c>
      <c r="R113" s="69">
        <f>P113+L113+I113+F113</f>
        <v/>
      </c>
    </row>
    <row r="114" ht="15" customHeight="1">
      <c r="A114" s="66" t="inlineStr">
        <is>
          <t>4319800</t>
        </is>
      </c>
      <c r="B114" s="66" t="inlineStr">
        <is>
          <t>KN Overige algemene kosten</t>
        </is>
      </c>
      <c r="C114" s="68">
        <f>-(K114+-H114+-E114)</f>
        <v/>
      </c>
      <c r="D114" s="68" t="n"/>
      <c r="E114" s="70" t="n">
        <v>-109.03</v>
      </c>
      <c r="F114" s="70">
        <f>E114-C114</f>
        <v/>
      </c>
      <c r="G114" s="70" t="n"/>
      <c r="H114" s="70" t="n">
        <v>-24.33</v>
      </c>
      <c r="I114" s="70">
        <f>H114-E114</f>
        <v/>
      </c>
      <c r="J114" s="70" t="n"/>
      <c r="K114" s="69" t="n">
        <v>-24.33</v>
      </c>
      <c r="L114" s="69">
        <f>K114-H114</f>
        <v/>
      </c>
      <c r="M114" s="69">
        <f>L114+I114+F114+C114</f>
        <v/>
      </c>
      <c r="N114" s="69">
        <f>M114-K114</f>
        <v/>
      </c>
      <c r="O114" s="69" t="n"/>
      <c r="P114" s="70" t="n">
        <v>2679.54</v>
      </c>
      <c r="R114" s="69">
        <f>P114+L114+I114+F114</f>
        <v/>
      </c>
    </row>
    <row r="115" ht="15" customHeight="1">
      <c r="A115" s="66" t="inlineStr">
        <is>
          <t>Totaal Algemene kosten</t>
        </is>
      </c>
      <c r="B115" s="66" t="n"/>
      <c r="C115" s="68">
        <f>-(K115+-H115+-E115)</f>
        <v/>
      </c>
      <c r="D115" s="68" t="n"/>
      <c r="E115" s="68" t="n">
        <v>368428.85</v>
      </c>
      <c r="F115" s="70">
        <f>E115-C115</f>
        <v/>
      </c>
      <c r="G115" s="68" t="n"/>
      <c r="H115" s="68" t="n">
        <v>491697.34</v>
      </c>
      <c r="I115" s="70">
        <f>H115-E115</f>
        <v/>
      </c>
      <c r="J115" s="68" t="n"/>
      <c r="K115" s="68" t="n">
        <v>606168.55</v>
      </c>
      <c r="L115" s="69">
        <f>K115-H115</f>
        <v/>
      </c>
      <c r="M115" s="69">
        <f>L115+I115+F115+C115</f>
        <v/>
      </c>
      <c r="N115" s="69">
        <f>M115-K115</f>
        <v/>
      </c>
      <c r="O115" s="69" t="n"/>
      <c r="P115" s="68" t="n">
        <v>126051.34</v>
      </c>
      <c r="R115" s="69">
        <f>P115+L115+I115+F115</f>
        <v/>
      </c>
    </row>
    <row r="116" ht="15" customHeight="1">
      <c r="A116" s="66" t="n"/>
      <c r="B116" s="66" t="n"/>
      <c r="C116" s="68">
        <f>-(K116+-H116+-E116)</f>
        <v/>
      </c>
      <c r="D116" s="68" t="n"/>
      <c r="E116" s="70" t="n"/>
      <c r="F116" s="70">
        <f>E116-C116</f>
        <v/>
      </c>
      <c r="G116" s="70" t="n"/>
      <c r="H116" s="70" t="n"/>
      <c r="I116" s="70">
        <f>H116-E116</f>
        <v/>
      </c>
      <c r="J116" s="70" t="n"/>
      <c r="K116" s="69" t="n"/>
      <c r="L116" s="69">
        <f>K116-H116</f>
        <v/>
      </c>
      <c r="M116" s="69">
        <f>L116+I116+F116+C116</f>
        <v/>
      </c>
      <c r="N116" s="69">
        <f>M116-K116</f>
        <v/>
      </c>
      <c r="O116" s="69" t="n"/>
      <c r="P116" s="70" t="n"/>
      <c r="R116" s="69">
        <f>P116+L116+I116+F116</f>
        <v/>
      </c>
    </row>
    <row r="117" ht="15" customHeight="1">
      <c r="A117" s="71" t="n">
        <v>4623000</v>
      </c>
      <c r="B117" s="66" t="inlineStr">
        <is>
          <t xml:space="preserve">FINBL Rente ABN AMRO Bank NV leningen </t>
        </is>
      </c>
      <c r="C117" s="68">
        <f>-(K117+-H117+-E117)</f>
        <v/>
      </c>
      <c r="D117" s="68" t="n"/>
      <c r="E117" s="70" t="n">
        <v>832383.46</v>
      </c>
      <c r="F117" s="70">
        <f>E117-C117</f>
        <v/>
      </c>
      <c r="G117" s="70" t="n"/>
      <c r="H117" s="70" t="n">
        <v>832383.46</v>
      </c>
      <c r="I117" s="70">
        <f>H117-E117</f>
        <v/>
      </c>
      <c r="J117" s="70" t="n"/>
      <c r="K117" s="69" t="n">
        <v>832383.46</v>
      </c>
      <c r="L117" s="69">
        <f>K117-H117</f>
        <v/>
      </c>
      <c r="M117" s="69">
        <f>L117+I117+F117+C117</f>
        <v/>
      </c>
      <c r="N117" s="69">
        <f>M117-K117</f>
        <v/>
      </c>
      <c r="O117" s="69" t="n"/>
      <c r="P117" s="70" t="n">
        <v>0</v>
      </c>
      <c r="R117" s="69">
        <f>P117+L117+I117+F117</f>
        <v/>
      </c>
    </row>
    <row r="118" ht="15" customHeight="1">
      <c r="A118" s="66" t="inlineStr">
        <is>
          <t>4623001</t>
        </is>
      </c>
      <c r="B118" s="66" t="inlineStr">
        <is>
          <t>FINBL Rente ABN AMRO Bank NV Senior Facility Agreement</t>
        </is>
      </c>
      <c r="C118" s="68">
        <f>-(K118+-H118+-E118)</f>
        <v/>
      </c>
      <c r="D118" s="68" t="n"/>
      <c r="E118" s="70" t="n">
        <v>1393166.67</v>
      </c>
      <c r="F118" s="70">
        <f>E118-C118</f>
        <v/>
      </c>
      <c r="G118" s="70" t="n"/>
      <c r="H118" s="70" t="n">
        <v>1931986.2</v>
      </c>
      <c r="I118" s="70">
        <f>H118-E118</f>
        <v/>
      </c>
      <c r="J118" s="70" t="n"/>
      <c r="K118" s="69" t="n">
        <v>2477628.48</v>
      </c>
      <c r="L118" s="69">
        <f>K118-H118</f>
        <v/>
      </c>
      <c r="M118" s="69">
        <f>L118+I118+F118+C118</f>
        <v/>
      </c>
      <c r="N118" s="69">
        <f>M118-K118</f>
        <v/>
      </c>
      <c r="O118" s="69" t="n"/>
      <c r="P118" s="70" t="n">
        <v>503883.39</v>
      </c>
      <c r="R118" s="69">
        <f>P118+L118+I118+F118</f>
        <v/>
      </c>
    </row>
    <row r="119" ht="15" customHeight="1">
      <c r="A119" s="71" t="n">
        <v>4628001</v>
      </c>
      <c r="B119" s="66" t="inlineStr">
        <is>
          <t>FINBL Rente LLS QSPESS Limited</t>
        </is>
      </c>
      <c r="C119" s="68">
        <f>-(K119+-H119+-E119)</f>
        <v/>
      </c>
      <c r="D119" s="68" t="n"/>
      <c r="E119" s="70" t="n">
        <v>872526.9399999999</v>
      </c>
      <c r="F119" s="70">
        <f>E119-C119</f>
        <v/>
      </c>
      <c r="G119" s="70" t="n"/>
      <c r="H119" s="70" t="n">
        <v>872526.9399999999</v>
      </c>
      <c r="I119" s="70">
        <f>H119-E119</f>
        <v/>
      </c>
      <c r="J119" s="70" t="n"/>
      <c r="K119" s="69" t="n">
        <v>872526.9399999999</v>
      </c>
      <c r="L119" s="69">
        <f>K119-H119</f>
        <v/>
      </c>
      <c r="M119" s="69">
        <f>L119+I119+F119+C119</f>
        <v/>
      </c>
      <c r="N119" s="69">
        <f>M119-K119</f>
        <v/>
      </c>
      <c r="O119" s="69" t="n"/>
      <c r="P119" s="70" t="n">
        <v>0</v>
      </c>
      <c r="R119" s="69">
        <f>P119+L119+I119+F119</f>
        <v/>
      </c>
    </row>
    <row r="120" ht="15" customHeight="1">
      <c r="A120" s="71" t="n">
        <v>4630000</v>
      </c>
      <c r="B120" s="66" t="inlineStr">
        <is>
          <t>FINBL Rente belastingen</t>
        </is>
      </c>
      <c r="C120" s="68">
        <f>-(K120+-H120+-E120)</f>
        <v/>
      </c>
      <c r="D120" s="68" t="n"/>
      <c r="E120" s="70" t="n">
        <v>18603</v>
      </c>
      <c r="F120" s="70">
        <f>E120-C120</f>
        <v/>
      </c>
      <c r="G120" s="70" t="n"/>
      <c r="H120" s="70" t="n">
        <v>18603</v>
      </c>
      <c r="I120" s="70">
        <f>H120-E120</f>
        <v/>
      </c>
      <c r="J120" s="70" t="n"/>
      <c r="K120" s="69" t="n">
        <v>18603</v>
      </c>
      <c r="L120" s="69">
        <f>K120-H120</f>
        <v/>
      </c>
      <c r="M120" s="69">
        <f>L120+I120+F120+C120</f>
        <v/>
      </c>
      <c r="N120" s="69">
        <f>M120-K120</f>
        <v/>
      </c>
      <c r="O120" s="69" t="n"/>
      <c r="P120" s="70" t="n">
        <v>0</v>
      </c>
      <c r="R120" s="69">
        <f>P120+L120+I120+F120</f>
        <v/>
      </c>
    </row>
    <row r="121" ht="15" customHeight="1">
      <c r="A121" s="66" t="inlineStr">
        <is>
          <t>4643000</t>
        </is>
      </c>
      <c r="B121" s="66" t="inlineStr">
        <is>
          <t>FINBL Overige rentelasten</t>
        </is>
      </c>
      <c r="C121" s="68">
        <f>-(K121+-H121+-E121)</f>
        <v/>
      </c>
      <c r="D121" s="68" t="n"/>
      <c r="E121" s="70" t="n">
        <v>112789.44</v>
      </c>
      <c r="F121" s="70">
        <f>E121-C121</f>
        <v/>
      </c>
      <c r="G121" s="70" t="n"/>
      <c r="H121" s="70" t="n">
        <v>223655.64</v>
      </c>
      <c r="I121" s="70">
        <f>H121-E121</f>
        <v/>
      </c>
      <c r="J121" s="70" t="n"/>
      <c r="K121" s="69" t="n">
        <v>337456.51</v>
      </c>
      <c r="L121" s="69">
        <f>K121-H121</f>
        <v/>
      </c>
      <c r="M121" s="69">
        <f>L121+I121+F121+C121</f>
        <v/>
      </c>
      <c r="N121" s="69">
        <f>M121-K121</f>
        <v/>
      </c>
      <c r="O121" s="69" t="n"/>
      <c r="P121" s="70" t="n">
        <v>105862.7</v>
      </c>
      <c r="R121" s="69">
        <f>P121+L121+I121+F121</f>
        <v/>
      </c>
    </row>
    <row r="122" ht="15" customHeight="1">
      <c r="A122" s="66" t="inlineStr">
        <is>
          <t>Totaal Financiële baten en lasten</t>
        </is>
      </c>
      <c r="B122" s="66" t="n"/>
      <c r="C122" s="68">
        <f>-(K122+-H122+-E122)</f>
        <v/>
      </c>
      <c r="D122" s="68" t="n"/>
      <c r="E122" s="68" t="n">
        <v>3229469.51</v>
      </c>
      <c r="F122" s="70">
        <f>E122-C122</f>
        <v/>
      </c>
      <c r="G122" s="68" t="n"/>
      <c r="H122" s="68" t="n">
        <v>3879155.24</v>
      </c>
      <c r="I122" s="70">
        <f>H122-E122</f>
        <v/>
      </c>
      <c r="J122" s="68" t="n"/>
      <c r="K122" s="68" t="n">
        <v>4538598.39</v>
      </c>
      <c r="L122" s="69">
        <f>K122-H122</f>
        <v/>
      </c>
      <c r="M122" s="69">
        <f>L122+I122+F122+C122</f>
        <v/>
      </c>
      <c r="N122" s="69">
        <f>M122-K122</f>
        <v/>
      </c>
      <c r="O122" s="69" t="n"/>
      <c r="P122" s="68" t="n">
        <v>609746.09</v>
      </c>
      <c r="R122" s="69">
        <f>P122+L122+I122+F122</f>
        <v/>
      </c>
    </row>
    <row r="123" ht="15" customHeight="1">
      <c r="A123" s="66" t="n"/>
      <c r="B123" s="66" t="n"/>
      <c r="C123" s="68">
        <f>-(K123+-H123+-E123)</f>
        <v/>
      </c>
      <c r="D123" s="68" t="n"/>
      <c r="E123" s="70" t="n"/>
      <c r="F123" s="70">
        <f>E123-C123</f>
        <v/>
      </c>
      <c r="G123" s="70" t="n"/>
      <c r="H123" s="70" t="n"/>
      <c r="I123" s="70">
        <f>H123-E123</f>
        <v/>
      </c>
      <c r="J123" s="70" t="n"/>
      <c r="K123" s="69" t="n"/>
      <c r="L123" s="69">
        <f>K123-H123</f>
        <v/>
      </c>
      <c r="M123" s="69">
        <f>L123+I123+F123+C123</f>
        <v/>
      </c>
      <c r="N123" s="69">
        <f>M123-K123</f>
        <v/>
      </c>
      <c r="O123" s="69" t="n"/>
      <c r="P123" s="70" t="n"/>
      <c r="R123" s="69">
        <f>P123+L123+I123+F123</f>
        <v/>
      </c>
    </row>
    <row r="124" ht="15" customHeight="1">
      <c r="A124" s="71" t="n">
        <v>9500000</v>
      </c>
      <c r="B124" s="66" t="inlineStr">
        <is>
          <t>VPB Vennootschapsbelasting VPB huidig jaar</t>
        </is>
      </c>
      <c r="C124" s="68">
        <f>-(K124+-H124+-E124)</f>
        <v/>
      </c>
      <c r="D124" s="68" t="n"/>
      <c r="E124" s="70" t="n">
        <v>0</v>
      </c>
      <c r="F124" s="70">
        <f>E124-C124</f>
        <v/>
      </c>
      <c r="G124" s="70" t="n"/>
      <c r="H124" s="70" t="n">
        <v>0</v>
      </c>
      <c r="I124" s="70">
        <f>H124-E124</f>
        <v/>
      </c>
      <c r="J124" s="70" t="n"/>
      <c r="K124" s="69" t="n">
        <v>0</v>
      </c>
      <c r="L124" s="69">
        <f>K124-H124</f>
        <v/>
      </c>
      <c r="M124" s="69">
        <f>L124+I124+F124+C124</f>
        <v/>
      </c>
      <c r="N124" s="69">
        <f>M124-K124</f>
        <v/>
      </c>
      <c r="O124" s="69" t="n"/>
      <c r="P124" s="70" t="n">
        <v>0</v>
      </c>
      <c r="R124" s="69">
        <f>P124+L124+I124+F124</f>
        <v/>
      </c>
    </row>
    <row r="125" ht="15" customHeight="1">
      <c r="A125" s="66" t="inlineStr">
        <is>
          <t>9510000</t>
        </is>
      </c>
      <c r="B125" s="66" t="inlineStr">
        <is>
          <t>VPB Mutatie belastinglatentie Mutatie actieve latentie</t>
        </is>
      </c>
      <c r="C125" s="68">
        <f>-(K125+-H125+-E125)</f>
        <v/>
      </c>
      <c r="D125" s="68" t="n"/>
      <c r="E125" s="70" t="n">
        <v>118044</v>
      </c>
      <c r="F125" s="70">
        <f>E125-C125</f>
        <v/>
      </c>
      <c r="G125" s="70" t="n"/>
      <c r="H125" s="70" t="n">
        <v>-21124.22</v>
      </c>
      <c r="I125" s="70">
        <f>H125-E125</f>
        <v/>
      </c>
      <c r="J125" s="70" t="n"/>
      <c r="K125" s="69" t="n">
        <v>-417436.22</v>
      </c>
      <c r="L125" s="69">
        <f>K125-H125</f>
        <v/>
      </c>
      <c r="M125" s="69">
        <f>L125+I125+F125+C125</f>
        <v/>
      </c>
      <c r="N125" s="69">
        <f>M125-K125</f>
        <v/>
      </c>
      <c r="O125" s="69" t="n"/>
      <c r="P125" s="70" t="n">
        <v>-168662</v>
      </c>
      <c r="R125" s="69">
        <f>P125+L125+I125+F125</f>
        <v/>
      </c>
    </row>
    <row r="126" ht="15" customHeight="1">
      <c r="A126" s="66" t="inlineStr">
        <is>
          <t>Totaal Belastingen</t>
        </is>
      </c>
      <c r="B126" s="66" t="n"/>
      <c r="C126" s="68">
        <f>-(K126+-H126+-E126)</f>
        <v/>
      </c>
      <c r="D126" s="68" t="n"/>
      <c r="E126" s="68" t="n">
        <v>118044</v>
      </c>
      <c r="F126" s="70">
        <f>E126-C126</f>
        <v/>
      </c>
      <c r="G126" s="68" t="n"/>
      <c r="H126" s="68" t="n">
        <v>-21124.22</v>
      </c>
      <c r="I126" s="70">
        <f>H126-E126</f>
        <v/>
      </c>
      <c r="J126" s="68" t="n"/>
      <c r="K126" s="68" t="n">
        <v>-417436.22</v>
      </c>
      <c r="L126" s="69">
        <f>K126-H126</f>
        <v/>
      </c>
      <c r="M126" s="69">
        <f>L126+I126+F126+C126</f>
        <v/>
      </c>
      <c r="N126" s="69">
        <f>M126-K126</f>
        <v/>
      </c>
      <c r="O126" s="69" t="n"/>
      <c r="P126" s="68" t="n">
        <v>-168662</v>
      </c>
      <c r="R126" s="69">
        <f>P126+L126+I126+F126</f>
        <v/>
      </c>
    </row>
    <row r="127">
      <c r="A127" s="66" t="n"/>
      <c r="B127" s="66" t="n"/>
      <c r="C127" s="68" t="n"/>
      <c r="D127" s="68" t="n"/>
      <c r="E127" s="69" t="n"/>
      <c r="F127" s="69" t="n"/>
      <c r="G127" s="69" t="n"/>
      <c r="H127" s="69" t="n"/>
      <c r="I127" s="69" t="n"/>
      <c r="J127" s="69" t="n"/>
      <c r="K127" s="69" t="n"/>
      <c r="L127" s="69" t="n"/>
      <c r="M127" s="69" t="n"/>
      <c r="N127" s="69" t="n"/>
      <c r="O127" s="69" t="n"/>
      <c r="P127" s="69" t="n"/>
    </row>
    <row r="128">
      <c r="A128" s="66" t="inlineStr">
        <is>
          <t>Resultaat voor vennootschapsbelasting</t>
        </is>
      </c>
      <c r="B128" s="66" t="n"/>
      <c r="C128" s="74" t="n"/>
      <c r="D128" s="74" t="n"/>
      <c r="E128" s="74" t="n">
        <v>782247.3999999999</v>
      </c>
      <c r="F128" s="74" t="n"/>
      <c r="G128" s="74" t="n"/>
      <c r="H128" s="75" t="n">
        <v>-2283958.8</v>
      </c>
      <c r="I128" s="75" t="n"/>
      <c r="J128" s="75" t="n"/>
      <c r="K128" s="75" t="n">
        <v>-1482256</v>
      </c>
      <c r="L128" s="75" t="n"/>
      <c r="M128" s="75" t="n"/>
      <c r="N128" s="75" t="n"/>
      <c r="O128" s="75" t="n"/>
      <c r="P128" s="74" t="n">
        <v>1181795.61</v>
      </c>
    </row>
    <row r="129" ht="15" customHeight="1">
      <c r="C129" s="292" t="n"/>
      <c r="D129" s="292" t="n"/>
    </row>
    <row r="130" ht="15" customHeight="1">
      <c r="C130" s="292" t="n"/>
      <c r="D130" s="292" t="n"/>
    </row>
    <row r="131" ht="15" customHeight="1">
      <c r="C131" s="292" t="n"/>
      <c r="D131" s="292" t="n"/>
    </row>
    <row r="132" ht="15" customHeight="1">
      <c r="C132" s="292" t="n"/>
      <c r="D132" s="292" t="n"/>
    </row>
    <row r="133" ht="15" customHeight="1">
      <c r="C133" s="292" t="n"/>
      <c r="D133" s="292" t="n"/>
    </row>
    <row r="134" ht="15" customHeight="1">
      <c r="C134" s="292" t="n"/>
      <c r="D134" s="29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6"/>
  <sheetViews>
    <sheetView topLeftCell="A8" zoomScale="93" zoomScaleNormal="93" workbookViewId="0">
      <selection activeCell="H88" sqref="H88"/>
    </sheetView>
  </sheetViews>
  <sheetFormatPr baseColWidth="8" defaultRowHeight="14.4"/>
  <cols>
    <col width="9.109375" customWidth="1" style="112" min="1" max="1"/>
    <col width="63.33203125" bestFit="1" customWidth="1" style="112" min="2" max="2"/>
    <col width="18.5546875" customWidth="1" style="112" min="3" max="3"/>
    <col width="28.44140625" bestFit="1" customWidth="1" style="112" min="4" max="4"/>
    <col width="18.33203125" bestFit="1" customWidth="1" style="112" min="5" max="5"/>
    <col width="12.88671875" bestFit="1" customWidth="1" min="7" max="7"/>
    <col width="9.88671875" bestFit="1" customWidth="1" min="8" max="8"/>
  </cols>
  <sheetData>
    <row r="1">
      <c r="C1" s="112" t="inlineStr">
        <is>
          <t>Mutaties Q1 2019</t>
        </is>
      </c>
      <c r="D1" s="112" t="inlineStr">
        <is>
          <t>Mutaties Q2 2019</t>
        </is>
      </c>
      <c r="E1" s="112" t="inlineStr">
        <is>
          <t>Saldi per 30-06-2019</t>
        </is>
      </c>
    </row>
    <row r="3">
      <c r="A3" s="113" t="inlineStr">
        <is>
          <t>Balans</t>
        </is>
      </c>
      <c r="C3" s="116" t="n">
        <v>0</v>
      </c>
      <c r="D3" s="116" t="n">
        <v>0</v>
      </c>
    </row>
    <row r="4">
      <c r="A4" s="112" t="inlineStr">
        <is>
          <t>1600000</t>
        </is>
      </c>
      <c r="B4" s="112" t="inlineStr">
        <is>
          <t>VG Vastgoedbeleggingen Verkrijgings- of vervaardigingsprijs</t>
        </is>
      </c>
      <c r="C4" s="116" t="n">
        <v>-662362</v>
      </c>
      <c r="D4" s="116" t="n">
        <v>-650161</v>
      </c>
      <c r="E4" s="115" t="n">
        <v>132164783</v>
      </c>
    </row>
    <row r="5">
      <c r="A5" s="112" t="inlineStr">
        <is>
          <t>1600200</t>
        </is>
      </c>
      <c r="B5" s="112" t="inlineStr">
        <is>
          <t>VG Vastgoedbeleggingen Cum afschrijvingen en waardeverm</t>
        </is>
      </c>
      <c r="C5" s="116" t="n">
        <v>-651550</v>
      </c>
      <c r="D5" s="116" t="n">
        <v>-1011554</v>
      </c>
      <c r="E5" s="115" t="n">
        <v>-10634612</v>
      </c>
      <c r="G5" s="122">
        <f>E5+E6+E83</f>
        <v/>
      </c>
    </row>
    <row r="6">
      <c r="A6" s="112" t="inlineStr">
        <is>
          <t>1610803</t>
        </is>
      </c>
      <c r="B6" s="112" t="inlineStr">
        <is>
          <t>VG Comm VG in exploitatie Buitengebruikstellingen aanschaffingswaarde</t>
        </is>
      </c>
      <c r="C6" s="116" t="n">
        <v>41286</v>
      </c>
      <c r="D6" s="116" t="n">
        <v>71536</v>
      </c>
      <c r="E6" s="115" t="n">
        <v>233092</v>
      </c>
    </row>
    <row r="7">
      <c r="A7" s="112" t="inlineStr">
        <is>
          <t>Totaal Vastgoedbeleggingen</t>
        </is>
      </c>
      <c r="C7" s="116">
        <f>SUM(C3:C6)</f>
        <v/>
      </c>
      <c r="D7" s="116">
        <f>SUM(D3:D6)</f>
        <v/>
      </c>
      <c r="E7" s="115" t="n">
        <v>121763263</v>
      </c>
    </row>
    <row r="8">
      <c r="C8" s="116" t="n"/>
      <c r="D8" s="116" t="n"/>
    </row>
    <row r="9">
      <c r="A9" s="114" t="n">
        <v>1710004</v>
      </c>
      <c r="B9" s="112" t="inlineStr">
        <is>
          <t>FVA Deelneming VvE Portefeuille Vivare II</t>
        </is>
      </c>
      <c r="C9" s="116" t="n"/>
      <c r="D9" s="116" t="n"/>
    </row>
    <row r="10">
      <c r="A10" s="112" t="inlineStr">
        <is>
          <t>1790002</t>
        </is>
      </c>
      <c r="B10" s="112" t="inlineStr">
        <is>
          <t>FVA Latente belastingvordering langlopend</t>
        </is>
      </c>
      <c r="C10" s="116" t="n">
        <v>168662</v>
      </c>
      <c r="D10" s="116" t="n">
        <v>142232</v>
      </c>
      <c r="E10" s="115" t="n">
        <v>2706901</v>
      </c>
    </row>
    <row r="11">
      <c r="A11" s="112" t="inlineStr">
        <is>
          <t>Totaal Financiële vaste activa</t>
        </is>
      </c>
      <c r="C11" s="116" t="n"/>
      <c r="D11" s="116">
        <f>SUM(D9:D10)</f>
        <v/>
      </c>
      <c r="E11" s="115" t="n">
        <v>2706901</v>
      </c>
    </row>
    <row r="12">
      <c r="C12" s="116" t="n"/>
      <c r="D12" s="116" t="n"/>
    </row>
    <row r="13">
      <c r="A13" s="112" t="inlineStr">
        <is>
          <t>2000000</t>
        </is>
      </c>
      <c r="B13" s="112" t="inlineStr">
        <is>
          <t>VOR Debiteuren</t>
        </is>
      </c>
      <c r="C13" s="116" t="n">
        <v>157585</v>
      </c>
      <c r="D13" s="116" t="n">
        <v>66045</v>
      </c>
      <c r="E13" s="115" t="n">
        <v>342834</v>
      </c>
    </row>
    <row r="14">
      <c r="A14" s="112" t="inlineStr">
        <is>
          <t>2000300</t>
        </is>
      </c>
      <c r="B14" s="112" t="inlineStr">
        <is>
          <t>VOR Voorziening dubieuze debiteuren</t>
        </is>
      </c>
      <c r="C14" s="116" t="n">
        <v>0</v>
      </c>
      <c r="D14" s="116" t="n">
        <v>0</v>
      </c>
      <c r="E14" s="115" t="n">
        <v>-64501</v>
      </c>
      <c r="G14" s="122" t="n"/>
    </row>
    <row r="15">
      <c r="A15" s="112" t="inlineStr">
        <is>
          <t>Totaal Debiteuren</t>
        </is>
      </c>
      <c r="C15" s="116">
        <f>SUM(C13:C14)</f>
        <v/>
      </c>
      <c r="D15" s="116">
        <f>SUM(D13:D14)</f>
        <v/>
      </c>
      <c r="E15" s="115" t="n">
        <v>278333</v>
      </c>
    </row>
    <row r="16">
      <c r="C16" s="116" t="n"/>
      <c r="D16" s="116" t="n"/>
    </row>
    <row r="17">
      <c r="A17" s="114" t="n">
        <v>2040700</v>
      </c>
      <c r="B17" s="112" t="inlineStr">
        <is>
          <t>VOR Vooruitbetaalde servicekosten</t>
        </is>
      </c>
      <c r="C17" s="116" t="n">
        <v>0</v>
      </c>
      <c r="D17" s="116" t="n">
        <v>0</v>
      </c>
      <c r="E17" s="115" t="n">
        <v>15594</v>
      </c>
    </row>
    <row r="18">
      <c r="A18" s="114" t="n">
        <v>2040900</v>
      </c>
      <c r="B18" s="112" t="inlineStr">
        <is>
          <t>VOR Vooruitbetaalde overige kosten</t>
        </is>
      </c>
      <c r="C18" s="116" t="n">
        <v>0</v>
      </c>
      <c r="D18" s="116" t="n">
        <v>0</v>
      </c>
      <c r="E18" s="115" t="n">
        <v>737</v>
      </c>
    </row>
    <row r="19">
      <c r="A19" s="112" t="inlineStr">
        <is>
          <t>Totaal overige vorderingen</t>
        </is>
      </c>
      <c r="C19" s="116">
        <f>SUM(C17:C18)</f>
        <v/>
      </c>
      <c r="D19" s="116">
        <f>SUM(D17:D18)</f>
        <v/>
      </c>
      <c r="E19" s="115" t="n">
        <v>16331</v>
      </c>
    </row>
    <row r="20">
      <c r="C20" s="116" t="n"/>
      <c r="D20" s="116" t="n"/>
    </row>
    <row r="21">
      <c r="A21" s="112" t="inlineStr">
        <is>
          <t>2640000</t>
        </is>
      </c>
      <c r="B21" s="112" t="inlineStr">
        <is>
          <t>RC Kortlopend DMRRP INV - I BV</t>
        </is>
      </c>
      <c r="C21" s="116" t="n">
        <v>0</v>
      </c>
      <c r="D21" s="116" t="n">
        <v>0</v>
      </c>
      <c r="E21" s="115" t="n">
        <v>110497</v>
      </c>
    </row>
    <row r="22">
      <c r="A22" s="112" t="inlineStr">
        <is>
          <t>Totaal Rekening-courant aandeelhouder</t>
        </is>
      </c>
      <c r="C22" s="116">
        <f>SUM(C21)</f>
        <v/>
      </c>
      <c r="D22" s="116">
        <f>SUM(D21)</f>
        <v/>
      </c>
      <c r="E22" s="115" t="n">
        <v>110497</v>
      </c>
    </row>
    <row r="23">
      <c r="C23" s="116" t="n"/>
      <c r="D23" s="116" t="n"/>
    </row>
    <row r="24">
      <c r="A24" s="112" t="inlineStr">
        <is>
          <t>2300000</t>
        </is>
      </c>
      <c r="B24" s="112" t="inlineStr">
        <is>
          <t>LM Kruisposten</t>
        </is>
      </c>
      <c r="C24" s="116" t="n">
        <v>672</v>
      </c>
      <c r="D24" s="116" t="n">
        <v>-672</v>
      </c>
      <c r="E24" s="115" t="n">
        <v>0</v>
      </c>
    </row>
    <row r="25">
      <c r="A25" s="112" t="inlineStr">
        <is>
          <t>2400200</t>
        </is>
      </c>
      <c r="B25" s="112" t="inlineStr">
        <is>
          <t>LM ABN AMRO Bank Disposal NL58 ABNA 0818 9180 39</t>
        </is>
      </c>
      <c r="C25" s="116" t="n">
        <v>-447623</v>
      </c>
      <c r="D25" s="116" t="n">
        <v>-458920</v>
      </c>
      <c r="E25" s="115" t="n">
        <v>80042</v>
      </c>
    </row>
    <row r="26">
      <c r="A26" s="112" t="inlineStr">
        <is>
          <t>2400201</t>
        </is>
      </c>
      <c r="B26" s="112" t="inlineStr">
        <is>
          <t>LM ABN AMRO Bank Deposit NL57 ABNA 0541 6205 68</t>
        </is>
      </c>
      <c r="C26" s="116" t="n">
        <v>1359967</v>
      </c>
      <c r="D26" s="116" t="n">
        <v>-1368856</v>
      </c>
      <c r="E26" s="115" t="n">
        <v>759</v>
      </c>
    </row>
    <row r="27">
      <c r="A27" s="112" t="inlineStr">
        <is>
          <t>2400202</t>
        </is>
      </c>
      <c r="B27" s="112" t="inlineStr">
        <is>
          <t>LM ABN AMRO Bank General NL93 ABNA 0541 6132 27</t>
        </is>
      </c>
      <c r="C27" s="116" t="n">
        <v>842838</v>
      </c>
      <c r="D27" s="116" t="n">
        <v>-1028597</v>
      </c>
      <c r="E27" s="115" t="n">
        <v>6031</v>
      </c>
    </row>
    <row r="28">
      <c r="A28" s="112" t="inlineStr">
        <is>
          <t>2400203</t>
        </is>
      </c>
      <c r="B28" s="112" t="inlineStr">
        <is>
          <t>LM ABN AMRO Bank Maintres NL04 ABNA 0541 6188 06</t>
        </is>
      </c>
      <c r="C28" s="116" t="n">
        <v>109815</v>
      </c>
      <c r="D28" s="116" t="n">
        <v>44887</v>
      </c>
      <c r="E28" s="115" t="n">
        <v>646236</v>
      </c>
    </row>
    <row r="29">
      <c r="A29" s="112" t="inlineStr">
        <is>
          <t>2400204</t>
        </is>
      </c>
      <c r="B29" s="112" t="inlineStr">
        <is>
          <t>LM ABN AMRO Bank Rent NL46 ABNA 0541 6088 35</t>
        </is>
      </c>
      <c r="C29" s="116" t="n">
        <v>84312</v>
      </c>
      <c r="D29" s="116" t="n">
        <v>528567</v>
      </c>
      <c r="E29" s="115" t="n">
        <v>1028303</v>
      </c>
    </row>
    <row r="30">
      <c r="A30" s="112" t="inlineStr">
        <is>
          <t>2400205</t>
        </is>
      </c>
      <c r="B30" s="112" t="inlineStr">
        <is>
          <t>LM ABN AMRO Bank SR EXP NL88 ABNA 0541 6205 92</t>
        </is>
      </c>
      <c r="C30" s="116" t="n">
        <v>-217031</v>
      </c>
      <c r="D30" s="116" t="n">
        <v>58399</v>
      </c>
      <c r="E30" s="115" t="n">
        <v>116539</v>
      </c>
    </row>
    <row r="31">
      <c r="A31" s="112" t="inlineStr">
        <is>
          <t>Totaal Liquide middelen</t>
        </is>
      </c>
      <c r="C31" s="116">
        <f>SUM(C25:C30)</f>
        <v/>
      </c>
      <c r="D31" s="116">
        <f>SUM(D25:D30)</f>
        <v/>
      </c>
      <c r="E31" s="115" t="n">
        <v>1877910</v>
      </c>
    </row>
    <row r="32">
      <c r="C32" s="116" t="n"/>
      <c r="D32" s="116" t="n"/>
    </row>
    <row r="33">
      <c r="A33" s="112" t="inlineStr">
        <is>
          <t>1000002</t>
        </is>
      </c>
      <c r="B33" s="112" t="inlineStr">
        <is>
          <t>EV Normale aandelen  Saldo</t>
        </is>
      </c>
      <c r="C33" s="116" t="n">
        <v>0</v>
      </c>
      <c r="D33" s="116" t="n">
        <v>0</v>
      </c>
      <c r="E33" s="115" t="n">
        <v>-1</v>
      </c>
    </row>
    <row r="34">
      <c r="A34" s="112" t="inlineStr">
        <is>
          <t>1100000</t>
        </is>
      </c>
      <c r="B34" s="112" t="inlineStr">
        <is>
          <t>EV Agioreserve  Agio aandelen</t>
        </is>
      </c>
      <c r="C34" s="116" t="n">
        <v>0</v>
      </c>
      <c r="D34" s="116" t="n">
        <v>0</v>
      </c>
      <c r="E34" s="115" t="n">
        <v>-19431219</v>
      </c>
    </row>
    <row r="35">
      <c r="A35" s="112" t="inlineStr">
        <is>
          <t>1160000</t>
        </is>
      </c>
      <c r="B35" s="112" t="inlineStr">
        <is>
          <t>EV Overige reserve Reserve aandelen</t>
        </is>
      </c>
      <c r="C35" s="116" t="n">
        <v>0</v>
      </c>
      <c r="D35" s="116" t="n">
        <v>0</v>
      </c>
      <c r="E35" s="115" t="n">
        <v>11244686</v>
      </c>
    </row>
    <row r="36">
      <c r="A36" s="112" t="inlineStr">
        <is>
          <t>1160100</t>
        </is>
      </c>
      <c r="B36" s="112" t="inlineStr">
        <is>
          <t>EV Overige reserve  Dividenduitkeringen aandelen</t>
        </is>
      </c>
      <c r="C36" s="116" t="n">
        <v>310000</v>
      </c>
      <c r="D36" s="116" t="n">
        <v>225000</v>
      </c>
      <c r="E36" s="115" t="n">
        <v>8262104</v>
      </c>
    </row>
    <row r="37">
      <c r="A37" s="112" t="inlineStr">
        <is>
          <t>Totaal Eigen vermogen</t>
        </is>
      </c>
      <c r="C37" s="116">
        <f>SUM(C33:C36)</f>
        <v/>
      </c>
      <c r="D37" s="116">
        <f>SUM(D33:D36)</f>
        <v/>
      </c>
      <c r="E37" s="115" t="n">
        <v>75570</v>
      </c>
    </row>
    <row r="38">
      <c r="C38" s="116" t="n"/>
      <c r="D38" s="116" t="n"/>
    </row>
    <row r="39">
      <c r="A39" s="112" t="inlineStr">
        <is>
          <t>1930001</t>
        </is>
      </c>
      <c r="B39" s="112" t="inlineStr">
        <is>
          <t>LLS Hoofdsom ABN AMRO Bank NV Senior Facility Agreement</t>
        </is>
      </c>
      <c r="C39" s="116" t="n">
        <v>0</v>
      </c>
      <c r="D39" s="116" t="n">
        <v>0</v>
      </c>
      <c r="E39" s="115" t="n">
        <v>-130000000</v>
      </c>
    </row>
    <row r="40">
      <c r="A40" s="112" t="inlineStr">
        <is>
          <t>1930101</t>
        </is>
      </c>
      <c r="B40" s="112" t="inlineStr">
        <is>
          <t>LLS Cum aflossingen ABN AMRO Bank NV Senior Facility Agreement</t>
        </is>
      </c>
      <c r="C40" s="116" t="n">
        <v>0</v>
      </c>
      <c r="D40" s="116" t="n">
        <v>4692972</v>
      </c>
      <c r="E40" s="115" t="n">
        <v>9763205</v>
      </c>
    </row>
    <row r="41">
      <c r="A41" s="112" t="n">
        <v>1930201</v>
      </c>
      <c r="B41" s="112" t="inlineStr">
        <is>
          <t>LLS Kortlopend deel ABN AMRO Bank NV Senior Facility Agreement</t>
        </is>
      </c>
      <c r="C41" s="116" t="n">
        <v>306834</v>
      </c>
      <c r="D41" s="116" t="n">
        <v>0</v>
      </c>
      <c r="E41" s="115" t="n">
        <v>0</v>
      </c>
    </row>
    <row r="42">
      <c r="A42" s="112" t="inlineStr">
        <is>
          <t>Totaal Langlopende schulden</t>
        </is>
      </c>
      <c r="C42" s="116">
        <f>SUM(C39:C41)</f>
        <v/>
      </c>
      <c r="D42" s="116">
        <f>SUM(D39:D41)</f>
        <v/>
      </c>
      <c r="E42" s="115" t="n">
        <v>-120236795</v>
      </c>
    </row>
    <row r="43">
      <c r="C43" s="116" t="n"/>
      <c r="D43" s="116" t="n"/>
    </row>
    <row r="44">
      <c r="A44" s="112" t="inlineStr">
        <is>
          <t>2730000</t>
        </is>
      </c>
      <c r="B44" s="112" t="inlineStr">
        <is>
          <t>KLS Crediteuren</t>
        </is>
      </c>
      <c r="C44" s="116" t="n">
        <v>-18824</v>
      </c>
      <c r="D44" s="116" t="n">
        <v>27899</v>
      </c>
      <c r="E44" s="115" t="n">
        <v>-167794</v>
      </c>
    </row>
    <row r="45">
      <c r="A45" s="112" t="n">
        <v>2730001</v>
      </c>
      <c r="B45" s="112" t="inlineStr">
        <is>
          <t>KLS Crediteuren intercompany</t>
        </is>
      </c>
      <c r="C45" s="116" t="n">
        <v>0</v>
      </c>
      <c r="D45" s="116" t="n">
        <v>0</v>
      </c>
      <c r="E45" s="115" t="n">
        <v>0</v>
      </c>
    </row>
    <row r="46">
      <c r="A46" s="112" t="inlineStr">
        <is>
          <t>Totaal Crediteuren</t>
        </is>
      </c>
      <c r="C46" s="116">
        <f>SUM(C44:C45)</f>
        <v/>
      </c>
      <c r="D46" s="116">
        <f>SUM(D44:D45)</f>
        <v/>
      </c>
      <c r="E46" s="115" t="n">
        <v>-167794</v>
      </c>
    </row>
    <row r="47">
      <c r="C47" s="116" t="n"/>
      <c r="D47" s="116" t="n"/>
    </row>
    <row r="48">
      <c r="A48" s="112" t="inlineStr">
        <is>
          <t>2511000</t>
        </is>
      </c>
      <c r="B48" s="112" t="inlineStr">
        <is>
          <t>BEL BTW te vorderen hoog</t>
        </is>
      </c>
      <c r="C48" s="116" t="n"/>
      <c r="D48" s="116" t="n">
        <v>0</v>
      </c>
      <c r="E48" s="115" t="n">
        <v>0</v>
      </c>
    </row>
    <row r="49">
      <c r="A49" s="112" t="inlineStr">
        <is>
          <t>2512100</t>
        </is>
      </c>
      <c r="B49" s="112" t="inlineStr">
        <is>
          <t>BEL Afgedragen/ontvangen BTW</t>
        </is>
      </c>
      <c r="C49" s="116" t="n">
        <v>4150</v>
      </c>
      <c r="D49" s="116" t="n">
        <v>9</v>
      </c>
      <c r="E49" s="115" t="n">
        <v>-3707</v>
      </c>
    </row>
    <row r="50">
      <c r="A50" s="112" t="inlineStr">
        <is>
          <t>2530000</t>
        </is>
      </c>
      <c r="B50" s="112" t="inlineStr">
        <is>
          <t>BEL Te betalen vennootschapsbelasting</t>
        </is>
      </c>
      <c r="C50" s="116" t="n">
        <v>0</v>
      </c>
      <c r="D50" s="116" t="n">
        <v>-197342</v>
      </c>
      <c r="E50" s="115" t="n">
        <v>-528792</v>
      </c>
    </row>
    <row r="51">
      <c r="A51" s="112" t="inlineStr">
        <is>
          <t>2550000</t>
        </is>
      </c>
      <c r="B51" s="112" t="inlineStr">
        <is>
          <t>BEL Te betalen overige belastingen</t>
        </is>
      </c>
      <c r="C51" s="116" t="n">
        <v>285682</v>
      </c>
      <c r="D51" s="116" t="n">
        <v>-94879</v>
      </c>
      <c r="E51" s="115" t="n">
        <v>189758</v>
      </c>
    </row>
    <row r="52">
      <c r="A52" s="112" t="inlineStr">
        <is>
          <t>Totaal Belastingen</t>
        </is>
      </c>
      <c r="C52" s="116">
        <f>SUM(C48:C51)</f>
        <v/>
      </c>
      <c r="D52" s="116">
        <f>SUM(D48:D51)</f>
        <v/>
      </c>
      <c r="E52" s="115" t="n">
        <v>-342741</v>
      </c>
    </row>
    <row r="53">
      <c r="C53" s="116" t="n"/>
      <c r="D53" s="116" t="n"/>
    </row>
    <row r="54">
      <c r="A54" s="112" t="inlineStr">
        <is>
          <t>2740300</t>
        </is>
      </c>
      <c r="B54" s="112" t="inlineStr">
        <is>
          <t>KLS Te betalen waarborgsommen kortlopend</t>
        </is>
      </c>
      <c r="C54" s="116" t="n">
        <v>-11908</v>
      </c>
      <c r="D54" s="116" t="n">
        <v>-13448</v>
      </c>
      <c r="E54" s="115" t="n">
        <v>-691871</v>
      </c>
    </row>
    <row r="55">
      <c r="A55" s="112" t="inlineStr">
        <is>
          <t>2740500</t>
        </is>
      </c>
      <c r="B55" s="112" t="inlineStr">
        <is>
          <t>KLS Te betalen accountants- en administratiekosten</t>
        </is>
      </c>
      <c r="C55" s="116" t="n">
        <v>0</v>
      </c>
      <c r="D55" s="116" t="n">
        <v>0</v>
      </c>
      <c r="E55" s="115" t="n">
        <v>-22500</v>
      </c>
    </row>
    <row r="56">
      <c r="A56" s="112" t="inlineStr">
        <is>
          <t>2740600</t>
        </is>
      </c>
      <c r="B56" s="112" t="inlineStr">
        <is>
          <t>KLS Te betalen rente</t>
        </is>
      </c>
      <c r="C56" s="116" t="n">
        <v>-503883</v>
      </c>
      <c r="D56" s="116" t="n">
        <v>503883</v>
      </c>
      <c r="E56" s="115" t="n">
        <v>0</v>
      </c>
    </row>
    <row r="57">
      <c r="A57" s="112" t="inlineStr">
        <is>
          <t>2740700</t>
        </is>
      </c>
      <c r="B57" s="112" t="inlineStr">
        <is>
          <t>KLS Te betalen verzekeringen</t>
        </is>
      </c>
      <c r="C57" s="116" t="n">
        <v>47712</v>
      </c>
      <c r="D57" s="116" t="n">
        <v>-15904</v>
      </c>
      <c r="E57" s="115" t="n">
        <v>31808</v>
      </c>
    </row>
    <row r="58">
      <c r="A58" s="112" t="inlineStr">
        <is>
          <t>2741000</t>
        </is>
      </c>
      <c r="B58" s="112" t="inlineStr">
        <is>
          <t>KLS Te betalen servicekosten</t>
        </is>
      </c>
      <c r="C58" s="116" t="n">
        <v>8700</v>
      </c>
      <c r="D58" s="116" t="n">
        <v>-8500</v>
      </c>
      <c r="E58" s="115" t="n">
        <v>0</v>
      </c>
    </row>
    <row r="59">
      <c r="A59" s="112" t="inlineStr">
        <is>
          <t>2741001</t>
        </is>
      </c>
      <c r="B59" s="112" t="inlineStr">
        <is>
          <t>KLS Te betalen exploitatiekosten</t>
        </is>
      </c>
      <c r="C59" s="116" t="n">
        <v>36832</v>
      </c>
      <c r="D59" s="116" t="n">
        <v>0</v>
      </c>
      <c r="E59" s="115" t="n">
        <v>0</v>
      </c>
    </row>
    <row r="60">
      <c r="A60" s="112" t="inlineStr">
        <is>
          <t>2741002</t>
        </is>
      </c>
      <c r="B60" s="112" t="inlineStr">
        <is>
          <t>KLS Te betalen VVE</t>
        </is>
      </c>
      <c r="C60" s="116" t="n">
        <v>675</v>
      </c>
      <c r="D60" s="116" t="n">
        <v>0</v>
      </c>
      <c r="E60" s="115" t="n">
        <v>0</v>
      </c>
    </row>
    <row r="61">
      <c r="A61" s="112" t="inlineStr">
        <is>
          <t>2741003</t>
        </is>
      </c>
      <c r="B61" s="112" t="inlineStr">
        <is>
          <t>KLS Te betalen Wieglia</t>
        </is>
      </c>
      <c r="C61" s="116" t="n">
        <v>0</v>
      </c>
      <c r="D61" s="116" t="n">
        <v>0</v>
      </c>
      <c r="E61" s="115" t="n">
        <v>0</v>
      </c>
    </row>
    <row r="62">
      <c r="A62" s="112" t="inlineStr">
        <is>
          <t>2741004</t>
        </is>
      </c>
      <c r="B62" s="112" t="inlineStr">
        <is>
          <t>KLS Te betalen Hoen</t>
        </is>
      </c>
      <c r="C62" s="116" t="n">
        <v>-39889</v>
      </c>
      <c r="D62" s="116" t="n">
        <v>487</v>
      </c>
      <c r="E62" s="115" t="n">
        <v>-79560</v>
      </c>
    </row>
    <row r="63">
      <c r="A63" s="112" t="inlineStr">
        <is>
          <t>2741005</t>
        </is>
      </c>
      <c r="B63" s="112" t="inlineStr">
        <is>
          <t>KLS Te betalen managementvergoedingen</t>
        </is>
      </c>
      <c r="C63" s="116" t="n">
        <v>0</v>
      </c>
      <c r="D63" s="116" t="n">
        <v>0</v>
      </c>
      <c r="E63" s="115" t="n">
        <v>0</v>
      </c>
    </row>
    <row r="64">
      <c r="A64" s="112" t="inlineStr">
        <is>
          <t>2741200</t>
        </is>
      </c>
      <c r="B64" s="112" t="inlineStr">
        <is>
          <t>KLS Te betalen overige kosten</t>
        </is>
      </c>
      <c r="C64" s="116" t="n">
        <v>13168</v>
      </c>
      <c r="D64" s="116" t="n">
        <v>0</v>
      </c>
      <c r="E64" s="115" t="n">
        <v>0</v>
      </c>
    </row>
    <row r="65">
      <c r="A65" s="112" t="inlineStr">
        <is>
          <t>2741900</t>
        </is>
      </c>
      <c r="B65" s="112" t="inlineStr">
        <is>
          <t>KLS Nog uit te zoeken posten MT940</t>
        </is>
      </c>
      <c r="C65" s="116" t="n">
        <v>-1384</v>
      </c>
      <c r="D65" s="116" t="n">
        <v>1385</v>
      </c>
      <c r="E65" s="115" t="n">
        <v>0</v>
      </c>
    </row>
    <row r="66">
      <c r="A66" s="112" t="inlineStr">
        <is>
          <t>2742200</t>
        </is>
      </c>
      <c r="B66" s="112" t="inlineStr">
        <is>
          <t>KLS Vooruitontvangen bedragen</t>
        </is>
      </c>
      <c r="C66" s="116" t="n">
        <v>26143</v>
      </c>
      <c r="D66" s="116" t="n">
        <v>5210</v>
      </c>
      <c r="E66" s="115" t="n">
        <v>-109418</v>
      </c>
    </row>
    <row r="67">
      <c r="A67" s="112" t="inlineStr">
        <is>
          <t>2749800</t>
        </is>
      </c>
      <c r="B67" s="112" t="inlineStr">
        <is>
          <t>KLS Diverse overige schulden</t>
        </is>
      </c>
      <c r="C67" s="116" t="n">
        <v>0</v>
      </c>
      <c r="D67" s="116" t="n">
        <v>0</v>
      </c>
      <c r="E67" s="115" t="n">
        <v>0</v>
      </c>
    </row>
    <row r="68">
      <c r="A68" s="112" t="inlineStr">
        <is>
          <t>Totaal Overige schulden</t>
        </is>
      </c>
      <c r="C68" s="116">
        <f>SUM(C54:C67)</f>
        <v/>
      </c>
      <c r="D68" s="116">
        <f>SUM(D54:D67)</f>
        <v/>
      </c>
      <c r="E68" s="115" t="n">
        <v>-871541</v>
      </c>
    </row>
    <row r="69">
      <c r="C69" s="116" t="n"/>
      <c r="D69" s="116" t="n"/>
      <c r="E69" s="116" t="n"/>
    </row>
    <row r="70">
      <c r="A70" s="113" t="inlineStr">
        <is>
          <t>Winst- en verliesrekening (baten zijn positief, kosten negatief)</t>
        </is>
      </c>
      <c r="D70" s="116" t="n"/>
      <c r="E70" s="116" t="n"/>
    </row>
    <row r="71">
      <c r="A71" s="112" t="inlineStr">
        <is>
          <t>8000003</t>
        </is>
      </c>
      <c r="B71" s="112" t="inlineStr">
        <is>
          <t>OPB Netto-omzet Theoretische huuropbrengsten</t>
        </is>
      </c>
      <c r="C71" s="116" t="n">
        <v>-2797626</v>
      </c>
      <c r="D71" s="116" t="n">
        <v>-2785968</v>
      </c>
      <c r="E71" s="115" t="n">
        <v>-11207630</v>
      </c>
    </row>
    <row r="72">
      <c r="A72" s="112" t="inlineStr">
        <is>
          <t>8000004</t>
        </is>
      </c>
      <c r="B72" s="112" t="inlineStr">
        <is>
          <t>OPB Netto-omzet Leegstand huuropbrengsten</t>
        </is>
      </c>
      <c r="C72" s="116" t="n">
        <v>69244</v>
      </c>
      <c r="D72" s="116" t="n">
        <v>52029</v>
      </c>
      <c r="E72" s="115" t="n">
        <v>289999</v>
      </c>
    </row>
    <row r="73">
      <c r="A73" s="112" t="inlineStr">
        <is>
          <t>Totaal Netto-omzet</t>
        </is>
      </c>
      <c r="C73" s="116">
        <f>SUM(C71:C72)</f>
        <v/>
      </c>
      <c r="D73" s="116">
        <f>SUM(D71:D72)</f>
        <v/>
      </c>
      <c r="E73" s="115" t="n">
        <v>-10917631</v>
      </c>
    </row>
    <row r="74">
      <c r="C74" s="116" t="n"/>
      <c r="D74" s="116" t="n"/>
    </row>
    <row r="75">
      <c r="A75" s="112" t="inlineStr">
        <is>
          <t>8400600</t>
        </is>
      </c>
      <c r="B75" s="112" t="inlineStr">
        <is>
          <t>OPB Overige bedrijfsopbrengsten Totale servicekosten</t>
        </is>
      </c>
      <c r="C75" s="116" t="n">
        <v>-174608</v>
      </c>
      <c r="D75" s="116" t="n">
        <v>-175044</v>
      </c>
      <c r="E75" s="115" t="n">
        <v>-670849</v>
      </c>
    </row>
    <row r="76">
      <c r="A76" s="112" t="inlineStr">
        <is>
          <t>8400700</t>
        </is>
      </c>
      <c r="B76" s="112" t="inlineStr">
        <is>
          <t>OPB Overige bedrijfsopbrengsten Servicekosten leegstand</t>
        </is>
      </c>
      <c r="C76" s="116" t="n">
        <v>10050</v>
      </c>
      <c r="D76" s="116" t="n">
        <v>8634</v>
      </c>
      <c r="E76" s="115" t="n">
        <v>80362</v>
      </c>
    </row>
    <row r="77">
      <c r="A77" s="112" t="inlineStr">
        <is>
          <t>8400800</t>
        </is>
      </c>
      <c r="B77" s="112" t="inlineStr">
        <is>
          <t>OPB Overige bedrijfsopbrengsten Gerealiseerde servicekosten</t>
        </is>
      </c>
      <c r="C77" s="116" t="n">
        <v>173161</v>
      </c>
      <c r="D77" s="116" t="n">
        <v>178493</v>
      </c>
      <c r="E77" s="115" t="n">
        <v>692047</v>
      </c>
    </row>
    <row r="78">
      <c r="A78" s="112" t="inlineStr">
        <is>
          <t>Totaal Overige bedrijfsopbrengsten</t>
        </is>
      </c>
      <c r="C78" s="116">
        <f>SUM(C75:C77)</f>
        <v/>
      </c>
      <c r="D78" s="116">
        <f>SUM(D75:D77)</f>
        <v/>
      </c>
      <c r="E78" s="115" t="n">
        <v>101560</v>
      </c>
    </row>
    <row r="79">
      <c r="C79" s="116" t="n"/>
      <c r="D79" s="116" t="n"/>
    </row>
    <row r="80">
      <c r="A80" s="114" t="n">
        <v>4051400</v>
      </c>
      <c r="B80" s="112" t="inlineStr">
        <is>
          <t>Diensten door derden</t>
        </is>
      </c>
      <c r="C80" s="116" t="n">
        <v>119183</v>
      </c>
      <c r="D80" s="116" t="n">
        <v>118277</v>
      </c>
      <c r="E80" s="115" t="n">
        <v>476341</v>
      </c>
    </row>
    <row r="81">
      <c r="A81" s="112" t="inlineStr">
        <is>
          <t>Totaal overige personeelskosten</t>
        </is>
      </c>
      <c r="C81" s="116">
        <f>SUM(C80)</f>
        <v/>
      </c>
      <c r="D81" s="116">
        <f>SUM(D80)</f>
        <v/>
      </c>
      <c r="E81" s="115" t="n">
        <v>476341</v>
      </c>
    </row>
    <row r="82">
      <c r="C82" s="116" t="n"/>
      <c r="D82" s="116" t="n"/>
    </row>
    <row r="83">
      <c r="A83" s="112" t="inlineStr">
        <is>
          <t>4730000</t>
        </is>
      </c>
      <c r="B83" s="112" t="inlineStr">
        <is>
          <t>AFKN Afschrijvingskosten Vastgoedbeleggingen</t>
        </is>
      </c>
      <c r="C83" s="116" t="n">
        <v>662362</v>
      </c>
      <c r="D83" s="116" t="n">
        <v>650161</v>
      </c>
      <c r="E83" s="115" t="n">
        <v>2764802</v>
      </c>
    </row>
    <row r="84">
      <c r="A84" s="112" t="inlineStr">
        <is>
          <t>4730200</t>
        </is>
      </c>
      <c r="B84" s="112" t="inlineStr">
        <is>
          <t>AFKN Boekresultaat Vastgoedbeleggingen</t>
        </is>
      </c>
      <c r="C84" s="116" t="n">
        <v>-408986</v>
      </c>
      <c r="D84" s="116" t="n">
        <v>-899982</v>
      </c>
      <c r="E84" s="115" t="n">
        <v>-2592121</v>
      </c>
    </row>
    <row r="85">
      <c r="A85" s="112" t="inlineStr">
        <is>
          <t>Totaal Afschrijvingen vastgoedbeleggingen</t>
        </is>
      </c>
      <c r="C85" s="116">
        <f>SUM(C83:C84)</f>
        <v/>
      </c>
      <c r="D85" s="116">
        <f>SUM(D83:D84)</f>
        <v/>
      </c>
      <c r="E85" s="115" t="n">
        <v>172681</v>
      </c>
    </row>
    <row r="86">
      <c r="C86" s="116" t="n"/>
      <c r="D86" s="116" t="n"/>
    </row>
    <row r="87">
      <c r="A87" s="112" t="inlineStr">
        <is>
          <t>4100400</t>
        </is>
      </c>
      <c r="B87" s="112" t="inlineStr">
        <is>
          <t>KN Onderhoud gebouwen</t>
        </is>
      </c>
      <c r="C87" s="116" t="n">
        <v>258876</v>
      </c>
      <c r="D87" s="116" t="n">
        <v>364950</v>
      </c>
      <c r="E87" s="115" t="n">
        <v>1378679</v>
      </c>
    </row>
    <row r="88">
      <c r="A88" s="112" t="inlineStr">
        <is>
          <t>4100410</t>
        </is>
      </c>
      <c r="B88" s="112" t="inlineStr">
        <is>
          <t>Verhuurdersheffing</t>
        </is>
      </c>
      <c r="C88" s="116" t="n">
        <v>0</v>
      </c>
      <c r="D88" s="116" t="n">
        <v>671</v>
      </c>
      <c r="E88" s="115" t="n">
        <v>568853</v>
      </c>
    </row>
    <row r="89">
      <c r="A89" s="112" t="inlineStr">
        <is>
          <t>4100900</t>
        </is>
      </c>
      <c r="B89" s="112" t="inlineStr">
        <is>
          <t>KN Onroerende zaakbelasting</t>
        </is>
      </c>
      <c r="C89" s="116" t="n">
        <v>97891</v>
      </c>
      <c r="D89" s="116" t="n">
        <v>82857</v>
      </c>
      <c r="E89" s="115" t="n">
        <v>179948</v>
      </c>
    </row>
    <row r="90">
      <c r="A90" s="112" t="inlineStr">
        <is>
          <t>4101000</t>
        </is>
      </c>
      <c r="B90" s="112" t="inlineStr">
        <is>
          <t>KN VvE-kosten</t>
        </is>
      </c>
      <c r="C90" s="116" t="n">
        <v>131618</v>
      </c>
      <c r="D90" s="116" t="n">
        <v>169899</v>
      </c>
      <c r="E90" s="115" t="n">
        <v>577286</v>
      </c>
    </row>
    <row r="91">
      <c r="A91" s="112" t="inlineStr">
        <is>
          <t>4101010</t>
        </is>
      </c>
      <c r="B91" s="112" t="inlineStr">
        <is>
          <t>Gemeentelijke belastingen</t>
        </is>
      </c>
      <c r="C91" s="116" t="n">
        <v>29293</v>
      </c>
      <c r="D91" s="116" t="n">
        <v>41233</v>
      </c>
      <c r="E91" s="115" t="n">
        <v>70662</v>
      </c>
    </row>
    <row r="92">
      <c r="A92" s="112" t="inlineStr">
        <is>
          <t>4101020</t>
        </is>
      </c>
      <c r="B92" s="112" t="inlineStr">
        <is>
          <t>Waterschapsbelasting</t>
        </is>
      </c>
      <c r="C92" s="116" t="n">
        <v>3342</v>
      </c>
      <c r="D92" s="116" t="n">
        <v>48209</v>
      </c>
      <c r="E92" s="115" t="n">
        <v>75164</v>
      </c>
    </row>
    <row r="93">
      <c r="A93" s="112" t="inlineStr">
        <is>
          <t>4101300</t>
        </is>
      </c>
      <c r="B93" s="112" t="inlineStr">
        <is>
          <t>KN Servicekosten leegstand</t>
        </is>
      </c>
      <c r="C93" s="116" t="n">
        <v>-676</v>
      </c>
      <c r="D93" s="116" t="n">
        <v>41592</v>
      </c>
      <c r="E93" s="115" t="n">
        <v>42212</v>
      </c>
    </row>
    <row r="94">
      <c r="A94" s="114" t="n">
        <v>4109800</v>
      </c>
      <c r="B94" s="112" t="inlineStr">
        <is>
          <t>KN Overige huisvestingskosten</t>
        </is>
      </c>
      <c r="C94" s="116" t="n">
        <v>0</v>
      </c>
      <c r="D94" s="116" t="n">
        <v>39569</v>
      </c>
      <c r="E94" s="120" t="n">
        <v>39569</v>
      </c>
    </row>
    <row r="95">
      <c r="A95" s="112" t="inlineStr">
        <is>
          <t>Totaal Huisvestingskosten</t>
        </is>
      </c>
      <c r="C95" s="116">
        <f>SUM(C87:C94)</f>
        <v/>
      </c>
      <c r="D95" s="116">
        <f>SUM(D87:D94)</f>
        <v/>
      </c>
      <c r="E95" s="115" t="n">
        <v>2932373</v>
      </c>
    </row>
    <row r="96">
      <c r="C96" s="116" t="n"/>
      <c r="D96" s="116" t="n"/>
    </row>
    <row r="97">
      <c r="A97" s="112" t="n">
        <v>4501200</v>
      </c>
      <c r="B97" s="112" t="inlineStr">
        <is>
          <t>KN Mutatie voorziening dubieuze debiteuren</t>
        </is>
      </c>
      <c r="C97" s="116" t="n">
        <v>0</v>
      </c>
      <c r="D97" s="116" t="n">
        <v>0</v>
      </c>
      <c r="E97" s="115" t="n">
        <v>50501</v>
      </c>
    </row>
    <row r="98">
      <c r="A98" s="112" t="inlineStr">
        <is>
          <t>4501300</t>
        </is>
      </c>
      <c r="B98" s="112" t="inlineStr">
        <is>
          <t>KN Afboeking dubieuze debiteuren</t>
        </is>
      </c>
      <c r="C98" s="116" t="n">
        <v>0</v>
      </c>
      <c r="D98" s="116" t="n">
        <v>-800</v>
      </c>
      <c r="E98" s="115" t="n">
        <v>59258</v>
      </c>
    </row>
    <row r="99">
      <c r="A99" s="112" t="inlineStr">
        <is>
          <t>Totaal Verkoopkosten</t>
        </is>
      </c>
      <c r="C99" s="116">
        <f>SUM(C97:C98)</f>
        <v/>
      </c>
      <c r="D99" s="116">
        <f>SUM(D97:D98)</f>
        <v/>
      </c>
      <c r="E99" s="115" t="n">
        <v>109759</v>
      </c>
      <c r="F99" s="121" t="n"/>
      <c r="G99" s="122">
        <f>E94+E101+E110+E112+E113+E104</f>
        <v/>
      </c>
      <c r="H99" s="122">
        <f>E99+G99</f>
        <v/>
      </c>
    </row>
    <row r="100">
      <c r="C100" s="116" t="n"/>
      <c r="D100" s="116" t="n"/>
    </row>
    <row r="101">
      <c r="A101" s="112" t="inlineStr">
        <is>
          <t>4300500</t>
        </is>
      </c>
      <c r="B101" s="112" t="inlineStr">
        <is>
          <t>KN Incassokosten</t>
        </is>
      </c>
      <c r="C101" s="116" t="n">
        <v>837</v>
      </c>
      <c r="D101" s="116" t="n">
        <v>0</v>
      </c>
      <c r="E101" s="115" t="n">
        <v>4933</v>
      </c>
      <c r="F101" s="121" t="n"/>
    </row>
    <row r="102">
      <c r="A102" s="112" t="inlineStr">
        <is>
          <t>Totaal Kantoorkosten</t>
        </is>
      </c>
      <c r="C102" s="116">
        <f>SUM(C101)</f>
        <v/>
      </c>
      <c r="D102" s="116">
        <f>SUM(D101)</f>
        <v/>
      </c>
      <c r="E102" s="115" t="n">
        <v>4933</v>
      </c>
    </row>
    <row r="103">
      <c r="C103" s="116" t="n"/>
      <c r="D103" s="116" t="n"/>
    </row>
    <row r="104">
      <c r="A104" s="114" t="n">
        <v>4310000</v>
      </c>
      <c r="B104" s="112" t="inlineStr">
        <is>
          <t>KN Abonnementen en contributies</t>
        </is>
      </c>
      <c r="C104" s="116" t="n">
        <v>0</v>
      </c>
      <c r="D104" s="116" t="n">
        <v>4385</v>
      </c>
      <c r="E104" s="115" t="n">
        <v>4385</v>
      </c>
    </row>
    <row r="105">
      <c r="A105" s="112" t="inlineStr">
        <is>
          <t>4310400</t>
        </is>
      </c>
      <c r="B105" s="112" t="inlineStr">
        <is>
          <t>KN Assurantiepremie algemeen</t>
        </is>
      </c>
      <c r="C105" s="116" t="n">
        <v>18526</v>
      </c>
      <c r="D105" s="116" t="n">
        <v>28966</v>
      </c>
      <c r="E105" s="115" t="n">
        <v>63531</v>
      </c>
    </row>
    <row r="106">
      <c r="A106" s="112" t="inlineStr">
        <is>
          <t>4310500</t>
        </is>
      </c>
      <c r="B106" s="112" t="inlineStr">
        <is>
          <t>KN Managementvergoeding</t>
        </is>
      </c>
      <c r="C106" s="116" t="n">
        <v>5445</v>
      </c>
      <c r="D106" s="116" t="n">
        <v>5445</v>
      </c>
      <c r="E106" s="115" t="n">
        <v>21780</v>
      </c>
    </row>
    <row r="107">
      <c r="A107" s="112" t="inlineStr">
        <is>
          <t>4310600</t>
        </is>
      </c>
      <c r="B107" s="112" t="inlineStr">
        <is>
          <t>KN Accountantskosten</t>
        </is>
      </c>
      <c r="C107" s="116" t="n">
        <v>14811</v>
      </c>
      <c r="D107" s="116" t="n">
        <v>20153</v>
      </c>
      <c r="E107" s="115" t="n">
        <v>91304</v>
      </c>
    </row>
    <row r="108">
      <c r="A108" s="112" t="inlineStr">
        <is>
          <t>4310700</t>
        </is>
      </c>
      <c r="B108" s="112" t="inlineStr">
        <is>
          <t>KN Administratiekosten</t>
        </is>
      </c>
      <c r="C108" s="116" t="n">
        <v>1384</v>
      </c>
      <c r="D108" s="116" t="n">
        <v>1210</v>
      </c>
      <c r="E108" s="115" t="n">
        <v>4840</v>
      </c>
    </row>
    <row r="109">
      <c r="A109" s="112" t="inlineStr">
        <is>
          <t>4310800</t>
        </is>
      </c>
      <c r="B109" s="112" t="inlineStr">
        <is>
          <t>KN Makelaarskosten</t>
        </is>
      </c>
      <c r="C109" s="116" t="n">
        <v>66316</v>
      </c>
      <c r="D109" s="116" t="n">
        <v>85400</v>
      </c>
      <c r="E109" s="115" t="n">
        <v>302643</v>
      </c>
    </row>
    <row r="110">
      <c r="A110" s="112" t="inlineStr">
        <is>
          <t>4311000</t>
        </is>
      </c>
      <c r="B110" s="112" t="inlineStr">
        <is>
          <t>KN Juridische kosten</t>
        </is>
      </c>
      <c r="C110" s="116" t="n">
        <v>23912</v>
      </c>
      <c r="D110" s="116" t="n">
        <v>7816</v>
      </c>
      <c r="E110" s="115" t="n">
        <v>60648</v>
      </c>
      <c r="F110" s="121" t="n"/>
    </row>
    <row r="111">
      <c r="A111" s="114" t="n">
        <v>4311800</v>
      </c>
      <c r="B111" s="112" t="inlineStr">
        <is>
          <t>KN Advieskosten</t>
        </is>
      </c>
      <c r="C111" s="116" t="n">
        <v>0</v>
      </c>
      <c r="D111" s="116" t="n">
        <v>0</v>
      </c>
      <c r="E111" s="115" t="n">
        <v>5445</v>
      </c>
    </row>
    <row r="112">
      <c r="A112" s="112" t="inlineStr">
        <is>
          <t>4311900</t>
        </is>
      </c>
      <c r="B112" s="112" t="inlineStr">
        <is>
          <t>KN Bankkosten</t>
        </is>
      </c>
      <c r="C112" s="116" t="n">
        <v>1306</v>
      </c>
      <c r="D112" s="116" t="n">
        <v>1261</v>
      </c>
      <c r="E112" s="115" t="n">
        <v>5291</v>
      </c>
      <c r="F112" s="121" t="n"/>
    </row>
    <row r="113">
      <c r="A113" s="112" t="inlineStr">
        <is>
          <t>4319800</t>
        </is>
      </c>
      <c r="B113" s="112" t="inlineStr">
        <is>
          <t>KN Overige algemene kosten</t>
        </is>
      </c>
      <c r="C113" s="116" t="n">
        <v>2680</v>
      </c>
      <c r="D113" s="116" t="n">
        <v>561</v>
      </c>
      <c r="E113" s="115" t="n">
        <v>-797</v>
      </c>
      <c r="F113" s="121" t="n"/>
    </row>
    <row r="114">
      <c r="A114" s="112" t="inlineStr">
        <is>
          <t>Totaal Algemene kosten</t>
        </is>
      </c>
      <c r="C114" s="116">
        <f>SUM(C104:C113)</f>
        <v/>
      </c>
      <c r="D114" s="116">
        <f>SUM(D104:D113)</f>
        <v/>
      </c>
      <c r="E114" s="115" t="n">
        <v>559070</v>
      </c>
    </row>
    <row r="115">
      <c r="C115" s="116" t="n"/>
      <c r="D115" s="116" t="n"/>
    </row>
    <row r="116">
      <c r="A116" s="114" t="n">
        <v>4623000</v>
      </c>
      <c r="B116" s="112" t="inlineStr">
        <is>
          <t xml:space="preserve">FINBL Rente ABN AMRO Bank NV Leningen </t>
        </is>
      </c>
      <c r="C116" s="116" t="n">
        <v>0</v>
      </c>
      <c r="D116" s="116" t="n">
        <v>0</v>
      </c>
      <c r="E116" s="115" t="n">
        <v>0</v>
      </c>
    </row>
    <row r="117">
      <c r="A117" s="114" t="inlineStr">
        <is>
          <t>4623001</t>
        </is>
      </c>
      <c r="B117" s="112" t="inlineStr">
        <is>
          <t>FINBL Rente ABN AMRO Bank NV Senior Facility Agreement</t>
        </is>
      </c>
      <c r="C117" s="116" t="n">
        <v>503883</v>
      </c>
      <c r="D117" s="116" t="n">
        <v>513800</v>
      </c>
      <c r="E117" s="115" t="n">
        <v>2102146</v>
      </c>
    </row>
    <row r="118">
      <c r="A118" s="114" t="n">
        <v>4628001</v>
      </c>
      <c r="B118" s="112" t="inlineStr">
        <is>
          <t>FINBL Rente LLS QSPESS Limited</t>
        </is>
      </c>
      <c r="C118" s="116" t="n">
        <v>0</v>
      </c>
      <c r="D118" s="116" t="n">
        <v>0</v>
      </c>
      <c r="E118" s="115" t="n">
        <v>0</v>
      </c>
    </row>
    <row r="119">
      <c r="A119" s="114" t="n">
        <v>4630000</v>
      </c>
      <c r="B119" s="112" t="inlineStr">
        <is>
          <t>FINBL Rente belastingen</t>
        </is>
      </c>
      <c r="C119" s="116" t="n">
        <v>0</v>
      </c>
      <c r="D119" s="116" t="n">
        <v>0</v>
      </c>
      <c r="E119" s="115" t="n">
        <v>0</v>
      </c>
    </row>
    <row r="120">
      <c r="A120" s="114" t="inlineStr">
        <is>
          <t>4643000</t>
        </is>
      </c>
      <c r="B120" s="112" t="inlineStr">
        <is>
          <t>FINBL Overige rentelasten</t>
        </is>
      </c>
      <c r="C120" s="116" t="n">
        <v>105863</v>
      </c>
      <c r="D120" s="116" t="n">
        <v>108774</v>
      </c>
      <c r="E120" s="115" t="n">
        <v>439304</v>
      </c>
    </row>
    <row r="121">
      <c r="A121" s="114" t="inlineStr">
        <is>
          <t>Totaal Financiële baten en lasten</t>
        </is>
      </c>
      <c r="C121" s="116">
        <f>SUM(C116:C120)</f>
        <v/>
      </c>
      <c r="D121" s="116">
        <f>SUM(D116:D120)</f>
        <v/>
      </c>
      <c r="E121" s="115" t="n">
        <v>2541450</v>
      </c>
    </row>
    <row r="122">
      <c r="C122" s="116" t="n"/>
      <c r="D122" s="116" t="n"/>
    </row>
    <row r="123">
      <c r="A123" s="112" t="inlineStr">
        <is>
          <t>9510000</t>
        </is>
      </c>
      <c r="B123" s="112" t="inlineStr">
        <is>
          <t>VPB Mutatie belastinglatentie Mutatie actieve latentie</t>
        </is>
      </c>
      <c r="C123" s="116" t="n">
        <v>-168662</v>
      </c>
      <c r="D123" s="116" t="n">
        <v>-142232</v>
      </c>
      <c r="E123" s="115" t="n">
        <v>-1190471</v>
      </c>
    </row>
    <row r="124">
      <c r="C124" s="116" t="n"/>
      <c r="D124" s="116" t="n"/>
    </row>
    <row r="125">
      <c r="C125" s="116" t="n"/>
      <c r="D125" s="116" t="n"/>
      <c r="E125" s="116" t="n"/>
    </row>
    <row r="126">
      <c r="A126" s="112" t="inlineStr">
        <is>
          <t>Resultaat voor acute vennootschapsbelasting</t>
        </is>
      </c>
      <c r="C126" s="115">
        <f>C73+C78+C123+C121+C114+C102+C99+C95+C85+C81</f>
        <v/>
      </c>
      <c r="D126" s="115">
        <f>D73+D78+D123+D121+D114+D102+D99+D95+D85+D81</f>
        <v/>
      </c>
      <c r="E126" s="115" t="n">
        <v>-5209935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9"/>
  <sheetViews>
    <sheetView topLeftCell="A73" zoomScale="93" zoomScaleNormal="93" workbookViewId="0">
      <selection activeCell="H88" sqref="H88"/>
    </sheetView>
  </sheetViews>
  <sheetFormatPr baseColWidth="8" defaultRowHeight="12.75" customHeight="1"/>
  <cols>
    <col width="21.109375" bestFit="1" customWidth="1" style="130" min="1" max="1"/>
    <col width="70" bestFit="1" customWidth="1" style="1" min="2" max="2"/>
    <col width="20.109375" bestFit="1" customWidth="1" style="293" min="3" max="3"/>
    <col width="22.6640625" bestFit="1" customWidth="1" style="293" min="4" max="4"/>
    <col width="22.44140625" bestFit="1" customWidth="1" style="293" min="5" max="5"/>
    <col width="18.33203125" bestFit="1" customWidth="1" style="290" min="6" max="6"/>
    <col width="5" customWidth="1" style="1" min="7" max="7"/>
    <col width="22.44140625" customWidth="1" style="293" min="8" max="8"/>
    <col width="11.88671875" bestFit="1" customWidth="1" style="1" min="9" max="9"/>
    <col width="9.109375" customWidth="1" style="1" min="10" max="256"/>
    <col width="21.109375" bestFit="1" customWidth="1" style="1" min="257" max="257"/>
    <col width="70" bestFit="1" customWidth="1" style="1" min="258" max="258"/>
    <col width="20.109375" bestFit="1" customWidth="1" style="1" min="259" max="259"/>
    <col width="22.6640625" bestFit="1" customWidth="1" style="1" min="260" max="260"/>
    <col width="22.44140625" bestFit="1" customWidth="1" style="1" min="261" max="261"/>
    <col width="18.33203125" bestFit="1" customWidth="1" style="1" min="262" max="262"/>
    <col width="11.88671875" bestFit="1" customWidth="1" style="1" min="263" max="263"/>
    <col width="22.44140625" customWidth="1" style="1" min="264" max="264"/>
    <col width="11.88671875" bestFit="1" customWidth="1" style="1" min="265" max="265"/>
    <col width="9.109375" customWidth="1" style="1" min="266" max="512"/>
    <col width="21.109375" bestFit="1" customWidth="1" style="1" min="513" max="513"/>
    <col width="70" bestFit="1" customWidth="1" style="1" min="514" max="514"/>
    <col width="20.109375" bestFit="1" customWidth="1" style="1" min="515" max="515"/>
    <col width="22.6640625" bestFit="1" customWidth="1" style="1" min="516" max="516"/>
    <col width="22.44140625" bestFit="1" customWidth="1" style="1" min="517" max="517"/>
    <col width="18.33203125" bestFit="1" customWidth="1" style="1" min="518" max="518"/>
    <col width="11.88671875" bestFit="1" customWidth="1" style="1" min="519" max="519"/>
    <col width="22.44140625" customWidth="1" style="1" min="520" max="520"/>
    <col width="11.88671875" bestFit="1" customWidth="1" style="1" min="521" max="521"/>
    <col width="9.109375" customWidth="1" style="1" min="522" max="768"/>
    <col width="21.109375" bestFit="1" customWidth="1" style="1" min="769" max="769"/>
    <col width="70" bestFit="1" customWidth="1" style="1" min="770" max="770"/>
    <col width="20.109375" bestFit="1" customWidth="1" style="1" min="771" max="771"/>
    <col width="22.6640625" bestFit="1" customWidth="1" style="1" min="772" max="772"/>
    <col width="22.44140625" bestFit="1" customWidth="1" style="1" min="773" max="773"/>
    <col width="18.33203125" bestFit="1" customWidth="1" style="1" min="774" max="774"/>
    <col width="11.88671875" bestFit="1" customWidth="1" style="1" min="775" max="775"/>
    <col width="22.44140625" customWidth="1" style="1" min="776" max="776"/>
    <col width="11.88671875" bestFit="1" customWidth="1" style="1" min="777" max="777"/>
    <col width="9.109375" customWidth="1" style="1" min="778" max="1024"/>
    <col width="21.109375" bestFit="1" customWidth="1" style="1" min="1025" max="1025"/>
    <col width="70" bestFit="1" customWidth="1" style="1" min="1026" max="1026"/>
    <col width="20.109375" bestFit="1" customWidth="1" style="1" min="1027" max="1027"/>
    <col width="22.6640625" bestFit="1" customWidth="1" style="1" min="1028" max="1028"/>
    <col width="22.44140625" bestFit="1" customWidth="1" style="1" min="1029" max="1029"/>
    <col width="18.33203125" bestFit="1" customWidth="1" style="1" min="1030" max="1030"/>
    <col width="11.88671875" bestFit="1" customWidth="1" style="1" min="1031" max="1031"/>
    <col width="22.44140625" customWidth="1" style="1" min="1032" max="1032"/>
    <col width="11.88671875" bestFit="1" customWidth="1" style="1" min="1033" max="1033"/>
    <col width="9.109375" customWidth="1" style="1" min="1034" max="1280"/>
    <col width="21.109375" bestFit="1" customWidth="1" style="1" min="1281" max="1281"/>
    <col width="70" bestFit="1" customWidth="1" style="1" min="1282" max="1282"/>
    <col width="20.109375" bestFit="1" customWidth="1" style="1" min="1283" max="1283"/>
    <col width="22.6640625" bestFit="1" customWidth="1" style="1" min="1284" max="1284"/>
    <col width="22.44140625" bestFit="1" customWidth="1" style="1" min="1285" max="1285"/>
    <col width="18.33203125" bestFit="1" customWidth="1" style="1" min="1286" max="1286"/>
    <col width="11.88671875" bestFit="1" customWidth="1" style="1" min="1287" max="1287"/>
    <col width="22.44140625" customWidth="1" style="1" min="1288" max="1288"/>
    <col width="11.88671875" bestFit="1" customWidth="1" style="1" min="1289" max="1289"/>
    <col width="9.109375" customWidth="1" style="1" min="1290" max="1536"/>
    <col width="21.109375" bestFit="1" customWidth="1" style="1" min="1537" max="1537"/>
    <col width="70" bestFit="1" customWidth="1" style="1" min="1538" max="1538"/>
    <col width="20.109375" bestFit="1" customWidth="1" style="1" min="1539" max="1539"/>
    <col width="22.6640625" bestFit="1" customWidth="1" style="1" min="1540" max="1540"/>
    <col width="22.44140625" bestFit="1" customWidth="1" style="1" min="1541" max="1541"/>
    <col width="18.33203125" bestFit="1" customWidth="1" style="1" min="1542" max="1542"/>
    <col width="11.88671875" bestFit="1" customWidth="1" style="1" min="1543" max="1543"/>
    <col width="22.44140625" customWidth="1" style="1" min="1544" max="1544"/>
    <col width="11.88671875" bestFit="1" customWidth="1" style="1" min="1545" max="1545"/>
    <col width="9.109375" customWidth="1" style="1" min="1546" max="1792"/>
    <col width="21.109375" bestFit="1" customWidth="1" style="1" min="1793" max="1793"/>
    <col width="70" bestFit="1" customWidth="1" style="1" min="1794" max="1794"/>
    <col width="20.109375" bestFit="1" customWidth="1" style="1" min="1795" max="1795"/>
    <col width="22.6640625" bestFit="1" customWidth="1" style="1" min="1796" max="1796"/>
    <col width="22.44140625" bestFit="1" customWidth="1" style="1" min="1797" max="1797"/>
    <col width="18.33203125" bestFit="1" customWidth="1" style="1" min="1798" max="1798"/>
    <col width="11.88671875" bestFit="1" customWidth="1" style="1" min="1799" max="1799"/>
    <col width="22.44140625" customWidth="1" style="1" min="1800" max="1800"/>
    <col width="11.88671875" bestFit="1" customWidth="1" style="1" min="1801" max="1801"/>
    <col width="9.109375" customWidth="1" style="1" min="1802" max="2048"/>
    <col width="21.109375" bestFit="1" customWidth="1" style="1" min="2049" max="2049"/>
    <col width="70" bestFit="1" customWidth="1" style="1" min="2050" max="2050"/>
    <col width="20.109375" bestFit="1" customWidth="1" style="1" min="2051" max="2051"/>
    <col width="22.6640625" bestFit="1" customWidth="1" style="1" min="2052" max="2052"/>
    <col width="22.44140625" bestFit="1" customWidth="1" style="1" min="2053" max="2053"/>
    <col width="18.33203125" bestFit="1" customWidth="1" style="1" min="2054" max="2054"/>
    <col width="11.88671875" bestFit="1" customWidth="1" style="1" min="2055" max="2055"/>
    <col width="22.44140625" customWidth="1" style="1" min="2056" max="2056"/>
    <col width="11.88671875" bestFit="1" customWidth="1" style="1" min="2057" max="2057"/>
    <col width="9.109375" customWidth="1" style="1" min="2058" max="2304"/>
    <col width="21.109375" bestFit="1" customWidth="1" style="1" min="2305" max="2305"/>
    <col width="70" bestFit="1" customWidth="1" style="1" min="2306" max="2306"/>
    <col width="20.109375" bestFit="1" customWidth="1" style="1" min="2307" max="2307"/>
    <col width="22.6640625" bestFit="1" customWidth="1" style="1" min="2308" max="2308"/>
    <col width="22.44140625" bestFit="1" customWidth="1" style="1" min="2309" max="2309"/>
    <col width="18.33203125" bestFit="1" customWidth="1" style="1" min="2310" max="2310"/>
    <col width="11.88671875" bestFit="1" customWidth="1" style="1" min="2311" max="2311"/>
    <col width="22.44140625" customWidth="1" style="1" min="2312" max="2312"/>
    <col width="11.88671875" bestFit="1" customWidth="1" style="1" min="2313" max="2313"/>
    <col width="9.109375" customWidth="1" style="1" min="2314" max="2560"/>
    <col width="21.109375" bestFit="1" customWidth="1" style="1" min="2561" max="2561"/>
    <col width="70" bestFit="1" customWidth="1" style="1" min="2562" max="2562"/>
    <col width="20.109375" bestFit="1" customWidth="1" style="1" min="2563" max="2563"/>
    <col width="22.6640625" bestFit="1" customWidth="1" style="1" min="2564" max="2564"/>
    <col width="22.44140625" bestFit="1" customWidth="1" style="1" min="2565" max="2565"/>
    <col width="18.33203125" bestFit="1" customWidth="1" style="1" min="2566" max="2566"/>
    <col width="11.88671875" bestFit="1" customWidth="1" style="1" min="2567" max="2567"/>
    <col width="22.44140625" customWidth="1" style="1" min="2568" max="2568"/>
    <col width="11.88671875" bestFit="1" customWidth="1" style="1" min="2569" max="2569"/>
    <col width="9.109375" customWidth="1" style="1" min="2570" max="2816"/>
    <col width="21.109375" bestFit="1" customWidth="1" style="1" min="2817" max="2817"/>
    <col width="70" bestFit="1" customWidth="1" style="1" min="2818" max="2818"/>
    <col width="20.109375" bestFit="1" customWidth="1" style="1" min="2819" max="2819"/>
    <col width="22.6640625" bestFit="1" customWidth="1" style="1" min="2820" max="2820"/>
    <col width="22.44140625" bestFit="1" customWidth="1" style="1" min="2821" max="2821"/>
    <col width="18.33203125" bestFit="1" customWidth="1" style="1" min="2822" max="2822"/>
    <col width="11.88671875" bestFit="1" customWidth="1" style="1" min="2823" max="2823"/>
    <col width="22.44140625" customWidth="1" style="1" min="2824" max="2824"/>
    <col width="11.88671875" bestFit="1" customWidth="1" style="1" min="2825" max="2825"/>
    <col width="9.109375" customWidth="1" style="1" min="2826" max="3072"/>
    <col width="21.109375" bestFit="1" customWidth="1" style="1" min="3073" max="3073"/>
    <col width="70" bestFit="1" customWidth="1" style="1" min="3074" max="3074"/>
    <col width="20.109375" bestFit="1" customWidth="1" style="1" min="3075" max="3075"/>
    <col width="22.6640625" bestFit="1" customWidth="1" style="1" min="3076" max="3076"/>
    <col width="22.44140625" bestFit="1" customWidth="1" style="1" min="3077" max="3077"/>
    <col width="18.33203125" bestFit="1" customWidth="1" style="1" min="3078" max="3078"/>
    <col width="11.88671875" bestFit="1" customWidth="1" style="1" min="3079" max="3079"/>
    <col width="22.44140625" customWidth="1" style="1" min="3080" max="3080"/>
    <col width="11.88671875" bestFit="1" customWidth="1" style="1" min="3081" max="3081"/>
    <col width="9.109375" customWidth="1" style="1" min="3082" max="3328"/>
    <col width="21.109375" bestFit="1" customWidth="1" style="1" min="3329" max="3329"/>
    <col width="70" bestFit="1" customWidth="1" style="1" min="3330" max="3330"/>
    <col width="20.109375" bestFit="1" customWidth="1" style="1" min="3331" max="3331"/>
    <col width="22.6640625" bestFit="1" customWidth="1" style="1" min="3332" max="3332"/>
    <col width="22.44140625" bestFit="1" customWidth="1" style="1" min="3333" max="3333"/>
    <col width="18.33203125" bestFit="1" customWidth="1" style="1" min="3334" max="3334"/>
    <col width="11.88671875" bestFit="1" customWidth="1" style="1" min="3335" max="3335"/>
    <col width="22.44140625" customWidth="1" style="1" min="3336" max="3336"/>
    <col width="11.88671875" bestFit="1" customWidth="1" style="1" min="3337" max="3337"/>
    <col width="9.109375" customWidth="1" style="1" min="3338" max="3584"/>
    <col width="21.109375" bestFit="1" customWidth="1" style="1" min="3585" max="3585"/>
    <col width="70" bestFit="1" customWidth="1" style="1" min="3586" max="3586"/>
    <col width="20.109375" bestFit="1" customWidth="1" style="1" min="3587" max="3587"/>
    <col width="22.6640625" bestFit="1" customWidth="1" style="1" min="3588" max="3588"/>
    <col width="22.44140625" bestFit="1" customWidth="1" style="1" min="3589" max="3589"/>
    <col width="18.33203125" bestFit="1" customWidth="1" style="1" min="3590" max="3590"/>
    <col width="11.88671875" bestFit="1" customWidth="1" style="1" min="3591" max="3591"/>
    <col width="22.44140625" customWidth="1" style="1" min="3592" max="3592"/>
    <col width="11.88671875" bestFit="1" customWidth="1" style="1" min="3593" max="3593"/>
    <col width="9.109375" customWidth="1" style="1" min="3594" max="3840"/>
    <col width="21.109375" bestFit="1" customWidth="1" style="1" min="3841" max="3841"/>
    <col width="70" bestFit="1" customWidth="1" style="1" min="3842" max="3842"/>
    <col width="20.109375" bestFit="1" customWidth="1" style="1" min="3843" max="3843"/>
    <col width="22.6640625" bestFit="1" customWidth="1" style="1" min="3844" max="3844"/>
    <col width="22.44140625" bestFit="1" customWidth="1" style="1" min="3845" max="3845"/>
    <col width="18.33203125" bestFit="1" customWidth="1" style="1" min="3846" max="3846"/>
    <col width="11.88671875" bestFit="1" customWidth="1" style="1" min="3847" max="3847"/>
    <col width="22.44140625" customWidth="1" style="1" min="3848" max="3848"/>
    <col width="11.88671875" bestFit="1" customWidth="1" style="1" min="3849" max="3849"/>
    <col width="9.109375" customWidth="1" style="1" min="3850" max="4096"/>
    <col width="21.109375" bestFit="1" customWidth="1" style="1" min="4097" max="4097"/>
    <col width="70" bestFit="1" customWidth="1" style="1" min="4098" max="4098"/>
    <col width="20.109375" bestFit="1" customWidth="1" style="1" min="4099" max="4099"/>
    <col width="22.6640625" bestFit="1" customWidth="1" style="1" min="4100" max="4100"/>
    <col width="22.44140625" bestFit="1" customWidth="1" style="1" min="4101" max="4101"/>
    <col width="18.33203125" bestFit="1" customWidth="1" style="1" min="4102" max="4102"/>
    <col width="11.88671875" bestFit="1" customWidth="1" style="1" min="4103" max="4103"/>
    <col width="22.44140625" customWidth="1" style="1" min="4104" max="4104"/>
    <col width="11.88671875" bestFit="1" customWidth="1" style="1" min="4105" max="4105"/>
    <col width="9.109375" customWidth="1" style="1" min="4106" max="4352"/>
    <col width="21.109375" bestFit="1" customWidth="1" style="1" min="4353" max="4353"/>
    <col width="70" bestFit="1" customWidth="1" style="1" min="4354" max="4354"/>
    <col width="20.109375" bestFit="1" customWidth="1" style="1" min="4355" max="4355"/>
    <col width="22.6640625" bestFit="1" customWidth="1" style="1" min="4356" max="4356"/>
    <col width="22.44140625" bestFit="1" customWidth="1" style="1" min="4357" max="4357"/>
    <col width="18.33203125" bestFit="1" customWidth="1" style="1" min="4358" max="4358"/>
    <col width="11.88671875" bestFit="1" customWidth="1" style="1" min="4359" max="4359"/>
    <col width="22.44140625" customWidth="1" style="1" min="4360" max="4360"/>
    <col width="11.88671875" bestFit="1" customWidth="1" style="1" min="4361" max="4361"/>
    <col width="9.109375" customWidth="1" style="1" min="4362" max="4608"/>
    <col width="21.109375" bestFit="1" customWidth="1" style="1" min="4609" max="4609"/>
    <col width="70" bestFit="1" customWidth="1" style="1" min="4610" max="4610"/>
    <col width="20.109375" bestFit="1" customWidth="1" style="1" min="4611" max="4611"/>
    <col width="22.6640625" bestFit="1" customWidth="1" style="1" min="4612" max="4612"/>
    <col width="22.44140625" bestFit="1" customWidth="1" style="1" min="4613" max="4613"/>
    <col width="18.33203125" bestFit="1" customWidth="1" style="1" min="4614" max="4614"/>
    <col width="11.88671875" bestFit="1" customWidth="1" style="1" min="4615" max="4615"/>
    <col width="22.44140625" customWidth="1" style="1" min="4616" max="4616"/>
    <col width="11.88671875" bestFit="1" customWidth="1" style="1" min="4617" max="4617"/>
    <col width="9.109375" customWidth="1" style="1" min="4618" max="4864"/>
    <col width="21.109375" bestFit="1" customWidth="1" style="1" min="4865" max="4865"/>
    <col width="70" bestFit="1" customWidth="1" style="1" min="4866" max="4866"/>
    <col width="20.109375" bestFit="1" customWidth="1" style="1" min="4867" max="4867"/>
    <col width="22.6640625" bestFit="1" customWidth="1" style="1" min="4868" max="4868"/>
    <col width="22.44140625" bestFit="1" customWidth="1" style="1" min="4869" max="4869"/>
    <col width="18.33203125" bestFit="1" customWidth="1" style="1" min="4870" max="4870"/>
    <col width="11.88671875" bestFit="1" customWidth="1" style="1" min="4871" max="4871"/>
    <col width="22.44140625" customWidth="1" style="1" min="4872" max="4872"/>
    <col width="11.88671875" bestFit="1" customWidth="1" style="1" min="4873" max="4873"/>
    <col width="9.109375" customWidth="1" style="1" min="4874" max="5120"/>
    <col width="21.109375" bestFit="1" customWidth="1" style="1" min="5121" max="5121"/>
    <col width="70" bestFit="1" customWidth="1" style="1" min="5122" max="5122"/>
    <col width="20.109375" bestFit="1" customWidth="1" style="1" min="5123" max="5123"/>
    <col width="22.6640625" bestFit="1" customWidth="1" style="1" min="5124" max="5124"/>
    <col width="22.44140625" bestFit="1" customWidth="1" style="1" min="5125" max="5125"/>
    <col width="18.33203125" bestFit="1" customWidth="1" style="1" min="5126" max="5126"/>
    <col width="11.88671875" bestFit="1" customWidth="1" style="1" min="5127" max="5127"/>
    <col width="22.44140625" customWidth="1" style="1" min="5128" max="5128"/>
    <col width="11.88671875" bestFit="1" customWidth="1" style="1" min="5129" max="5129"/>
    <col width="9.109375" customWidth="1" style="1" min="5130" max="5376"/>
    <col width="21.109375" bestFit="1" customWidth="1" style="1" min="5377" max="5377"/>
    <col width="70" bestFit="1" customWidth="1" style="1" min="5378" max="5378"/>
    <col width="20.109375" bestFit="1" customWidth="1" style="1" min="5379" max="5379"/>
    <col width="22.6640625" bestFit="1" customWidth="1" style="1" min="5380" max="5380"/>
    <col width="22.44140625" bestFit="1" customWidth="1" style="1" min="5381" max="5381"/>
    <col width="18.33203125" bestFit="1" customWidth="1" style="1" min="5382" max="5382"/>
    <col width="11.88671875" bestFit="1" customWidth="1" style="1" min="5383" max="5383"/>
    <col width="22.44140625" customWidth="1" style="1" min="5384" max="5384"/>
    <col width="11.88671875" bestFit="1" customWidth="1" style="1" min="5385" max="5385"/>
    <col width="9.109375" customWidth="1" style="1" min="5386" max="5632"/>
    <col width="21.109375" bestFit="1" customWidth="1" style="1" min="5633" max="5633"/>
    <col width="70" bestFit="1" customWidth="1" style="1" min="5634" max="5634"/>
    <col width="20.109375" bestFit="1" customWidth="1" style="1" min="5635" max="5635"/>
    <col width="22.6640625" bestFit="1" customWidth="1" style="1" min="5636" max="5636"/>
    <col width="22.44140625" bestFit="1" customWidth="1" style="1" min="5637" max="5637"/>
    <col width="18.33203125" bestFit="1" customWidth="1" style="1" min="5638" max="5638"/>
    <col width="11.88671875" bestFit="1" customWidth="1" style="1" min="5639" max="5639"/>
    <col width="22.44140625" customWidth="1" style="1" min="5640" max="5640"/>
    <col width="11.88671875" bestFit="1" customWidth="1" style="1" min="5641" max="5641"/>
    <col width="9.109375" customWidth="1" style="1" min="5642" max="5888"/>
    <col width="21.109375" bestFit="1" customWidth="1" style="1" min="5889" max="5889"/>
    <col width="70" bestFit="1" customWidth="1" style="1" min="5890" max="5890"/>
    <col width="20.109375" bestFit="1" customWidth="1" style="1" min="5891" max="5891"/>
    <col width="22.6640625" bestFit="1" customWidth="1" style="1" min="5892" max="5892"/>
    <col width="22.44140625" bestFit="1" customWidth="1" style="1" min="5893" max="5893"/>
    <col width="18.33203125" bestFit="1" customWidth="1" style="1" min="5894" max="5894"/>
    <col width="11.88671875" bestFit="1" customWidth="1" style="1" min="5895" max="5895"/>
    <col width="22.44140625" customWidth="1" style="1" min="5896" max="5896"/>
    <col width="11.88671875" bestFit="1" customWidth="1" style="1" min="5897" max="5897"/>
    <col width="9.109375" customWidth="1" style="1" min="5898" max="6144"/>
    <col width="21.109375" bestFit="1" customWidth="1" style="1" min="6145" max="6145"/>
    <col width="70" bestFit="1" customWidth="1" style="1" min="6146" max="6146"/>
    <col width="20.109375" bestFit="1" customWidth="1" style="1" min="6147" max="6147"/>
    <col width="22.6640625" bestFit="1" customWidth="1" style="1" min="6148" max="6148"/>
    <col width="22.44140625" bestFit="1" customWidth="1" style="1" min="6149" max="6149"/>
    <col width="18.33203125" bestFit="1" customWidth="1" style="1" min="6150" max="6150"/>
    <col width="11.88671875" bestFit="1" customWidth="1" style="1" min="6151" max="6151"/>
    <col width="22.44140625" customWidth="1" style="1" min="6152" max="6152"/>
    <col width="11.88671875" bestFit="1" customWidth="1" style="1" min="6153" max="6153"/>
    <col width="9.109375" customWidth="1" style="1" min="6154" max="6400"/>
    <col width="21.109375" bestFit="1" customWidth="1" style="1" min="6401" max="6401"/>
    <col width="70" bestFit="1" customWidth="1" style="1" min="6402" max="6402"/>
    <col width="20.109375" bestFit="1" customWidth="1" style="1" min="6403" max="6403"/>
    <col width="22.6640625" bestFit="1" customWidth="1" style="1" min="6404" max="6404"/>
    <col width="22.44140625" bestFit="1" customWidth="1" style="1" min="6405" max="6405"/>
    <col width="18.33203125" bestFit="1" customWidth="1" style="1" min="6406" max="6406"/>
    <col width="11.88671875" bestFit="1" customWidth="1" style="1" min="6407" max="6407"/>
    <col width="22.44140625" customWidth="1" style="1" min="6408" max="6408"/>
    <col width="11.88671875" bestFit="1" customWidth="1" style="1" min="6409" max="6409"/>
    <col width="9.109375" customWidth="1" style="1" min="6410" max="6656"/>
    <col width="21.109375" bestFit="1" customWidth="1" style="1" min="6657" max="6657"/>
    <col width="70" bestFit="1" customWidth="1" style="1" min="6658" max="6658"/>
    <col width="20.109375" bestFit="1" customWidth="1" style="1" min="6659" max="6659"/>
    <col width="22.6640625" bestFit="1" customWidth="1" style="1" min="6660" max="6660"/>
    <col width="22.44140625" bestFit="1" customWidth="1" style="1" min="6661" max="6661"/>
    <col width="18.33203125" bestFit="1" customWidth="1" style="1" min="6662" max="6662"/>
    <col width="11.88671875" bestFit="1" customWidth="1" style="1" min="6663" max="6663"/>
    <col width="22.44140625" customWidth="1" style="1" min="6664" max="6664"/>
    <col width="11.88671875" bestFit="1" customWidth="1" style="1" min="6665" max="6665"/>
    <col width="9.109375" customWidth="1" style="1" min="6666" max="6912"/>
    <col width="21.109375" bestFit="1" customWidth="1" style="1" min="6913" max="6913"/>
    <col width="70" bestFit="1" customWidth="1" style="1" min="6914" max="6914"/>
    <col width="20.109375" bestFit="1" customWidth="1" style="1" min="6915" max="6915"/>
    <col width="22.6640625" bestFit="1" customWidth="1" style="1" min="6916" max="6916"/>
    <col width="22.44140625" bestFit="1" customWidth="1" style="1" min="6917" max="6917"/>
    <col width="18.33203125" bestFit="1" customWidth="1" style="1" min="6918" max="6918"/>
    <col width="11.88671875" bestFit="1" customWidth="1" style="1" min="6919" max="6919"/>
    <col width="22.44140625" customWidth="1" style="1" min="6920" max="6920"/>
    <col width="11.88671875" bestFit="1" customWidth="1" style="1" min="6921" max="6921"/>
    <col width="9.109375" customWidth="1" style="1" min="6922" max="7168"/>
    <col width="21.109375" bestFit="1" customWidth="1" style="1" min="7169" max="7169"/>
    <col width="70" bestFit="1" customWidth="1" style="1" min="7170" max="7170"/>
    <col width="20.109375" bestFit="1" customWidth="1" style="1" min="7171" max="7171"/>
    <col width="22.6640625" bestFit="1" customWidth="1" style="1" min="7172" max="7172"/>
    <col width="22.44140625" bestFit="1" customWidth="1" style="1" min="7173" max="7173"/>
    <col width="18.33203125" bestFit="1" customWidth="1" style="1" min="7174" max="7174"/>
    <col width="11.88671875" bestFit="1" customWidth="1" style="1" min="7175" max="7175"/>
    <col width="22.44140625" customWidth="1" style="1" min="7176" max="7176"/>
    <col width="11.88671875" bestFit="1" customWidth="1" style="1" min="7177" max="7177"/>
    <col width="9.109375" customWidth="1" style="1" min="7178" max="7424"/>
    <col width="21.109375" bestFit="1" customWidth="1" style="1" min="7425" max="7425"/>
    <col width="70" bestFit="1" customWidth="1" style="1" min="7426" max="7426"/>
    <col width="20.109375" bestFit="1" customWidth="1" style="1" min="7427" max="7427"/>
    <col width="22.6640625" bestFit="1" customWidth="1" style="1" min="7428" max="7428"/>
    <col width="22.44140625" bestFit="1" customWidth="1" style="1" min="7429" max="7429"/>
    <col width="18.33203125" bestFit="1" customWidth="1" style="1" min="7430" max="7430"/>
    <col width="11.88671875" bestFit="1" customWidth="1" style="1" min="7431" max="7431"/>
    <col width="22.44140625" customWidth="1" style="1" min="7432" max="7432"/>
    <col width="11.88671875" bestFit="1" customWidth="1" style="1" min="7433" max="7433"/>
    <col width="9.109375" customWidth="1" style="1" min="7434" max="7680"/>
    <col width="21.109375" bestFit="1" customWidth="1" style="1" min="7681" max="7681"/>
    <col width="70" bestFit="1" customWidth="1" style="1" min="7682" max="7682"/>
    <col width="20.109375" bestFit="1" customWidth="1" style="1" min="7683" max="7683"/>
    <col width="22.6640625" bestFit="1" customWidth="1" style="1" min="7684" max="7684"/>
    <col width="22.44140625" bestFit="1" customWidth="1" style="1" min="7685" max="7685"/>
    <col width="18.33203125" bestFit="1" customWidth="1" style="1" min="7686" max="7686"/>
    <col width="11.88671875" bestFit="1" customWidth="1" style="1" min="7687" max="7687"/>
    <col width="22.44140625" customWidth="1" style="1" min="7688" max="7688"/>
    <col width="11.88671875" bestFit="1" customWidth="1" style="1" min="7689" max="7689"/>
    <col width="9.109375" customWidth="1" style="1" min="7690" max="7936"/>
    <col width="21.109375" bestFit="1" customWidth="1" style="1" min="7937" max="7937"/>
    <col width="70" bestFit="1" customWidth="1" style="1" min="7938" max="7938"/>
    <col width="20.109375" bestFit="1" customWidth="1" style="1" min="7939" max="7939"/>
    <col width="22.6640625" bestFit="1" customWidth="1" style="1" min="7940" max="7940"/>
    <col width="22.44140625" bestFit="1" customWidth="1" style="1" min="7941" max="7941"/>
    <col width="18.33203125" bestFit="1" customWidth="1" style="1" min="7942" max="7942"/>
    <col width="11.88671875" bestFit="1" customWidth="1" style="1" min="7943" max="7943"/>
    <col width="22.44140625" customWidth="1" style="1" min="7944" max="7944"/>
    <col width="11.88671875" bestFit="1" customWidth="1" style="1" min="7945" max="7945"/>
    <col width="9.109375" customWidth="1" style="1" min="7946" max="8192"/>
    <col width="21.109375" bestFit="1" customWidth="1" style="1" min="8193" max="8193"/>
    <col width="70" bestFit="1" customWidth="1" style="1" min="8194" max="8194"/>
    <col width="20.109375" bestFit="1" customWidth="1" style="1" min="8195" max="8195"/>
    <col width="22.6640625" bestFit="1" customWidth="1" style="1" min="8196" max="8196"/>
    <col width="22.44140625" bestFit="1" customWidth="1" style="1" min="8197" max="8197"/>
    <col width="18.33203125" bestFit="1" customWidth="1" style="1" min="8198" max="8198"/>
    <col width="11.88671875" bestFit="1" customWidth="1" style="1" min="8199" max="8199"/>
    <col width="22.44140625" customWidth="1" style="1" min="8200" max="8200"/>
    <col width="11.88671875" bestFit="1" customWidth="1" style="1" min="8201" max="8201"/>
    <col width="9.109375" customWidth="1" style="1" min="8202" max="8448"/>
    <col width="21.109375" bestFit="1" customWidth="1" style="1" min="8449" max="8449"/>
    <col width="70" bestFit="1" customWidth="1" style="1" min="8450" max="8450"/>
    <col width="20.109375" bestFit="1" customWidth="1" style="1" min="8451" max="8451"/>
    <col width="22.6640625" bestFit="1" customWidth="1" style="1" min="8452" max="8452"/>
    <col width="22.44140625" bestFit="1" customWidth="1" style="1" min="8453" max="8453"/>
    <col width="18.33203125" bestFit="1" customWidth="1" style="1" min="8454" max="8454"/>
    <col width="11.88671875" bestFit="1" customWidth="1" style="1" min="8455" max="8455"/>
    <col width="22.44140625" customWidth="1" style="1" min="8456" max="8456"/>
    <col width="11.88671875" bestFit="1" customWidth="1" style="1" min="8457" max="8457"/>
    <col width="9.109375" customWidth="1" style="1" min="8458" max="8704"/>
    <col width="21.109375" bestFit="1" customWidth="1" style="1" min="8705" max="8705"/>
    <col width="70" bestFit="1" customWidth="1" style="1" min="8706" max="8706"/>
    <col width="20.109375" bestFit="1" customWidth="1" style="1" min="8707" max="8707"/>
    <col width="22.6640625" bestFit="1" customWidth="1" style="1" min="8708" max="8708"/>
    <col width="22.44140625" bestFit="1" customWidth="1" style="1" min="8709" max="8709"/>
    <col width="18.33203125" bestFit="1" customWidth="1" style="1" min="8710" max="8710"/>
    <col width="11.88671875" bestFit="1" customWidth="1" style="1" min="8711" max="8711"/>
    <col width="22.44140625" customWidth="1" style="1" min="8712" max="8712"/>
    <col width="11.88671875" bestFit="1" customWidth="1" style="1" min="8713" max="8713"/>
    <col width="9.109375" customWidth="1" style="1" min="8714" max="8960"/>
    <col width="21.109375" bestFit="1" customWidth="1" style="1" min="8961" max="8961"/>
    <col width="70" bestFit="1" customWidth="1" style="1" min="8962" max="8962"/>
    <col width="20.109375" bestFit="1" customWidth="1" style="1" min="8963" max="8963"/>
    <col width="22.6640625" bestFit="1" customWidth="1" style="1" min="8964" max="8964"/>
    <col width="22.44140625" bestFit="1" customWidth="1" style="1" min="8965" max="8965"/>
    <col width="18.33203125" bestFit="1" customWidth="1" style="1" min="8966" max="8966"/>
    <col width="11.88671875" bestFit="1" customWidth="1" style="1" min="8967" max="8967"/>
    <col width="22.44140625" customWidth="1" style="1" min="8968" max="8968"/>
    <col width="11.88671875" bestFit="1" customWidth="1" style="1" min="8969" max="8969"/>
    <col width="9.109375" customWidth="1" style="1" min="8970" max="9216"/>
    <col width="21.109375" bestFit="1" customWidth="1" style="1" min="9217" max="9217"/>
    <col width="70" bestFit="1" customWidth="1" style="1" min="9218" max="9218"/>
    <col width="20.109375" bestFit="1" customWidth="1" style="1" min="9219" max="9219"/>
    <col width="22.6640625" bestFit="1" customWidth="1" style="1" min="9220" max="9220"/>
    <col width="22.44140625" bestFit="1" customWidth="1" style="1" min="9221" max="9221"/>
    <col width="18.33203125" bestFit="1" customWidth="1" style="1" min="9222" max="9222"/>
    <col width="11.88671875" bestFit="1" customWidth="1" style="1" min="9223" max="9223"/>
    <col width="22.44140625" customWidth="1" style="1" min="9224" max="9224"/>
    <col width="11.88671875" bestFit="1" customWidth="1" style="1" min="9225" max="9225"/>
    <col width="9.109375" customWidth="1" style="1" min="9226" max="9472"/>
    <col width="21.109375" bestFit="1" customWidth="1" style="1" min="9473" max="9473"/>
    <col width="70" bestFit="1" customWidth="1" style="1" min="9474" max="9474"/>
    <col width="20.109375" bestFit="1" customWidth="1" style="1" min="9475" max="9475"/>
    <col width="22.6640625" bestFit="1" customWidth="1" style="1" min="9476" max="9476"/>
    <col width="22.44140625" bestFit="1" customWidth="1" style="1" min="9477" max="9477"/>
    <col width="18.33203125" bestFit="1" customWidth="1" style="1" min="9478" max="9478"/>
    <col width="11.88671875" bestFit="1" customWidth="1" style="1" min="9479" max="9479"/>
    <col width="22.44140625" customWidth="1" style="1" min="9480" max="9480"/>
    <col width="11.88671875" bestFit="1" customWidth="1" style="1" min="9481" max="9481"/>
    <col width="9.109375" customWidth="1" style="1" min="9482" max="9728"/>
    <col width="21.109375" bestFit="1" customWidth="1" style="1" min="9729" max="9729"/>
    <col width="70" bestFit="1" customWidth="1" style="1" min="9730" max="9730"/>
    <col width="20.109375" bestFit="1" customWidth="1" style="1" min="9731" max="9731"/>
    <col width="22.6640625" bestFit="1" customWidth="1" style="1" min="9732" max="9732"/>
    <col width="22.44140625" bestFit="1" customWidth="1" style="1" min="9733" max="9733"/>
    <col width="18.33203125" bestFit="1" customWidth="1" style="1" min="9734" max="9734"/>
    <col width="11.88671875" bestFit="1" customWidth="1" style="1" min="9735" max="9735"/>
    <col width="22.44140625" customWidth="1" style="1" min="9736" max="9736"/>
    <col width="11.88671875" bestFit="1" customWidth="1" style="1" min="9737" max="9737"/>
    <col width="9.109375" customWidth="1" style="1" min="9738" max="9984"/>
    <col width="21.109375" bestFit="1" customWidth="1" style="1" min="9985" max="9985"/>
    <col width="70" bestFit="1" customWidth="1" style="1" min="9986" max="9986"/>
    <col width="20.109375" bestFit="1" customWidth="1" style="1" min="9987" max="9987"/>
    <col width="22.6640625" bestFit="1" customWidth="1" style="1" min="9988" max="9988"/>
    <col width="22.44140625" bestFit="1" customWidth="1" style="1" min="9989" max="9989"/>
    <col width="18.33203125" bestFit="1" customWidth="1" style="1" min="9990" max="9990"/>
    <col width="11.88671875" bestFit="1" customWidth="1" style="1" min="9991" max="9991"/>
    <col width="22.44140625" customWidth="1" style="1" min="9992" max="9992"/>
    <col width="11.88671875" bestFit="1" customWidth="1" style="1" min="9993" max="9993"/>
    <col width="9.109375" customWidth="1" style="1" min="9994" max="10240"/>
    <col width="21.109375" bestFit="1" customWidth="1" style="1" min="10241" max="10241"/>
    <col width="70" bestFit="1" customWidth="1" style="1" min="10242" max="10242"/>
    <col width="20.109375" bestFit="1" customWidth="1" style="1" min="10243" max="10243"/>
    <col width="22.6640625" bestFit="1" customWidth="1" style="1" min="10244" max="10244"/>
    <col width="22.44140625" bestFit="1" customWidth="1" style="1" min="10245" max="10245"/>
    <col width="18.33203125" bestFit="1" customWidth="1" style="1" min="10246" max="10246"/>
    <col width="11.88671875" bestFit="1" customWidth="1" style="1" min="10247" max="10247"/>
    <col width="22.44140625" customWidth="1" style="1" min="10248" max="10248"/>
    <col width="11.88671875" bestFit="1" customWidth="1" style="1" min="10249" max="10249"/>
    <col width="9.109375" customWidth="1" style="1" min="10250" max="10496"/>
    <col width="21.109375" bestFit="1" customWidth="1" style="1" min="10497" max="10497"/>
    <col width="70" bestFit="1" customWidth="1" style="1" min="10498" max="10498"/>
    <col width="20.109375" bestFit="1" customWidth="1" style="1" min="10499" max="10499"/>
    <col width="22.6640625" bestFit="1" customWidth="1" style="1" min="10500" max="10500"/>
    <col width="22.44140625" bestFit="1" customWidth="1" style="1" min="10501" max="10501"/>
    <col width="18.33203125" bestFit="1" customWidth="1" style="1" min="10502" max="10502"/>
    <col width="11.88671875" bestFit="1" customWidth="1" style="1" min="10503" max="10503"/>
    <col width="22.44140625" customWidth="1" style="1" min="10504" max="10504"/>
    <col width="11.88671875" bestFit="1" customWidth="1" style="1" min="10505" max="10505"/>
    <col width="9.109375" customWidth="1" style="1" min="10506" max="10752"/>
    <col width="21.109375" bestFit="1" customWidth="1" style="1" min="10753" max="10753"/>
    <col width="70" bestFit="1" customWidth="1" style="1" min="10754" max="10754"/>
    <col width="20.109375" bestFit="1" customWidth="1" style="1" min="10755" max="10755"/>
    <col width="22.6640625" bestFit="1" customWidth="1" style="1" min="10756" max="10756"/>
    <col width="22.44140625" bestFit="1" customWidth="1" style="1" min="10757" max="10757"/>
    <col width="18.33203125" bestFit="1" customWidth="1" style="1" min="10758" max="10758"/>
    <col width="11.88671875" bestFit="1" customWidth="1" style="1" min="10759" max="10759"/>
    <col width="22.44140625" customWidth="1" style="1" min="10760" max="10760"/>
    <col width="11.88671875" bestFit="1" customWidth="1" style="1" min="10761" max="10761"/>
    <col width="9.109375" customWidth="1" style="1" min="10762" max="11008"/>
    <col width="21.109375" bestFit="1" customWidth="1" style="1" min="11009" max="11009"/>
    <col width="70" bestFit="1" customWidth="1" style="1" min="11010" max="11010"/>
    <col width="20.109375" bestFit="1" customWidth="1" style="1" min="11011" max="11011"/>
    <col width="22.6640625" bestFit="1" customWidth="1" style="1" min="11012" max="11012"/>
    <col width="22.44140625" bestFit="1" customWidth="1" style="1" min="11013" max="11013"/>
    <col width="18.33203125" bestFit="1" customWidth="1" style="1" min="11014" max="11014"/>
    <col width="11.88671875" bestFit="1" customWidth="1" style="1" min="11015" max="11015"/>
    <col width="22.44140625" customWidth="1" style="1" min="11016" max="11016"/>
    <col width="11.88671875" bestFit="1" customWidth="1" style="1" min="11017" max="11017"/>
    <col width="9.109375" customWidth="1" style="1" min="11018" max="11264"/>
    <col width="21.109375" bestFit="1" customWidth="1" style="1" min="11265" max="11265"/>
    <col width="70" bestFit="1" customWidth="1" style="1" min="11266" max="11266"/>
    <col width="20.109375" bestFit="1" customWidth="1" style="1" min="11267" max="11267"/>
    <col width="22.6640625" bestFit="1" customWidth="1" style="1" min="11268" max="11268"/>
    <col width="22.44140625" bestFit="1" customWidth="1" style="1" min="11269" max="11269"/>
    <col width="18.33203125" bestFit="1" customWidth="1" style="1" min="11270" max="11270"/>
    <col width="11.88671875" bestFit="1" customWidth="1" style="1" min="11271" max="11271"/>
    <col width="22.44140625" customWidth="1" style="1" min="11272" max="11272"/>
    <col width="11.88671875" bestFit="1" customWidth="1" style="1" min="11273" max="11273"/>
    <col width="9.109375" customWidth="1" style="1" min="11274" max="11520"/>
    <col width="21.109375" bestFit="1" customWidth="1" style="1" min="11521" max="11521"/>
    <col width="70" bestFit="1" customWidth="1" style="1" min="11522" max="11522"/>
    <col width="20.109375" bestFit="1" customWidth="1" style="1" min="11523" max="11523"/>
    <col width="22.6640625" bestFit="1" customWidth="1" style="1" min="11524" max="11524"/>
    <col width="22.44140625" bestFit="1" customWidth="1" style="1" min="11525" max="11525"/>
    <col width="18.33203125" bestFit="1" customWidth="1" style="1" min="11526" max="11526"/>
    <col width="11.88671875" bestFit="1" customWidth="1" style="1" min="11527" max="11527"/>
    <col width="22.44140625" customWidth="1" style="1" min="11528" max="11528"/>
    <col width="11.88671875" bestFit="1" customWidth="1" style="1" min="11529" max="11529"/>
    <col width="9.109375" customWidth="1" style="1" min="11530" max="11776"/>
    <col width="21.109375" bestFit="1" customWidth="1" style="1" min="11777" max="11777"/>
    <col width="70" bestFit="1" customWidth="1" style="1" min="11778" max="11778"/>
    <col width="20.109375" bestFit="1" customWidth="1" style="1" min="11779" max="11779"/>
    <col width="22.6640625" bestFit="1" customWidth="1" style="1" min="11780" max="11780"/>
    <col width="22.44140625" bestFit="1" customWidth="1" style="1" min="11781" max="11781"/>
    <col width="18.33203125" bestFit="1" customWidth="1" style="1" min="11782" max="11782"/>
    <col width="11.88671875" bestFit="1" customWidth="1" style="1" min="11783" max="11783"/>
    <col width="22.44140625" customWidth="1" style="1" min="11784" max="11784"/>
    <col width="11.88671875" bestFit="1" customWidth="1" style="1" min="11785" max="11785"/>
    <col width="9.109375" customWidth="1" style="1" min="11786" max="12032"/>
    <col width="21.109375" bestFit="1" customWidth="1" style="1" min="12033" max="12033"/>
    <col width="70" bestFit="1" customWidth="1" style="1" min="12034" max="12034"/>
    <col width="20.109375" bestFit="1" customWidth="1" style="1" min="12035" max="12035"/>
    <col width="22.6640625" bestFit="1" customWidth="1" style="1" min="12036" max="12036"/>
    <col width="22.44140625" bestFit="1" customWidth="1" style="1" min="12037" max="12037"/>
    <col width="18.33203125" bestFit="1" customWidth="1" style="1" min="12038" max="12038"/>
    <col width="11.88671875" bestFit="1" customWidth="1" style="1" min="12039" max="12039"/>
    <col width="22.44140625" customWidth="1" style="1" min="12040" max="12040"/>
    <col width="11.88671875" bestFit="1" customWidth="1" style="1" min="12041" max="12041"/>
    <col width="9.109375" customWidth="1" style="1" min="12042" max="12288"/>
    <col width="21.109375" bestFit="1" customWidth="1" style="1" min="12289" max="12289"/>
    <col width="70" bestFit="1" customWidth="1" style="1" min="12290" max="12290"/>
    <col width="20.109375" bestFit="1" customWidth="1" style="1" min="12291" max="12291"/>
    <col width="22.6640625" bestFit="1" customWidth="1" style="1" min="12292" max="12292"/>
    <col width="22.44140625" bestFit="1" customWidth="1" style="1" min="12293" max="12293"/>
    <col width="18.33203125" bestFit="1" customWidth="1" style="1" min="12294" max="12294"/>
    <col width="11.88671875" bestFit="1" customWidth="1" style="1" min="12295" max="12295"/>
    <col width="22.44140625" customWidth="1" style="1" min="12296" max="12296"/>
    <col width="11.88671875" bestFit="1" customWidth="1" style="1" min="12297" max="12297"/>
    <col width="9.109375" customWidth="1" style="1" min="12298" max="12544"/>
    <col width="21.109375" bestFit="1" customWidth="1" style="1" min="12545" max="12545"/>
    <col width="70" bestFit="1" customWidth="1" style="1" min="12546" max="12546"/>
    <col width="20.109375" bestFit="1" customWidth="1" style="1" min="12547" max="12547"/>
    <col width="22.6640625" bestFit="1" customWidth="1" style="1" min="12548" max="12548"/>
    <col width="22.44140625" bestFit="1" customWidth="1" style="1" min="12549" max="12549"/>
    <col width="18.33203125" bestFit="1" customWidth="1" style="1" min="12550" max="12550"/>
    <col width="11.88671875" bestFit="1" customWidth="1" style="1" min="12551" max="12551"/>
    <col width="22.44140625" customWidth="1" style="1" min="12552" max="12552"/>
    <col width="11.88671875" bestFit="1" customWidth="1" style="1" min="12553" max="12553"/>
    <col width="9.109375" customWidth="1" style="1" min="12554" max="12800"/>
    <col width="21.109375" bestFit="1" customWidth="1" style="1" min="12801" max="12801"/>
    <col width="70" bestFit="1" customWidth="1" style="1" min="12802" max="12802"/>
    <col width="20.109375" bestFit="1" customWidth="1" style="1" min="12803" max="12803"/>
    <col width="22.6640625" bestFit="1" customWidth="1" style="1" min="12804" max="12804"/>
    <col width="22.44140625" bestFit="1" customWidth="1" style="1" min="12805" max="12805"/>
    <col width="18.33203125" bestFit="1" customWidth="1" style="1" min="12806" max="12806"/>
    <col width="11.88671875" bestFit="1" customWidth="1" style="1" min="12807" max="12807"/>
    <col width="22.44140625" customWidth="1" style="1" min="12808" max="12808"/>
    <col width="11.88671875" bestFit="1" customWidth="1" style="1" min="12809" max="12809"/>
    <col width="9.109375" customWidth="1" style="1" min="12810" max="13056"/>
    <col width="21.109375" bestFit="1" customWidth="1" style="1" min="13057" max="13057"/>
    <col width="70" bestFit="1" customWidth="1" style="1" min="13058" max="13058"/>
    <col width="20.109375" bestFit="1" customWidth="1" style="1" min="13059" max="13059"/>
    <col width="22.6640625" bestFit="1" customWidth="1" style="1" min="13060" max="13060"/>
    <col width="22.44140625" bestFit="1" customWidth="1" style="1" min="13061" max="13061"/>
    <col width="18.33203125" bestFit="1" customWidth="1" style="1" min="13062" max="13062"/>
    <col width="11.88671875" bestFit="1" customWidth="1" style="1" min="13063" max="13063"/>
    <col width="22.44140625" customWidth="1" style="1" min="13064" max="13064"/>
    <col width="11.88671875" bestFit="1" customWidth="1" style="1" min="13065" max="13065"/>
    <col width="9.109375" customWidth="1" style="1" min="13066" max="13312"/>
    <col width="21.109375" bestFit="1" customWidth="1" style="1" min="13313" max="13313"/>
    <col width="70" bestFit="1" customWidth="1" style="1" min="13314" max="13314"/>
    <col width="20.109375" bestFit="1" customWidth="1" style="1" min="13315" max="13315"/>
    <col width="22.6640625" bestFit="1" customWidth="1" style="1" min="13316" max="13316"/>
    <col width="22.44140625" bestFit="1" customWidth="1" style="1" min="13317" max="13317"/>
    <col width="18.33203125" bestFit="1" customWidth="1" style="1" min="13318" max="13318"/>
    <col width="11.88671875" bestFit="1" customWidth="1" style="1" min="13319" max="13319"/>
    <col width="22.44140625" customWidth="1" style="1" min="13320" max="13320"/>
    <col width="11.88671875" bestFit="1" customWidth="1" style="1" min="13321" max="13321"/>
    <col width="9.109375" customWidth="1" style="1" min="13322" max="13568"/>
    <col width="21.109375" bestFit="1" customWidth="1" style="1" min="13569" max="13569"/>
    <col width="70" bestFit="1" customWidth="1" style="1" min="13570" max="13570"/>
    <col width="20.109375" bestFit="1" customWidth="1" style="1" min="13571" max="13571"/>
    <col width="22.6640625" bestFit="1" customWidth="1" style="1" min="13572" max="13572"/>
    <col width="22.44140625" bestFit="1" customWidth="1" style="1" min="13573" max="13573"/>
    <col width="18.33203125" bestFit="1" customWidth="1" style="1" min="13574" max="13574"/>
    <col width="11.88671875" bestFit="1" customWidth="1" style="1" min="13575" max="13575"/>
    <col width="22.44140625" customWidth="1" style="1" min="13576" max="13576"/>
    <col width="11.88671875" bestFit="1" customWidth="1" style="1" min="13577" max="13577"/>
    <col width="9.109375" customWidth="1" style="1" min="13578" max="13824"/>
    <col width="21.109375" bestFit="1" customWidth="1" style="1" min="13825" max="13825"/>
    <col width="70" bestFit="1" customWidth="1" style="1" min="13826" max="13826"/>
    <col width="20.109375" bestFit="1" customWidth="1" style="1" min="13827" max="13827"/>
    <col width="22.6640625" bestFit="1" customWidth="1" style="1" min="13828" max="13828"/>
    <col width="22.44140625" bestFit="1" customWidth="1" style="1" min="13829" max="13829"/>
    <col width="18.33203125" bestFit="1" customWidth="1" style="1" min="13830" max="13830"/>
    <col width="11.88671875" bestFit="1" customWidth="1" style="1" min="13831" max="13831"/>
    <col width="22.44140625" customWidth="1" style="1" min="13832" max="13832"/>
    <col width="11.88671875" bestFit="1" customWidth="1" style="1" min="13833" max="13833"/>
    <col width="9.109375" customWidth="1" style="1" min="13834" max="14080"/>
    <col width="21.109375" bestFit="1" customWidth="1" style="1" min="14081" max="14081"/>
    <col width="70" bestFit="1" customWidth="1" style="1" min="14082" max="14082"/>
    <col width="20.109375" bestFit="1" customWidth="1" style="1" min="14083" max="14083"/>
    <col width="22.6640625" bestFit="1" customWidth="1" style="1" min="14084" max="14084"/>
    <col width="22.44140625" bestFit="1" customWidth="1" style="1" min="14085" max="14085"/>
    <col width="18.33203125" bestFit="1" customWidth="1" style="1" min="14086" max="14086"/>
    <col width="11.88671875" bestFit="1" customWidth="1" style="1" min="14087" max="14087"/>
    <col width="22.44140625" customWidth="1" style="1" min="14088" max="14088"/>
    <col width="11.88671875" bestFit="1" customWidth="1" style="1" min="14089" max="14089"/>
    <col width="9.109375" customWidth="1" style="1" min="14090" max="14336"/>
    <col width="21.109375" bestFit="1" customWidth="1" style="1" min="14337" max="14337"/>
    <col width="70" bestFit="1" customWidth="1" style="1" min="14338" max="14338"/>
    <col width="20.109375" bestFit="1" customWidth="1" style="1" min="14339" max="14339"/>
    <col width="22.6640625" bestFit="1" customWidth="1" style="1" min="14340" max="14340"/>
    <col width="22.44140625" bestFit="1" customWidth="1" style="1" min="14341" max="14341"/>
    <col width="18.33203125" bestFit="1" customWidth="1" style="1" min="14342" max="14342"/>
    <col width="11.88671875" bestFit="1" customWidth="1" style="1" min="14343" max="14343"/>
    <col width="22.44140625" customWidth="1" style="1" min="14344" max="14344"/>
    <col width="11.88671875" bestFit="1" customWidth="1" style="1" min="14345" max="14345"/>
    <col width="9.109375" customWidth="1" style="1" min="14346" max="14592"/>
    <col width="21.109375" bestFit="1" customWidth="1" style="1" min="14593" max="14593"/>
    <col width="70" bestFit="1" customWidth="1" style="1" min="14594" max="14594"/>
    <col width="20.109375" bestFit="1" customWidth="1" style="1" min="14595" max="14595"/>
    <col width="22.6640625" bestFit="1" customWidth="1" style="1" min="14596" max="14596"/>
    <col width="22.44140625" bestFit="1" customWidth="1" style="1" min="14597" max="14597"/>
    <col width="18.33203125" bestFit="1" customWidth="1" style="1" min="14598" max="14598"/>
    <col width="11.88671875" bestFit="1" customWidth="1" style="1" min="14599" max="14599"/>
    <col width="22.44140625" customWidth="1" style="1" min="14600" max="14600"/>
    <col width="11.88671875" bestFit="1" customWidth="1" style="1" min="14601" max="14601"/>
    <col width="9.109375" customWidth="1" style="1" min="14602" max="14848"/>
    <col width="21.109375" bestFit="1" customWidth="1" style="1" min="14849" max="14849"/>
    <col width="70" bestFit="1" customWidth="1" style="1" min="14850" max="14850"/>
    <col width="20.109375" bestFit="1" customWidth="1" style="1" min="14851" max="14851"/>
    <col width="22.6640625" bestFit="1" customWidth="1" style="1" min="14852" max="14852"/>
    <col width="22.44140625" bestFit="1" customWidth="1" style="1" min="14853" max="14853"/>
    <col width="18.33203125" bestFit="1" customWidth="1" style="1" min="14854" max="14854"/>
    <col width="11.88671875" bestFit="1" customWidth="1" style="1" min="14855" max="14855"/>
    <col width="22.44140625" customWidth="1" style="1" min="14856" max="14856"/>
    <col width="11.88671875" bestFit="1" customWidth="1" style="1" min="14857" max="14857"/>
    <col width="9.109375" customWidth="1" style="1" min="14858" max="15104"/>
    <col width="21.109375" bestFit="1" customWidth="1" style="1" min="15105" max="15105"/>
    <col width="70" bestFit="1" customWidth="1" style="1" min="15106" max="15106"/>
    <col width="20.109375" bestFit="1" customWidth="1" style="1" min="15107" max="15107"/>
    <col width="22.6640625" bestFit="1" customWidth="1" style="1" min="15108" max="15108"/>
    <col width="22.44140625" bestFit="1" customWidth="1" style="1" min="15109" max="15109"/>
    <col width="18.33203125" bestFit="1" customWidth="1" style="1" min="15110" max="15110"/>
    <col width="11.88671875" bestFit="1" customWidth="1" style="1" min="15111" max="15111"/>
    <col width="22.44140625" customWidth="1" style="1" min="15112" max="15112"/>
    <col width="11.88671875" bestFit="1" customWidth="1" style="1" min="15113" max="15113"/>
    <col width="9.109375" customWidth="1" style="1" min="15114" max="15360"/>
    <col width="21.109375" bestFit="1" customWidth="1" style="1" min="15361" max="15361"/>
    <col width="70" bestFit="1" customWidth="1" style="1" min="15362" max="15362"/>
    <col width="20.109375" bestFit="1" customWidth="1" style="1" min="15363" max="15363"/>
    <col width="22.6640625" bestFit="1" customWidth="1" style="1" min="15364" max="15364"/>
    <col width="22.44140625" bestFit="1" customWidth="1" style="1" min="15365" max="15365"/>
    <col width="18.33203125" bestFit="1" customWidth="1" style="1" min="15366" max="15366"/>
    <col width="11.88671875" bestFit="1" customWidth="1" style="1" min="15367" max="15367"/>
    <col width="22.44140625" customWidth="1" style="1" min="15368" max="15368"/>
    <col width="11.88671875" bestFit="1" customWidth="1" style="1" min="15369" max="15369"/>
    <col width="9.109375" customWidth="1" style="1" min="15370" max="15616"/>
    <col width="21.109375" bestFit="1" customWidth="1" style="1" min="15617" max="15617"/>
    <col width="70" bestFit="1" customWidth="1" style="1" min="15618" max="15618"/>
    <col width="20.109375" bestFit="1" customWidth="1" style="1" min="15619" max="15619"/>
    <col width="22.6640625" bestFit="1" customWidth="1" style="1" min="15620" max="15620"/>
    <col width="22.44140625" bestFit="1" customWidth="1" style="1" min="15621" max="15621"/>
    <col width="18.33203125" bestFit="1" customWidth="1" style="1" min="15622" max="15622"/>
    <col width="11.88671875" bestFit="1" customWidth="1" style="1" min="15623" max="15623"/>
    <col width="22.44140625" customWidth="1" style="1" min="15624" max="15624"/>
    <col width="11.88671875" bestFit="1" customWidth="1" style="1" min="15625" max="15625"/>
    <col width="9.109375" customWidth="1" style="1" min="15626" max="15872"/>
    <col width="21.109375" bestFit="1" customWidth="1" style="1" min="15873" max="15873"/>
    <col width="70" bestFit="1" customWidth="1" style="1" min="15874" max="15874"/>
    <col width="20.109375" bestFit="1" customWidth="1" style="1" min="15875" max="15875"/>
    <col width="22.6640625" bestFit="1" customWidth="1" style="1" min="15876" max="15876"/>
    <col width="22.44140625" bestFit="1" customWidth="1" style="1" min="15877" max="15877"/>
    <col width="18.33203125" bestFit="1" customWidth="1" style="1" min="15878" max="15878"/>
    <col width="11.88671875" bestFit="1" customWidth="1" style="1" min="15879" max="15879"/>
    <col width="22.44140625" customWidth="1" style="1" min="15880" max="15880"/>
    <col width="11.88671875" bestFit="1" customWidth="1" style="1" min="15881" max="15881"/>
    <col width="9.109375" customWidth="1" style="1" min="15882" max="16128"/>
    <col width="21.109375" bestFit="1" customWidth="1" style="1" min="16129" max="16129"/>
    <col width="70" bestFit="1" customWidth="1" style="1" min="16130" max="16130"/>
    <col width="20.109375" bestFit="1" customWidth="1" style="1" min="16131" max="16131"/>
    <col width="22.6640625" bestFit="1" customWidth="1" style="1" min="16132" max="16132"/>
    <col width="22.44140625" bestFit="1" customWidth="1" style="1" min="16133" max="16133"/>
    <col width="18.33203125" bestFit="1" customWidth="1" style="1" min="16134" max="16134"/>
    <col width="11.88671875" bestFit="1" customWidth="1" style="1" min="16135" max="16135"/>
    <col width="22.44140625" customWidth="1" style="1" min="16136" max="16136"/>
    <col width="11.88671875" bestFit="1" customWidth="1" style="1" min="16137" max="16137"/>
    <col width="9.109375" customWidth="1" style="1" min="16138" max="16384"/>
  </cols>
  <sheetData>
    <row r="1" ht="12.75" customHeight="1">
      <c r="C1" s="293" t="inlineStr">
        <is>
          <t>Eindbalans 30-09-2018</t>
        </is>
      </c>
      <c r="D1" s="293" t="inlineStr">
        <is>
          <t>Mutaties periode Q4 2018</t>
        </is>
      </c>
      <c r="E1" s="293" t="inlineStr">
        <is>
          <t>Mutaties Q1 t/m Q3 2019</t>
        </is>
      </c>
      <c r="F1" s="290" t="inlineStr">
        <is>
          <t>Saldi per 30-09-2019</t>
        </is>
      </c>
      <c r="H1" s="293" t="inlineStr">
        <is>
          <t>Mutaties Q3 2019</t>
        </is>
      </c>
    </row>
    <row r="3" ht="12.75" customHeight="1">
      <c r="A3" s="132" t="inlineStr">
        <is>
          <t>Balans</t>
        </is>
      </c>
    </row>
    <row r="4" ht="12.75" customHeight="1">
      <c r="A4" s="130" t="n">
        <v>1600200</v>
      </c>
      <c r="B4" s="1" t="inlineStr">
        <is>
          <t>VG Vastgoedbeleggingen Verkrijgings- of vervaardigingsprijs</t>
        </is>
      </c>
      <c r="C4" s="293" t="n">
        <v>134929585</v>
      </c>
      <c r="D4" s="293" t="n">
        <v>-2259117</v>
      </c>
      <c r="E4" s="293" t="n">
        <v>0</v>
      </c>
      <c r="F4" s="290">
        <f>SUM(C4:E4)</f>
        <v/>
      </c>
      <c r="G4" s="133" t="n"/>
      <c r="H4" s="293" t="n">
        <v>0</v>
      </c>
    </row>
    <row r="5" ht="12.75" customHeight="1">
      <c r="A5" s="130" t="inlineStr">
        <is>
          <t>1600200</t>
        </is>
      </c>
      <c r="B5" s="1" t="inlineStr">
        <is>
          <t>VG Vastgoedbeleggingen Cum afschrijvingen en waardeverm</t>
        </is>
      </c>
      <c r="C5" s="294">
        <f>-7179064</f>
        <v/>
      </c>
      <c r="D5" s="294" t="n">
        <v>-895606</v>
      </c>
      <c r="E5" s="294" t="n">
        <v>-1966185</v>
      </c>
      <c r="F5" s="295">
        <f>SUM(C5:E5)</f>
        <v/>
      </c>
      <c r="G5" s="149" t="n"/>
      <c r="H5" s="294" t="n">
        <v>-653662</v>
      </c>
    </row>
    <row r="6" ht="12.75" customHeight="1">
      <c r="A6" s="130" t="inlineStr">
        <is>
          <t>1610803</t>
        </is>
      </c>
      <c r="B6" s="1" t="inlineStr">
        <is>
          <t>VG Comm VG in exploitatie Buitengebruikstellingen aanschaffingswaarde</t>
        </is>
      </c>
      <c r="E6" s="293" t="n">
        <v>-2215390</v>
      </c>
      <c r="F6" s="290">
        <f>SUM(C6:E6)</f>
        <v/>
      </c>
      <c r="H6" s="293" t="n">
        <v>-462286</v>
      </c>
    </row>
    <row r="7" ht="12.75" customHeight="1">
      <c r="A7" s="130" t="inlineStr">
        <is>
          <t>1611003</t>
        </is>
      </c>
      <c r="B7" s="1" t="inlineStr">
        <is>
          <t>VG Comm VG in exploitatie Buitengebruikstellingen cum. afschr. en waardeverm.</t>
        </is>
      </c>
      <c r="C7" s="294" t="n">
        <v>83981</v>
      </c>
      <c r="D7" s="294" t="n">
        <v>36289</v>
      </c>
      <c r="E7" s="294" t="n">
        <v>146755</v>
      </c>
      <c r="F7" s="295">
        <f>SUM(C7:E7)</f>
        <v/>
      </c>
      <c r="G7" s="149" t="n"/>
      <c r="H7" s="294" t="n">
        <v>33933</v>
      </c>
    </row>
    <row r="8" ht="12.75" customHeight="1">
      <c r="A8" s="1" t="inlineStr">
        <is>
          <t>Totaal Vastgoedbeleggingen</t>
        </is>
      </c>
      <c r="C8" s="293">
        <f>SUM(C4:C7)</f>
        <v/>
      </c>
      <c r="D8" s="293">
        <f>SUM(D4:D7)</f>
        <v/>
      </c>
      <c r="E8" s="293">
        <f>SUM(E4:E7)</f>
        <v/>
      </c>
      <c r="F8" s="290">
        <f>SUM(C8:E8)</f>
        <v/>
      </c>
      <c r="G8" s="133" t="n"/>
      <c r="H8" s="293">
        <f>SUM(H4:H7)</f>
        <v/>
      </c>
    </row>
    <row r="10" ht="12.75" customHeight="1">
      <c r="A10" s="130" t="inlineStr">
        <is>
          <t>1790002</t>
        </is>
      </c>
      <c r="B10" s="1" t="inlineStr">
        <is>
          <t>FVA Latente belastingvordering langlopend</t>
        </is>
      </c>
      <c r="C10" s="293" t="n">
        <v>1655598</v>
      </c>
      <c r="D10" s="293" t="n">
        <v>740409</v>
      </c>
      <c r="E10" s="293" t="n">
        <v>464688</v>
      </c>
      <c r="F10" s="290">
        <f>SUM(C10:E10)</f>
        <v/>
      </c>
      <c r="H10" s="293" t="n">
        <v>153794</v>
      </c>
    </row>
    <row r="11" ht="12.75" customHeight="1">
      <c r="A11" s="1" t="inlineStr">
        <is>
          <t>Totaal Financiële vaste activa</t>
        </is>
      </c>
      <c r="C11" s="293">
        <f>SUM(C10)</f>
        <v/>
      </c>
      <c r="D11" s="293">
        <f>SUM(D10)</f>
        <v/>
      </c>
      <c r="E11" s="293">
        <f>SUM(E10)</f>
        <v/>
      </c>
      <c r="F11" s="290">
        <f>SUM(C11:E11)</f>
        <v/>
      </c>
      <c r="H11" s="293">
        <f>SUM(H10)</f>
        <v/>
      </c>
    </row>
    <row r="13" ht="12.75" customHeight="1">
      <c r="A13" s="130" t="inlineStr">
        <is>
          <t>2000000</t>
        </is>
      </c>
      <c r="B13" s="1" t="inlineStr">
        <is>
          <t>VOR Debiteuren</t>
        </is>
      </c>
      <c r="C13" s="294">
        <f>515882-177000-115000</f>
        <v/>
      </c>
      <c r="D13" s="294">
        <f>-396678+177000+115000</f>
        <v/>
      </c>
      <c r="E13" s="294" t="n">
        <v>130719</v>
      </c>
      <c r="F13" s="295">
        <f>SUM(C13:E13)</f>
        <v/>
      </c>
      <c r="G13" s="149" t="n"/>
      <c r="H13" s="294" t="n">
        <v>-93669</v>
      </c>
    </row>
    <row r="14" ht="12.75" customHeight="1">
      <c r="A14" s="130" t="inlineStr">
        <is>
          <t>2000300</t>
        </is>
      </c>
      <c r="B14" s="1" t="inlineStr">
        <is>
          <t>VOR Voorziening dubieuze debiteuren</t>
        </is>
      </c>
      <c r="C14" s="293" t="n">
        <v>-14000</v>
      </c>
      <c r="D14" s="293" t="n">
        <v>-50501</v>
      </c>
      <c r="F14" s="290">
        <f>SUM(C14:E14)</f>
        <v/>
      </c>
      <c r="H14" s="293" t="n">
        <v>0</v>
      </c>
    </row>
    <row r="15" ht="12.75" customHeight="1">
      <c r="A15" s="1" t="inlineStr">
        <is>
          <t>Totaal Debiteuren</t>
        </is>
      </c>
      <c r="C15" s="293">
        <f>SUM(C13:C14)</f>
        <v/>
      </c>
      <c r="D15" s="293">
        <f>SUM(D13:D14)</f>
        <v/>
      </c>
      <c r="E15" s="293">
        <f>SUM(E13:E14)</f>
        <v/>
      </c>
      <c r="F15" s="290">
        <f>SUM(C15:E15)</f>
        <v/>
      </c>
      <c r="H15" s="293">
        <f>SUM(H13:H14)</f>
        <v/>
      </c>
    </row>
    <row r="17" ht="12.75" customHeight="1">
      <c r="A17" s="130" t="n">
        <v>2640000</v>
      </c>
      <c r="B17" s="1" t="inlineStr">
        <is>
          <t>RC Kortlopend DMRRP INV - I BV</t>
        </is>
      </c>
      <c r="C17" s="293" t="n">
        <v>110497</v>
      </c>
      <c r="D17" s="293" t="n">
        <v>0</v>
      </c>
      <c r="E17" s="293" t="n">
        <v>0</v>
      </c>
      <c r="F17" s="290">
        <f>SUM(C17:E17)</f>
        <v/>
      </c>
      <c r="H17" s="293" t="n">
        <v>0</v>
      </c>
    </row>
    <row r="18" ht="12.75" customHeight="1">
      <c r="A18" s="1" t="inlineStr">
        <is>
          <t>Totaal Rekening-courant aandeelhouder</t>
        </is>
      </c>
      <c r="C18" s="293">
        <f>SUM(C17)</f>
        <v/>
      </c>
      <c r="D18" s="293">
        <f>SUM(D17)</f>
        <v/>
      </c>
      <c r="E18" s="293">
        <f>SUM(E17)</f>
        <v/>
      </c>
      <c r="F18" s="290">
        <f>SUM(C18:E18)</f>
        <v/>
      </c>
      <c r="H18" s="293">
        <f>SUM(H17)</f>
        <v/>
      </c>
    </row>
    <row r="20" ht="12.75" customHeight="1">
      <c r="A20" s="130" t="inlineStr">
        <is>
          <t>2040700</t>
        </is>
      </c>
      <c r="B20" s="1" t="inlineStr">
        <is>
          <t>VOR Vooruitbetaalde servicekosten</t>
        </is>
      </c>
      <c r="C20" s="293" t="n">
        <v>0</v>
      </c>
      <c r="D20" s="293" t="n">
        <v>15594</v>
      </c>
      <c r="E20" s="293" t="n">
        <v>0</v>
      </c>
      <c r="F20" s="290">
        <f>SUM(C20:E20)</f>
        <v/>
      </c>
      <c r="H20" s="293" t="n">
        <v>0</v>
      </c>
    </row>
    <row r="21" ht="12.75" customHeight="1">
      <c r="A21" s="130" t="inlineStr">
        <is>
          <t>2040900</t>
        </is>
      </c>
      <c r="B21" s="1" t="inlineStr">
        <is>
          <t>VOR Vooruitbetaalde overige kosten</t>
        </is>
      </c>
      <c r="C21" s="293" t="n">
        <v>0</v>
      </c>
      <c r="D21" s="293" t="n">
        <v>737</v>
      </c>
      <c r="E21" s="293" t="n">
        <v>0</v>
      </c>
      <c r="F21" s="290">
        <f>SUM(C21:E21)</f>
        <v/>
      </c>
      <c r="H21" s="293" t="n">
        <v>0</v>
      </c>
    </row>
    <row r="22" ht="12.75" customHeight="1">
      <c r="A22" s="1" t="inlineStr">
        <is>
          <t>Totaal overige vorderingen</t>
        </is>
      </c>
      <c r="C22" s="293">
        <f>SUM(C20:C21)</f>
        <v/>
      </c>
      <c r="D22" s="293">
        <f>SUM(D20:D21)</f>
        <v/>
      </c>
      <c r="E22" s="293">
        <f>SUM(E20:E21)</f>
        <v/>
      </c>
      <c r="F22" s="290">
        <f>SUM(C22:E22)</f>
        <v/>
      </c>
      <c r="H22" s="293">
        <f>SUM(H20:H21)</f>
        <v/>
      </c>
    </row>
    <row r="24" ht="12.75" customHeight="1">
      <c r="A24" s="130" t="inlineStr">
        <is>
          <t>2300000</t>
        </is>
      </c>
      <c r="B24" s="1" t="inlineStr">
        <is>
          <t>LM Kruisposten</t>
        </is>
      </c>
      <c r="C24" s="293" t="n">
        <v>0</v>
      </c>
      <c r="D24" s="293" t="n">
        <v>0</v>
      </c>
      <c r="E24" s="293" t="n">
        <v>3338</v>
      </c>
      <c r="F24" s="290">
        <f>SUM(C24:E24)</f>
        <v/>
      </c>
      <c r="H24" s="293" t="n">
        <v>3338</v>
      </c>
    </row>
    <row r="25" ht="12.75" customHeight="1">
      <c r="A25" s="130" t="inlineStr">
        <is>
          <t>2400200</t>
        </is>
      </c>
      <c r="B25" s="1" t="inlineStr">
        <is>
          <t>LM ABN AMRO Bank Disposal NL58 ABNA 0818 9180 39</t>
        </is>
      </c>
      <c r="C25" s="293" t="n">
        <v>2404971</v>
      </c>
      <c r="D25" s="293" t="n">
        <v>-1418387</v>
      </c>
      <c r="E25" s="293" t="n">
        <v>-256886</v>
      </c>
      <c r="F25" s="290">
        <f>SUM(C25:E25)</f>
        <v/>
      </c>
      <c r="H25" s="293" t="n">
        <v>649658</v>
      </c>
    </row>
    <row r="26" ht="12.75" customHeight="1">
      <c r="A26" s="130" t="inlineStr">
        <is>
          <t>2400201</t>
        </is>
      </c>
      <c r="B26" s="1" t="inlineStr">
        <is>
          <t>LM ABN AMRO Bank Deposit NL57 ABNA 0541 6205 68</t>
        </is>
      </c>
      <c r="C26" s="293" t="n">
        <v>17820</v>
      </c>
      <c r="D26" s="293" t="n">
        <v>-8172</v>
      </c>
      <c r="E26" s="293" t="n">
        <v>3265</v>
      </c>
      <c r="F26" s="290">
        <f>SUM(C26:E26)</f>
        <v/>
      </c>
      <c r="H26" s="293" t="n">
        <v>12154</v>
      </c>
    </row>
    <row r="27" ht="12.75" customHeight="1">
      <c r="A27" s="130" t="inlineStr">
        <is>
          <t>2400202</t>
        </is>
      </c>
      <c r="B27" s="1" t="inlineStr">
        <is>
          <t>LM ABN AMRO Bank General NL93 ABNA 0541 6132 27</t>
        </is>
      </c>
      <c r="C27" s="293" t="n">
        <v>23180</v>
      </c>
      <c r="D27" s="293" t="n">
        <v>168612</v>
      </c>
      <c r="E27" s="293" t="n">
        <v>599999</v>
      </c>
      <c r="F27" s="290">
        <f>SUM(C27:E27)</f>
        <v/>
      </c>
      <c r="H27" s="293" t="n">
        <v>785758</v>
      </c>
    </row>
    <row r="28" ht="12.75" customHeight="1">
      <c r="A28" s="130" t="inlineStr">
        <is>
          <t>2400203</t>
        </is>
      </c>
      <c r="B28" s="1" t="inlineStr">
        <is>
          <t>LM ABN AMRO Bank Maintres NL04 ABNA 0541 6188 06</t>
        </is>
      </c>
      <c r="C28" s="293" t="n">
        <v>435121</v>
      </c>
      <c r="D28" s="293" t="n">
        <v>56414</v>
      </c>
      <c r="E28" s="293" t="n">
        <v>91777</v>
      </c>
      <c r="F28" s="290">
        <f>SUM(C28:E28)</f>
        <v/>
      </c>
      <c r="H28" s="293" t="n">
        <v>-62925</v>
      </c>
    </row>
    <row r="29" ht="12.75" customHeight="1">
      <c r="A29" s="130" t="inlineStr">
        <is>
          <t>2400204</t>
        </is>
      </c>
      <c r="B29" s="1" t="inlineStr">
        <is>
          <t>LM ABN AMRO Bank Rent NL46 ABNA 0541 6088 35</t>
        </is>
      </c>
      <c r="C29" s="293" t="n">
        <v>249024</v>
      </c>
      <c r="D29" s="293" t="n">
        <v>166400</v>
      </c>
      <c r="E29" s="293" t="n">
        <v>247984</v>
      </c>
      <c r="F29" s="290">
        <f>SUM(C29:E29)</f>
        <v/>
      </c>
      <c r="H29" s="293" t="n">
        <v>-364896</v>
      </c>
    </row>
    <row r="30" ht="12.75" customHeight="1">
      <c r="A30" s="130" t="inlineStr">
        <is>
          <t>2400205</t>
        </is>
      </c>
      <c r="B30" s="1" t="inlineStr">
        <is>
          <t>LM ABN AMRO Bank SR EXP NL88 ABNA 0541 6205 92</t>
        </is>
      </c>
      <c r="C30" s="293" t="n">
        <v>149397</v>
      </c>
      <c r="D30" s="293" t="n">
        <v>125774</v>
      </c>
      <c r="E30" s="293" t="n">
        <v>-274333</v>
      </c>
      <c r="F30" s="290">
        <f>SUM(C30:E30)</f>
        <v/>
      </c>
      <c r="H30" s="293" t="n">
        <v>-115700</v>
      </c>
    </row>
    <row r="31" ht="12.75" customHeight="1">
      <c r="A31" s="1" t="inlineStr">
        <is>
          <t>Totaal Liquide middelen</t>
        </is>
      </c>
      <c r="C31" s="293">
        <f>SUM(C24:C30)</f>
        <v/>
      </c>
      <c r="D31" s="293">
        <f>SUM(D24:D30)</f>
        <v/>
      </c>
      <c r="E31" s="293">
        <f>SUM(E24:E30)</f>
        <v/>
      </c>
      <c r="F31" s="290">
        <f>SUM(C31:E31)</f>
        <v/>
      </c>
      <c r="H31" s="293">
        <f>SUM(H24:H30)</f>
        <v/>
      </c>
    </row>
    <row r="33" ht="12.75" customHeight="1">
      <c r="A33" s="130" t="n">
        <v>1000002</v>
      </c>
      <c r="B33" s="1" t="inlineStr">
        <is>
          <t>EV Normale aandelen Saldo</t>
        </is>
      </c>
      <c r="C33" s="293" t="n">
        <v>-1</v>
      </c>
      <c r="D33" s="293" t="n">
        <v>0</v>
      </c>
      <c r="E33" s="293" t="n">
        <v>0</v>
      </c>
      <c r="F33" s="296">
        <f>SUM(C33:E33)</f>
        <v/>
      </c>
      <c r="G33" s="112" t="n"/>
      <c r="H33" s="293" t="n">
        <v>0</v>
      </c>
    </row>
    <row r="34" ht="12.75" customHeight="1">
      <c r="A34" s="130" t="n">
        <v>1100000</v>
      </c>
      <c r="B34" s="1" t="inlineStr">
        <is>
          <t>EV Agioreserve Agio aandelen</t>
        </is>
      </c>
      <c r="C34" s="293" t="n">
        <v>-19431219</v>
      </c>
      <c r="D34" s="293" t="n">
        <v>0</v>
      </c>
      <c r="E34" s="293" t="n">
        <v>0</v>
      </c>
      <c r="F34" s="296">
        <f>SUM(C34:E34)</f>
        <v/>
      </c>
      <c r="G34" s="112" t="n"/>
      <c r="H34" s="293" t="n">
        <v>0</v>
      </c>
    </row>
    <row r="35" ht="12.75" customHeight="1">
      <c r="A35" s="130" t="n">
        <v>1160000</v>
      </c>
      <c r="B35" s="1" t="inlineStr">
        <is>
          <t>EV Overige reserve Reserve aandelen</t>
        </is>
      </c>
      <c r="C35" s="293">
        <f>9890198-1711717+1831580</f>
        <v/>
      </c>
      <c r="D35" s="293" t="n"/>
      <c r="E35" s="293" t="n">
        <v>0</v>
      </c>
      <c r="F35" s="296">
        <f>SUM(C35:E35)</f>
        <v/>
      </c>
      <c r="G35" s="112" t="n"/>
      <c r="H35" s="293" t="n">
        <v>0</v>
      </c>
    </row>
    <row r="36" ht="12.75" customHeight="1">
      <c r="A36" s="130" t="inlineStr">
        <is>
          <t>1160100</t>
        </is>
      </c>
      <c r="B36" s="1" t="inlineStr">
        <is>
          <t>EV Overige reserve  Dividenduitkeringen aandelen</t>
        </is>
      </c>
      <c r="C36" s="293" t="n">
        <v>7497104</v>
      </c>
      <c r="D36" s="293">
        <f>230000</f>
        <v/>
      </c>
      <c r="E36" s="293" t="n">
        <v>820500</v>
      </c>
      <c r="F36" s="296">
        <f>SUM(C36:E36)</f>
        <v/>
      </c>
      <c r="G36" s="112" t="n"/>
      <c r="H36" s="293" t="n">
        <v>285500</v>
      </c>
    </row>
    <row r="37" ht="12.75" customHeight="1">
      <c r="A37" s="1" t="inlineStr">
        <is>
          <t>Totaal Eigen vermogen</t>
        </is>
      </c>
      <c r="C37" s="293">
        <f>SUM(C33:C36)</f>
        <v/>
      </c>
      <c r="D37" s="293">
        <f>SUM(D33:D36)</f>
        <v/>
      </c>
      <c r="E37" s="293">
        <f>SUM(E33:E36)</f>
        <v/>
      </c>
      <c r="F37" s="290">
        <f>SUM(C37:E37)</f>
        <v/>
      </c>
      <c r="H37" s="293">
        <f>SUM(H33:H36)</f>
        <v/>
      </c>
    </row>
    <row r="39" ht="12.75" customHeight="1">
      <c r="A39" s="130" t="n">
        <v>1930001</v>
      </c>
      <c r="B39" s="1" t="inlineStr">
        <is>
          <t>LLS Hoofdsom ABN AMRO Bank NV Senior Facility Agreement</t>
        </is>
      </c>
      <c r="C39" s="293">
        <f>-130000000</f>
        <v/>
      </c>
      <c r="D39" s="297" t="n">
        <v>0</v>
      </c>
      <c r="E39" s="293" t="n">
        <v>0</v>
      </c>
      <c r="F39" s="290">
        <f>SUM(C39:E39)</f>
        <v/>
      </c>
      <c r="H39" s="293" t="n">
        <v>0</v>
      </c>
    </row>
    <row r="40" ht="12.75" customHeight="1">
      <c r="A40" s="130" t="inlineStr">
        <is>
          <t>1930101</t>
        </is>
      </c>
      <c r="B40" s="1" t="inlineStr">
        <is>
          <t>LLS Cum aflossingen ABN AMRO Bank NV Senior Facility Agreement</t>
        </is>
      </c>
      <c r="C40" s="293" t="n">
        <v>1625000</v>
      </c>
      <c r="D40" s="293" t="n">
        <v>3445233</v>
      </c>
      <c r="E40" s="293" t="n">
        <v>5294156</v>
      </c>
      <c r="F40" s="290">
        <f>SUM(C40:E40)</f>
        <v/>
      </c>
      <c r="H40" s="293" t="n">
        <v>601184</v>
      </c>
    </row>
    <row r="41" ht="12.75" customHeight="1">
      <c r="A41" s="130" t="inlineStr">
        <is>
          <t>1930201</t>
        </is>
      </c>
      <c r="B41" s="1" t="inlineStr">
        <is>
          <t>LLS Kortlopend deel ABN AMRO Bank NV Senior Facility Agreement</t>
        </is>
      </c>
      <c r="C41" s="293" t="n">
        <v>0</v>
      </c>
      <c r="D41" s="293" t="n">
        <v>-306834</v>
      </c>
      <c r="E41" s="293" t="n">
        <v>306834</v>
      </c>
      <c r="F41" s="290">
        <f>SUM(C41:E41)</f>
        <v/>
      </c>
      <c r="H41" s="293" t="n">
        <v>0</v>
      </c>
    </row>
    <row r="42" ht="12.75" customHeight="1">
      <c r="A42" s="1" t="inlineStr">
        <is>
          <t>Totaal Langlopende schulden</t>
        </is>
      </c>
      <c r="C42" s="293">
        <f>SUM(C39:C41)</f>
        <v/>
      </c>
      <c r="D42" s="293">
        <f>SUM(D39:D41)</f>
        <v/>
      </c>
      <c r="E42" s="293">
        <f>SUM(E39:E41)</f>
        <v/>
      </c>
      <c r="F42" s="290">
        <f>SUM(C42:E42)</f>
        <v/>
      </c>
      <c r="H42" s="293">
        <f>SUM(H39:H41)</f>
        <v/>
      </c>
    </row>
    <row r="44" ht="12.75" customHeight="1">
      <c r="A44" s="130" t="inlineStr">
        <is>
          <t>2730000</t>
        </is>
      </c>
      <c r="B44" s="1" t="inlineStr">
        <is>
          <t>KLS Crediteuren</t>
        </is>
      </c>
      <c r="C44" s="293" t="n">
        <v>0</v>
      </c>
      <c r="D44" s="293" t="n">
        <v>-176869</v>
      </c>
      <c r="E44" s="293" t="n">
        <v>3388</v>
      </c>
      <c r="F44" s="290">
        <f>SUM(C44:E44)</f>
        <v/>
      </c>
      <c r="H44" s="293" t="n">
        <v>28193</v>
      </c>
    </row>
    <row r="45" ht="12.75" customHeight="1">
      <c r="A45" s="130" t="inlineStr">
        <is>
          <t>2730001</t>
        </is>
      </c>
      <c r="B45" s="1" t="inlineStr">
        <is>
          <t>KLS Crediteuren intercompany</t>
        </is>
      </c>
      <c r="C45" s="293" t="n">
        <v>0</v>
      </c>
      <c r="D45" s="293" t="n">
        <v>0</v>
      </c>
      <c r="E45" s="293" t="n">
        <v>0</v>
      </c>
      <c r="F45" s="290">
        <f>SUM(C45:E45)</f>
        <v/>
      </c>
      <c r="H45" s="293" t="n">
        <v>0</v>
      </c>
    </row>
    <row r="46" ht="12.75" customHeight="1">
      <c r="A46" s="1" t="inlineStr">
        <is>
          <t>Totaal Crediteuren</t>
        </is>
      </c>
      <c r="C46" s="293">
        <f>SUM(C44:C45)</f>
        <v/>
      </c>
      <c r="D46" s="293">
        <f>SUM(D44:D45)</f>
        <v/>
      </c>
      <c r="E46" s="293">
        <f>SUM(E44:E45)</f>
        <v/>
      </c>
      <c r="F46" s="290">
        <f>SUM(C46:E46)</f>
        <v/>
      </c>
      <c r="H46" s="293">
        <f>SUM(H44:H45)</f>
        <v/>
      </c>
    </row>
    <row r="48" ht="12.75" customHeight="1">
      <c r="A48" s="130" t="inlineStr">
        <is>
          <t>2512100</t>
        </is>
      </c>
      <c r="B48" s="1" t="inlineStr">
        <is>
          <t>BEL Afgedragen/ontvangen BTW</t>
        </is>
      </c>
      <c r="C48" s="293" t="n">
        <v>-6835</v>
      </c>
      <c r="D48" s="293" t="n">
        <v>-1031</v>
      </c>
      <c r="E48" s="293" t="n">
        <v>4140</v>
      </c>
      <c r="F48" s="290">
        <f>SUM(C48:E48)</f>
        <v/>
      </c>
      <c r="H48" s="293" t="n">
        <v>-19</v>
      </c>
    </row>
    <row r="49" ht="12.75" customHeight="1">
      <c r="A49" s="130" t="inlineStr">
        <is>
          <t>2530000</t>
        </is>
      </c>
      <c r="B49" s="1" t="inlineStr">
        <is>
          <t>BEL Te betalen vennootschapsbelasting</t>
        </is>
      </c>
      <c r="C49" s="293" t="n">
        <v>-331450</v>
      </c>
      <c r="D49" s="293" t="n">
        <v>165522</v>
      </c>
      <c r="E49" s="293" t="n">
        <v>-272134</v>
      </c>
      <c r="F49" s="290">
        <f>SUM(C49:E49)</f>
        <v/>
      </c>
      <c r="H49" s="293" t="n">
        <v>-74792</v>
      </c>
    </row>
    <row r="50" ht="12.75" customHeight="1">
      <c r="A50" s="130" t="inlineStr">
        <is>
          <t>2550000</t>
        </is>
      </c>
      <c r="B50" s="1" t="inlineStr">
        <is>
          <t>BEL Te betalen overige belastingen</t>
        </is>
      </c>
      <c r="C50" s="293" t="n">
        <v>0</v>
      </c>
      <c r="D50" s="293" t="n">
        <v>-1045</v>
      </c>
      <c r="E50" s="293" t="n">
        <v>95924</v>
      </c>
      <c r="F50" s="290">
        <f>SUM(C50:E50)</f>
        <v/>
      </c>
      <c r="H50" s="293" t="n">
        <v>-94878</v>
      </c>
    </row>
    <row r="51" ht="12.75" customHeight="1">
      <c r="A51" s="1" t="inlineStr">
        <is>
          <t>Totaal Belastingen</t>
        </is>
      </c>
      <c r="C51" s="293">
        <f>SUM(C48:C50)</f>
        <v/>
      </c>
      <c r="D51" s="293">
        <f>SUM(D48:D50)</f>
        <v/>
      </c>
      <c r="E51" s="293">
        <f>SUM(E48:E50)</f>
        <v/>
      </c>
      <c r="F51" s="290">
        <f>SUM(C51:E51)</f>
        <v/>
      </c>
      <c r="H51" s="293">
        <f>SUM(H48:H50)</f>
        <v/>
      </c>
    </row>
    <row r="53" ht="12.75" customHeight="1">
      <c r="A53" s="130" t="inlineStr">
        <is>
          <t>2740300</t>
        </is>
      </c>
      <c r="B53" s="1" t="inlineStr">
        <is>
          <t>KLS Te betalen waarborgsommen kortlopend</t>
        </is>
      </c>
      <c r="C53" s="293" t="n">
        <v>-634584</v>
      </c>
      <c r="D53" s="293" t="n">
        <v>-31930</v>
      </c>
      <c r="E53" s="293" t="n">
        <v>-33963</v>
      </c>
      <c r="F53" s="290">
        <f>SUM(C53:E53)</f>
        <v/>
      </c>
      <c r="H53" s="293" t="n">
        <v>-8607</v>
      </c>
    </row>
    <row r="54" ht="12.75" customHeight="1">
      <c r="A54" s="130" t="n">
        <v>2740500</v>
      </c>
      <c r="B54" s="1" t="inlineStr">
        <is>
          <t>KLS Te betalen accountants- en administratiekosten</t>
        </is>
      </c>
      <c r="C54" s="293" t="n">
        <v>-22500</v>
      </c>
      <c r="D54" s="290" t="n">
        <v>0</v>
      </c>
      <c r="E54" s="293" t="n">
        <v>0</v>
      </c>
      <c r="F54" s="290">
        <f>SUM(C54:E54)</f>
        <v/>
      </c>
      <c r="H54" s="293" t="n">
        <v>0</v>
      </c>
    </row>
    <row r="55" ht="12.75" customHeight="1">
      <c r="A55" s="130" t="inlineStr">
        <is>
          <t>2740600</t>
        </is>
      </c>
      <c r="B55" s="1" t="inlineStr">
        <is>
          <t>KLS Te betalen rente</t>
        </is>
      </c>
      <c r="C55" s="293" t="n">
        <v>0</v>
      </c>
      <c r="D55" s="293" t="n">
        <v>0</v>
      </c>
      <c r="E55" s="293" t="n">
        <v>0</v>
      </c>
      <c r="F55" s="290">
        <f>SUM(C55:E55)</f>
        <v/>
      </c>
      <c r="H55" s="293" t="n">
        <v>0</v>
      </c>
    </row>
    <row r="56" ht="12.75" customHeight="1">
      <c r="A56" s="130" t="inlineStr">
        <is>
          <t>2740700</t>
        </is>
      </c>
      <c r="B56" s="1" t="inlineStr">
        <is>
          <t>KLS Te betalen verzekeringen</t>
        </is>
      </c>
      <c r="C56" s="293" t="n">
        <v>0</v>
      </c>
      <c r="D56" s="293" t="n">
        <v>0</v>
      </c>
      <c r="E56" s="293" t="n">
        <v>15904</v>
      </c>
      <c r="F56" s="290">
        <f>SUM(C56:E56)</f>
        <v/>
      </c>
      <c r="H56" s="293" t="n">
        <v>-15903</v>
      </c>
    </row>
    <row r="57" ht="12.75" customHeight="1">
      <c r="A57" s="130" t="inlineStr">
        <is>
          <t>2741000</t>
        </is>
      </c>
      <c r="B57" s="1" t="inlineStr">
        <is>
          <t>KLS Te betalen servicekosten</t>
        </is>
      </c>
      <c r="C57" s="293" t="n">
        <v>-9100</v>
      </c>
      <c r="D57" s="293" t="n">
        <v>8900</v>
      </c>
      <c r="E57" s="293" t="n">
        <v>200</v>
      </c>
      <c r="F57" s="290">
        <f>SUM(C57:E57)</f>
        <v/>
      </c>
      <c r="H57" s="293" t="n">
        <v>0</v>
      </c>
    </row>
    <row r="58" ht="12.75" customHeight="1">
      <c r="A58" s="130" t="inlineStr">
        <is>
          <t>2741001</t>
        </is>
      </c>
      <c r="B58" s="1" t="inlineStr">
        <is>
          <t>KLS Te betalen exploitatiekosten</t>
        </is>
      </c>
      <c r="C58" s="293" t="n">
        <v>0</v>
      </c>
      <c r="D58" s="293" t="n">
        <v>-36832</v>
      </c>
      <c r="E58" s="293" t="n">
        <v>36832</v>
      </c>
      <c r="F58" s="290">
        <f>SUM(C58:E58)</f>
        <v/>
      </c>
      <c r="H58" s="293" t="n">
        <v>0</v>
      </c>
    </row>
    <row r="59" ht="12.75" customHeight="1">
      <c r="A59" s="130" t="inlineStr">
        <is>
          <t>2741002</t>
        </is>
      </c>
      <c r="B59" s="1" t="inlineStr">
        <is>
          <t>KLS Te betalen VVE</t>
        </is>
      </c>
      <c r="C59" s="293" t="n">
        <v>0</v>
      </c>
      <c r="D59" s="293" t="n">
        <v>-675</v>
      </c>
      <c r="E59" s="293" t="n">
        <v>675</v>
      </c>
      <c r="F59" s="290">
        <f>SUM(C59:E59)</f>
        <v/>
      </c>
      <c r="H59" s="293" t="n">
        <v>0</v>
      </c>
    </row>
    <row r="60" ht="12.75" customHeight="1">
      <c r="A60" s="130" t="inlineStr">
        <is>
          <t>2741004</t>
        </is>
      </c>
      <c r="B60" s="1" t="inlineStr">
        <is>
          <t>KLS Te betalen Hoen</t>
        </is>
      </c>
      <c r="C60" s="293" t="n">
        <v>-40182</v>
      </c>
      <c r="D60" s="293" t="n">
        <v>24</v>
      </c>
      <c r="E60" s="293" t="n">
        <v>-723</v>
      </c>
      <c r="F60" s="290">
        <f>SUM(C60:E60)</f>
        <v/>
      </c>
      <c r="H60" s="293" t="n">
        <v>38680</v>
      </c>
    </row>
    <row r="61" ht="12.75" customHeight="1">
      <c r="A61" s="130" t="inlineStr">
        <is>
          <t>2741005</t>
        </is>
      </c>
      <c r="B61" s="1" t="inlineStr">
        <is>
          <t>KLS Te betalen managementvergoedingen</t>
        </is>
      </c>
      <c r="C61" s="293" t="n">
        <v>0</v>
      </c>
      <c r="D61" s="293" t="n">
        <v>0</v>
      </c>
      <c r="E61" s="293" t="n">
        <v>0</v>
      </c>
      <c r="F61" s="290">
        <f>SUM(C61:E61)</f>
        <v/>
      </c>
      <c r="H61" s="293" t="n">
        <v>0</v>
      </c>
    </row>
    <row r="62" ht="12.75" customHeight="1">
      <c r="A62" s="130" t="inlineStr">
        <is>
          <t>2741200</t>
        </is>
      </c>
      <c r="B62" s="1" t="inlineStr">
        <is>
          <t>KLS Te betalen overige kosten</t>
        </is>
      </c>
      <c r="C62" s="293" t="n">
        <v>-5040</v>
      </c>
      <c r="D62" s="293" t="n">
        <v>-8128</v>
      </c>
      <c r="E62" s="293" t="n">
        <v>33168</v>
      </c>
      <c r="F62" s="290">
        <f>SUM(C62:E62)</f>
        <v/>
      </c>
      <c r="H62" s="293" t="n">
        <v>20000</v>
      </c>
    </row>
    <row r="63" ht="12.75" customHeight="1">
      <c r="A63" s="130" t="inlineStr">
        <is>
          <t>2741900</t>
        </is>
      </c>
      <c r="B63" s="1" t="inlineStr">
        <is>
          <t>KLS Nog uit te zoeken posten MT940</t>
        </is>
      </c>
      <c r="C63" s="293" t="n">
        <v>-640</v>
      </c>
      <c r="D63" s="293" t="n">
        <v>640</v>
      </c>
      <c r="E63" s="293" t="n">
        <v>0</v>
      </c>
      <c r="F63" s="290">
        <f>SUM(C63:E63)</f>
        <v/>
      </c>
      <c r="H63" s="293" t="n">
        <v>0</v>
      </c>
    </row>
    <row r="64" ht="12.75" customHeight="1">
      <c r="A64" s="130" t="inlineStr">
        <is>
          <t>2742200</t>
        </is>
      </c>
      <c r="B64" s="1" t="inlineStr">
        <is>
          <t>KLS Vooruitontvangen bedragen</t>
        </is>
      </c>
      <c r="C64" s="293" t="n">
        <v>-117044</v>
      </c>
      <c r="D64" s="293" t="n">
        <v>-23728</v>
      </c>
      <c r="E64" s="293" t="n">
        <v>10923</v>
      </c>
      <c r="F64" s="290">
        <f>SUM(C64:E64)</f>
        <v/>
      </c>
      <c r="H64" s="293">
        <f>-20427-5</f>
        <v/>
      </c>
    </row>
    <row r="65" ht="12.75" customHeight="1">
      <c r="A65" s="1" t="inlineStr">
        <is>
          <t>Totaal Overige schulden</t>
        </is>
      </c>
      <c r="C65" s="293">
        <f>SUM(C53:C64)</f>
        <v/>
      </c>
      <c r="D65" s="293">
        <f>SUM(D53:D64)</f>
        <v/>
      </c>
      <c r="E65" s="293">
        <f>SUM(E53:E64)</f>
        <v/>
      </c>
      <c r="F65" s="290">
        <f>SUM(C65:E65)</f>
        <v/>
      </c>
      <c r="H65" s="293">
        <f>SUM(H53:H64)</f>
        <v/>
      </c>
    </row>
    <row r="67" ht="12.75" customHeight="1">
      <c r="F67" s="293">
        <f>F65+F51+F46+F42+F37+F31+F22+F18+F15+F11+F8</f>
        <v/>
      </c>
    </row>
    <row r="68" ht="12.75" customHeight="1">
      <c r="A68" s="132" t="inlineStr">
        <is>
          <t>Winst- en verliesrekening (baten zijn positief, kosten negatief)</t>
        </is>
      </c>
    </row>
    <row r="69" ht="12.75" customHeight="1">
      <c r="A69" s="130" t="inlineStr">
        <is>
          <t>8000003</t>
        </is>
      </c>
      <c r="B69" s="1" t="inlineStr">
        <is>
          <t>OPB Netto-omzet Theoretische huuropbrengsten</t>
        </is>
      </c>
      <c r="D69" s="293" t="n">
        <v>-2803935</v>
      </c>
      <c r="E69" s="293" t="n">
        <v>-8448106</v>
      </c>
      <c r="F69" s="290">
        <f>SUM(C69:E69)</f>
        <v/>
      </c>
      <c r="H69" s="298" t="n">
        <v>-2864512</v>
      </c>
      <c r="I69" s="290">
        <f>H69*4</f>
        <v/>
      </c>
      <c r="J69" s="299">
        <f>I69/1000000</f>
        <v/>
      </c>
    </row>
    <row r="70" ht="12.75" customHeight="1">
      <c r="A70" s="130" t="inlineStr">
        <is>
          <t>8000004</t>
        </is>
      </c>
      <c r="B70" s="1" t="inlineStr">
        <is>
          <t>OPB Netto-omzet Leegstand huuropbrengsten</t>
        </is>
      </c>
      <c r="D70" s="293" t="n">
        <v>68895</v>
      </c>
      <c r="E70" s="293" t="n">
        <v>188144</v>
      </c>
      <c r="F70" s="290">
        <f>SUM(C70:E70)</f>
        <v/>
      </c>
      <c r="H70" s="298" t="n">
        <v>66870</v>
      </c>
    </row>
    <row r="71" ht="12.75" customHeight="1">
      <c r="A71" s="1" t="inlineStr">
        <is>
          <t>Totaal Netto-omzet</t>
        </is>
      </c>
      <c r="D71" s="293">
        <f>SUM(D69:D70)</f>
        <v/>
      </c>
      <c r="E71" s="293">
        <f>SUM(E69:E70)</f>
        <v/>
      </c>
      <c r="F71" s="290">
        <f>SUM(C71:E71)</f>
        <v/>
      </c>
      <c r="H71" s="298">
        <f>SUM(H69:H70)</f>
        <v/>
      </c>
      <c r="I71" s="300">
        <f>H71/H69</f>
        <v/>
      </c>
      <c r="J71" s="137">
        <f>1-I71</f>
        <v/>
      </c>
    </row>
    <row r="72" ht="12.75" customHeight="1">
      <c r="F72" s="301" t="n"/>
      <c r="H72" s="298" t="n"/>
    </row>
    <row r="73" ht="12.75" customHeight="1">
      <c r="A73" s="130" t="inlineStr">
        <is>
          <t>8400600</t>
        </is>
      </c>
      <c r="B73" s="1" t="inlineStr">
        <is>
          <t>OPB Overige bedrijfsopbrengsten Totale servicekosten</t>
        </is>
      </c>
      <c r="D73" s="293" t="n">
        <v>-160225</v>
      </c>
      <c r="E73" s="293" t="n">
        <v>-523067</v>
      </c>
      <c r="F73" s="290">
        <f>SUM(C73:E73)</f>
        <v/>
      </c>
      <c r="H73" s="298" t="n">
        <v>-173416</v>
      </c>
    </row>
    <row r="74" ht="12.75" customHeight="1">
      <c r="A74" s="130" t="inlineStr">
        <is>
          <t>8400700</t>
        </is>
      </c>
      <c r="B74" s="1" t="inlineStr">
        <is>
          <t>OPB Overige bedrijfsopbrengsten Servicekosten leegstand</t>
        </is>
      </c>
      <c r="D74" s="293" t="n">
        <v>19655</v>
      </c>
      <c r="E74" s="293" t="n">
        <v>27042</v>
      </c>
      <c r="F74" s="290">
        <f>SUM(C74:E74)</f>
        <v/>
      </c>
      <c r="H74" s="298" t="n">
        <v>8357</v>
      </c>
    </row>
    <row r="75" ht="12.75" customHeight="1">
      <c r="A75" s="130" t="inlineStr">
        <is>
          <t>8400800</t>
        </is>
      </c>
      <c r="B75" s="1" t="inlineStr">
        <is>
          <t>OPB Overige bedrijfsopbrengsten Gerealiseerde servicekosten</t>
        </is>
      </c>
      <c r="D75" s="293" t="n">
        <v>213916</v>
      </c>
      <c r="E75" s="293" t="n">
        <v>514502</v>
      </c>
      <c r="F75" s="290">
        <f>SUM(C75:E75)</f>
        <v/>
      </c>
      <c r="H75" s="298" t="n">
        <v>162849</v>
      </c>
    </row>
    <row r="76" ht="12.75" customHeight="1">
      <c r="A76" s="1" t="inlineStr">
        <is>
          <t>Totaal Overige bedrijfsopbrengsten</t>
        </is>
      </c>
      <c r="D76" s="293">
        <f>SUM(D73:D75)</f>
        <v/>
      </c>
      <c r="E76" s="293">
        <f>SUM(E73:E75)</f>
        <v/>
      </c>
      <c r="F76" s="290">
        <f>SUM(C76:E76)</f>
        <v/>
      </c>
      <c r="H76" s="298">
        <f>SUM(H73:H75)</f>
        <v/>
      </c>
    </row>
    <row r="77" ht="12.75" customHeight="1">
      <c r="H77" s="302" t="n"/>
    </row>
    <row r="78" ht="12.75" customHeight="1">
      <c r="A78" s="130" t="inlineStr">
        <is>
          <t>4051400</t>
        </is>
      </c>
      <c r="B78" s="1" t="inlineStr">
        <is>
          <t>KN Diensten door derden</t>
        </is>
      </c>
      <c r="D78" s="293" t="n">
        <v>119234</v>
      </c>
      <c r="E78" s="293" t="n">
        <v>359128</v>
      </c>
      <c r="F78" s="290">
        <f>SUM(C78:E78)</f>
        <v/>
      </c>
      <c r="H78" s="302" t="n">
        <v>121669</v>
      </c>
    </row>
    <row r="79" ht="12.75" customHeight="1">
      <c r="A79" s="1" t="inlineStr">
        <is>
          <t>Totaal overige personeelskosten</t>
        </is>
      </c>
      <c r="D79" s="293">
        <f>SUM(D78)</f>
        <v/>
      </c>
      <c r="E79" s="293">
        <f>SUM(E78)</f>
        <v/>
      </c>
      <c r="F79" s="290">
        <f>SUM(C79:E79)</f>
        <v/>
      </c>
      <c r="H79" s="298">
        <f>SUM(H78)</f>
        <v/>
      </c>
    </row>
    <row r="80" ht="12.75" customHeight="1">
      <c r="H80" s="302" t="n"/>
    </row>
    <row r="81" ht="12.75" customHeight="1">
      <c r="A81" s="130" t="inlineStr">
        <is>
          <t>4730000</t>
        </is>
      </c>
      <c r="B81" s="1" t="inlineStr">
        <is>
          <t>AFKN Afschrijvingskosten Vastgoedbeleggingen</t>
        </is>
      </c>
      <c r="D81" s="293" t="n">
        <v>895606</v>
      </c>
      <c r="E81" s="293" t="n">
        <v>1966185</v>
      </c>
      <c r="F81" s="290">
        <f>SUM(C81:E81)</f>
        <v/>
      </c>
      <c r="H81" s="298" t="n">
        <v>653662</v>
      </c>
    </row>
    <row r="82" ht="12.75" customHeight="1">
      <c r="A82" s="130" t="inlineStr">
        <is>
          <t>4730200</t>
        </is>
      </c>
      <c r="B82" s="1" t="inlineStr">
        <is>
          <t>AFKN Boekresultaat Vastgoedbeleggingen</t>
        </is>
      </c>
      <c r="C82" s="294" t="n"/>
      <c r="D82" s="294" t="n">
        <v>-420234</v>
      </c>
      <c r="E82" s="294" t="n">
        <v>-1794615</v>
      </c>
      <c r="F82" s="295">
        <f>SUM(D82:E82)</f>
        <v/>
      </c>
      <c r="G82" s="149" t="n"/>
      <c r="H82" s="294" t="n">
        <v>-485647</v>
      </c>
    </row>
    <row r="83" ht="12.75" customHeight="1">
      <c r="A83" s="1" t="inlineStr">
        <is>
          <t>Totaal Afschrijvingen vastgoedbeleggingen</t>
        </is>
      </c>
      <c r="D83" s="293">
        <f>SUM(D81:D82)</f>
        <v/>
      </c>
      <c r="E83" s="293">
        <f>SUM(E81:E82)</f>
        <v/>
      </c>
      <c r="F83" s="290">
        <f>SUM(C83:E83)</f>
        <v/>
      </c>
      <c r="H83" s="302">
        <f>SUM(H81:H82)</f>
        <v/>
      </c>
    </row>
    <row r="84" ht="12.75" customHeight="1">
      <c r="H84" s="302" t="n"/>
    </row>
    <row r="85" ht="12.75" customHeight="1">
      <c r="A85" s="130" t="inlineStr">
        <is>
          <t>4100400</t>
        </is>
      </c>
      <c r="B85" s="1" t="inlineStr">
        <is>
          <t>KN Onderhoud gebouwen</t>
        </is>
      </c>
      <c r="D85" s="293" t="n">
        <v>502624</v>
      </c>
      <c r="E85" s="293" t="n">
        <v>1097034</v>
      </c>
      <c r="F85" s="290">
        <f>SUM(C85:E85)</f>
        <v/>
      </c>
      <c r="H85" s="298" t="n">
        <v>473207</v>
      </c>
    </row>
    <row r="86" ht="12.75" customHeight="1">
      <c r="A86" s="130" t="inlineStr">
        <is>
          <t>4100410</t>
        </is>
      </c>
      <c r="B86" s="1" t="inlineStr">
        <is>
          <t>Verhuurdersheffing</t>
        </is>
      </c>
      <c r="D86" s="293" t="n">
        <v>0</v>
      </c>
      <c r="E86" s="293" t="n">
        <v>526887</v>
      </c>
      <c r="F86" s="290">
        <f>SUM(C86:E86)</f>
        <v/>
      </c>
      <c r="H86" s="298" t="n">
        <v>526216</v>
      </c>
    </row>
    <row r="87" ht="12.75" customHeight="1">
      <c r="A87" s="130" t="inlineStr">
        <is>
          <t>4100900</t>
        </is>
      </c>
      <c r="B87" s="1" t="inlineStr">
        <is>
          <t>KN Onroerende zaakbelasting</t>
        </is>
      </c>
      <c r="D87" s="293" t="n">
        <v>1403</v>
      </c>
      <c r="E87" s="293" t="n">
        <v>246042</v>
      </c>
      <c r="F87" s="290">
        <f>SUM(C87:E87)</f>
        <v/>
      </c>
      <c r="H87" s="298" t="n">
        <v>65301</v>
      </c>
    </row>
    <row r="88" ht="12.75" customHeight="1">
      <c r="A88" s="130" t="inlineStr">
        <is>
          <t>4101000</t>
        </is>
      </c>
      <c r="B88" s="1" t="inlineStr">
        <is>
          <t>KN VvE-kosten</t>
        </is>
      </c>
      <c r="D88" s="293" t="n">
        <v>89393</v>
      </c>
      <c r="E88" s="293" t="n">
        <v>444694</v>
      </c>
      <c r="F88" s="290">
        <f>SUM(C88:E88)</f>
        <v/>
      </c>
      <c r="H88" s="298" t="n">
        <v>143177</v>
      </c>
    </row>
    <row r="89" ht="12.75" customHeight="1">
      <c r="A89" s="130" t="inlineStr">
        <is>
          <t>4101010</t>
        </is>
      </c>
      <c r="B89" s="1" t="inlineStr">
        <is>
          <t>Gemeentelijke belastingen</t>
        </is>
      </c>
      <c r="D89" s="293" t="n">
        <v>136</v>
      </c>
      <c r="E89" s="293" t="n">
        <v>99818</v>
      </c>
      <c r="F89" s="290">
        <f>SUM(C89:E89)</f>
        <v/>
      </c>
      <c r="H89" s="298" t="n">
        <v>29292</v>
      </c>
    </row>
    <row r="90" ht="12.75" customHeight="1">
      <c r="A90" s="130" t="inlineStr">
        <is>
          <t>4101020</t>
        </is>
      </c>
      <c r="B90" s="1" t="inlineStr">
        <is>
          <t>Waterschapsbelasting</t>
        </is>
      </c>
      <c r="D90" s="293" t="n">
        <v>1676</v>
      </c>
      <c r="E90" s="293" t="n">
        <v>69748</v>
      </c>
      <c r="F90" s="290">
        <f>SUM(C90:E90)</f>
        <v/>
      </c>
      <c r="H90" s="298" t="n">
        <v>18196</v>
      </c>
    </row>
    <row r="91" ht="12.75" customHeight="1">
      <c r="A91" s="130" t="inlineStr">
        <is>
          <t>4101300</t>
        </is>
      </c>
      <c r="B91" s="1" t="inlineStr">
        <is>
          <t>KN Servicekosten leegstand</t>
        </is>
      </c>
      <c r="D91" s="293" t="n">
        <v>1296</v>
      </c>
      <c r="E91" s="293" t="n">
        <v>51189</v>
      </c>
      <c r="F91" s="290">
        <f>SUM(C91:E91)</f>
        <v/>
      </c>
      <c r="H91" s="298" t="n">
        <v>10273</v>
      </c>
    </row>
    <row r="92" ht="12.75" customHeight="1">
      <c r="A92" s="130" t="inlineStr">
        <is>
          <t>4109800</t>
        </is>
      </c>
      <c r="B92" s="1" t="inlineStr">
        <is>
          <t>KN Overige huisvestingskosten</t>
        </is>
      </c>
      <c r="D92" s="293" t="n">
        <v>0</v>
      </c>
      <c r="E92" s="293" t="n">
        <v>39569</v>
      </c>
      <c r="F92" s="290">
        <f>SUM(C92:E92)</f>
        <v/>
      </c>
      <c r="H92" s="302" t="n">
        <v>0</v>
      </c>
    </row>
    <row r="93" ht="12.75" customHeight="1">
      <c r="A93" s="1" t="inlineStr">
        <is>
          <t>Totaal Huisvestingskosten</t>
        </is>
      </c>
      <c r="D93" s="293">
        <f>SUM(D85:D92)</f>
        <v/>
      </c>
      <c r="E93" s="293">
        <f>SUM(E85:E92)</f>
        <v/>
      </c>
      <c r="F93" s="290">
        <f>SUM(C93:E93)</f>
        <v/>
      </c>
      <c r="H93" s="302">
        <f>SUM(H85:H92)</f>
        <v/>
      </c>
    </row>
    <row r="94" ht="12.75" customHeight="1">
      <c r="H94" s="302" t="n"/>
    </row>
    <row r="95" ht="12.75" customHeight="1">
      <c r="A95" s="130" t="inlineStr">
        <is>
          <t>4500400</t>
        </is>
      </c>
      <c r="B95" s="1" t="inlineStr">
        <is>
          <t>KN Representatiekosten</t>
        </is>
      </c>
      <c r="D95" s="293" t="n">
        <v>0</v>
      </c>
      <c r="E95" s="293" t="n">
        <v>4200</v>
      </c>
      <c r="F95" s="290">
        <f>SUM(C95:E95)</f>
        <v/>
      </c>
      <c r="H95" s="298" t="n">
        <v>4200</v>
      </c>
    </row>
    <row r="96" ht="12.75" customHeight="1">
      <c r="A96" s="130" t="inlineStr">
        <is>
          <t>4501200</t>
        </is>
      </c>
      <c r="B96" s="1" t="inlineStr">
        <is>
          <t>KN Mutatie voorziening dubieuze debiteuren</t>
        </is>
      </c>
      <c r="D96" s="293" t="n">
        <v>50501</v>
      </c>
      <c r="E96" s="293" t="n">
        <v>0</v>
      </c>
      <c r="F96" s="290">
        <f>SUM(C96:E96)</f>
        <v/>
      </c>
      <c r="H96" s="298" t="n">
        <v>0</v>
      </c>
    </row>
    <row r="97" ht="12.75" customHeight="1">
      <c r="A97" s="130" t="inlineStr">
        <is>
          <t>4501300</t>
        </is>
      </c>
      <c r="B97" s="1" t="inlineStr">
        <is>
          <t>KN Afboeking dubieuze debiteuren</t>
        </is>
      </c>
      <c r="D97" s="293" t="n">
        <v>59438</v>
      </c>
      <c r="E97" s="293" t="n">
        <v>1481</v>
      </c>
      <c r="F97" s="290">
        <f>SUM(C97:E97)</f>
        <v/>
      </c>
      <c r="H97" s="298" t="n">
        <v>2282</v>
      </c>
    </row>
    <row r="98" ht="12.75" customHeight="1">
      <c r="A98" s="1" t="inlineStr">
        <is>
          <t>Totaal Verkoopkosten</t>
        </is>
      </c>
      <c r="D98" s="293">
        <f>SUM(D95:D97)</f>
        <v/>
      </c>
      <c r="E98" s="293">
        <f>SUM(E95:E97)</f>
        <v/>
      </c>
      <c r="F98" s="303">
        <f>SUM(C98:E98)</f>
        <v/>
      </c>
      <c r="H98" s="302">
        <f>SUM(H95:H97)</f>
        <v/>
      </c>
    </row>
    <row r="99" ht="12.75" customHeight="1">
      <c r="H99" s="302" t="n"/>
    </row>
    <row r="100" ht="12.75" customHeight="1">
      <c r="A100" s="130" t="inlineStr">
        <is>
          <t>4300500</t>
        </is>
      </c>
      <c r="B100" s="1" t="inlineStr">
        <is>
          <t>KN Incassokosten</t>
        </is>
      </c>
      <c r="D100" s="293" t="n">
        <v>306</v>
      </c>
      <c r="E100" s="293" t="n">
        <v>837</v>
      </c>
      <c r="F100" s="290">
        <f>SUM(C100:E100)</f>
        <v/>
      </c>
      <c r="H100" s="302" t="n">
        <v>0</v>
      </c>
    </row>
    <row r="101" ht="12.75" customHeight="1">
      <c r="A101" s="1" t="inlineStr">
        <is>
          <t>Totaal Kantoorkosten</t>
        </is>
      </c>
      <c r="D101" s="293">
        <f>SUM(D100)</f>
        <v/>
      </c>
      <c r="E101" s="293">
        <f>SUM(E100)</f>
        <v/>
      </c>
      <c r="F101" s="303">
        <f>SUM(C101:E101)</f>
        <v/>
      </c>
      <c r="H101" s="302">
        <f>SUM(H100)</f>
        <v/>
      </c>
    </row>
    <row r="102" ht="12.75" customHeight="1">
      <c r="H102" s="302" t="n"/>
    </row>
    <row r="103" ht="12.75" customHeight="1">
      <c r="A103" s="130" t="inlineStr">
        <is>
          <t>4310000</t>
        </is>
      </c>
      <c r="B103" s="1" t="inlineStr">
        <is>
          <t>KN Abonnementen en contributies</t>
        </is>
      </c>
      <c r="D103" s="293" t="n">
        <v>0</v>
      </c>
      <c r="E103" s="293" t="n">
        <v>4385</v>
      </c>
      <c r="F103" s="303">
        <f>SUM(C103:E103)</f>
        <v/>
      </c>
      <c r="H103" s="302" t="n">
        <v>0</v>
      </c>
    </row>
    <row r="104" ht="12.75" customHeight="1">
      <c r="A104" s="130" t="inlineStr">
        <is>
          <t>4310400</t>
        </is>
      </c>
      <c r="B104" s="1" t="inlineStr">
        <is>
          <t>KN Assurantiepremie algemeen</t>
        </is>
      </c>
      <c r="D104" s="293" t="n">
        <v>13624</v>
      </c>
      <c r="E104" s="293" t="n">
        <v>75564</v>
      </c>
      <c r="F104" s="290">
        <f>SUM(C104:E104)</f>
        <v/>
      </c>
      <c r="H104" s="298" t="n">
        <v>28072</v>
      </c>
    </row>
    <row r="105" ht="12.75" customHeight="1">
      <c r="A105" s="130" t="inlineStr">
        <is>
          <t>4310500</t>
        </is>
      </c>
      <c r="B105" s="1" t="inlineStr">
        <is>
          <t>KN Managementvergoeding</t>
        </is>
      </c>
      <c r="D105" s="293" t="n">
        <v>5445</v>
      </c>
      <c r="E105" s="293" t="n">
        <v>16335</v>
      </c>
      <c r="F105" s="290">
        <f>SUM(C105:E105)</f>
        <v/>
      </c>
      <c r="H105" s="298" t="n">
        <v>5445</v>
      </c>
    </row>
    <row r="106" ht="12.75" customHeight="1">
      <c r="A106" s="130" t="inlineStr">
        <is>
          <t>4310600</t>
        </is>
      </c>
      <c r="B106" s="1" t="inlineStr">
        <is>
          <t>KN Accountantskosten</t>
        </is>
      </c>
      <c r="D106" s="293" t="n">
        <v>18714</v>
      </c>
      <c r="E106" s="293" t="n">
        <v>85771</v>
      </c>
      <c r="F106" s="290">
        <f>SUM(C106:E106)</f>
        <v/>
      </c>
      <c r="H106" s="298" t="n">
        <v>16927</v>
      </c>
    </row>
    <row r="107" ht="12.75" customHeight="1">
      <c r="A107" s="130" t="inlineStr">
        <is>
          <t>4310700</t>
        </is>
      </c>
      <c r="B107" s="1" t="inlineStr">
        <is>
          <t>KN Administratiekosten</t>
        </is>
      </c>
      <c r="D107" s="293" t="n">
        <v>1036</v>
      </c>
      <c r="E107" s="293" t="n">
        <v>2594</v>
      </c>
      <c r="F107" s="303">
        <f>SUM(C107:E107)</f>
        <v/>
      </c>
      <c r="H107" s="298" t="n"/>
    </row>
    <row r="108" ht="12.75" customHeight="1">
      <c r="A108" s="130" t="inlineStr">
        <is>
          <t>4310800</t>
        </is>
      </c>
      <c r="B108" s="1" t="inlineStr">
        <is>
          <t>KN Makelaarskosten</t>
        </is>
      </c>
      <c r="D108" s="293" t="n">
        <v>79392</v>
      </c>
      <c r="E108" s="293" t="n">
        <v>190795</v>
      </c>
      <c r="F108" s="290">
        <f>SUM(C108:E108)</f>
        <v/>
      </c>
      <c r="H108" s="298" t="n">
        <v>39079</v>
      </c>
    </row>
    <row r="109" ht="12.75" customHeight="1">
      <c r="A109" s="130" t="inlineStr">
        <is>
          <t>4311000</t>
        </is>
      </c>
      <c r="B109" s="1" t="inlineStr">
        <is>
          <t>KN Juridische kosten</t>
        </is>
      </c>
      <c r="D109" s="293" t="n">
        <v>25355</v>
      </c>
      <c r="E109" s="293" t="n">
        <v>67982</v>
      </c>
      <c r="F109" s="303">
        <f>SUM(C109:E109)</f>
        <v/>
      </c>
      <c r="H109" s="302" t="n">
        <v>37004</v>
      </c>
    </row>
    <row r="110" ht="12.75" customHeight="1">
      <c r="A110" s="130" t="inlineStr">
        <is>
          <t>4311800</t>
        </is>
      </c>
      <c r="B110" s="1" t="inlineStr">
        <is>
          <t>KN Advieskosten</t>
        </is>
      </c>
      <c r="D110" s="293" t="n">
        <v>5445</v>
      </c>
      <c r="E110" s="293" t="n">
        <v>0</v>
      </c>
      <c r="F110" s="303">
        <f>SUM(C110:E110)</f>
        <v/>
      </c>
      <c r="H110" s="298" t="n"/>
    </row>
    <row r="111" ht="12.75" customHeight="1">
      <c r="A111" s="130" t="inlineStr">
        <is>
          <t>4311900</t>
        </is>
      </c>
      <c r="B111" s="1" t="inlineStr">
        <is>
          <t>KN Bankkosten</t>
        </is>
      </c>
      <c r="D111" s="293" t="n">
        <v>1336</v>
      </c>
      <c r="E111" s="293" t="n">
        <v>3959</v>
      </c>
      <c r="F111" s="303">
        <f>SUM(C111:E111)</f>
        <v/>
      </c>
      <c r="H111" s="302" t="n">
        <v>1391</v>
      </c>
    </row>
    <row r="112" ht="12.75" customHeight="1">
      <c r="A112" s="130" t="inlineStr">
        <is>
          <t>4312600</t>
        </is>
      </c>
      <c r="B112" s="1" t="inlineStr">
        <is>
          <t>KN Agent Fee facility</t>
        </is>
      </c>
      <c r="D112" s="293" t="n">
        <v>0</v>
      </c>
      <c r="E112" s="293" t="n">
        <v>20000</v>
      </c>
      <c r="F112" s="290">
        <f>SUM(C112:E112)</f>
        <v/>
      </c>
      <c r="H112" s="302" t="n">
        <v>20000</v>
      </c>
    </row>
    <row r="113" ht="12.75" customHeight="1">
      <c r="A113" s="130" t="inlineStr">
        <is>
          <t>4319800</t>
        </is>
      </c>
      <c r="B113" s="1" t="inlineStr">
        <is>
          <t>KN Overige algemene kosten</t>
        </is>
      </c>
      <c r="D113" s="293" t="n">
        <v>-4121</v>
      </c>
      <c r="E113" s="293" t="n">
        <v>4450</v>
      </c>
      <c r="F113" s="303">
        <f>SUM(C113:E113)</f>
        <v/>
      </c>
      <c r="H113" s="302" t="n">
        <v>1210</v>
      </c>
    </row>
    <row r="114" ht="12.75" customHeight="1">
      <c r="A114" s="1" t="inlineStr">
        <is>
          <t>Totaal Algemene kosten</t>
        </is>
      </c>
      <c r="D114" s="293">
        <f>SUM(D103:D113)</f>
        <v/>
      </c>
      <c r="E114" s="293">
        <f>SUM(E103:E113)</f>
        <v/>
      </c>
      <c r="F114" s="290">
        <f>SUM(C114:E114)</f>
        <v/>
      </c>
      <c r="H114" s="302">
        <f>SUM(H103:H113)+2</f>
        <v/>
      </c>
    </row>
    <row r="115" ht="12.75" customHeight="1">
      <c r="H115" s="302" t="n"/>
    </row>
    <row r="116" ht="12.75" customHeight="1">
      <c r="A116" s="130" t="inlineStr">
        <is>
          <t>4623000</t>
        </is>
      </c>
      <c r="B116" s="1" t="inlineStr">
        <is>
          <t>FINBL Rente ABN AMRO Bank NV leningen</t>
        </is>
      </c>
      <c r="E116" s="293" t="n">
        <v>0</v>
      </c>
      <c r="F116" s="290">
        <f>SUM(C116:E116)</f>
        <v/>
      </c>
      <c r="H116" s="302" t="n">
        <v>0</v>
      </c>
    </row>
    <row r="117" ht="12.75" customHeight="1">
      <c r="A117" s="130" t="inlineStr">
        <is>
          <t>4623001</t>
        </is>
      </c>
      <c r="B117" s="1" t="inlineStr">
        <is>
          <t>FINBL Rente ABN AMRO Bank NV Senior Facility Agreement</t>
        </is>
      </c>
      <c r="D117" s="293" t="n">
        <v>545642</v>
      </c>
      <c r="E117" s="293" t="n">
        <v>1504309</v>
      </c>
      <c r="F117" s="290">
        <f>SUM(C117:E117)</f>
        <v/>
      </c>
      <c r="H117" s="302" t="n">
        <v>486625</v>
      </c>
    </row>
    <row r="118" ht="12.75" customHeight="1">
      <c r="A118" s="130" t="inlineStr">
        <is>
          <t>4628001</t>
        </is>
      </c>
      <c r="B118" s="1" t="inlineStr">
        <is>
          <t>FINBL Rente LLS QSPESS Limited</t>
        </is>
      </c>
      <c r="D118" s="293" t="n">
        <v>0</v>
      </c>
      <c r="E118" s="293" t="n">
        <v>0</v>
      </c>
      <c r="F118" s="290">
        <f>SUM(C118:E118)</f>
        <v/>
      </c>
      <c r="H118" s="302" t="n">
        <v>0</v>
      </c>
    </row>
    <row r="119" ht="12.75" customHeight="1">
      <c r="A119" s="130" t="n">
        <v>4630000</v>
      </c>
      <c r="B119" s="1" t="inlineStr">
        <is>
          <t>FINBL Rente belastingen</t>
        </is>
      </c>
      <c r="D119" s="293" t="n">
        <v>0</v>
      </c>
      <c r="E119" s="293" t="n">
        <v>0</v>
      </c>
      <c r="F119" s="290">
        <f>SUM(C119:E119)</f>
        <v/>
      </c>
      <c r="H119" s="302" t="n">
        <v>0</v>
      </c>
    </row>
    <row r="120" ht="12.75" customHeight="1">
      <c r="A120" s="130" t="inlineStr">
        <is>
          <t>4643000</t>
        </is>
      </c>
      <c r="B120" s="1" t="inlineStr">
        <is>
          <t>FINBL Overige rentelasten</t>
        </is>
      </c>
      <c r="D120" s="293" t="n">
        <v>113801</v>
      </c>
      <c r="E120" s="293" t="n">
        <v>326277</v>
      </c>
      <c r="F120" s="290">
        <f>SUM(C120:E120)</f>
        <v/>
      </c>
      <c r="H120" s="302" t="n">
        <v>111640</v>
      </c>
    </row>
    <row r="121" ht="12.75" customHeight="1">
      <c r="A121" s="130" t="inlineStr">
        <is>
          <t>Totaal Financiële baten en lasten</t>
        </is>
      </c>
      <c r="D121" s="293">
        <f>SUM(D116:D120)</f>
        <v/>
      </c>
      <c r="E121" s="293">
        <f>SUM(E116:E120)</f>
        <v/>
      </c>
      <c r="F121" s="290">
        <f>SUM(C121:E121)</f>
        <v/>
      </c>
      <c r="H121" s="302">
        <f>SUM(H116:H120)</f>
        <v/>
      </c>
    </row>
    <row r="122" ht="12.75" customHeight="1">
      <c r="H122" s="302" t="n"/>
    </row>
    <row r="123" ht="12.75" customHeight="1">
      <c r="A123" s="130" t="inlineStr">
        <is>
          <t>9510000</t>
        </is>
      </c>
      <c r="B123" s="1" t="inlineStr">
        <is>
          <t>VPB Mutatie belastinglatentie Mutatie actieve latentie</t>
        </is>
      </c>
      <c r="D123" s="293" t="n">
        <v>-740409</v>
      </c>
      <c r="E123" s="293" t="n">
        <v>-464688</v>
      </c>
      <c r="F123" s="290">
        <f>SUM(C123:E123)</f>
        <v/>
      </c>
      <c r="H123" s="302" t="n">
        <v>-153794</v>
      </c>
    </row>
    <row r="124" ht="12.75" customHeight="1">
      <c r="A124" s="130" t="n">
        <v>9500100</v>
      </c>
      <c r="B124" s="1" t="inlineStr">
        <is>
          <t>VPB Vennootschapsbelasting VPB voorgaande jaren</t>
        </is>
      </c>
      <c r="D124" s="293" t="n">
        <v>-165522</v>
      </c>
      <c r="E124" s="293" t="n">
        <v>0</v>
      </c>
      <c r="F124" s="290">
        <f>SUM(C124:E124)</f>
        <v/>
      </c>
      <c r="H124" s="302" t="n">
        <v>0</v>
      </c>
    </row>
    <row r="125" ht="12.75" customHeight="1">
      <c r="A125" s="130" t="inlineStr">
        <is>
          <t>Totaal vennootschapsbelasting</t>
        </is>
      </c>
      <c r="D125" s="293">
        <f>SUM(D123:D124)</f>
        <v/>
      </c>
      <c r="E125" s="293">
        <f>SUM(E123:E124)</f>
        <v/>
      </c>
      <c r="F125" s="290">
        <f>SUM(C125:E125)</f>
        <v/>
      </c>
      <c r="H125" s="302">
        <f>SUM(H123:H124)</f>
        <v/>
      </c>
    </row>
    <row r="126" ht="12.75" customHeight="1">
      <c r="H126" s="302" t="n"/>
    </row>
    <row r="127" ht="12.75" customHeight="1">
      <c r="A127" s="1" t="inlineStr">
        <is>
          <t>Resultaat na belasting</t>
        </is>
      </c>
      <c r="D127" s="293">
        <f>D71+D76+D79+D83+D93+D98+D101+D114+D121+D125</f>
        <v/>
      </c>
      <c r="E127" s="293">
        <f>E71+E76+E79+E83+E93+E98+E101+E114+E121+E125</f>
        <v/>
      </c>
      <c r="F127" s="293">
        <f>F71+F76+F79+F83+F93+F98+F101+F114+F121+F125</f>
        <v/>
      </c>
      <c r="H127" s="302">
        <f>H71+H76+H79+H83+H93+H98+H101+H114+H121+H125</f>
        <v/>
      </c>
    </row>
    <row r="129" ht="12.75" customHeight="1">
      <c r="F129" s="293" t="n"/>
      <c r="H129" s="304">
        <f>H125+H121+H114+H93+H83+H79+H76+H71+H98</f>
        <v/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2"/>
  <sheetViews>
    <sheetView topLeftCell="A18" zoomScaleNormal="100" workbookViewId="0">
      <selection activeCell="H88" sqref="H88"/>
    </sheetView>
  </sheetViews>
  <sheetFormatPr baseColWidth="8" defaultRowHeight="12.75" customHeight="1"/>
  <cols>
    <col width="21.109375" bestFit="1" customWidth="1" style="130" min="1" max="1"/>
    <col width="70" bestFit="1" customWidth="1" style="1" min="2" max="2"/>
    <col width="20.109375" bestFit="1" customWidth="1" style="293" min="3" max="3"/>
    <col width="22.6640625" bestFit="1" customWidth="1" style="302" min="4" max="4"/>
    <col width="22.44140625" bestFit="1" customWidth="1" style="302" min="5" max="5"/>
    <col width="22.44140625" customWidth="1" style="302" min="6" max="7"/>
    <col width="18.33203125" bestFit="1" customWidth="1" style="290" min="8" max="8"/>
    <col width="11.88671875" customWidth="1" style="1" min="9" max="9"/>
    <col width="22.44140625" customWidth="1" style="293" min="10" max="10"/>
    <col width="9.109375" customWidth="1" style="1" min="11" max="256"/>
    <col width="21.109375" bestFit="1" customWidth="1" style="1" min="257" max="257"/>
    <col width="70" bestFit="1" customWidth="1" style="1" min="258" max="258"/>
    <col width="20.109375" bestFit="1" customWidth="1" style="1" min="259" max="259"/>
    <col width="22.6640625" bestFit="1" customWidth="1" style="1" min="260" max="260"/>
    <col width="22.44140625" bestFit="1" customWidth="1" style="1" min="261" max="261"/>
    <col width="22.44140625" customWidth="1" style="1" min="262" max="263"/>
    <col width="18.33203125" bestFit="1" customWidth="1" style="1" min="264" max="264"/>
    <col width="11.88671875" customWidth="1" style="1" min="265" max="265"/>
    <col width="22.44140625" customWidth="1" style="1" min="266" max="266"/>
    <col width="9.109375" customWidth="1" style="1" min="267" max="512"/>
    <col width="21.109375" bestFit="1" customWidth="1" style="1" min="513" max="513"/>
    <col width="70" bestFit="1" customWidth="1" style="1" min="514" max="514"/>
    <col width="20.109375" bestFit="1" customWidth="1" style="1" min="515" max="515"/>
    <col width="22.6640625" bestFit="1" customWidth="1" style="1" min="516" max="516"/>
    <col width="22.44140625" bestFit="1" customWidth="1" style="1" min="517" max="517"/>
    <col width="22.44140625" customWidth="1" style="1" min="518" max="519"/>
    <col width="18.33203125" bestFit="1" customWidth="1" style="1" min="520" max="520"/>
    <col width="11.88671875" customWidth="1" style="1" min="521" max="521"/>
    <col width="22.44140625" customWidth="1" style="1" min="522" max="522"/>
    <col width="9.109375" customWidth="1" style="1" min="523" max="768"/>
    <col width="21.109375" bestFit="1" customWidth="1" style="1" min="769" max="769"/>
    <col width="70" bestFit="1" customWidth="1" style="1" min="770" max="770"/>
    <col width="20.109375" bestFit="1" customWidth="1" style="1" min="771" max="771"/>
    <col width="22.6640625" bestFit="1" customWidth="1" style="1" min="772" max="772"/>
    <col width="22.44140625" bestFit="1" customWidth="1" style="1" min="773" max="773"/>
    <col width="22.44140625" customWidth="1" style="1" min="774" max="775"/>
    <col width="18.33203125" bestFit="1" customWidth="1" style="1" min="776" max="776"/>
    <col width="11.88671875" customWidth="1" style="1" min="777" max="777"/>
    <col width="22.44140625" customWidth="1" style="1" min="778" max="778"/>
    <col width="9.109375" customWidth="1" style="1" min="779" max="1024"/>
    <col width="21.109375" bestFit="1" customWidth="1" style="1" min="1025" max="1025"/>
    <col width="70" bestFit="1" customWidth="1" style="1" min="1026" max="1026"/>
    <col width="20.109375" bestFit="1" customWidth="1" style="1" min="1027" max="1027"/>
    <col width="22.6640625" bestFit="1" customWidth="1" style="1" min="1028" max="1028"/>
    <col width="22.44140625" bestFit="1" customWidth="1" style="1" min="1029" max="1029"/>
    <col width="22.44140625" customWidth="1" style="1" min="1030" max="1031"/>
    <col width="18.33203125" bestFit="1" customWidth="1" style="1" min="1032" max="1032"/>
    <col width="11.88671875" customWidth="1" style="1" min="1033" max="1033"/>
    <col width="22.44140625" customWidth="1" style="1" min="1034" max="1034"/>
    <col width="9.109375" customWidth="1" style="1" min="1035" max="1280"/>
    <col width="21.109375" bestFit="1" customWidth="1" style="1" min="1281" max="1281"/>
    <col width="70" bestFit="1" customWidth="1" style="1" min="1282" max="1282"/>
    <col width="20.109375" bestFit="1" customWidth="1" style="1" min="1283" max="1283"/>
    <col width="22.6640625" bestFit="1" customWidth="1" style="1" min="1284" max="1284"/>
    <col width="22.44140625" bestFit="1" customWidth="1" style="1" min="1285" max="1285"/>
    <col width="22.44140625" customWidth="1" style="1" min="1286" max="1287"/>
    <col width="18.33203125" bestFit="1" customWidth="1" style="1" min="1288" max="1288"/>
    <col width="11.88671875" customWidth="1" style="1" min="1289" max="1289"/>
    <col width="22.44140625" customWidth="1" style="1" min="1290" max="1290"/>
    <col width="9.109375" customWidth="1" style="1" min="1291" max="1536"/>
    <col width="21.109375" bestFit="1" customWidth="1" style="1" min="1537" max="1537"/>
    <col width="70" bestFit="1" customWidth="1" style="1" min="1538" max="1538"/>
    <col width="20.109375" bestFit="1" customWidth="1" style="1" min="1539" max="1539"/>
    <col width="22.6640625" bestFit="1" customWidth="1" style="1" min="1540" max="1540"/>
    <col width="22.44140625" bestFit="1" customWidth="1" style="1" min="1541" max="1541"/>
    <col width="22.44140625" customWidth="1" style="1" min="1542" max="1543"/>
    <col width="18.33203125" bestFit="1" customWidth="1" style="1" min="1544" max="1544"/>
    <col width="11.88671875" customWidth="1" style="1" min="1545" max="1545"/>
    <col width="22.44140625" customWidth="1" style="1" min="1546" max="1546"/>
    <col width="9.109375" customWidth="1" style="1" min="1547" max="1792"/>
    <col width="21.109375" bestFit="1" customWidth="1" style="1" min="1793" max="1793"/>
    <col width="70" bestFit="1" customWidth="1" style="1" min="1794" max="1794"/>
    <col width="20.109375" bestFit="1" customWidth="1" style="1" min="1795" max="1795"/>
    <col width="22.6640625" bestFit="1" customWidth="1" style="1" min="1796" max="1796"/>
    <col width="22.44140625" bestFit="1" customWidth="1" style="1" min="1797" max="1797"/>
    <col width="22.44140625" customWidth="1" style="1" min="1798" max="1799"/>
    <col width="18.33203125" bestFit="1" customWidth="1" style="1" min="1800" max="1800"/>
    <col width="11.88671875" customWidth="1" style="1" min="1801" max="1801"/>
    <col width="22.44140625" customWidth="1" style="1" min="1802" max="1802"/>
    <col width="9.109375" customWidth="1" style="1" min="1803" max="2048"/>
    <col width="21.109375" bestFit="1" customWidth="1" style="1" min="2049" max="2049"/>
    <col width="70" bestFit="1" customWidth="1" style="1" min="2050" max="2050"/>
    <col width="20.109375" bestFit="1" customWidth="1" style="1" min="2051" max="2051"/>
    <col width="22.6640625" bestFit="1" customWidth="1" style="1" min="2052" max="2052"/>
    <col width="22.44140625" bestFit="1" customWidth="1" style="1" min="2053" max="2053"/>
    <col width="22.44140625" customWidth="1" style="1" min="2054" max="2055"/>
    <col width="18.33203125" bestFit="1" customWidth="1" style="1" min="2056" max="2056"/>
    <col width="11.88671875" customWidth="1" style="1" min="2057" max="2057"/>
    <col width="22.44140625" customWidth="1" style="1" min="2058" max="2058"/>
    <col width="9.109375" customWidth="1" style="1" min="2059" max="2304"/>
    <col width="21.109375" bestFit="1" customWidth="1" style="1" min="2305" max="2305"/>
    <col width="70" bestFit="1" customWidth="1" style="1" min="2306" max="2306"/>
    <col width="20.109375" bestFit="1" customWidth="1" style="1" min="2307" max="2307"/>
    <col width="22.6640625" bestFit="1" customWidth="1" style="1" min="2308" max="2308"/>
    <col width="22.44140625" bestFit="1" customWidth="1" style="1" min="2309" max="2309"/>
    <col width="22.44140625" customWidth="1" style="1" min="2310" max="2311"/>
    <col width="18.33203125" bestFit="1" customWidth="1" style="1" min="2312" max="2312"/>
    <col width="11.88671875" customWidth="1" style="1" min="2313" max="2313"/>
    <col width="22.44140625" customWidth="1" style="1" min="2314" max="2314"/>
    <col width="9.109375" customWidth="1" style="1" min="2315" max="2560"/>
    <col width="21.109375" bestFit="1" customWidth="1" style="1" min="2561" max="2561"/>
    <col width="70" bestFit="1" customWidth="1" style="1" min="2562" max="2562"/>
    <col width="20.109375" bestFit="1" customWidth="1" style="1" min="2563" max="2563"/>
    <col width="22.6640625" bestFit="1" customWidth="1" style="1" min="2564" max="2564"/>
    <col width="22.44140625" bestFit="1" customWidth="1" style="1" min="2565" max="2565"/>
    <col width="22.44140625" customWidth="1" style="1" min="2566" max="2567"/>
    <col width="18.33203125" bestFit="1" customWidth="1" style="1" min="2568" max="2568"/>
    <col width="11.88671875" customWidth="1" style="1" min="2569" max="2569"/>
    <col width="22.44140625" customWidth="1" style="1" min="2570" max="2570"/>
    <col width="9.109375" customWidth="1" style="1" min="2571" max="2816"/>
    <col width="21.109375" bestFit="1" customWidth="1" style="1" min="2817" max="2817"/>
    <col width="70" bestFit="1" customWidth="1" style="1" min="2818" max="2818"/>
    <col width="20.109375" bestFit="1" customWidth="1" style="1" min="2819" max="2819"/>
    <col width="22.6640625" bestFit="1" customWidth="1" style="1" min="2820" max="2820"/>
    <col width="22.44140625" bestFit="1" customWidth="1" style="1" min="2821" max="2821"/>
    <col width="22.44140625" customWidth="1" style="1" min="2822" max="2823"/>
    <col width="18.33203125" bestFit="1" customWidth="1" style="1" min="2824" max="2824"/>
    <col width="11.88671875" customWidth="1" style="1" min="2825" max="2825"/>
    <col width="22.44140625" customWidth="1" style="1" min="2826" max="2826"/>
    <col width="9.109375" customWidth="1" style="1" min="2827" max="3072"/>
    <col width="21.109375" bestFit="1" customWidth="1" style="1" min="3073" max="3073"/>
    <col width="70" bestFit="1" customWidth="1" style="1" min="3074" max="3074"/>
    <col width="20.109375" bestFit="1" customWidth="1" style="1" min="3075" max="3075"/>
    <col width="22.6640625" bestFit="1" customWidth="1" style="1" min="3076" max="3076"/>
    <col width="22.44140625" bestFit="1" customWidth="1" style="1" min="3077" max="3077"/>
    <col width="22.44140625" customWidth="1" style="1" min="3078" max="3079"/>
    <col width="18.33203125" bestFit="1" customWidth="1" style="1" min="3080" max="3080"/>
    <col width="11.88671875" customWidth="1" style="1" min="3081" max="3081"/>
    <col width="22.44140625" customWidth="1" style="1" min="3082" max="3082"/>
    <col width="9.109375" customWidth="1" style="1" min="3083" max="3328"/>
    <col width="21.109375" bestFit="1" customWidth="1" style="1" min="3329" max="3329"/>
    <col width="70" bestFit="1" customWidth="1" style="1" min="3330" max="3330"/>
    <col width="20.109375" bestFit="1" customWidth="1" style="1" min="3331" max="3331"/>
    <col width="22.6640625" bestFit="1" customWidth="1" style="1" min="3332" max="3332"/>
    <col width="22.44140625" bestFit="1" customWidth="1" style="1" min="3333" max="3333"/>
    <col width="22.44140625" customWidth="1" style="1" min="3334" max="3335"/>
    <col width="18.33203125" bestFit="1" customWidth="1" style="1" min="3336" max="3336"/>
    <col width="11.88671875" customWidth="1" style="1" min="3337" max="3337"/>
    <col width="22.44140625" customWidth="1" style="1" min="3338" max="3338"/>
    <col width="9.109375" customWidth="1" style="1" min="3339" max="3584"/>
    <col width="21.109375" bestFit="1" customWidth="1" style="1" min="3585" max="3585"/>
    <col width="70" bestFit="1" customWidth="1" style="1" min="3586" max="3586"/>
    <col width="20.109375" bestFit="1" customWidth="1" style="1" min="3587" max="3587"/>
    <col width="22.6640625" bestFit="1" customWidth="1" style="1" min="3588" max="3588"/>
    <col width="22.44140625" bestFit="1" customWidth="1" style="1" min="3589" max="3589"/>
    <col width="22.44140625" customWidth="1" style="1" min="3590" max="3591"/>
    <col width="18.33203125" bestFit="1" customWidth="1" style="1" min="3592" max="3592"/>
    <col width="11.88671875" customWidth="1" style="1" min="3593" max="3593"/>
    <col width="22.44140625" customWidth="1" style="1" min="3594" max="3594"/>
    <col width="9.109375" customWidth="1" style="1" min="3595" max="3840"/>
    <col width="21.109375" bestFit="1" customWidth="1" style="1" min="3841" max="3841"/>
    <col width="70" bestFit="1" customWidth="1" style="1" min="3842" max="3842"/>
    <col width="20.109375" bestFit="1" customWidth="1" style="1" min="3843" max="3843"/>
    <col width="22.6640625" bestFit="1" customWidth="1" style="1" min="3844" max="3844"/>
    <col width="22.44140625" bestFit="1" customWidth="1" style="1" min="3845" max="3845"/>
    <col width="22.44140625" customWidth="1" style="1" min="3846" max="3847"/>
    <col width="18.33203125" bestFit="1" customWidth="1" style="1" min="3848" max="3848"/>
    <col width="11.88671875" customWidth="1" style="1" min="3849" max="3849"/>
    <col width="22.44140625" customWidth="1" style="1" min="3850" max="3850"/>
    <col width="9.109375" customWidth="1" style="1" min="3851" max="4096"/>
    <col width="21.109375" bestFit="1" customWidth="1" style="1" min="4097" max="4097"/>
    <col width="70" bestFit="1" customWidth="1" style="1" min="4098" max="4098"/>
    <col width="20.109375" bestFit="1" customWidth="1" style="1" min="4099" max="4099"/>
    <col width="22.6640625" bestFit="1" customWidth="1" style="1" min="4100" max="4100"/>
    <col width="22.44140625" bestFit="1" customWidth="1" style="1" min="4101" max="4101"/>
    <col width="22.44140625" customWidth="1" style="1" min="4102" max="4103"/>
    <col width="18.33203125" bestFit="1" customWidth="1" style="1" min="4104" max="4104"/>
    <col width="11.88671875" customWidth="1" style="1" min="4105" max="4105"/>
    <col width="22.44140625" customWidth="1" style="1" min="4106" max="4106"/>
    <col width="9.109375" customWidth="1" style="1" min="4107" max="4352"/>
    <col width="21.109375" bestFit="1" customWidth="1" style="1" min="4353" max="4353"/>
    <col width="70" bestFit="1" customWidth="1" style="1" min="4354" max="4354"/>
    <col width="20.109375" bestFit="1" customWidth="1" style="1" min="4355" max="4355"/>
    <col width="22.6640625" bestFit="1" customWidth="1" style="1" min="4356" max="4356"/>
    <col width="22.44140625" bestFit="1" customWidth="1" style="1" min="4357" max="4357"/>
    <col width="22.44140625" customWidth="1" style="1" min="4358" max="4359"/>
    <col width="18.33203125" bestFit="1" customWidth="1" style="1" min="4360" max="4360"/>
    <col width="11.88671875" customWidth="1" style="1" min="4361" max="4361"/>
    <col width="22.44140625" customWidth="1" style="1" min="4362" max="4362"/>
    <col width="9.109375" customWidth="1" style="1" min="4363" max="4608"/>
    <col width="21.109375" bestFit="1" customWidth="1" style="1" min="4609" max="4609"/>
    <col width="70" bestFit="1" customWidth="1" style="1" min="4610" max="4610"/>
    <col width="20.109375" bestFit="1" customWidth="1" style="1" min="4611" max="4611"/>
    <col width="22.6640625" bestFit="1" customWidth="1" style="1" min="4612" max="4612"/>
    <col width="22.44140625" bestFit="1" customWidth="1" style="1" min="4613" max="4613"/>
    <col width="22.44140625" customWidth="1" style="1" min="4614" max="4615"/>
    <col width="18.33203125" bestFit="1" customWidth="1" style="1" min="4616" max="4616"/>
    <col width="11.88671875" customWidth="1" style="1" min="4617" max="4617"/>
    <col width="22.44140625" customWidth="1" style="1" min="4618" max="4618"/>
    <col width="9.109375" customWidth="1" style="1" min="4619" max="4864"/>
    <col width="21.109375" bestFit="1" customWidth="1" style="1" min="4865" max="4865"/>
    <col width="70" bestFit="1" customWidth="1" style="1" min="4866" max="4866"/>
    <col width="20.109375" bestFit="1" customWidth="1" style="1" min="4867" max="4867"/>
    <col width="22.6640625" bestFit="1" customWidth="1" style="1" min="4868" max="4868"/>
    <col width="22.44140625" bestFit="1" customWidth="1" style="1" min="4869" max="4869"/>
    <col width="22.44140625" customWidth="1" style="1" min="4870" max="4871"/>
    <col width="18.33203125" bestFit="1" customWidth="1" style="1" min="4872" max="4872"/>
    <col width="11.88671875" customWidth="1" style="1" min="4873" max="4873"/>
    <col width="22.44140625" customWidth="1" style="1" min="4874" max="4874"/>
    <col width="9.109375" customWidth="1" style="1" min="4875" max="5120"/>
    <col width="21.109375" bestFit="1" customWidth="1" style="1" min="5121" max="5121"/>
    <col width="70" bestFit="1" customWidth="1" style="1" min="5122" max="5122"/>
    <col width="20.109375" bestFit="1" customWidth="1" style="1" min="5123" max="5123"/>
    <col width="22.6640625" bestFit="1" customWidth="1" style="1" min="5124" max="5124"/>
    <col width="22.44140625" bestFit="1" customWidth="1" style="1" min="5125" max="5125"/>
    <col width="22.44140625" customWidth="1" style="1" min="5126" max="5127"/>
    <col width="18.33203125" bestFit="1" customWidth="1" style="1" min="5128" max="5128"/>
    <col width="11.88671875" customWidth="1" style="1" min="5129" max="5129"/>
    <col width="22.44140625" customWidth="1" style="1" min="5130" max="5130"/>
    <col width="9.109375" customWidth="1" style="1" min="5131" max="5376"/>
    <col width="21.109375" bestFit="1" customWidth="1" style="1" min="5377" max="5377"/>
    <col width="70" bestFit="1" customWidth="1" style="1" min="5378" max="5378"/>
    <col width="20.109375" bestFit="1" customWidth="1" style="1" min="5379" max="5379"/>
    <col width="22.6640625" bestFit="1" customWidth="1" style="1" min="5380" max="5380"/>
    <col width="22.44140625" bestFit="1" customWidth="1" style="1" min="5381" max="5381"/>
    <col width="22.44140625" customWidth="1" style="1" min="5382" max="5383"/>
    <col width="18.33203125" bestFit="1" customWidth="1" style="1" min="5384" max="5384"/>
    <col width="11.88671875" customWidth="1" style="1" min="5385" max="5385"/>
    <col width="22.44140625" customWidth="1" style="1" min="5386" max="5386"/>
    <col width="9.109375" customWidth="1" style="1" min="5387" max="5632"/>
    <col width="21.109375" bestFit="1" customWidth="1" style="1" min="5633" max="5633"/>
    <col width="70" bestFit="1" customWidth="1" style="1" min="5634" max="5634"/>
    <col width="20.109375" bestFit="1" customWidth="1" style="1" min="5635" max="5635"/>
    <col width="22.6640625" bestFit="1" customWidth="1" style="1" min="5636" max="5636"/>
    <col width="22.44140625" bestFit="1" customWidth="1" style="1" min="5637" max="5637"/>
    <col width="22.44140625" customWidth="1" style="1" min="5638" max="5639"/>
    <col width="18.33203125" bestFit="1" customWidth="1" style="1" min="5640" max="5640"/>
    <col width="11.88671875" customWidth="1" style="1" min="5641" max="5641"/>
    <col width="22.44140625" customWidth="1" style="1" min="5642" max="5642"/>
    <col width="9.109375" customWidth="1" style="1" min="5643" max="5888"/>
    <col width="21.109375" bestFit="1" customWidth="1" style="1" min="5889" max="5889"/>
    <col width="70" bestFit="1" customWidth="1" style="1" min="5890" max="5890"/>
    <col width="20.109375" bestFit="1" customWidth="1" style="1" min="5891" max="5891"/>
    <col width="22.6640625" bestFit="1" customWidth="1" style="1" min="5892" max="5892"/>
    <col width="22.44140625" bestFit="1" customWidth="1" style="1" min="5893" max="5893"/>
    <col width="22.44140625" customWidth="1" style="1" min="5894" max="5895"/>
    <col width="18.33203125" bestFit="1" customWidth="1" style="1" min="5896" max="5896"/>
    <col width="11.88671875" customWidth="1" style="1" min="5897" max="5897"/>
    <col width="22.44140625" customWidth="1" style="1" min="5898" max="5898"/>
    <col width="9.109375" customWidth="1" style="1" min="5899" max="6144"/>
    <col width="21.109375" bestFit="1" customWidth="1" style="1" min="6145" max="6145"/>
    <col width="70" bestFit="1" customWidth="1" style="1" min="6146" max="6146"/>
    <col width="20.109375" bestFit="1" customWidth="1" style="1" min="6147" max="6147"/>
    <col width="22.6640625" bestFit="1" customWidth="1" style="1" min="6148" max="6148"/>
    <col width="22.44140625" bestFit="1" customWidth="1" style="1" min="6149" max="6149"/>
    <col width="22.44140625" customWidth="1" style="1" min="6150" max="6151"/>
    <col width="18.33203125" bestFit="1" customWidth="1" style="1" min="6152" max="6152"/>
    <col width="11.88671875" customWidth="1" style="1" min="6153" max="6153"/>
    <col width="22.44140625" customWidth="1" style="1" min="6154" max="6154"/>
    <col width="9.109375" customWidth="1" style="1" min="6155" max="6400"/>
    <col width="21.109375" bestFit="1" customWidth="1" style="1" min="6401" max="6401"/>
    <col width="70" bestFit="1" customWidth="1" style="1" min="6402" max="6402"/>
    <col width="20.109375" bestFit="1" customWidth="1" style="1" min="6403" max="6403"/>
    <col width="22.6640625" bestFit="1" customWidth="1" style="1" min="6404" max="6404"/>
    <col width="22.44140625" bestFit="1" customWidth="1" style="1" min="6405" max="6405"/>
    <col width="22.44140625" customWidth="1" style="1" min="6406" max="6407"/>
    <col width="18.33203125" bestFit="1" customWidth="1" style="1" min="6408" max="6408"/>
    <col width="11.88671875" customWidth="1" style="1" min="6409" max="6409"/>
    <col width="22.44140625" customWidth="1" style="1" min="6410" max="6410"/>
    <col width="9.109375" customWidth="1" style="1" min="6411" max="6656"/>
    <col width="21.109375" bestFit="1" customWidth="1" style="1" min="6657" max="6657"/>
    <col width="70" bestFit="1" customWidth="1" style="1" min="6658" max="6658"/>
    <col width="20.109375" bestFit="1" customWidth="1" style="1" min="6659" max="6659"/>
    <col width="22.6640625" bestFit="1" customWidth="1" style="1" min="6660" max="6660"/>
    <col width="22.44140625" bestFit="1" customWidth="1" style="1" min="6661" max="6661"/>
    <col width="22.44140625" customWidth="1" style="1" min="6662" max="6663"/>
    <col width="18.33203125" bestFit="1" customWidth="1" style="1" min="6664" max="6664"/>
    <col width="11.88671875" customWidth="1" style="1" min="6665" max="6665"/>
    <col width="22.44140625" customWidth="1" style="1" min="6666" max="6666"/>
    <col width="9.109375" customWidth="1" style="1" min="6667" max="6912"/>
    <col width="21.109375" bestFit="1" customWidth="1" style="1" min="6913" max="6913"/>
    <col width="70" bestFit="1" customWidth="1" style="1" min="6914" max="6914"/>
    <col width="20.109375" bestFit="1" customWidth="1" style="1" min="6915" max="6915"/>
    <col width="22.6640625" bestFit="1" customWidth="1" style="1" min="6916" max="6916"/>
    <col width="22.44140625" bestFit="1" customWidth="1" style="1" min="6917" max="6917"/>
    <col width="22.44140625" customWidth="1" style="1" min="6918" max="6919"/>
    <col width="18.33203125" bestFit="1" customWidth="1" style="1" min="6920" max="6920"/>
    <col width="11.88671875" customWidth="1" style="1" min="6921" max="6921"/>
    <col width="22.44140625" customWidth="1" style="1" min="6922" max="6922"/>
    <col width="9.109375" customWidth="1" style="1" min="6923" max="7168"/>
    <col width="21.109375" bestFit="1" customWidth="1" style="1" min="7169" max="7169"/>
    <col width="70" bestFit="1" customWidth="1" style="1" min="7170" max="7170"/>
    <col width="20.109375" bestFit="1" customWidth="1" style="1" min="7171" max="7171"/>
    <col width="22.6640625" bestFit="1" customWidth="1" style="1" min="7172" max="7172"/>
    <col width="22.44140625" bestFit="1" customWidth="1" style="1" min="7173" max="7173"/>
    <col width="22.44140625" customWidth="1" style="1" min="7174" max="7175"/>
    <col width="18.33203125" bestFit="1" customWidth="1" style="1" min="7176" max="7176"/>
    <col width="11.88671875" customWidth="1" style="1" min="7177" max="7177"/>
    <col width="22.44140625" customWidth="1" style="1" min="7178" max="7178"/>
    <col width="9.109375" customWidth="1" style="1" min="7179" max="7424"/>
    <col width="21.109375" bestFit="1" customWidth="1" style="1" min="7425" max="7425"/>
    <col width="70" bestFit="1" customWidth="1" style="1" min="7426" max="7426"/>
    <col width="20.109375" bestFit="1" customWidth="1" style="1" min="7427" max="7427"/>
    <col width="22.6640625" bestFit="1" customWidth="1" style="1" min="7428" max="7428"/>
    <col width="22.44140625" bestFit="1" customWidth="1" style="1" min="7429" max="7429"/>
    <col width="22.44140625" customWidth="1" style="1" min="7430" max="7431"/>
    <col width="18.33203125" bestFit="1" customWidth="1" style="1" min="7432" max="7432"/>
    <col width="11.88671875" customWidth="1" style="1" min="7433" max="7433"/>
    <col width="22.44140625" customWidth="1" style="1" min="7434" max="7434"/>
    <col width="9.109375" customWidth="1" style="1" min="7435" max="7680"/>
    <col width="21.109375" bestFit="1" customWidth="1" style="1" min="7681" max="7681"/>
    <col width="70" bestFit="1" customWidth="1" style="1" min="7682" max="7682"/>
    <col width="20.109375" bestFit="1" customWidth="1" style="1" min="7683" max="7683"/>
    <col width="22.6640625" bestFit="1" customWidth="1" style="1" min="7684" max="7684"/>
    <col width="22.44140625" bestFit="1" customWidth="1" style="1" min="7685" max="7685"/>
    <col width="22.44140625" customWidth="1" style="1" min="7686" max="7687"/>
    <col width="18.33203125" bestFit="1" customWidth="1" style="1" min="7688" max="7688"/>
    <col width="11.88671875" customWidth="1" style="1" min="7689" max="7689"/>
    <col width="22.44140625" customWidth="1" style="1" min="7690" max="7690"/>
    <col width="9.109375" customWidth="1" style="1" min="7691" max="7936"/>
    <col width="21.109375" bestFit="1" customWidth="1" style="1" min="7937" max="7937"/>
    <col width="70" bestFit="1" customWidth="1" style="1" min="7938" max="7938"/>
    <col width="20.109375" bestFit="1" customWidth="1" style="1" min="7939" max="7939"/>
    <col width="22.6640625" bestFit="1" customWidth="1" style="1" min="7940" max="7940"/>
    <col width="22.44140625" bestFit="1" customWidth="1" style="1" min="7941" max="7941"/>
    <col width="22.44140625" customWidth="1" style="1" min="7942" max="7943"/>
    <col width="18.33203125" bestFit="1" customWidth="1" style="1" min="7944" max="7944"/>
    <col width="11.88671875" customWidth="1" style="1" min="7945" max="7945"/>
    <col width="22.44140625" customWidth="1" style="1" min="7946" max="7946"/>
    <col width="9.109375" customWidth="1" style="1" min="7947" max="8192"/>
    <col width="21.109375" bestFit="1" customWidth="1" style="1" min="8193" max="8193"/>
    <col width="70" bestFit="1" customWidth="1" style="1" min="8194" max="8194"/>
    <col width="20.109375" bestFit="1" customWidth="1" style="1" min="8195" max="8195"/>
    <col width="22.6640625" bestFit="1" customWidth="1" style="1" min="8196" max="8196"/>
    <col width="22.44140625" bestFit="1" customWidth="1" style="1" min="8197" max="8197"/>
    <col width="22.44140625" customWidth="1" style="1" min="8198" max="8199"/>
    <col width="18.33203125" bestFit="1" customWidth="1" style="1" min="8200" max="8200"/>
    <col width="11.88671875" customWidth="1" style="1" min="8201" max="8201"/>
    <col width="22.44140625" customWidth="1" style="1" min="8202" max="8202"/>
    <col width="9.109375" customWidth="1" style="1" min="8203" max="8448"/>
    <col width="21.109375" bestFit="1" customWidth="1" style="1" min="8449" max="8449"/>
    <col width="70" bestFit="1" customWidth="1" style="1" min="8450" max="8450"/>
    <col width="20.109375" bestFit="1" customWidth="1" style="1" min="8451" max="8451"/>
    <col width="22.6640625" bestFit="1" customWidth="1" style="1" min="8452" max="8452"/>
    <col width="22.44140625" bestFit="1" customWidth="1" style="1" min="8453" max="8453"/>
    <col width="22.44140625" customWidth="1" style="1" min="8454" max="8455"/>
    <col width="18.33203125" bestFit="1" customWidth="1" style="1" min="8456" max="8456"/>
    <col width="11.88671875" customWidth="1" style="1" min="8457" max="8457"/>
    <col width="22.44140625" customWidth="1" style="1" min="8458" max="8458"/>
    <col width="9.109375" customWidth="1" style="1" min="8459" max="8704"/>
    <col width="21.109375" bestFit="1" customWidth="1" style="1" min="8705" max="8705"/>
    <col width="70" bestFit="1" customWidth="1" style="1" min="8706" max="8706"/>
    <col width="20.109375" bestFit="1" customWidth="1" style="1" min="8707" max="8707"/>
    <col width="22.6640625" bestFit="1" customWidth="1" style="1" min="8708" max="8708"/>
    <col width="22.44140625" bestFit="1" customWidth="1" style="1" min="8709" max="8709"/>
    <col width="22.44140625" customWidth="1" style="1" min="8710" max="8711"/>
    <col width="18.33203125" bestFit="1" customWidth="1" style="1" min="8712" max="8712"/>
    <col width="11.88671875" customWidth="1" style="1" min="8713" max="8713"/>
    <col width="22.44140625" customWidth="1" style="1" min="8714" max="8714"/>
    <col width="9.109375" customWidth="1" style="1" min="8715" max="8960"/>
    <col width="21.109375" bestFit="1" customWidth="1" style="1" min="8961" max="8961"/>
    <col width="70" bestFit="1" customWidth="1" style="1" min="8962" max="8962"/>
    <col width="20.109375" bestFit="1" customWidth="1" style="1" min="8963" max="8963"/>
    <col width="22.6640625" bestFit="1" customWidth="1" style="1" min="8964" max="8964"/>
    <col width="22.44140625" bestFit="1" customWidth="1" style="1" min="8965" max="8965"/>
    <col width="22.44140625" customWidth="1" style="1" min="8966" max="8967"/>
    <col width="18.33203125" bestFit="1" customWidth="1" style="1" min="8968" max="8968"/>
    <col width="11.88671875" customWidth="1" style="1" min="8969" max="8969"/>
    <col width="22.44140625" customWidth="1" style="1" min="8970" max="8970"/>
    <col width="9.109375" customWidth="1" style="1" min="8971" max="9216"/>
    <col width="21.109375" bestFit="1" customWidth="1" style="1" min="9217" max="9217"/>
    <col width="70" bestFit="1" customWidth="1" style="1" min="9218" max="9218"/>
    <col width="20.109375" bestFit="1" customWidth="1" style="1" min="9219" max="9219"/>
    <col width="22.6640625" bestFit="1" customWidth="1" style="1" min="9220" max="9220"/>
    <col width="22.44140625" bestFit="1" customWidth="1" style="1" min="9221" max="9221"/>
    <col width="22.44140625" customWidth="1" style="1" min="9222" max="9223"/>
    <col width="18.33203125" bestFit="1" customWidth="1" style="1" min="9224" max="9224"/>
    <col width="11.88671875" customWidth="1" style="1" min="9225" max="9225"/>
    <col width="22.44140625" customWidth="1" style="1" min="9226" max="9226"/>
    <col width="9.109375" customWidth="1" style="1" min="9227" max="9472"/>
    <col width="21.109375" bestFit="1" customWidth="1" style="1" min="9473" max="9473"/>
    <col width="70" bestFit="1" customWidth="1" style="1" min="9474" max="9474"/>
    <col width="20.109375" bestFit="1" customWidth="1" style="1" min="9475" max="9475"/>
    <col width="22.6640625" bestFit="1" customWidth="1" style="1" min="9476" max="9476"/>
    <col width="22.44140625" bestFit="1" customWidth="1" style="1" min="9477" max="9477"/>
    <col width="22.44140625" customWidth="1" style="1" min="9478" max="9479"/>
    <col width="18.33203125" bestFit="1" customWidth="1" style="1" min="9480" max="9480"/>
    <col width="11.88671875" customWidth="1" style="1" min="9481" max="9481"/>
    <col width="22.44140625" customWidth="1" style="1" min="9482" max="9482"/>
    <col width="9.109375" customWidth="1" style="1" min="9483" max="9728"/>
    <col width="21.109375" bestFit="1" customWidth="1" style="1" min="9729" max="9729"/>
    <col width="70" bestFit="1" customWidth="1" style="1" min="9730" max="9730"/>
    <col width="20.109375" bestFit="1" customWidth="1" style="1" min="9731" max="9731"/>
    <col width="22.6640625" bestFit="1" customWidth="1" style="1" min="9732" max="9732"/>
    <col width="22.44140625" bestFit="1" customWidth="1" style="1" min="9733" max="9733"/>
    <col width="22.44140625" customWidth="1" style="1" min="9734" max="9735"/>
    <col width="18.33203125" bestFit="1" customWidth="1" style="1" min="9736" max="9736"/>
    <col width="11.88671875" customWidth="1" style="1" min="9737" max="9737"/>
    <col width="22.44140625" customWidth="1" style="1" min="9738" max="9738"/>
    <col width="9.109375" customWidth="1" style="1" min="9739" max="9984"/>
    <col width="21.109375" bestFit="1" customWidth="1" style="1" min="9985" max="9985"/>
    <col width="70" bestFit="1" customWidth="1" style="1" min="9986" max="9986"/>
    <col width="20.109375" bestFit="1" customWidth="1" style="1" min="9987" max="9987"/>
    <col width="22.6640625" bestFit="1" customWidth="1" style="1" min="9988" max="9988"/>
    <col width="22.44140625" bestFit="1" customWidth="1" style="1" min="9989" max="9989"/>
    <col width="22.44140625" customWidth="1" style="1" min="9990" max="9991"/>
    <col width="18.33203125" bestFit="1" customWidth="1" style="1" min="9992" max="9992"/>
    <col width="11.88671875" customWidth="1" style="1" min="9993" max="9993"/>
    <col width="22.44140625" customWidth="1" style="1" min="9994" max="9994"/>
    <col width="9.109375" customWidth="1" style="1" min="9995" max="10240"/>
    <col width="21.109375" bestFit="1" customWidth="1" style="1" min="10241" max="10241"/>
    <col width="70" bestFit="1" customWidth="1" style="1" min="10242" max="10242"/>
    <col width="20.109375" bestFit="1" customWidth="1" style="1" min="10243" max="10243"/>
    <col width="22.6640625" bestFit="1" customWidth="1" style="1" min="10244" max="10244"/>
    <col width="22.44140625" bestFit="1" customWidth="1" style="1" min="10245" max="10245"/>
    <col width="22.44140625" customWidth="1" style="1" min="10246" max="10247"/>
    <col width="18.33203125" bestFit="1" customWidth="1" style="1" min="10248" max="10248"/>
    <col width="11.88671875" customWidth="1" style="1" min="10249" max="10249"/>
    <col width="22.44140625" customWidth="1" style="1" min="10250" max="10250"/>
    <col width="9.109375" customWidth="1" style="1" min="10251" max="10496"/>
    <col width="21.109375" bestFit="1" customWidth="1" style="1" min="10497" max="10497"/>
    <col width="70" bestFit="1" customWidth="1" style="1" min="10498" max="10498"/>
    <col width="20.109375" bestFit="1" customWidth="1" style="1" min="10499" max="10499"/>
    <col width="22.6640625" bestFit="1" customWidth="1" style="1" min="10500" max="10500"/>
    <col width="22.44140625" bestFit="1" customWidth="1" style="1" min="10501" max="10501"/>
    <col width="22.44140625" customWidth="1" style="1" min="10502" max="10503"/>
    <col width="18.33203125" bestFit="1" customWidth="1" style="1" min="10504" max="10504"/>
    <col width="11.88671875" customWidth="1" style="1" min="10505" max="10505"/>
    <col width="22.44140625" customWidth="1" style="1" min="10506" max="10506"/>
    <col width="9.109375" customWidth="1" style="1" min="10507" max="10752"/>
    <col width="21.109375" bestFit="1" customWidth="1" style="1" min="10753" max="10753"/>
    <col width="70" bestFit="1" customWidth="1" style="1" min="10754" max="10754"/>
    <col width="20.109375" bestFit="1" customWidth="1" style="1" min="10755" max="10755"/>
    <col width="22.6640625" bestFit="1" customWidth="1" style="1" min="10756" max="10756"/>
    <col width="22.44140625" bestFit="1" customWidth="1" style="1" min="10757" max="10757"/>
    <col width="22.44140625" customWidth="1" style="1" min="10758" max="10759"/>
    <col width="18.33203125" bestFit="1" customWidth="1" style="1" min="10760" max="10760"/>
    <col width="11.88671875" customWidth="1" style="1" min="10761" max="10761"/>
    <col width="22.44140625" customWidth="1" style="1" min="10762" max="10762"/>
    <col width="9.109375" customWidth="1" style="1" min="10763" max="11008"/>
    <col width="21.109375" bestFit="1" customWidth="1" style="1" min="11009" max="11009"/>
    <col width="70" bestFit="1" customWidth="1" style="1" min="11010" max="11010"/>
    <col width="20.109375" bestFit="1" customWidth="1" style="1" min="11011" max="11011"/>
    <col width="22.6640625" bestFit="1" customWidth="1" style="1" min="11012" max="11012"/>
    <col width="22.44140625" bestFit="1" customWidth="1" style="1" min="11013" max="11013"/>
    <col width="22.44140625" customWidth="1" style="1" min="11014" max="11015"/>
    <col width="18.33203125" bestFit="1" customWidth="1" style="1" min="11016" max="11016"/>
    <col width="11.88671875" customWidth="1" style="1" min="11017" max="11017"/>
    <col width="22.44140625" customWidth="1" style="1" min="11018" max="11018"/>
    <col width="9.109375" customWidth="1" style="1" min="11019" max="11264"/>
    <col width="21.109375" bestFit="1" customWidth="1" style="1" min="11265" max="11265"/>
    <col width="70" bestFit="1" customWidth="1" style="1" min="11266" max="11266"/>
    <col width="20.109375" bestFit="1" customWidth="1" style="1" min="11267" max="11267"/>
    <col width="22.6640625" bestFit="1" customWidth="1" style="1" min="11268" max="11268"/>
    <col width="22.44140625" bestFit="1" customWidth="1" style="1" min="11269" max="11269"/>
    <col width="22.44140625" customWidth="1" style="1" min="11270" max="11271"/>
    <col width="18.33203125" bestFit="1" customWidth="1" style="1" min="11272" max="11272"/>
    <col width="11.88671875" customWidth="1" style="1" min="11273" max="11273"/>
    <col width="22.44140625" customWidth="1" style="1" min="11274" max="11274"/>
    <col width="9.109375" customWidth="1" style="1" min="11275" max="11520"/>
    <col width="21.109375" bestFit="1" customWidth="1" style="1" min="11521" max="11521"/>
    <col width="70" bestFit="1" customWidth="1" style="1" min="11522" max="11522"/>
    <col width="20.109375" bestFit="1" customWidth="1" style="1" min="11523" max="11523"/>
    <col width="22.6640625" bestFit="1" customWidth="1" style="1" min="11524" max="11524"/>
    <col width="22.44140625" bestFit="1" customWidth="1" style="1" min="11525" max="11525"/>
    <col width="22.44140625" customWidth="1" style="1" min="11526" max="11527"/>
    <col width="18.33203125" bestFit="1" customWidth="1" style="1" min="11528" max="11528"/>
    <col width="11.88671875" customWidth="1" style="1" min="11529" max="11529"/>
    <col width="22.44140625" customWidth="1" style="1" min="11530" max="11530"/>
    <col width="9.109375" customWidth="1" style="1" min="11531" max="11776"/>
    <col width="21.109375" bestFit="1" customWidth="1" style="1" min="11777" max="11777"/>
    <col width="70" bestFit="1" customWidth="1" style="1" min="11778" max="11778"/>
    <col width="20.109375" bestFit="1" customWidth="1" style="1" min="11779" max="11779"/>
    <col width="22.6640625" bestFit="1" customWidth="1" style="1" min="11780" max="11780"/>
    <col width="22.44140625" bestFit="1" customWidth="1" style="1" min="11781" max="11781"/>
    <col width="22.44140625" customWidth="1" style="1" min="11782" max="11783"/>
    <col width="18.33203125" bestFit="1" customWidth="1" style="1" min="11784" max="11784"/>
    <col width="11.88671875" customWidth="1" style="1" min="11785" max="11785"/>
    <col width="22.44140625" customWidth="1" style="1" min="11786" max="11786"/>
    <col width="9.109375" customWidth="1" style="1" min="11787" max="12032"/>
    <col width="21.109375" bestFit="1" customWidth="1" style="1" min="12033" max="12033"/>
    <col width="70" bestFit="1" customWidth="1" style="1" min="12034" max="12034"/>
    <col width="20.109375" bestFit="1" customWidth="1" style="1" min="12035" max="12035"/>
    <col width="22.6640625" bestFit="1" customWidth="1" style="1" min="12036" max="12036"/>
    <col width="22.44140625" bestFit="1" customWidth="1" style="1" min="12037" max="12037"/>
    <col width="22.44140625" customWidth="1" style="1" min="12038" max="12039"/>
    <col width="18.33203125" bestFit="1" customWidth="1" style="1" min="12040" max="12040"/>
    <col width="11.88671875" customWidth="1" style="1" min="12041" max="12041"/>
    <col width="22.44140625" customWidth="1" style="1" min="12042" max="12042"/>
    <col width="9.109375" customWidth="1" style="1" min="12043" max="12288"/>
    <col width="21.109375" bestFit="1" customWidth="1" style="1" min="12289" max="12289"/>
    <col width="70" bestFit="1" customWidth="1" style="1" min="12290" max="12290"/>
    <col width="20.109375" bestFit="1" customWidth="1" style="1" min="12291" max="12291"/>
    <col width="22.6640625" bestFit="1" customWidth="1" style="1" min="12292" max="12292"/>
    <col width="22.44140625" bestFit="1" customWidth="1" style="1" min="12293" max="12293"/>
    <col width="22.44140625" customWidth="1" style="1" min="12294" max="12295"/>
    <col width="18.33203125" bestFit="1" customWidth="1" style="1" min="12296" max="12296"/>
    <col width="11.88671875" customWidth="1" style="1" min="12297" max="12297"/>
    <col width="22.44140625" customWidth="1" style="1" min="12298" max="12298"/>
    <col width="9.109375" customWidth="1" style="1" min="12299" max="12544"/>
    <col width="21.109375" bestFit="1" customWidth="1" style="1" min="12545" max="12545"/>
    <col width="70" bestFit="1" customWidth="1" style="1" min="12546" max="12546"/>
    <col width="20.109375" bestFit="1" customWidth="1" style="1" min="12547" max="12547"/>
    <col width="22.6640625" bestFit="1" customWidth="1" style="1" min="12548" max="12548"/>
    <col width="22.44140625" bestFit="1" customWidth="1" style="1" min="12549" max="12549"/>
    <col width="22.44140625" customWidth="1" style="1" min="12550" max="12551"/>
    <col width="18.33203125" bestFit="1" customWidth="1" style="1" min="12552" max="12552"/>
    <col width="11.88671875" customWidth="1" style="1" min="12553" max="12553"/>
    <col width="22.44140625" customWidth="1" style="1" min="12554" max="12554"/>
    <col width="9.109375" customWidth="1" style="1" min="12555" max="12800"/>
    <col width="21.109375" bestFit="1" customWidth="1" style="1" min="12801" max="12801"/>
    <col width="70" bestFit="1" customWidth="1" style="1" min="12802" max="12802"/>
    <col width="20.109375" bestFit="1" customWidth="1" style="1" min="12803" max="12803"/>
    <col width="22.6640625" bestFit="1" customWidth="1" style="1" min="12804" max="12804"/>
    <col width="22.44140625" bestFit="1" customWidth="1" style="1" min="12805" max="12805"/>
    <col width="22.44140625" customWidth="1" style="1" min="12806" max="12807"/>
    <col width="18.33203125" bestFit="1" customWidth="1" style="1" min="12808" max="12808"/>
    <col width="11.88671875" customWidth="1" style="1" min="12809" max="12809"/>
    <col width="22.44140625" customWidth="1" style="1" min="12810" max="12810"/>
    <col width="9.109375" customWidth="1" style="1" min="12811" max="13056"/>
    <col width="21.109375" bestFit="1" customWidth="1" style="1" min="13057" max="13057"/>
    <col width="70" bestFit="1" customWidth="1" style="1" min="13058" max="13058"/>
    <col width="20.109375" bestFit="1" customWidth="1" style="1" min="13059" max="13059"/>
    <col width="22.6640625" bestFit="1" customWidth="1" style="1" min="13060" max="13060"/>
    <col width="22.44140625" bestFit="1" customWidth="1" style="1" min="13061" max="13061"/>
    <col width="22.44140625" customWidth="1" style="1" min="13062" max="13063"/>
    <col width="18.33203125" bestFit="1" customWidth="1" style="1" min="13064" max="13064"/>
    <col width="11.88671875" customWidth="1" style="1" min="13065" max="13065"/>
    <col width="22.44140625" customWidth="1" style="1" min="13066" max="13066"/>
    <col width="9.109375" customWidth="1" style="1" min="13067" max="13312"/>
    <col width="21.109375" bestFit="1" customWidth="1" style="1" min="13313" max="13313"/>
    <col width="70" bestFit="1" customWidth="1" style="1" min="13314" max="13314"/>
    <col width="20.109375" bestFit="1" customWidth="1" style="1" min="13315" max="13315"/>
    <col width="22.6640625" bestFit="1" customWidth="1" style="1" min="13316" max="13316"/>
    <col width="22.44140625" bestFit="1" customWidth="1" style="1" min="13317" max="13317"/>
    <col width="22.44140625" customWidth="1" style="1" min="13318" max="13319"/>
    <col width="18.33203125" bestFit="1" customWidth="1" style="1" min="13320" max="13320"/>
    <col width="11.88671875" customWidth="1" style="1" min="13321" max="13321"/>
    <col width="22.44140625" customWidth="1" style="1" min="13322" max="13322"/>
    <col width="9.109375" customWidth="1" style="1" min="13323" max="13568"/>
    <col width="21.109375" bestFit="1" customWidth="1" style="1" min="13569" max="13569"/>
    <col width="70" bestFit="1" customWidth="1" style="1" min="13570" max="13570"/>
    <col width="20.109375" bestFit="1" customWidth="1" style="1" min="13571" max="13571"/>
    <col width="22.6640625" bestFit="1" customWidth="1" style="1" min="13572" max="13572"/>
    <col width="22.44140625" bestFit="1" customWidth="1" style="1" min="13573" max="13573"/>
    <col width="22.44140625" customWidth="1" style="1" min="13574" max="13575"/>
    <col width="18.33203125" bestFit="1" customWidth="1" style="1" min="13576" max="13576"/>
    <col width="11.88671875" customWidth="1" style="1" min="13577" max="13577"/>
    <col width="22.44140625" customWidth="1" style="1" min="13578" max="13578"/>
    <col width="9.109375" customWidth="1" style="1" min="13579" max="13824"/>
    <col width="21.109375" bestFit="1" customWidth="1" style="1" min="13825" max="13825"/>
    <col width="70" bestFit="1" customWidth="1" style="1" min="13826" max="13826"/>
    <col width="20.109375" bestFit="1" customWidth="1" style="1" min="13827" max="13827"/>
    <col width="22.6640625" bestFit="1" customWidth="1" style="1" min="13828" max="13828"/>
    <col width="22.44140625" bestFit="1" customWidth="1" style="1" min="13829" max="13829"/>
    <col width="22.44140625" customWidth="1" style="1" min="13830" max="13831"/>
    <col width="18.33203125" bestFit="1" customWidth="1" style="1" min="13832" max="13832"/>
    <col width="11.88671875" customWidth="1" style="1" min="13833" max="13833"/>
    <col width="22.44140625" customWidth="1" style="1" min="13834" max="13834"/>
    <col width="9.109375" customWidth="1" style="1" min="13835" max="14080"/>
    <col width="21.109375" bestFit="1" customWidth="1" style="1" min="14081" max="14081"/>
    <col width="70" bestFit="1" customWidth="1" style="1" min="14082" max="14082"/>
    <col width="20.109375" bestFit="1" customWidth="1" style="1" min="14083" max="14083"/>
    <col width="22.6640625" bestFit="1" customWidth="1" style="1" min="14084" max="14084"/>
    <col width="22.44140625" bestFit="1" customWidth="1" style="1" min="14085" max="14085"/>
    <col width="22.44140625" customWidth="1" style="1" min="14086" max="14087"/>
    <col width="18.33203125" bestFit="1" customWidth="1" style="1" min="14088" max="14088"/>
    <col width="11.88671875" customWidth="1" style="1" min="14089" max="14089"/>
    <col width="22.44140625" customWidth="1" style="1" min="14090" max="14090"/>
    <col width="9.109375" customWidth="1" style="1" min="14091" max="14336"/>
    <col width="21.109375" bestFit="1" customWidth="1" style="1" min="14337" max="14337"/>
    <col width="70" bestFit="1" customWidth="1" style="1" min="14338" max="14338"/>
    <col width="20.109375" bestFit="1" customWidth="1" style="1" min="14339" max="14339"/>
    <col width="22.6640625" bestFit="1" customWidth="1" style="1" min="14340" max="14340"/>
    <col width="22.44140625" bestFit="1" customWidth="1" style="1" min="14341" max="14341"/>
    <col width="22.44140625" customWidth="1" style="1" min="14342" max="14343"/>
    <col width="18.33203125" bestFit="1" customWidth="1" style="1" min="14344" max="14344"/>
    <col width="11.88671875" customWidth="1" style="1" min="14345" max="14345"/>
    <col width="22.44140625" customWidth="1" style="1" min="14346" max="14346"/>
    <col width="9.109375" customWidth="1" style="1" min="14347" max="14592"/>
    <col width="21.109375" bestFit="1" customWidth="1" style="1" min="14593" max="14593"/>
    <col width="70" bestFit="1" customWidth="1" style="1" min="14594" max="14594"/>
    <col width="20.109375" bestFit="1" customWidth="1" style="1" min="14595" max="14595"/>
    <col width="22.6640625" bestFit="1" customWidth="1" style="1" min="14596" max="14596"/>
    <col width="22.44140625" bestFit="1" customWidth="1" style="1" min="14597" max="14597"/>
    <col width="22.44140625" customWidth="1" style="1" min="14598" max="14599"/>
    <col width="18.33203125" bestFit="1" customWidth="1" style="1" min="14600" max="14600"/>
    <col width="11.88671875" customWidth="1" style="1" min="14601" max="14601"/>
    <col width="22.44140625" customWidth="1" style="1" min="14602" max="14602"/>
    <col width="9.109375" customWidth="1" style="1" min="14603" max="14848"/>
    <col width="21.109375" bestFit="1" customWidth="1" style="1" min="14849" max="14849"/>
    <col width="70" bestFit="1" customWidth="1" style="1" min="14850" max="14850"/>
    <col width="20.109375" bestFit="1" customWidth="1" style="1" min="14851" max="14851"/>
    <col width="22.6640625" bestFit="1" customWidth="1" style="1" min="14852" max="14852"/>
    <col width="22.44140625" bestFit="1" customWidth="1" style="1" min="14853" max="14853"/>
    <col width="22.44140625" customWidth="1" style="1" min="14854" max="14855"/>
    <col width="18.33203125" bestFit="1" customWidth="1" style="1" min="14856" max="14856"/>
    <col width="11.88671875" customWidth="1" style="1" min="14857" max="14857"/>
    <col width="22.44140625" customWidth="1" style="1" min="14858" max="14858"/>
    <col width="9.109375" customWidth="1" style="1" min="14859" max="15104"/>
    <col width="21.109375" bestFit="1" customWidth="1" style="1" min="15105" max="15105"/>
    <col width="70" bestFit="1" customWidth="1" style="1" min="15106" max="15106"/>
    <col width="20.109375" bestFit="1" customWidth="1" style="1" min="15107" max="15107"/>
    <col width="22.6640625" bestFit="1" customWidth="1" style="1" min="15108" max="15108"/>
    <col width="22.44140625" bestFit="1" customWidth="1" style="1" min="15109" max="15109"/>
    <col width="22.44140625" customWidth="1" style="1" min="15110" max="15111"/>
    <col width="18.33203125" bestFit="1" customWidth="1" style="1" min="15112" max="15112"/>
    <col width="11.88671875" customWidth="1" style="1" min="15113" max="15113"/>
    <col width="22.44140625" customWidth="1" style="1" min="15114" max="15114"/>
    <col width="9.109375" customWidth="1" style="1" min="15115" max="15360"/>
    <col width="21.109375" bestFit="1" customWidth="1" style="1" min="15361" max="15361"/>
    <col width="70" bestFit="1" customWidth="1" style="1" min="15362" max="15362"/>
    <col width="20.109375" bestFit="1" customWidth="1" style="1" min="15363" max="15363"/>
    <col width="22.6640625" bestFit="1" customWidth="1" style="1" min="15364" max="15364"/>
    <col width="22.44140625" bestFit="1" customWidth="1" style="1" min="15365" max="15365"/>
    <col width="22.44140625" customWidth="1" style="1" min="15366" max="15367"/>
    <col width="18.33203125" bestFit="1" customWidth="1" style="1" min="15368" max="15368"/>
    <col width="11.88671875" customWidth="1" style="1" min="15369" max="15369"/>
    <col width="22.44140625" customWidth="1" style="1" min="15370" max="15370"/>
    <col width="9.109375" customWidth="1" style="1" min="15371" max="15616"/>
    <col width="21.109375" bestFit="1" customWidth="1" style="1" min="15617" max="15617"/>
    <col width="70" bestFit="1" customWidth="1" style="1" min="15618" max="15618"/>
    <col width="20.109375" bestFit="1" customWidth="1" style="1" min="15619" max="15619"/>
    <col width="22.6640625" bestFit="1" customWidth="1" style="1" min="15620" max="15620"/>
    <col width="22.44140625" bestFit="1" customWidth="1" style="1" min="15621" max="15621"/>
    <col width="22.44140625" customWidth="1" style="1" min="15622" max="15623"/>
    <col width="18.33203125" bestFit="1" customWidth="1" style="1" min="15624" max="15624"/>
    <col width="11.88671875" customWidth="1" style="1" min="15625" max="15625"/>
    <col width="22.44140625" customWidth="1" style="1" min="15626" max="15626"/>
    <col width="9.109375" customWidth="1" style="1" min="15627" max="15872"/>
    <col width="21.109375" bestFit="1" customWidth="1" style="1" min="15873" max="15873"/>
    <col width="70" bestFit="1" customWidth="1" style="1" min="15874" max="15874"/>
    <col width="20.109375" bestFit="1" customWidth="1" style="1" min="15875" max="15875"/>
    <col width="22.6640625" bestFit="1" customWidth="1" style="1" min="15876" max="15876"/>
    <col width="22.44140625" bestFit="1" customWidth="1" style="1" min="15877" max="15877"/>
    <col width="22.44140625" customWidth="1" style="1" min="15878" max="15879"/>
    <col width="18.33203125" bestFit="1" customWidth="1" style="1" min="15880" max="15880"/>
    <col width="11.88671875" customWidth="1" style="1" min="15881" max="15881"/>
    <col width="22.44140625" customWidth="1" style="1" min="15882" max="15882"/>
    <col width="9.109375" customWidth="1" style="1" min="15883" max="16128"/>
    <col width="21.109375" bestFit="1" customWidth="1" style="1" min="16129" max="16129"/>
    <col width="70" bestFit="1" customWidth="1" style="1" min="16130" max="16130"/>
    <col width="20.109375" bestFit="1" customWidth="1" style="1" min="16131" max="16131"/>
    <col width="22.6640625" bestFit="1" customWidth="1" style="1" min="16132" max="16132"/>
    <col width="22.44140625" bestFit="1" customWidth="1" style="1" min="16133" max="16133"/>
    <col width="22.44140625" customWidth="1" style="1" min="16134" max="16135"/>
    <col width="18.33203125" bestFit="1" customWidth="1" style="1" min="16136" max="16136"/>
    <col width="11.88671875" customWidth="1" style="1" min="16137" max="16137"/>
    <col width="22.44140625" customWidth="1" style="1" min="16138" max="16138"/>
    <col width="9.109375" customWidth="1" style="1" min="16139" max="16384"/>
  </cols>
  <sheetData>
    <row r="1" ht="12.75" customHeight="1">
      <c r="C1" s="293" t="inlineStr">
        <is>
          <t>Eindbalans 31-12-2018</t>
        </is>
      </c>
      <c r="D1" s="302" t="inlineStr">
        <is>
          <t>Mutaties periode Q1 2019</t>
        </is>
      </c>
      <c r="E1" s="302" t="inlineStr">
        <is>
          <t>Mutaties Q2 2019</t>
        </is>
      </c>
      <c r="F1" s="302" t="inlineStr">
        <is>
          <t>Mutaties Q3 2019</t>
        </is>
      </c>
      <c r="G1" s="302" t="inlineStr">
        <is>
          <t>Mutaties Q4 2019</t>
        </is>
      </c>
      <c r="H1" s="290" t="inlineStr">
        <is>
          <t>Saldi per 31-12-2019</t>
        </is>
      </c>
    </row>
    <row r="3" ht="12.75" customHeight="1">
      <c r="A3" s="132" t="inlineStr">
        <is>
          <t>Balans</t>
        </is>
      </c>
    </row>
    <row r="4" ht="12.75" customHeight="1">
      <c r="A4" s="130" t="n">
        <v>1600200</v>
      </c>
      <c r="B4" s="1" t="inlineStr">
        <is>
          <t>VG Vastgoedbeleggingen Verkrijgings- of vervaardigingsprijs</t>
        </is>
      </c>
      <c r="C4" s="293">
        <f>134929585-2259117</f>
        <v/>
      </c>
      <c r="F4" s="302" t="n">
        <v>0</v>
      </c>
      <c r="H4" s="290">
        <f>SUM(C4:G4)</f>
        <v/>
      </c>
      <c r="I4" s="133" t="n"/>
    </row>
    <row r="5" ht="12.75" customHeight="1">
      <c r="A5" s="130" t="inlineStr">
        <is>
          <t>1600200</t>
        </is>
      </c>
      <c r="B5" s="1" t="inlineStr">
        <is>
          <t>VG Vastgoedbeleggingen Cum afschrijvingen en waardeverm</t>
        </is>
      </c>
      <c r="C5" s="293">
        <f>-8074670+120270</f>
        <v/>
      </c>
      <c r="D5" s="302" t="n">
        <v>-662362</v>
      </c>
      <c r="E5" s="302" t="n">
        <v>-650161</v>
      </c>
      <c r="F5" s="302" t="n">
        <v>-653662</v>
      </c>
      <c r="G5" s="302" t="n">
        <v>-656408</v>
      </c>
      <c r="H5" s="290">
        <f>SUM(C5:G5)</f>
        <v/>
      </c>
    </row>
    <row r="6" ht="12.75" customHeight="1">
      <c r="A6" s="130" t="inlineStr">
        <is>
          <t>1610803</t>
        </is>
      </c>
      <c r="B6" s="1" t="inlineStr">
        <is>
          <t>VG Comm VG in exploitatie Buitengebruikstellingen aanschaffingswaarde</t>
        </is>
      </c>
      <c r="D6" s="302" t="n">
        <v>-651550</v>
      </c>
      <c r="E6" s="302" t="n">
        <v>-1101554</v>
      </c>
      <c r="F6" s="302" t="n">
        <v>-462286</v>
      </c>
      <c r="G6" s="302" t="n">
        <v>-1443087</v>
      </c>
      <c r="H6" s="305">
        <f>SUM(C6:G6)</f>
        <v/>
      </c>
    </row>
    <row r="7" ht="12.75" customHeight="1">
      <c r="A7" s="130" t="inlineStr">
        <is>
          <t>1611003</t>
        </is>
      </c>
      <c r="B7" s="1" t="inlineStr">
        <is>
          <t>VG Comm VG in exploitatie Buitengebruikstellingen cum. afschr. en waardeverm.</t>
        </is>
      </c>
      <c r="D7" s="302" t="n">
        <v>41286</v>
      </c>
      <c r="E7" s="302" t="n">
        <v>71536</v>
      </c>
      <c r="F7" s="302" t="n">
        <v>33933</v>
      </c>
      <c r="G7" s="302" t="n">
        <v>116170</v>
      </c>
      <c r="H7" s="290">
        <f>SUM(C7:G7)</f>
        <v/>
      </c>
    </row>
    <row r="8" ht="12.75" customHeight="1">
      <c r="A8" s="1" t="inlineStr">
        <is>
          <t>Totaal Vastgoedbeleggingen</t>
        </is>
      </c>
      <c r="I8" s="133" t="n"/>
    </row>
    <row r="10" ht="12.75" customHeight="1">
      <c r="A10" s="130" t="inlineStr">
        <is>
          <t>1790002</t>
        </is>
      </c>
      <c r="B10" s="1" t="inlineStr">
        <is>
          <t>FVA Latente belastingvordering langlopend</t>
        </is>
      </c>
      <c r="C10" s="293" t="n">
        <v>2396007</v>
      </c>
      <c r="D10" s="302" t="n">
        <v>168662</v>
      </c>
      <c r="E10" s="302" t="n">
        <v>142232</v>
      </c>
      <c r="F10" s="302" t="n">
        <v>153794</v>
      </c>
      <c r="G10" s="302" t="n">
        <v>129418</v>
      </c>
      <c r="H10" s="290">
        <f>SUM(C10:G10)</f>
        <v/>
      </c>
    </row>
    <row r="11" ht="12.75" customHeight="1">
      <c r="A11" s="1" t="inlineStr">
        <is>
          <t>Totaal Financiële vaste activa</t>
        </is>
      </c>
    </row>
    <row r="13" ht="12.75" customHeight="1">
      <c r="A13" s="130" t="inlineStr">
        <is>
          <t>2000000</t>
        </is>
      </c>
      <c r="B13" s="1" t="inlineStr">
        <is>
          <t>VOR Debiteuren</t>
        </is>
      </c>
      <c r="C13" s="293" t="n">
        <v>119205</v>
      </c>
      <c r="D13" s="302" t="n">
        <v>158343</v>
      </c>
      <c r="E13" s="302" t="n">
        <v>66045</v>
      </c>
      <c r="F13" s="302" t="n">
        <v>-93669</v>
      </c>
      <c r="G13" s="302" t="n">
        <v>-177050</v>
      </c>
      <c r="H13" s="290">
        <f>SUM(C13:G13)</f>
        <v/>
      </c>
    </row>
    <row r="14" ht="12.75" customHeight="1">
      <c r="A14" s="130" t="inlineStr">
        <is>
          <t>2000300</t>
        </is>
      </c>
      <c r="B14" s="1" t="inlineStr">
        <is>
          <t>VOR Voorziening dubieuze debiteuren</t>
        </is>
      </c>
      <c r="C14" s="293" t="n">
        <v>-64501</v>
      </c>
      <c r="D14" s="302" t="n">
        <v>0</v>
      </c>
      <c r="E14" s="302" t="n">
        <v>0</v>
      </c>
      <c r="F14" s="302" t="n">
        <v>0</v>
      </c>
      <c r="G14" s="302" t="n">
        <v>0</v>
      </c>
      <c r="H14" s="290">
        <f>SUM(C14:G14)</f>
        <v/>
      </c>
    </row>
    <row r="15" ht="12.75" customHeight="1">
      <c r="A15" s="1" t="inlineStr">
        <is>
          <t>Totaal Debiteuren</t>
        </is>
      </c>
    </row>
    <row r="17" ht="12.75" customHeight="1">
      <c r="A17" s="130" t="n">
        <v>2640000</v>
      </c>
      <c r="B17" s="1" t="inlineStr">
        <is>
          <t>RC Kortlopend DMRRP INV - I BV</t>
        </is>
      </c>
      <c r="C17" s="293" t="n">
        <v>110497</v>
      </c>
      <c r="D17" s="302" t="n">
        <v>0</v>
      </c>
      <c r="E17" s="302" t="n">
        <v>0</v>
      </c>
      <c r="F17" s="302" t="n">
        <v>0</v>
      </c>
      <c r="G17" s="302" t="n">
        <v>0</v>
      </c>
      <c r="H17" s="290">
        <f>SUM(C17:G17)</f>
        <v/>
      </c>
    </row>
    <row r="18" ht="12.75" customHeight="1">
      <c r="A18" s="1" t="inlineStr">
        <is>
          <t>Totaal Rekening-courant aandeelhouder</t>
        </is>
      </c>
    </row>
    <row r="20" ht="12.75" customHeight="1">
      <c r="A20" s="130" t="n">
        <v>2040200</v>
      </c>
      <c r="B20" s="1" t="inlineStr">
        <is>
          <t>VOR Te vorderen waarborgsommen kortlopen</t>
        </is>
      </c>
      <c r="C20" s="293" t="n">
        <v>0</v>
      </c>
      <c r="D20" s="302" t="n">
        <v>0</v>
      </c>
      <c r="E20" s="302" t="n">
        <v>0</v>
      </c>
      <c r="F20" s="302" t="n">
        <v>0</v>
      </c>
      <c r="G20" s="302" t="n">
        <v>5000</v>
      </c>
      <c r="H20" s="290">
        <f>SUM(C20:G20)</f>
        <v/>
      </c>
    </row>
    <row r="21" ht="12.75" customHeight="1">
      <c r="A21" s="130" t="inlineStr">
        <is>
          <t>2040700</t>
        </is>
      </c>
      <c r="B21" s="1" t="inlineStr">
        <is>
          <t>VOR Vooruitbetaalde servicekosten</t>
        </is>
      </c>
      <c r="C21" s="293" t="n">
        <v>15594</v>
      </c>
      <c r="D21" s="302" t="n">
        <v>0</v>
      </c>
      <c r="E21" s="302" t="n">
        <v>0</v>
      </c>
      <c r="F21" s="302" t="n">
        <v>0</v>
      </c>
      <c r="G21" s="302" t="n">
        <v>-15581</v>
      </c>
      <c r="H21" s="290">
        <f>SUM(C21:G21)</f>
        <v/>
      </c>
    </row>
    <row r="22" ht="12.75" customHeight="1">
      <c r="A22" s="130" t="inlineStr">
        <is>
          <t>2040900</t>
        </is>
      </c>
      <c r="B22" s="1" t="inlineStr">
        <is>
          <t>VOR Vooruitbetaalde overige kosten</t>
        </is>
      </c>
      <c r="C22" s="293" t="n">
        <v>737</v>
      </c>
      <c r="D22" s="302" t="n">
        <v>0</v>
      </c>
      <c r="E22" s="302" t="n">
        <v>0</v>
      </c>
      <c r="F22" s="302" t="n">
        <v>0</v>
      </c>
      <c r="G22" s="302" t="n">
        <v>0</v>
      </c>
      <c r="H22" s="290">
        <f>SUM(C22:G22)</f>
        <v/>
      </c>
    </row>
    <row r="23" ht="12.75" customHeight="1">
      <c r="A23" s="1" t="inlineStr">
        <is>
          <t>Totaal overige vorderingen</t>
        </is>
      </c>
    </row>
    <row r="25" ht="12.75" customHeight="1">
      <c r="A25" s="130" t="inlineStr">
        <is>
          <t>2300000</t>
        </is>
      </c>
      <c r="B25" s="1" t="inlineStr">
        <is>
          <t>LM Kruisposten</t>
        </is>
      </c>
      <c r="C25" s="293" t="n">
        <v>0</v>
      </c>
      <c r="D25" s="302" t="n">
        <v>672</v>
      </c>
      <c r="E25" s="302" t="n">
        <v>-672</v>
      </c>
      <c r="F25" s="302" t="n">
        <v>3338</v>
      </c>
      <c r="G25" s="302" t="n">
        <v>547</v>
      </c>
      <c r="H25" s="290">
        <f>SUM(C25:G25)</f>
        <v/>
      </c>
    </row>
    <row r="26" ht="12.75" customHeight="1">
      <c r="A26" s="130" t="inlineStr">
        <is>
          <t>2400200</t>
        </is>
      </c>
      <c r="B26" s="1" t="inlineStr">
        <is>
          <t>LM ABN AMRO Bank Disposal NL58 ABNA 0818 9180 39</t>
        </is>
      </c>
      <c r="C26" s="293" t="n">
        <v>986584</v>
      </c>
      <c r="D26" s="302" t="n">
        <v>-447623</v>
      </c>
      <c r="E26" s="302" t="n">
        <v>-458920</v>
      </c>
      <c r="F26" s="302" t="n">
        <v>649658</v>
      </c>
      <c r="G26" s="302" t="n">
        <v>1729271</v>
      </c>
      <c r="H26" s="290">
        <f>SUM(C26:G26)-2</f>
        <v/>
      </c>
    </row>
    <row r="27" ht="12.75" customHeight="1">
      <c r="A27" s="130" t="inlineStr">
        <is>
          <t>2400201</t>
        </is>
      </c>
      <c r="B27" s="1" t="inlineStr">
        <is>
          <t>LM ABN AMRO Bank Deposit NL57 ABNA 0541 6205 68</t>
        </is>
      </c>
      <c r="C27" s="293" t="n">
        <v>9648</v>
      </c>
      <c r="D27" s="302" t="n">
        <v>1359967</v>
      </c>
      <c r="E27" s="302" t="n">
        <v>-1368856</v>
      </c>
      <c r="F27" s="302" t="n">
        <v>12154</v>
      </c>
      <c r="G27" s="302" t="n">
        <v>74896</v>
      </c>
      <c r="H27" s="290">
        <f>SUM(C27:G27)</f>
        <v/>
      </c>
    </row>
    <row r="28" ht="12.75" customHeight="1">
      <c r="A28" s="130" t="inlineStr">
        <is>
          <t>2400202</t>
        </is>
      </c>
      <c r="B28" s="1" t="inlineStr">
        <is>
          <t>LM ABN AMRO Bank General NL93 ABNA 0541 6132 27</t>
        </is>
      </c>
      <c r="C28" s="293" t="n">
        <v>191790</v>
      </c>
      <c r="D28" s="302" t="n">
        <v>842838</v>
      </c>
      <c r="E28" s="302" t="n">
        <v>-1028597</v>
      </c>
      <c r="F28" s="302" t="n">
        <v>785758</v>
      </c>
      <c r="G28" s="302" t="n">
        <v>-19584</v>
      </c>
      <c r="H28" s="290">
        <f>SUM(C28:G28)+2</f>
        <v/>
      </c>
    </row>
    <row r="29" ht="12.75" customHeight="1">
      <c r="A29" s="130" t="inlineStr">
        <is>
          <t>2400203</t>
        </is>
      </c>
      <c r="B29" s="1" t="inlineStr">
        <is>
          <t>LM ABN AMRO Bank Maintres NL04 ABNA 0541 6188 06</t>
        </is>
      </c>
      <c r="C29" s="293" t="n">
        <v>491534</v>
      </c>
      <c r="D29" s="302" t="n">
        <v>109815</v>
      </c>
      <c r="E29" s="302" t="n">
        <v>44887</v>
      </c>
      <c r="F29" s="302" t="n">
        <v>-62925</v>
      </c>
      <c r="G29" s="302" t="n">
        <v>66151</v>
      </c>
      <c r="H29" s="290">
        <f>SUM(C29:G29)</f>
        <v/>
      </c>
    </row>
    <row r="30" ht="12.75" customHeight="1">
      <c r="A30" s="130" t="inlineStr">
        <is>
          <t>2400204</t>
        </is>
      </c>
      <c r="B30" s="1" t="inlineStr">
        <is>
          <t>LM ABN AMRO Bank Rent NL46 ABNA 0541 6088 35</t>
        </is>
      </c>
      <c r="C30" s="293" t="n">
        <v>415425</v>
      </c>
      <c r="D30" s="302" t="n">
        <v>84312</v>
      </c>
      <c r="E30" s="302" t="n">
        <v>528567</v>
      </c>
      <c r="F30" s="302" t="n">
        <v>-364896</v>
      </c>
      <c r="G30" s="302" t="n">
        <v>1098220</v>
      </c>
      <c r="H30" s="290">
        <f>SUM(C30:G30)</f>
        <v/>
      </c>
    </row>
    <row r="31" ht="12.75" customHeight="1">
      <c r="A31" s="130" t="inlineStr">
        <is>
          <t>2400205</t>
        </is>
      </c>
      <c r="B31" s="1" t="inlineStr">
        <is>
          <t>LM ABN AMRO Bank SR EXP NL88 ABNA 0541 6205 92</t>
        </is>
      </c>
      <c r="C31" s="293" t="n">
        <v>275171</v>
      </c>
      <c r="D31" s="302" t="n">
        <v>-217031</v>
      </c>
      <c r="E31" s="302" t="n">
        <v>58399</v>
      </c>
      <c r="F31" s="302" t="n">
        <v>-115700</v>
      </c>
      <c r="G31" s="302" t="n">
        <v>194761</v>
      </c>
      <c r="H31" s="290">
        <f>SUM(C31:G31)</f>
        <v/>
      </c>
    </row>
    <row r="32" ht="12.75" customHeight="1">
      <c r="A32" s="1" t="inlineStr">
        <is>
          <t>Totaal Liquide middelen</t>
        </is>
      </c>
    </row>
    <row r="34" ht="12.75" customHeight="1">
      <c r="A34" s="130" t="n">
        <v>1000002</v>
      </c>
      <c r="B34" s="1" t="inlineStr">
        <is>
          <t>EV Normale aandelen Saldo</t>
        </is>
      </c>
      <c r="C34" s="293" t="n">
        <v>-1</v>
      </c>
      <c r="D34" s="302" t="n">
        <v>0</v>
      </c>
      <c r="E34" s="302" t="n">
        <v>0</v>
      </c>
      <c r="F34" s="302" t="n">
        <v>0</v>
      </c>
      <c r="G34" s="302" t="n">
        <v>0</v>
      </c>
      <c r="H34" s="290">
        <f>SUM(C34:G34)</f>
        <v/>
      </c>
    </row>
    <row r="35" ht="12.75" customHeight="1">
      <c r="A35" s="130" t="n">
        <v>1100000</v>
      </c>
      <c r="B35" s="1" t="inlineStr">
        <is>
          <t>EV Agioreserve Agio aandelen</t>
        </is>
      </c>
      <c r="C35" s="293" t="n">
        <v>-19431219</v>
      </c>
      <c r="D35" s="302" t="n">
        <v>0</v>
      </c>
      <c r="E35" s="302" t="n">
        <v>0</v>
      </c>
      <c r="F35" s="302" t="n">
        <v>0</v>
      </c>
      <c r="G35" s="302" t="n">
        <v>0</v>
      </c>
      <c r="H35" s="290">
        <f>SUM(C35:G35)</f>
        <v/>
      </c>
    </row>
    <row r="36" ht="12.75" customHeight="1">
      <c r="A36" s="130" t="n">
        <v>1160000</v>
      </c>
      <c r="B36" s="1" t="inlineStr">
        <is>
          <t>EV Overige reserve Reserve aandelen</t>
        </is>
      </c>
      <c r="C36" s="293">
        <f>9890198-1340715+7727104</f>
        <v/>
      </c>
      <c r="D36" s="302" t="n">
        <v>0</v>
      </c>
      <c r="E36" s="302" t="n">
        <v>0</v>
      </c>
      <c r="F36" s="302" t="n">
        <v>0</v>
      </c>
      <c r="G36" s="302" t="n">
        <v>0</v>
      </c>
      <c r="H36" s="290">
        <f>SUM(C36:G36)</f>
        <v/>
      </c>
    </row>
    <row r="37" ht="12.75" customHeight="1">
      <c r="A37" s="130" t="inlineStr">
        <is>
          <t>1160100</t>
        </is>
      </c>
      <c r="B37" s="1" t="inlineStr">
        <is>
          <t>EV Overige reserve  Dividenduitkeringen aandelen</t>
        </is>
      </c>
      <c r="C37" s="293" t="n">
        <v>0</v>
      </c>
      <c r="D37" s="302" t="n">
        <v>310000</v>
      </c>
      <c r="E37" s="302" t="n">
        <v>225000</v>
      </c>
      <c r="F37" s="302" t="n">
        <v>285500</v>
      </c>
      <c r="G37" s="302" t="n">
        <v>235000</v>
      </c>
      <c r="H37" s="290">
        <f>SUM(C37:G37)</f>
        <v/>
      </c>
    </row>
    <row r="38" ht="12.75" customHeight="1">
      <c r="A38" s="1" t="inlineStr">
        <is>
          <t>Totaal Eigen vermogen</t>
        </is>
      </c>
    </row>
    <row r="39" ht="12.75" customHeight="1">
      <c r="H39" s="290">
        <f>SUM(C39:G39)</f>
        <v/>
      </c>
    </row>
    <row r="40" ht="12.75" customHeight="1">
      <c r="A40" s="130" t="n">
        <v>1930001</v>
      </c>
      <c r="B40" s="1" t="inlineStr">
        <is>
          <t>LLS Hoofdsom ABN AMRO Bank NV Senior Facility Agreement</t>
        </is>
      </c>
      <c r="C40" s="297" t="n">
        <v>-130000000</v>
      </c>
      <c r="D40" s="306" t="n">
        <v>0</v>
      </c>
      <c r="E40" s="302" t="n">
        <v>0</v>
      </c>
      <c r="F40" s="302" t="n">
        <v>0</v>
      </c>
      <c r="G40" s="302" t="n">
        <v>0</v>
      </c>
      <c r="H40" s="290">
        <f>SUM(C40:G40)</f>
        <v/>
      </c>
    </row>
    <row r="41" ht="12.75" customHeight="1">
      <c r="A41" s="130" t="inlineStr">
        <is>
          <t>1930101</t>
        </is>
      </c>
      <c r="B41" s="1" t="inlineStr">
        <is>
          <t>LLS Cum aflossingen ABN AMRO Bank NV Senior Facility Agreement</t>
        </is>
      </c>
      <c r="C41" s="293" t="n">
        <v>5070233</v>
      </c>
      <c r="D41" s="302" t="n">
        <v>0</v>
      </c>
      <c r="E41" s="302" t="n">
        <v>4692972</v>
      </c>
      <c r="F41" s="302" t="n">
        <v>601184</v>
      </c>
      <c r="G41" s="302" t="n">
        <v>601184</v>
      </c>
      <c r="H41" s="290">
        <f>SUM(C41:G41)</f>
        <v/>
      </c>
    </row>
    <row r="42" ht="12.75" customHeight="1">
      <c r="A42" s="130" t="inlineStr">
        <is>
          <t>1930201</t>
        </is>
      </c>
      <c r="B42" s="1" t="inlineStr">
        <is>
          <t>LLS Kortlopend deel ABN AMRO Bank NV Senior Facility Agreement</t>
        </is>
      </c>
      <c r="C42" s="293" t="n">
        <v>-306834</v>
      </c>
      <c r="D42" s="302" t="n">
        <v>306834</v>
      </c>
      <c r="E42" s="302" t="n">
        <v>0</v>
      </c>
      <c r="F42" s="302" t="n">
        <v>0</v>
      </c>
      <c r="G42" s="302" t="n">
        <v>0</v>
      </c>
      <c r="H42" s="290">
        <f>SUM(C42:G42)</f>
        <v/>
      </c>
    </row>
    <row r="43" ht="12.75" customHeight="1">
      <c r="A43" s="1" t="inlineStr">
        <is>
          <t>Totaal Langlopende schulden</t>
        </is>
      </c>
    </row>
    <row r="45" ht="12.75" customHeight="1">
      <c r="A45" s="130" t="inlineStr">
        <is>
          <t>2730000</t>
        </is>
      </c>
      <c r="B45" s="1" t="inlineStr">
        <is>
          <t>KLS Crediteuren</t>
        </is>
      </c>
      <c r="C45" s="293" t="n">
        <v>-176869</v>
      </c>
      <c r="D45" s="302" t="n">
        <v>-18824</v>
      </c>
      <c r="E45" s="302" t="n">
        <v>-5981</v>
      </c>
      <c r="F45" s="302" t="n">
        <v>28193</v>
      </c>
      <c r="G45" s="302" t="n">
        <v>-55987</v>
      </c>
      <c r="H45" s="290">
        <f>SUM(C45:G45)</f>
        <v/>
      </c>
    </row>
    <row r="46" ht="12.75" customHeight="1">
      <c r="A46" s="130" t="inlineStr">
        <is>
          <t>2730001</t>
        </is>
      </c>
      <c r="B46" s="1" t="inlineStr">
        <is>
          <t>KLS Crediteuren intercompany</t>
        </is>
      </c>
      <c r="C46" s="293" t="n">
        <v>0</v>
      </c>
      <c r="D46" s="302" t="n">
        <v>0</v>
      </c>
      <c r="E46" s="302" t="n">
        <v>0</v>
      </c>
      <c r="F46" s="302" t="n">
        <v>0</v>
      </c>
      <c r="G46" s="302" t="n">
        <v>0</v>
      </c>
      <c r="H46" s="290">
        <f>SUM(C46:G46)</f>
        <v/>
      </c>
    </row>
    <row r="47" ht="12.75" customHeight="1">
      <c r="A47" s="1" t="inlineStr">
        <is>
          <t>Totaal Crediteuren</t>
        </is>
      </c>
    </row>
    <row r="48" ht="12.75" customHeight="1">
      <c r="H48" s="290">
        <f>SUM(C48:G48)</f>
        <v/>
      </c>
    </row>
    <row r="49" ht="12.75" customHeight="1">
      <c r="A49" s="130" t="inlineStr">
        <is>
          <t>2512100</t>
        </is>
      </c>
      <c r="B49" s="1" t="inlineStr">
        <is>
          <t>BEL Afgedragen/ontvangen BTW</t>
        </is>
      </c>
      <c r="C49" s="293" t="n">
        <v>-7866</v>
      </c>
      <c r="D49" s="302" t="n">
        <v>4150</v>
      </c>
      <c r="E49" s="302" t="n">
        <v>9</v>
      </c>
      <c r="F49" s="302" t="n">
        <v>-19</v>
      </c>
      <c r="G49" s="302" t="n">
        <v>-205</v>
      </c>
      <c r="H49" s="290">
        <f>SUM(C49:G49)</f>
        <v/>
      </c>
    </row>
    <row r="50" ht="12.75" customHeight="1">
      <c r="A50" s="130" t="inlineStr">
        <is>
          <t>2530000</t>
        </is>
      </c>
      <c r="B50" s="1" t="inlineStr">
        <is>
          <t>BEL Te betalen vennootschapsbelasting</t>
        </is>
      </c>
      <c r="C50" s="293" t="n">
        <v>-165928</v>
      </c>
      <c r="D50" s="302" t="n">
        <v>0</v>
      </c>
      <c r="E50" s="302" t="n">
        <v>-197342</v>
      </c>
      <c r="F50" s="302" t="n">
        <v>-74792</v>
      </c>
      <c r="G50" s="302" t="n">
        <v>94944</v>
      </c>
      <c r="H50" s="290">
        <f>SUM(C50:G50)</f>
        <v/>
      </c>
    </row>
    <row r="51" ht="12.75" customHeight="1">
      <c r="A51" s="130" t="inlineStr">
        <is>
          <t>2550000</t>
        </is>
      </c>
      <c r="B51" s="1" t="inlineStr">
        <is>
          <t>BEL Te betalen overige belastingen</t>
        </is>
      </c>
      <c r="C51" s="293" t="n">
        <v>-1045</v>
      </c>
      <c r="D51" s="302" t="n">
        <v>285682</v>
      </c>
      <c r="E51" s="302" t="n">
        <v>-94879</v>
      </c>
      <c r="F51" s="302" t="n">
        <v>-94878</v>
      </c>
      <c r="G51" s="302" t="n">
        <v>-94879</v>
      </c>
      <c r="H51" s="290">
        <f>SUM(C51:G51)</f>
        <v/>
      </c>
    </row>
    <row r="52" ht="12.75" customHeight="1">
      <c r="A52" s="1" t="inlineStr">
        <is>
          <t>Totaal Belastingen</t>
        </is>
      </c>
    </row>
    <row r="54" ht="12.75" customHeight="1">
      <c r="A54" s="130" t="inlineStr">
        <is>
          <t>2740300</t>
        </is>
      </c>
      <c r="B54" s="1" t="inlineStr">
        <is>
          <t>KLS Te betalen waarborgsommen kortlopend</t>
        </is>
      </c>
      <c r="C54" s="293" t="n">
        <v>-666515</v>
      </c>
      <c r="D54" s="302" t="n">
        <v>-11908</v>
      </c>
      <c r="E54" s="302" t="n">
        <v>-13448</v>
      </c>
      <c r="F54" s="302" t="n">
        <v>-8607</v>
      </c>
      <c r="G54" s="302">
        <f>-10298+1</f>
        <v/>
      </c>
      <c r="H54" s="290">
        <f>SUM(C54:G54)</f>
        <v/>
      </c>
    </row>
    <row r="55" ht="12.75" customHeight="1">
      <c r="A55" s="130" t="n">
        <v>2740500</v>
      </c>
      <c r="B55" s="1" t="inlineStr">
        <is>
          <t>KLS Te betalen accountants- en administratiekosten</t>
        </is>
      </c>
      <c r="C55" s="290" t="n">
        <v>-22500</v>
      </c>
      <c r="D55" s="302" t="n">
        <v>0</v>
      </c>
      <c r="E55" s="302" t="n">
        <v>0</v>
      </c>
      <c r="F55" s="302" t="n">
        <v>0</v>
      </c>
      <c r="G55" s="302" t="n">
        <v>0</v>
      </c>
      <c r="H55" s="290">
        <f>SUM(C55:G55)</f>
        <v/>
      </c>
    </row>
    <row r="56" ht="12.75" customHeight="1">
      <c r="A56" s="130" t="inlineStr">
        <is>
          <t>2740600</t>
        </is>
      </c>
      <c r="B56" s="1" t="inlineStr">
        <is>
          <t>KLS Te betalen rente</t>
        </is>
      </c>
      <c r="C56" s="293" t="n">
        <v>0</v>
      </c>
      <c r="D56" s="302" t="n">
        <v>-503883</v>
      </c>
      <c r="E56" s="302" t="n">
        <v>503883</v>
      </c>
      <c r="F56" s="302" t="n">
        <v>0</v>
      </c>
      <c r="G56" s="302" t="n">
        <v>0</v>
      </c>
      <c r="H56" s="290">
        <f>SUM(C56:G56)</f>
        <v/>
      </c>
    </row>
    <row r="57" ht="12.75" customHeight="1">
      <c r="A57" s="130" t="inlineStr">
        <is>
          <t>2740700</t>
        </is>
      </c>
      <c r="B57" s="1" t="inlineStr">
        <is>
          <t>KLS Te betalen verzekeringen</t>
        </is>
      </c>
      <c r="C57" s="293" t="n">
        <v>0</v>
      </c>
      <c r="D57" s="302" t="n">
        <v>47712</v>
      </c>
      <c r="E57" s="302" t="n">
        <v>-15904</v>
      </c>
      <c r="F57" s="302" t="n">
        <v>-15903</v>
      </c>
      <c r="G57" s="302" t="n">
        <v>-15904</v>
      </c>
      <c r="H57" s="290">
        <f>SUM(C57:G57)</f>
        <v/>
      </c>
    </row>
    <row r="58" ht="12.75" customHeight="1">
      <c r="A58" s="130" t="inlineStr">
        <is>
          <t>2741000</t>
        </is>
      </c>
      <c r="B58" s="1" t="inlineStr">
        <is>
          <t>KLS Te betalen servicekosten</t>
        </is>
      </c>
      <c r="C58" s="293" t="n">
        <v>-200</v>
      </c>
      <c r="D58" s="302" t="n">
        <v>8700</v>
      </c>
      <c r="E58" s="302" t="n">
        <v>-8500</v>
      </c>
      <c r="F58" s="302" t="n">
        <v>0</v>
      </c>
      <c r="G58" s="302" t="n">
        <v>36335</v>
      </c>
      <c r="H58" s="290">
        <f>SUM(C58:G58)</f>
        <v/>
      </c>
    </row>
    <row r="59" ht="12.75" customHeight="1">
      <c r="A59" s="130" t="inlineStr">
        <is>
          <t>2741001</t>
        </is>
      </c>
      <c r="B59" s="1" t="inlineStr">
        <is>
          <t>KLS Te betalen exploitatiekosten</t>
        </is>
      </c>
      <c r="C59" s="293" t="n">
        <v>-36832</v>
      </c>
      <c r="D59" s="302" t="n">
        <v>36832</v>
      </c>
      <c r="E59" s="302" t="n">
        <v>0</v>
      </c>
      <c r="F59" s="302" t="n">
        <v>0</v>
      </c>
      <c r="G59" s="302" t="n">
        <v>0</v>
      </c>
      <c r="H59" s="290">
        <f>SUM(C59:G59)</f>
        <v/>
      </c>
    </row>
    <row r="60" ht="12.75" customHeight="1">
      <c r="A60" s="130" t="inlineStr">
        <is>
          <t>2741002</t>
        </is>
      </c>
      <c r="B60" s="1" t="inlineStr">
        <is>
          <t>KLS Te betalen VVE</t>
        </is>
      </c>
      <c r="C60" s="293" t="n">
        <v>-675</v>
      </c>
      <c r="D60" s="302" t="n">
        <v>675</v>
      </c>
      <c r="E60" s="302" t="n">
        <v>0</v>
      </c>
      <c r="F60" s="302" t="n">
        <v>0</v>
      </c>
      <c r="G60" s="302" t="n">
        <v>0</v>
      </c>
      <c r="H60" s="290">
        <f>SUM(C60:G60)</f>
        <v/>
      </c>
    </row>
    <row r="61" ht="12.75" customHeight="1">
      <c r="A61" s="130" t="inlineStr">
        <is>
          <t>2741004</t>
        </is>
      </c>
      <c r="B61" s="1" t="inlineStr">
        <is>
          <t>KLS Te betalen Hoen</t>
        </is>
      </c>
      <c r="C61" s="293" t="n">
        <v>-40157</v>
      </c>
      <c r="D61" s="302" t="n">
        <v>-39889</v>
      </c>
      <c r="E61" s="302" t="n">
        <v>487</v>
      </c>
      <c r="F61" s="302" t="n">
        <v>38680</v>
      </c>
      <c r="G61" s="302" t="n">
        <v>61</v>
      </c>
      <c r="H61" s="290">
        <f>SUM(C61:G61)</f>
        <v/>
      </c>
    </row>
    <row r="62" ht="12.75" customHeight="1">
      <c r="A62" s="130" t="inlineStr">
        <is>
          <t>2741005</t>
        </is>
      </c>
      <c r="B62" s="1" t="inlineStr">
        <is>
          <t>KLS Te betalen managementvergoedingen</t>
        </is>
      </c>
      <c r="C62" s="293" t="n">
        <v>0</v>
      </c>
      <c r="D62" s="302" t="n">
        <v>0</v>
      </c>
      <c r="E62" s="302" t="n">
        <v>0</v>
      </c>
      <c r="F62" s="302" t="n">
        <v>0</v>
      </c>
      <c r="G62" s="302" t="n">
        <v>0</v>
      </c>
      <c r="H62" s="290">
        <f>SUM(C62:G62)</f>
        <v/>
      </c>
    </row>
    <row r="63" ht="12.75" customHeight="1">
      <c r="A63" s="130" t="inlineStr">
        <is>
          <t>2741200</t>
        </is>
      </c>
      <c r="B63" s="1" t="inlineStr">
        <is>
          <t>KLS Te betalen overige kosten</t>
        </is>
      </c>
      <c r="C63" s="293" t="n">
        <v>-13168</v>
      </c>
      <c r="D63" s="302" t="n">
        <v>13168</v>
      </c>
      <c r="E63" s="302" t="n">
        <v>0</v>
      </c>
      <c r="F63" s="302" t="n">
        <v>20000</v>
      </c>
      <c r="G63" s="302" t="n">
        <v>-1083</v>
      </c>
      <c r="H63" s="290">
        <f>SUM(C63:G63)</f>
        <v/>
      </c>
    </row>
    <row r="64" ht="12.75" customHeight="1">
      <c r="A64" s="130" t="inlineStr">
        <is>
          <t>2741900</t>
        </is>
      </c>
      <c r="B64" s="1" t="inlineStr">
        <is>
          <t>KLS Nog uit te zoeken posten MT940</t>
        </is>
      </c>
      <c r="C64" s="293" t="n">
        <v>1</v>
      </c>
      <c r="D64" s="302">
        <f>-1384-4</f>
        <v/>
      </c>
      <c r="E64" s="302">
        <f>1385+1</f>
        <v/>
      </c>
      <c r="F64" s="302" t="n">
        <v>0</v>
      </c>
      <c r="G64" s="302" t="n">
        <v>558</v>
      </c>
      <c r="H64" s="290">
        <f>SUM(C64:G64)</f>
        <v/>
      </c>
    </row>
    <row r="65" ht="12.75" customHeight="1">
      <c r="A65" s="130" t="inlineStr">
        <is>
          <t>2742200</t>
        </is>
      </c>
      <c r="B65" s="1" t="inlineStr">
        <is>
          <t>KLS Vooruitontvangen bedragen</t>
        </is>
      </c>
      <c r="C65" s="293" t="n">
        <v>-140771</v>
      </c>
      <c r="D65" s="302" t="n">
        <v>26143</v>
      </c>
      <c r="E65" s="302" t="n">
        <v>5210</v>
      </c>
      <c r="F65" s="302">
        <f>-20427-5</f>
        <v/>
      </c>
      <c r="G65" s="302" t="n">
        <v>-17605</v>
      </c>
      <c r="H65" s="290">
        <f>SUM(C65:G65)</f>
        <v/>
      </c>
    </row>
    <row r="66" ht="12.75" customHeight="1">
      <c r="A66" s="1" t="inlineStr">
        <is>
          <t>Totaal Overige schulden</t>
        </is>
      </c>
    </row>
    <row r="69" ht="12.75" customHeight="1">
      <c r="A69" s="132" t="inlineStr">
        <is>
          <t>Winst- en verliesrekening (baten zijn positief, kosten negatief)</t>
        </is>
      </c>
    </row>
    <row r="70" ht="12.75" customHeight="1">
      <c r="A70" s="130" t="inlineStr">
        <is>
          <t>8000003</t>
        </is>
      </c>
      <c r="B70" s="1" t="inlineStr">
        <is>
          <t>OPB Netto-omzet Theoretische huuropbrengsten</t>
        </is>
      </c>
      <c r="D70" s="302" t="n">
        <v>-2797626</v>
      </c>
      <c r="E70" s="302" t="n">
        <v>-2785968</v>
      </c>
      <c r="F70" s="302" t="n">
        <v>-2864512</v>
      </c>
      <c r="G70" s="302" t="n">
        <v>-2858133</v>
      </c>
      <c r="H70" s="290">
        <f>SUM(C70:G70)</f>
        <v/>
      </c>
    </row>
    <row r="71" ht="12.75" customHeight="1">
      <c r="A71" s="130" t="inlineStr">
        <is>
          <t>8000004</t>
        </is>
      </c>
      <c r="B71" s="1" t="inlineStr">
        <is>
          <t>OPB Netto-omzet Leegstand huuropbrengsten</t>
        </is>
      </c>
      <c r="D71" s="302" t="n">
        <v>69244</v>
      </c>
      <c r="E71" s="302" t="n">
        <v>52029</v>
      </c>
      <c r="F71" s="302" t="n">
        <v>66870</v>
      </c>
      <c r="G71" s="302" t="n">
        <v>63771</v>
      </c>
      <c r="H71" s="290">
        <f>SUM(C71:G71)</f>
        <v/>
      </c>
    </row>
    <row r="72" ht="12.75" customHeight="1">
      <c r="A72" s="1" t="inlineStr">
        <is>
          <t>Totaal Netto-omzet</t>
        </is>
      </c>
      <c r="D72" s="302">
        <f>SUM(D70:D71)</f>
        <v/>
      </c>
      <c r="E72" s="302">
        <f>SUM(E70:E71)</f>
        <v/>
      </c>
      <c r="F72" s="302">
        <f>SUM(F70:F71)</f>
        <v/>
      </c>
      <c r="G72" s="302">
        <f>SUM(G70:G71)</f>
        <v/>
      </c>
      <c r="H72" s="290">
        <f>SUM(C72:G72)</f>
        <v/>
      </c>
    </row>
    <row r="73" ht="12.75" customHeight="1">
      <c r="H73" s="290">
        <f>SUM(C73:G73)</f>
        <v/>
      </c>
    </row>
    <row r="74" ht="12.75" customHeight="1">
      <c r="A74" s="130" t="inlineStr">
        <is>
          <t>8400600</t>
        </is>
      </c>
      <c r="B74" s="1" t="inlineStr">
        <is>
          <t>OPB Overige bedrijfsopbrengsten Totale servicekosten</t>
        </is>
      </c>
      <c r="D74" s="302" t="n">
        <v>-174608</v>
      </c>
      <c r="E74" s="302" t="n">
        <v>-175044</v>
      </c>
      <c r="F74" s="302" t="n">
        <v>-173416</v>
      </c>
      <c r="G74" s="302" t="n">
        <v>-173087</v>
      </c>
      <c r="H74" s="290">
        <f>SUM(C74:G74)</f>
        <v/>
      </c>
    </row>
    <row r="75" ht="12.75" customHeight="1">
      <c r="A75" s="130" t="inlineStr">
        <is>
          <t>8400700</t>
        </is>
      </c>
      <c r="B75" s="1" t="inlineStr">
        <is>
          <t>OPB Overige bedrijfsopbrengsten Servicekosten leegstand</t>
        </is>
      </c>
      <c r="D75" s="302" t="n">
        <v>10050</v>
      </c>
      <c r="E75" s="302" t="n">
        <v>8634</v>
      </c>
      <c r="F75" s="302" t="n">
        <v>8357</v>
      </c>
      <c r="G75" s="302" t="n">
        <v>29132</v>
      </c>
      <c r="H75" s="290">
        <f>SUM(C75:G75)</f>
        <v/>
      </c>
    </row>
    <row r="76" ht="12.75" customHeight="1">
      <c r="A76" s="130" t="inlineStr">
        <is>
          <t>8400800</t>
        </is>
      </c>
      <c r="B76" s="1" t="inlineStr">
        <is>
          <t>OPB Overige bedrijfsopbrengsten Gerealiseerde servicekosten</t>
        </is>
      </c>
      <c r="D76" s="302" t="n">
        <v>173161</v>
      </c>
      <c r="E76" s="302" t="n">
        <v>178493</v>
      </c>
      <c r="F76" s="302" t="n">
        <v>162849</v>
      </c>
      <c r="G76" s="302" t="n">
        <v>74503</v>
      </c>
      <c r="H76" s="290">
        <f>SUM(C76:G76)</f>
        <v/>
      </c>
    </row>
    <row r="77" ht="12.75" customHeight="1">
      <c r="A77" s="1" t="inlineStr">
        <is>
          <t>Totaal Overige bedrijfsopbrengsten</t>
        </is>
      </c>
      <c r="D77" s="302">
        <f>SUM(D74:D76)</f>
        <v/>
      </c>
      <c r="E77" s="302">
        <f>SUM(E74:E76)</f>
        <v/>
      </c>
      <c r="F77" s="302">
        <f>SUM(F74:F76)</f>
        <v/>
      </c>
      <c r="G77" s="302">
        <f>SUM(G74:G76)</f>
        <v/>
      </c>
      <c r="H77" s="290">
        <f>SUM(C77:G77)</f>
        <v/>
      </c>
    </row>
    <row r="78" ht="12.75" customHeight="1">
      <c r="H78" s="290">
        <f>SUM(C78:G78)</f>
        <v/>
      </c>
    </row>
    <row r="79" ht="12.75" customHeight="1">
      <c r="A79" s="130" t="inlineStr">
        <is>
          <t>4051400</t>
        </is>
      </c>
      <c r="B79" s="1" t="inlineStr">
        <is>
          <t>KN Diensten door derden</t>
        </is>
      </c>
      <c r="D79" s="302" t="n">
        <v>119183</v>
      </c>
      <c r="E79" s="302" t="n">
        <v>118277</v>
      </c>
      <c r="F79" s="302" t="n">
        <v>121669</v>
      </c>
      <c r="G79" s="302" t="n">
        <v>121336</v>
      </c>
      <c r="H79" s="290">
        <f>SUM(C79:G79)</f>
        <v/>
      </c>
    </row>
    <row r="80" ht="12.75" customHeight="1">
      <c r="A80" s="1" t="inlineStr">
        <is>
          <t>Totaal overige personeelskosten</t>
        </is>
      </c>
      <c r="D80" s="302">
        <f>SUM(D79)</f>
        <v/>
      </c>
      <c r="E80" s="302">
        <f>SUM(E79)</f>
        <v/>
      </c>
      <c r="F80" s="302">
        <f>SUM(F79)</f>
        <v/>
      </c>
      <c r="G80" s="302">
        <f>SUM(G79)</f>
        <v/>
      </c>
      <c r="H80" s="290">
        <f>SUM(C80:G80)</f>
        <v/>
      </c>
    </row>
    <row r="81" ht="12.75" customHeight="1">
      <c r="H81" s="290">
        <f>SUM(C81:G81)</f>
        <v/>
      </c>
    </row>
    <row r="82" ht="12.75" customHeight="1">
      <c r="A82" s="130" t="inlineStr">
        <is>
          <t>4730000</t>
        </is>
      </c>
      <c r="B82" s="1" t="inlineStr">
        <is>
          <t>AFKN Afschrijvingskosten Vastgoedbeleggingen</t>
        </is>
      </c>
      <c r="D82" s="302" t="n">
        <v>662362</v>
      </c>
      <c r="E82" s="302" t="n">
        <v>650161</v>
      </c>
      <c r="F82" s="302" t="n">
        <v>653662</v>
      </c>
      <c r="G82" s="302" t="n">
        <v>656408</v>
      </c>
      <c r="H82" s="290">
        <f>SUM(C82:G82)</f>
        <v/>
      </c>
    </row>
    <row r="83" ht="12.75" customHeight="1">
      <c r="A83" s="130" t="inlineStr">
        <is>
          <t>4730200</t>
        </is>
      </c>
      <c r="B83" s="1" t="inlineStr">
        <is>
          <t>AFKN Boekresultaat Vastgoedbeleggingen</t>
        </is>
      </c>
      <c r="D83" s="302" t="n">
        <v>-408986</v>
      </c>
      <c r="E83" s="302" t="n">
        <v>-899982</v>
      </c>
      <c r="F83" s="302" t="n">
        <v>-485647</v>
      </c>
      <c r="G83" s="302" t="n">
        <v>-1058583</v>
      </c>
      <c r="H83" s="290">
        <f>SUM(C83:G83)</f>
        <v/>
      </c>
    </row>
    <row r="84" ht="12.75" customHeight="1">
      <c r="A84" s="1" t="inlineStr">
        <is>
          <t>Totaal Afschrijvingen vastgoedbeleggingen</t>
        </is>
      </c>
      <c r="D84" s="302">
        <f>SUM(D82:D83)</f>
        <v/>
      </c>
      <c r="E84" s="302">
        <f>SUM(E82:E83)</f>
        <v/>
      </c>
      <c r="F84" s="302">
        <f>SUM(F82:F83)</f>
        <v/>
      </c>
      <c r="G84" s="302">
        <f>SUM(G82:G83)</f>
        <v/>
      </c>
      <c r="H84" s="290">
        <f>SUM(C84:G84)</f>
        <v/>
      </c>
    </row>
    <row r="85" ht="12.75" customHeight="1">
      <c r="H85" s="290">
        <f>SUM(C85:G85)</f>
        <v/>
      </c>
    </row>
    <row r="86" ht="12.75" customHeight="1">
      <c r="A86" s="130" t="inlineStr">
        <is>
          <t>4100400</t>
        </is>
      </c>
      <c r="B86" s="1" t="inlineStr">
        <is>
          <t>KN Onderhoud gebouwen</t>
        </is>
      </c>
      <c r="D86" s="302" t="n">
        <v>258876</v>
      </c>
      <c r="E86" s="302" t="n">
        <v>364950</v>
      </c>
      <c r="F86" s="302" t="n">
        <v>473207</v>
      </c>
      <c r="G86" s="302" t="n">
        <v>578341</v>
      </c>
      <c r="H86" s="290">
        <f>SUM(C86:G86)</f>
        <v/>
      </c>
    </row>
    <row r="87" ht="12.75" customHeight="1">
      <c r="A87" s="130" t="inlineStr">
        <is>
          <t>4100410</t>
        </is>
      </c>
      <c r="B87" s="1" t="inlineStr">
        <is>
          <t>Verhuurdersheffing</t>
        </is>
      </c>
      <c r="E87" s="302" t="n">
        <v>671</v>
      </c>
      <c r="F87" s="302" t="n">
        <v>526216</v>
      </c>
      <c r="H87" s="290">
        <f>SUM(C87:G87)</f>
        <v/>
      </c>
    </row>
    <row r="88" ht="12.75" customHeight="1">
      <c r="A88" s="130" t="inlineStr">
        <is>
          <t>4100900</t>
        </is>
      </c>
      <c r="B88" s="1" t="inlineStr">
        <is>
          <t>KN Onroerende zaakbelasting</t>
        </is>
      </c>
      <c r="D88" s="302" t="n">
        <v>97883</v>
      </c>
      <c r="E88" s="302" t="n">
        <v>82857</v>
      </c>
      <c r="F88" s="302" t="n">
        <v>65301</v>
      </c>
      <c r="G88" s="302" t="n">
        <v>65007</v>
      </c>
      <c r="H88" s="290">
        <f>SUM(C88:G88)</f>
        <v/>
      </c>
    </row>
    <row r="89" ht="12.75" customHeight="1">
      <c r="A89" s="130" t="inlineStr">
        <is>
          <t>4101000</t>
        </is>
      </c>
      <c r="B89" s="1" t="inlineStr">
        <is>
          <t>KN VvE-kosten</t>
        </is>
      </c>
      <c r="D89" s="302" t="n">
        <v>131618</v>
      </c>
      <c r="E89" s="302" t="n">
        <v>169899</v>
      </c>
      <c r="F89" s="302" t="n">
        <v>143177</v>
      </c>
      <c r="G89" s="302" t="n">
        <v>9198</v>
      </c>
      <c r="H89" s="290">
        <f>SUM(C89:G89)</f>
        <v/>
      </c>
    </row>
    <row r="90" ht="12.75" customHeight="1">
      <c r="A90" s="130" t="inlineStr">
        <is>
          <t>4101010</t>
        </is>
      </c>
      <c r="B90" s="1" t="inlineStr">
        <is>
          <t>Gemeentelijke belastingen</t>
        </is>
      </c>
      <c r="D90" s="302" t="n">
        <v>29293</v>
      </c>
      <c r="E90" s="302" t="n">
        <v>41233</v>
      </c>
      <c r="F90" s="302" t="n">
        <v>29292</v>
      </c>
      <c r="G90" s="302" t="n">
        <v>29293</v>
      </c>
      <c r="H90" s="290">
        <f>SUM(C90:G90)</f>
        <v/>
      </c>
    </row>
    <row r="91" ht="12.75" customHeight="1">
      <c r="A91" s="130" t="inlineStr">
        <is>
          <t>4101020</t>
        </is>
      </c>
      <c r="B91" s="1" t="inlineStr">
        <is>
          <t>Waterschapsbelasting</t>
        </is>
      </c>
      <c r="D91" s="302" t="n">
        <v>3342</v>
      </c>
      <c r="E91" s="302" t="n">
        <v>48209</v>
      </c>
      <c r="F91" s="302" t="n">
        <v>18196</v>
      </c>
      <c r="G91" s="302" t="n">
        <v>1662</v>
      </c>
      <c r="H91" s="290">
        <f>SUM(C91:G91)</f>
        <v/>
      </c>
    </row>
    <row r="92" ht="12.75" customHeight="1">
      <c r="A92" s="130" t="inlineStr">
        <is>
          <t>4101300</t>
        </is>
      </c>
      <c r="B92" s="1" t="inlineStr">
        <is>
          <t>KN Servicekosten leegstand</t>
        </is>
      </c>
      <c r="D92" s="302" t="n">
        <v>-676</v>
      </c>
      <c r="E92" s="302" t="n">
        <v>41592</v>
      </c>
      <c r="F92" s="302" t="n">
        <v>10273</v>
      </c>
      <c r="G92" s="302" t="n">
        <v>-675</v>
      </c>
      <c r="H92" s="290">
        <f>SUM(C92:G92)</f>
        <v/>
      </c>
    </row>
    <row r="93" ht="12.75" customHeight="1">
      <c r="A93" s="130" t="inlineStr">
        <is>
          <t>4109800</t>
        </is>
      </c>
      <c r="B93" s="1" t="inlineStr">
        <is>
          <t>KN Overige huisvestingskosten</t>
        </is>
      </c>
      <c r="E93" s="302" t="n">
        <v>39569</v>
      </c>
      <c r="F93" s="302" t="n">
        <v>0</v>
      </c>
      <c r="G93" s="302" t="n">
        <v>2153</v>
      </c>
      <c r="H93" s="290">
        <f>SUM(C93:G93)</f>
        <v/>
      </c>
    </row>
    <row r="94" ht="12.75" customHeight="1">
      <c r="A94" s="1" t="inlineStr">
        <is>
          <t>Totaal Huisvestingskosten</t>
        </is>
      </c>
      <c r="D94" s="302">
        <f>SUM(D86:D93)</f>
        <v/>
      </c>
      <c r="E94" s="302">
        <f>SUM(E86:E93)</f>
        <v/>
      </c>
      <c r="F94" s="302">
        <f>SUM(F86:F93)</f>
        <v/>
      </c>
      <c r="G94" s="302">
        <f>SUM(G86:G93)</f>
        <v/>
      </c>
      <c r="H94" s="290">
        <f>SUM(C94:G94)</f>
        <v/>
      </c>
    </row>
    <row r="95" ht="12.75" customHeight="1">
      <c r="H95" s="290">
        <f>SUM(C95:G95)</f>
        <v/>
      </c>
    </row>
    <row r="96" ht="12.75" customHeight="1">
      <c r="A96" s="130" t="inlineStr">
        <is>
          <t>4500400</t>
        </is>
      </c>
      <c r="B96" s="1" t="inlineStr">
        <is>
          <t>KN Representatiekosten</t>
        </is>
      </c>
      <c r="F96" s="302" t="n">
        <v>4200</v>
      </c>
      <c r="G96" s="302" t="n">
        <v>0</v>
      </c>
      <c r="H96" s="290">
        <f>SUM(C96:G96)</f>
        <v/>
      </c>
    </row>
    <row r="97" ht="12.75" customHeight="1">
      <c r="A97" s="130" t="inlineStr">
        <is>
          <t>4501200</t>
        </is>
      </c>
      <c r="B97" s="1" t="inlineStr">
        <is>
          <t>KN Mutatie voorziening dubieuze debiteuren</t>
        </is>
      </c>
      <c r="F97" s="302" t="n">
        <v>0</v>
      </c>
      <c r="G97" s="302" t="n">
        <v>0</v>
      </c>
      <c r="H97" s="290">
        <f>SUM(C97:G97)</f>
        <v/>
      </c>
    </row>
    <row r="98" ht="12.75" customHeight="1">
      <c r="A98" s="130" t="inlineStr">
        <is>
          <t>4501300</t>
        </is>
      </c>
      <c r="B98" s="1" t="inlineStr">
        <is>
          <t>KN Afboeking dubieuze debiteuren</t>
        </is>
      </c>
      <c r="D98" s="302" t="n">
        <v>0</v>
      </c>
      <c r="E98" s="302" t="n">
        <v>-800</v>
      </c>
      <c r="F98" s="302" t="n">
        <v>2282</v>
      </c>
      <c r="G98" s="302" t="n">
        <v>28608</v>
      </c>
      <c r="H98" s="290">
        <f>SUM(C98:G98)</f>
        <v/>
      </c>
    </row>
    <row r="99" ht="12.75" customHeight="1">
      <c r="A99" s="1" t="inlineStr">
        <is>
          <t>Totaal Verkoopkosten</t>
        </is>
      </c>
      <c r="D99" s="302">
        <f>SUM(D96:D98)</f>
        <v/>
      </c>
      <c r="E99" s="302">
        <f>SUM(E96:E98)</f>
        <v/>
      </c>
      <c r="F99" s="302">
        <f>SUM(F96:F98)</f>
        <v/>
      </c>
      <c r="G99" s="302">
        <f>SUM(G96:G98)</f>
        <v/>
      </c>
      <c r="H99" s="290">
        <f>SUM(C99:G99)</f>
        <v/>
      </c>
    </row>
    <row r="100" ht="12.75" customHeight="1">
      <c r="H100" s="290">
        <f>SUM(C100:G100)</f>
        <v/>
      </c>
    </row>
    <row r="101" ht="12.75" customHeight="1">
      <c r="A101" s="130" t="inlineStr">
        <is>
          <t>4300500</t>
        </is>
      </c>
      <c r="B101" s="1" t="inlineStr">
        <is>
          <t>KN Incassokosten</t>
        </is>
      </c>
      <c r="D101" s="302" t="n">
        <v>837</v>
      </c>
      <c r="E101" s="302" t="n">
        <v>0</v>
      </c>
      <c r="F101" s="302" t="n">
        <v>0</v>
      </c>
      <c r="G101" s="302" t="n">
        <v>0</v>
      </c>
      <c r="H101" s="290">
        <f>SUM(C101:G101)</f>
        <v/>
      </c>
    </row>
    <row r="102" ht="12.75" customHeight="1">
      <c r="A102" s="1" t="inlineStr">
        <is>
          <t>Totaal Kantoorkosten</t>
        </is>
      </c>
      <c r="D102" s="302">
        <f>SUM(D101)</f>
        <v/>
      </c>
      <c r="E102" s="302" t="n">
        <v>0</v>
      </c>
      <c r="F102" s="302">
        <f>SUM(F101)</f>
        <v/>
      </c>
      <c r="G102" s="302" t="n">
        <v>-590</v>
      </c>
      <c r="H102" s="290">
        <f>SUM(C102:G102)</f>
        <v/>
      </c>
    </row>
    <row r="103" ht="12.75" customHeight="1">
      <c r="H103" s="290">
        <f>SUM(C103:G103)</f>
        <v/>
      </c>
    </row>
    <row r="104" ht="12.75" customHeight="1">
      <c r="A104" s="130" t="inlineStr">
        <is>
          <t>4310000</t>
        </is>
      </c>
      <c r="B104" s="1" t="inlineStr">
        <is>
          <t>KN Abonnementen en contributies</t>
        </is>
      </c>
      <c r="D104" s="302" t="n">
        <v>0</v>
      </c>
      <c r="E104" s="302" t="n">
        <v>4385</v>
      </c>
      <c r="F104" s="302" t="n">
        <v>0</v>
      </c>
      <c r="G104" s="302" t="n">
        <v>0</v>
      </c>
      <c r="H104" s="290">
        <f>SUM(C104:G104)</f>
        <v/>
      </c>
    </row>
    <row r="105" ht="12.75" customHeight="1">
      <c r="A105" s="130" t="inlineStr">
        <is>
          <t>4310400</t>
        </is>
      </c>
      <c r="B105" s="1" t="inlineStr">
        <is>
          <t>KN Assurantiepremie algemeen</t>
        </is>
      </c>
      <c r="D105" s="302" t="n">
        <v>18526</v>
      </c>
      <c r="E105" s="302" t="n">
        <v>28966</v>
      </c>
      <c r="F105" s="302" t="n">
        <v>28072</v>
      </c>
      <c r="G105" s="302" t="n">
        <v>13908</v>
      </c>
      <c r="H105" s="290">
        <f>SUM(C105:G105)</f>
        <v/>
      </c>
    </row>
    <row r="106" ht="12.75" customHeight="1">
      <c r="A106" s="130" t="inlineStr">
        <is>
          <t>4310500</t>
        </is>
      </c>
      <c r="B106" s="1" t="inlineStr">
        <is>
          <t>KN Managementvergoeding</t>
        </is>
      </c>
      <c r="D106" s="302" t="n">
        <v>5445</v>
      </c>
      <c r="E106" s="302" t="n">
        <v>5445</v>
      </c>
      <c r="F106" s="302" t="n">
        <v>5445</v>
      </c>
      <c r="G106" s="302" t="n">
        <v>5445</v>
      </c>
      <c r="H106" s="290">
        <f>SUM(C106:G106)</f>
        <v/>
      </c>
    </row>
    <row r="107" ht="12.75" customHeight="1">
      <c r="A107" s="130" t="inlineStr">
        <is>
          <t>4310600</t>
        </is>
      </c>
      <c r="B107" s="1" t="inlineStr">
        <is>
          <t>KN Accountantskosten</t>
        </is>
      </c>
      <c r="D107" s="302" t="n">
        <v>14811</v>
      </c>
      <c r="E107" s="302" t="n">
        <v>54033</v>
      </c>
      <c r="F107" s="302" t="n">
        <v>16927</v>
      </c>
      <c r="G107" s="302" t="n">
        <v>21556</v>
      </c>
      <c r="H107" s="290">
        <f>SUM(C107:G107)</f>
        <v/>
      </c>
    </row>
    <row r="108" ht="12.75" customHeight="1">
      <c r="A108" s="130" t="inlineStr">
        <is>
          <t>4310700</t>
        </is>
      </c>
      <c r="B108" s="1" t="inlineStr">
        <is>
          <t>KN Administratiekosten</t>
        </is>
      </c>
      <c r="D108" s="302" t="n">
        <v>1384</v>
      </c>
      <c r="E108" s="302" t="n">
        <v>1210</v>
      </c>
      <c r="F108" s="302" t="n">
        <v>0</v>
      </c>
      <c r="G108" s="302" t="n">
        <v>1210</v>
      </c>
      <c r="H108" s="290">
        <f>SUM(C108:G108)</f>
        <v/>
      </c>
    </row>
    <row r="109" ht="12.75" customHeight="1">
      <c r="A109" s="130" t="inlineStr">
        <is>
          <t>4310800</t>
        </is>
      </c>
      <c r="B109" s="1" t="inlineStr">
        <is>
          <t>KN Makelaarskosten</t>
        </is>
      </c>
      <c r="D109" s="302" t="n">
        <v>66316</v>
      </c>
      <c r="E109" s="302" t="n">
        <v>85400</v>
      </c>
      <c r="F109" s="302" t="n">
        <v>39079</v>
      </c>
      <c r="G109" s="302" t="n">
        <v>53976</v>
      </c>
      <c r="H109" s="290">
        <f>SUM(C109:G109)</f>
        <v/>
      </c>
    </row>
    <row r="110" ht="12.75" customHeight="1">
      <c r="A110" s="130" t="inlineStr">
        <is>
          <t>4311000</t>
        </is>
      </c>
      <c r="B110" s="1" t="inlineStr">
        <is>
          <t>KN Juridische kosten</t>
        </is>
      </c>
      <c r="D110" s="302" t="n">
        <v>23162</v>
      </c>
      <c r="E110" s="302" t="n">
        <v>7816</v>
      </c>
      <c r="F110" s="302" t="n">
        <v>37004</v>
      </c>
      <c r="G110" s="302" t="n">
        <v>6268</v>
      </c>
      <c r="H110" s="290">
        <f>SUM(C110:G110)</f>
        <v/>
      </c>
    </row>
    <row r="111" ht="12.75" customHeight="1">
      <c r="A111" s="130" t="inlineStr">
        <is>
          <t>4311800</t>
        </is>
      </c>
      <c r="B111" s="1" t="inlineStr">
        <is>
          <t>KN Advieskosten</t>
        </is>
      </c>
      <c r="D111" s="302" t="n">
        <v>0</v>
      </c>
      <c r="E111" s="302" t="n">
        <v>0</v>
      </c>
      <c r="F111" s="302" t="n">
        <v>0</v>
      </c>
      <c r="G111" s="302" t="n">
        <v>0</v>
      </c>
      <c r="H111" s="290">
        <f>SUM(C111:G111)</f>
        <v/>
      </c>
    </row>
    <row r="112" ht="12.75" customHeight="1">
      <c r="A112" s="130" t="inlineStr">
        <is>
          <t>4311900</t>
        </is>
      </c>
      <c r="B112" s="1" t="inlineStr">
        <is>
          <t>KN Bankkosten</t>
        </is>
      </c>
      <c r="D112" s="302" t="n">
        <v>1306</v>
      </c>
      <c r="E112" s="302" t="n">
        <v>1261</v>
      </c>
      <c r="F112" s="302" t="n">
        <v>1391</v>
      </c>
      <c r="G112" s="302">
        <f>1317-2</f>
        <v/>
      </c>
      <c r="H112" s="290">
        <f>SUM(C112:G112)</f>
        <v/>
      </c>
    </row>
    <row r="113" ht="12.75" customHeight="1">
      <c r="A113" s="130" t="inlineStr">
        <is>
          <t>4312600</t>
        </is>
      </c>
      <c r="B113" s="1" t="inlineStr">
        <is>
          <t>KN Agent Fee facility</t>
        </is>
      </c>
      <c r="D113" s="302" t="n">
        <v>0</v>
      </c>
      <c r="F113" s="302" t="n">
        <v>20000</v>
      </c>
      <c r="G113" s="302" t="n">
        <v>0</v>
      </c>
      <c r="H113" s="290">
        <f>SUM(C113:G113)</f>
        <v/>
      </c>
    </row>
    <row r="114" ht="12.75" customHeight="1">
      <c r="A114" s="130" t="inlineStr">
        <is>
          <t>4319800</t>
        </is>
      </c>
      <c r="B114" s="1" t="inlineStr">
        <is>
          <t>KN Overige algemene kosten</t>
        </is>
      </c>
      <c r="D114" s="302" t="n">
        <v>2680</v>
      </c>
      <c r="E114" s="302">
        <f>561+2</f>
        <v/>
      </c>
      <c r="F114" s="302" t="n">
        <v>1210</v>
      </c>
      <c r="G114" s="302" t="n">
        <v>100</v>
      </c>
      <c r="H114" s="290">
        <f>SUM(C114:G114)</f>
        <v/>
      </c>
    </row>
    <row r="115" ht="12.75" customHeight="1">
      <c r="A115" s="1" t="inlineStr">
        <is>
          <t>Totaal Algemene kosten</t>
        </is>
      </c>
      <c r="D115" s="302">
        <f>SUM(D104:D114)</f>
        <v/>
      </c>
      <c r="E115" s="302">
        <f>SUM(E104:E114)</f>
        <v/>
      </c>
      <c r="F115" s="302">
        <f>SUM(F104:F114)+2</f>
        <v/>
      </c>
      <c r="G115" s="302">
        <f>SUM(G104:G114)</f>
        <v/>
      </c>
      <c r="H115" s="290">
        <f>SUM(C115:G115)</f>
        <v/>
      </c>
    </row>
    <row r="116" ht="12.75" customHeight="1">
      <c r="H116" s="290">
        <f>SUM(C116:G116)</f>
        <v/>
      </c>
    </row>
    <row r="117" ht="12.75" customHeight="1">
      <c r="A117" s="130" t="inlineStr">
        <is>
          <t>4623000</t>
        </is>
      </c>
      <c r="B117" s="1" t="inlineStr">
        <is>
          <t>FINBL Rente ABN AMRO Bank NV leningen</t>
        </is>
      </c>
      <c r="D117" s="302" t="n">
        <v>0</v>
      </c>
      <c r="E117" s="302" t="n">
        <v>0</v>
      </c>
      <c r="F117" s="302" t="n">
        <v>0</v>
      </c>
      <c r="G117" s="302" t="n">
        <v>0</v>
      </c>
      <c r="H117" s="290">
        <f>SUM(C117:G117)</f>
        <v/>
      </c>
    </row>
    <row r="118" ht="12.75" customHeight="1">
      <c r="A118" s="130" t="inlineStr">
        <is>
          <t>4623001</t>
        </is>
      </c>
      <c r="B118" s="1" t="inlineStr">
        <is>
          <t>FINBL Rente ABN AMRO Bank NV Senior Facility Agreement</t>
        </is>
      </c>
      <c r="D118" s="302" t="n">
        <v>503883</v>
      </c>
      <c r="E118" s="302" t="n">
        <v>513800</v>
      </c>
      <c r="F118" s="302" t="n">
        <v>486625</v>
      </c>
      <c r="G118" s="302" t="n">
        <v>473890</v>
      </c>
      <c r="H118" s="290">
        <f>SUM(C118:G118)</f>
        <v/>
      </c>
    </row>
    <row r="119" ht="12.75" customHeight="1">
      <c r="A119" s="130" t="inlineStr">
        <is>
          <t>4628001</t>
        </is>
      </c>
      <c r="B119" s="1" t="inlineStr">
        <is>
          <t>FINBL Rente LLS QSPESS Limited</t>
        </is>
      </c>
      <c r="D119" s="302" t="n">
        <v>0</v>
      </c>
      <c r="E119" s="302" t="n">
        <v>0</v>
      </c>
      <c r="F119" s="302" t="n">
        <v>0</v>
      </c>
      <c r="G119" s="302" t="n">
        <v>0</v>
      </c>
      <c r="H119" s="290">
        <f>SUM(C119:G119)</f>
        <v/>
      </c>
    </row>
    <row r="120" ht="12.75" customHeight="1">
      <c r="A120" s="130" t="n">
        <v>4630000</v>
      </c>
      <c r="B120" s="1" t="inlineStr">
        <is>
          <t>FINBL Rente belastingen</t>
        </is>
      </c>
      <c r="D120" s="302" t="n">
        <v>0</v>
      </c>
      <c r="E120" s="302" t="n">
        <v>0</v>
      </c>
      <c r="F120" s="302" t="n">
        <v>0</v>
      </c>
      <c r="G120" s="302" t="n">
        <v>0</v>
      </c>
      <c r="H120" s="290">
        <f>SUM(C120:G120)</f>
        <v/>
      </c>
    </row>
    <row r="121" ht="12.75" customHeight="1">
      <c r="A121" s="130" t="inlineStr">
        <is>
          <t>4643000</t>
        </is>
      </c>
      <c r="B121" s="1" t="inlineStr">
        <is>
          <t>FINBL Overige rentelasten</t>
        </is>
      </c>
      <c r="D121" s="302" t="n">
        <v>105863</v>
      </c>
      <c r="E121" s="302" t="n">
        <v>108774</v>
      </c>
      <c r="F121" s="302" t="n">
        <v>111640</v>
      </c>
      <c r="G121" s="302" t="n">
        <v>108560</v>
      </c>
      <c r="H121" s="290">
        <f>SUM(C121:G121)</f>
        <v/>
      </c>
    </row>
    <row r="122" ht="12.75" customHeight="1">
      <c r="A122" s="130" t="inlineStr">
        <is>
          <t>Totaal Financiële baten en lasten</t>
        </is>
      </c>
      <c r="D122" s="302">
        <f>SUM(D117:D121)</f>
        <v/>
      </c>
      <c r="E122" s="302">
        <f>SUM(E117:E121)</f>
        <v/>
      </c>
      <c r="F122" s="302">
        <f>SUM(F117:F121)</f>
        <v/>
      </c>
      <c r="G122" s="302">
        <f>SUM(G117:G121)</f>
        <v/>
      </c>
      <c r="H122" s="290">
        <f>SUM(C122:G122)</f>
        <v/>
      </c>
    </row>
    <row r="123" ht="12.75" customHeight="1">
      <c r="H123" s="290">
        <f>SUM(C123:G123)</f>
        <v/>
      </c>
    </row>
    <row r="124" ht="12.75" customHeight="1">
      <c r="A124" s="130" t="inlineStr">
        <is>
          <t>9510000</t>
        </is>
      </c>
      <c r="B124" s="1" t="inlineStr">
        <is>
          <t>VPB Mutatie belastinglatentie Mutatie actieve latentie</t>
        </is>
      </c>
      <c r="D124" s="302" t="n">
        <v>-168662</v>
      </c>
      <c r="E124" s="302" t="n">
        <v>-142232</v>
      </c>
      <c r="F124" s="302" t="n">
        <v>-153794</v>
      </c>
      <c r="G124" s="302" t="n">
        <v>-129418</v>
      </c>
      <c r="H124" s="290">
        <f>SUM(C124:G124)</f>
        <v/>
      </c>
    </row>
    <row r="125" ht="12.75" customHeight="1">
      <c r="A125" s="130" t="n">
        <v>9500100</v>
      </c>
      <c r="B125" s="1" t="inlineStr">
        <is>
          <t>VPB Vennootschapsbelasting VPB voorgaande jaren</t>
        </is>
      </c>
      <c r="F125" s="302" t="n">
        <v>0</v>
      </c>
      <c r="H125" s="290">
        <f>SUM(C125:G125)</f>
        <v/>
      </c>
    </row>
    <row r="126" ht="12.75" customHeight="1">
      <c r="A126" s="130" t="inlineStr">
        <is>
          <t>Totaal vennootschapsbelasting</t>
        </is>
      </c>
      <c r="D126" s="302">
        <f>SUM(D124:D125)</f>
        <v/>
      </c>
      <c r="E126" s="302">
        <f>SUM(E124:E125)</f>
        <v/>
      </c>
      <c r="F126" s="302">
        <f>SUM(F124:F125)</f>
        <v/>
      </c>
      <c r="G126" s="302">
        <f>SUM(G124:G125)</f>
        <v/>
      </c>
      <c r="H126" s="290">
        <f>SUM(C126:G126)</f>
        <v/>
      </c>
    </row>
    <row r="127" ht="12.75" customHeight="1">
      <c r="H127" s="290">
        <f>SUM(C127:G127)</f>
        <v/>
      </c>
    </row>
    <row r="128" ht="12.75" customHeight="1">
      <c r="A128" s="1" t="inlineStr">
        <is>
          <t>Resultaat na belasting</t>
        </is>
      </c>
      <c r="D128" s="302">
        <f>D72+D77+D80+D84+D94+D99+D102+D115+D122+D126</f>
        <v/>
      </c>
      <c r="E128" s="302">
        <f>E72+E77+E80+E84+E94+E99+E102+E115+E122+E126</f>
        <v/>
      </c>
      <c r="F128" s="302">
        <f>F72+F77+F80+F84+F94+F99+F102+F115+F122+F126</f>
        <v/>
      </c>
      <c r="G128" s="302">
        <f>G72+G77+G80+G84+G94+G99+G102+G115+G122+G126</f>
        <v/>
      </c>
      <c r="H128" s="290">
        <f>SUM(C128:G128)</f>
        <v/>
      </c>
    </row>
    <row r="130" ht="12.75" customHeight="1">
      <c r="D130" s="293">
        <f>SUM(D4:D66)+D128</f>
        <v/>
      </c>
      <c r="E130" s="293">
        <f>SUM(E4:E66)+E128</f>
        <v/>
      </c>
      <c r="F130" s="293">
        <f>SUM(F4:F66)+F128</f>
        <v/>
      </c>
      <c r="G130" s="293">
        <f>SUM(G4:G66)+G128</f>
        <v/>
      </c>
      <c r="H130" s="293">
        <f>SUM(H4:H66)+H128</f>
        <v/>
      </c>
    </row>
    <row r="132" ht="12.75" customHeight="1">
      <c r="H132" s="290">
        <f>H72+H77+H80+H84+H94+H102+H99+H115+H122+H126</f>
        <v/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0"/>
  <sheetViews>
    <sheetView topLeftCell="B12" zoomScale="94" zoomScaleNormal="100" workbookViewId="0">
      <selection activeCell="H88" sqref="H88"/>
    </sheetView>
  </sheetViews>
  <sheetFormatPr baseColWidth="8" defaultRowHeight="12.75" customHeight="1"/>
  <cols>
    <col width="21.109375" bestFit="1" customWidth="1" style="130" min="1" max="1"/>
    <col width="70" bestFit="1" customWidth="1" style="1" min="2" max="2"/>
    <col width="22.6640625" customWidth="1" style="302" min="3" max="3"/>
    <col width="22.44140625" bestFit="1" customWidth="1" style="302" min="4" max="4"/>
    <col width="22.44140625" customWidth="1" style="302" min="5" max="6"/>
    <col width="22.44140625" customWidth="1" style="307" min="7" max="7"/>
    <col width="18.33203125" bestFit="1" customWidth="1" style="308" min="8" max="8"/>
    <col width="11.88671875" customWidth="1" style="1" min="9" max="9"/>
    <col width="22.44140625" customWidth="1" style="293" min="10" max="10"/>
    <col width="9.109375" customWidth="1" style="1" min="11" max="256"/>
    <col width="21.109375" bestFit="1" customWidth="1" style="1" min="257" max="257"/>
    <col width="70" bestFit="1" customWidth="1" style="1" min="258" max="258"/>
    <col width="22.6640625" customWidth="1" style="1" min="259" max="259"/>
    <col width="22.44140625" bestFit="1" customWidth="1" style="1" min="260" max="260"/>
    <col width="22.44140625" customWidth="1" style="1" min="261" max="263"/>
    <col width="18.33203125" bestFit="1" customWidth="1" style="1" min="264" max="264"/>
    <col width="11.88671875" customWidth="1" style="1" min="265" max="265"/>
    <col width="22.44140625" customWidth="1" style="1" min="266" max="266"/>
    <col width="9.109375" customWidth="1" style="1" min="267" max="512"/>
    <col width="21.109375" bestFit="1" customWidth="1" style="1" min="513" max="513"/>
    <col width="70" bestFit="1" customWidth="1" style="1" min="514" max="514"/>
    <col width="22.6640625" customWidth="1" style="1" min="515" max="515"/>
    <col width="22.44140625" bestFit="1" customWidth="1" style="1" min="516" max="516"/>
    <col width="22.44140625" customWidth="1" style="1" min="517" max="519"/>
    <col width="18.33203125" bestFit="1" customWidth="1" style="1" min="520" max="520"/>
    <col width="11.88671875" customWidth="1" style="1" min="521" max="521"/>
    <col width="22.44140625" customWidth="1" style="1" min="522" max="522"/>
    <col width="9.109375" customWidth="1" style="1" min="523" max="768"/>
    <col width="21.109375" bestFit="1" customWidth="1" style="1" min="769" max="769"/>
    <col width="70" bestFit="1" customWidth="1" style="1" min="770" max="770"/>
    <col width="22.6640625" customWidth="1" style="1" min="771" max="771"/>
    <col width="22.44140625" bestFit="1" customWidth="1" style="1" min="772" max="772"/>
    <col width="22.44140625" customWidth="1" style="1" min="773" max="775"/>
    <col width="18.33203125" bestFit="1" customWidth="1" style="1" min="776" max="776"/>
    <col width="11.88671875" customWidth="1" style="1" min="777" max="777"/>
    <col width="22.44140625" customWidth="1" style="1" min="778" max="778"/>
    <col width="9.109375" customWidth="1" style="1" min="779" max="1024"/>
    <col width="21.109375" bestFit="1" customWidth="1" style="1" min="1025" max="1025"/>
    <col width="70" bestFit="1" customWidth="1" style="1" min="1026" max="1026"/>
    <col width="22.6640625" customWidth="1" style="1" min="1027" max="1027"/>
    <col width="22.44140625" bestFit="1" customWidth="1" style="1" min="1028" max="1028"/>
    <col width="22.44140625" customWidth="1" style="1" min="1029" max="1031"/>
    <col width="18.33203125" bestFit="1" customWidth="1" style="1" min="1032" max="1032"/>
    <col width="11.88671875" customWidth="1" style="1" min="1033" max="1033"/>
    <col width="22.44140625" customWidth="1" style="1" min="1034" max="1034"/>
    <col width="9.109375" customWidth="1" style="1" min="1035" max="1280"/>
    <col width="21.109375" bestFit="1" customWidth="1" style="1" min="1281" max="1281"/>
    <col width="70" bestFit="1" customWidth="1" style="1" min="1282" max="1282"/>
    <col width="22.6640625" customWidth="1" style="1" min="1283" max="1283"/>
    <col width="22.44140625" bestFit="1" customWidth="1" style="1" min="1284" max="1284"/>
    <col width="22.44140625" customWidth="1" style="1" min="1285" max="1287"/>
    <col width="18.33203125" bestFit="1" customWidth="1" style="1" min="1288" max="1288"/>
    <col width="11.88671875" customWidth="1" style="1" min="1289" max="1289"/>
    <col width="22.44140625" customWidth="1" style="1" min="1290" max="1290"/>
    <col width="9.109375" customWidth="1" style="1" min="1291" max="1536"/>
    <col width="21.109375" bestFit="1" customWidth="1" style="1" min="1537" max="1537"/>
    <col width="70" bestFit="1" customWidth="1" style="1" min="1538" max="1538"/>
    <col width="22.6640625" customWidth="1" style="1" min="1539" max="1539"/>
    <col width="22.44140625" bestFit="1" customWidth="1" style="1" min="1540" max="1540"/>
    <col width="22.44140625" customWidth="1" style="1" min="1541" max="1543"/>
    <col width="18.33203125" bestFit="1" customWidth="1" style="1" min="1544" max="1544"/>
    <col width="11.88671875" customWidth="1" style="1" min="1545" max="1545"/>
    <col width="22.44140625" customWidth="1" style="1" min="1546" max="1546"/>
    <col width="9.109375" customWidth="1" style="1" min="1547" max="1792"/>
    <col width="21.109375" bestFit="1" customWidth="1" style="1" min="1793" max="1793"/>
    <col width="70" bestFit="1" customWidth="1" style="1" min="1794" max="1794"/>
    <col width="22.6640625" customWidth="1" style="1" min="1795" max="1795"/>
    <col width="22.44140625" bestFit="1" customWidth="1" style="1" min="1796" max="1796"/>
    <col width="22.44140625" customWidth="1" style="1" min="1797" max="1799"/>
    <col width="18.33203125" bestFit="1" customWidth="1" style="1" min="1800" max="1800"/>
    <col width="11.88671875" customWidth="1" style="1" min="1801" max="1801"/>
    <col width="22.44140625" customWidth="1" style="1" min="1802" max="1802"/>
    <col width="9.109375" customWidth="1" style="1" min="1803" max="2048"/>
    <col width="21.109375" bestFit="1" customWidth="1" style="1" min="2049" max="2049"/>
    <col width="70" bestFit="1" customWidth="1" style="1" min="2050" max="2050"/>
    <col width="22.6640625" customWidth="1" style="1" min="2051" max="2051"/>
    <col width="22.44140625" bestFit="1" customWidth="1" style="1" min="2052" max="2052"/>
    <col width="22.44140625" customWidth="1" style="1" min="2053" max="2055"/>
    <col width="18.33203125" bestFit="1" customWidth="1" style="1" min="2056" max="2056"/>
    <col width="11.88671875" customWidth="1" style="1" min="2057" max="2057"/>
    <col width="22.44140625" customWidth="1" style="1" min="2058" max="2058"/>
    <col width="9.109375" customWidth="1" style="1" min="2059" max="2304"/>
    <col width="21.109375" bestFit="1" customWidth="1" style="1" min="2305" max="2305"/>
    <col width="70" bestFit="1" customWidth="1" style="1" min="2306" max="2306"/>
    <col width="22.6640625" customWidth="1" style="1" min="2307" max="2307"/>
    <col width="22.44140625" bestFit="1" customWidth="1" style="1" min="2308" max="2308"/>
    <col width="22.44140625" customWidth="1" style="1" min="2309" max="2311"/>
    <col width="18.33203125" bestFit="1" customWidth="1" style="1" min="2312" max="2312"/>
    <col width="11.88671875" customWidth="1" style="1" min="2313" max="2313"/>
    <col width="22.44140625" customWidth="1" style="1" min="2314" max="2314"/>
    <col width="9.109375" customWidth="1" style="1" min="2315" max="2560"/>
    <col width="21.109375" bestFit="1" customWidth="1" style="1" min="2561" max="2561"/>
    <col width="70" bestFit="1" customWidth="1" style="1" min="2562" max="2562"/>
    <col width="22.6640625" customWidth="1" style="1" min="2563" max="2563"/>
    <col width="22.44140625" bestFit="1" customWidth="1" style="1" min="2564" max="2564"/>
    <col width="22.44140625" customWidth="1" style="1" min="2565" max="2567"/>
    <col width="18.33203125" bestFit="1" customWidth="1" style="1" min="2568" max="2568"/>
    <col width="11.88671875" customWidth="1" style="1" min="2569" max="2569"/>
    <col width="22.44140625" customWidth="1" style="1" min="2570" max="2570"/>
    <col width="9.109375" customWidth="1" style="1" min="2571" max="2816"/>
    <col width="21.109375" bestFit="1" customWidth="1" style="1" min="2817" max="2817"/>
    <col width="70" bestFit="1" customWidth="1" style="1" min="2818" max="2818"/>
    <col width="22.6640625" customWidth="1" style="1" min="2819" max="2819"/>
    <col width="22.44140625" bestFit="1" customWidth="1" style="1" min="2820" max="2820"/>
    <col width="22.44140625" customWidth="1" style="1" min="2821" max="2823"/>
    <col width="18.33203125" bestFit="1" customWidth="1" style="1" min="2824" max="2824"/>
    <col width="11.88671875" customWidth="1" style="1" min="2825" max="2825"/>
    <col width="22.44140625" customWidth="1" style="1" min="2826" max="2826"/>
    <col width="9.109375" customWidth="1" style="1" min="2827" max="3072"/>
    <col width="21.109375" bestFit="1" customWidth="1" style="1" min="3073" max="3073"/>
    <col width="70" bestFit="1" customWidth="1" style="1" min="3074" max="3074"/>
    <col width="22.6640625" customWidth="1" style="1" min="3075" max="3075"/>
    <col width="22.44140625" bestFit="1" customWidth="1" style="1" min="3076" max="3076"/>
    <col width="22.44140625" customWidth="1" style="1" min="3077" max="3079"/>
    <col width="18.33203125" bestFit="1" customWidth="1" style="1" min="3080" max="3080"/>
    <col width="11.88671875" customWidth="1" style="1" min="3081" max="3081"/>
    <col width="22.44140625" customWidth="1" style="1" min="3082" max="3082"/>
    <col width="9.109375" customWidth="1" style="1" min="3083" max="3328"/>
    <col width="21.109375" bestFit="1" customWidth="1" style="1" min="3329" max="3329"/>
    <col width="70" bestFit="1" customWidth="1" style="1" min="3330" max="3330"/>
    <col width="22.6640625" customWidth="1" style="1" min="3331" max="3331"/>
    <col width="22.44140625" bestFit="1" customWidth="1" style="1" min="3332" max="3332"/>
    <col width="22.44140625" customWidth="1" style="1" min="3333" max="3335"/>
    <col width="18.33203125" bestFit="1" customWidth="1" style="1" min="3336" max="3336"/>
    <col width="11.88671875" customWidth="1" style="1" min="3337" max="3337"/>
    <col width="22.44140625" customWidth="1" style="1" min="3338" max="3338"/>
    <col width="9.109375" customWidth="1" style="1" min="3339" max="3584"/>
    <col width="21.109375" bestFit="1" customWidth="1" style="1" min="3585" max="3585"/>
    <col width="70" bestFit="1" customWidth="1" style="1" min="3586" max="3586"/>
    <col width="22.6640625" customWidth="1" style="1" min="3587" max="3587"/>
    <col width="22.44140625" bestFit="1" customWidth="1" style="1" min="3588" max="3588"/>
    <col width="22.44140625" customWidth="1" style="1" min="3589" max="3591"/>
    <col width="18.33203125" bestFit="1" customWidth="1" style="1" min="3592" max="3592"/>
    <col width="11.88671875" customWidth="1" style="1" min="3593" max="3593"/>
    <col width="22.44140625" customWidth="1" style="1" min="3594" max="3594"/>
    <col width="9.109375" customWidth="1" style="1" min="3595" max="3840"/>
    <col width="21.109375" bestFit="1" customWidth="1" style="1" min="3841" max="3841"/>
    <col width="70" bestFit="1" customWidth="1" style="1" min="3842" max="3842"/>
    <col width="22.6640625" customWidth="1" style="1" min="3843" max="3843"/>
    <col width="22.44140625" bestFit="1" customWidth="1" style="1" min="3844" max="3844"/>
    <col width="22.44140625" customWidth="1" style="1" min="3845" max="3847"/>
    <col width="18.33203125" bestFit="1" customWidth="1" style="1" min="3848" max="3848"/>
    <col width="11.88671875" customWidth="1" style="1" min="3849" max="3849"/>
    <col width="22.44140625" customWidth="1" style="1" min="3850" max="3850"/>
    <col width="9.109375" customWidth="1" style="1" min="3851" max="4096"/>
    <col width="21.109375" bestFit="1" customWidth="1" style="1" min="4097" max="4097"/>
    <col width="70" bestFit="1" customWidth="1" style="1" min="4098" max="4098"/>
    <col width="22.6640625" customWidth="1" style="1" min="4099" max="4099"/>
    <col width="22.44140625" bestFit="1" customWidth="1" style="1" min="4100" max="4100"/>
    <col width="22.44140625" customWidth="1" style="1" min="4101" max="4103"/>
    <col width="18.33203125" bestFit="1" customWidth="1" style="1" min="4104" max="4104"/>
    <col width="11.88671875" customWidth="1" style="1" min="4105" max="4105"/>
    <col width="22.44140625" customWidth="1" style="1" min="4106" max="4106"/>
    <col width="9.109375" customWidth="1" style="1" min="4107" max="4352"/>
    <col width="21.109375" bestFit="1" customWidth="1" style="1" min="4353" max="4353"/>
    <col width="70" bestFit="1" customWidth="1" style="1" min="4354" max="4354"/>
    <col width="22.6640625" customWidth="1" style="1" min="4355" max="4355"/>
    <col width="22.44140625" bestFit="1" customWidth="1" style="1" min="4356" max="4356"/>
    <col width="22.44140625" customWidth="1" style="1" min="4357" max="4359"/>
    <col width="18.33203125" bestFit="1" customWidth="1" style="1" min="4360" max="4360"/>
    <col width="11.88671875" customWidth="1" style="1" min="4361" max="4361"/>
    <col width="22.44140625" customWidth="1" style="1" min="4362" max="4362"/>
    <col width="9.109375" customWidth="1" style="1" min="4363" max="4608"/>
    <col width="21.109375" bestFit="1" customWidth="1" style="1" min="4609" max="4609"/>
    <col width="70" bestFit="1" customWidth="1" style="1" min="4610" max="4610"/>
    <col width="22.6640625" customWidth="1" style="1" min="4611" max="4611"/>
    <col width="22.44140625" bestFit="1" customWidth="1" style="1" min="4612" max="4612"/>
    <col width="22.44140625" customWidth="1" style="1" min="4613" max="4615"/>
    <col width="18.33203125" bestFit="1" customWidth="1" style="1" min="4616" max="4616"/>
    <col width="11.88671875" customWidth="1" style="1" min="4617" max="4617"/>
    <col width="22.44140625" customWidth="1" style="1" min="4618" max="4618"/>
    <col width="9.109375" customWidth="1" style="1" min="4619" max="4864"/>
    <col width="21.109375" bestFit="1" customWidth="1" style="1" min="4865" max="4865"/>
    <col width="70" bestFit="1" customWidth="1" style="1" min="4866" max="4866"/>
    <col width="22.6640625" customWidth="1" style="1" min="4867" max="4867"/>
    <col width="22.44140625" bestFit="1" customWidth="1" style="1" min="4868" max="4868"/>
    <col width="22.44140625" customWidth="1" style="1" min="4869" max="4871"/>
    <col width="18.33203125" bestFit="1" customWidth="1" style="1" min="4872" max="4872"/>
    <col width="11.88671875" customWidth="1" style="1" min="4873" max="4873"/>
    <col width="22.44140625" customWidth="1" style="1" min="4874" max="4874"/>
    <col width="9.109375" customWidth="1" style="1" min="4875" max="5120"/>
    <col width="21.109375" bestFit="1" customWidth="1" style="1" min="5121" max="5121"/>
    <col width="70" bestFit="1" customWidth="1" style="1" min="5122" max="5122"/>
    <col width="22.6640625" customWidth="1" style="1" min="5123" max="5123"/>
    <col width="22.44140625" bestFit="1" customWidth="1" style="1" min="5124" max="5124"/>
    <col width="22.44140625" customWidth="1" style="1" min="5125" max="5127"/>
    <col width="18.33203125" bestFit="1" customWidth="1" style="1" min="5128" max="5128"/>
    <col width="11.88671875" customWidth="1" style="1" min="5129" max="5129"/>
    <col width="22.44140625" customWidth="1" style="1" min="5130" max="5130"/>
    <col width="9.109375" customWidth="1" style="1" min="5131" max="5376"/>
    <col width="21.109375" bestFit="1" customWidth="1" style="1" min="5377" max="5377"/>
    <col width="70" bestFit="1" customWidth="1" style="1" min="5378" max="5378"/>
    <col width="22.6640625" customWidth="1" style="1" min="5379" max="5379"/>
    <col width="22.44140625" bestFit="1" customWidth="1" style="1" min="5380" max="5380"/>
    <col width="22.44140625" customWidth="1" style="1" min="5381" max="5383"/>
    <col width="18.33203125" bestFit="1" customWidth="1" style="1" min="5384" max="5384"/>
    <col width="11.88671875" customWidth="1" style="1" min="5385" max="5385"/>
    <col width="22.44140625" customWidth="1" style="1" min="5386" max="5386"/>
    <col width="9.109375" customWidth="1" style="1" min="5387" max="5632"/>
    <col width="21.109375" bestFit="1" customWidth="1" style="1" min="5633" max="5633"/>
    <col width="70" bestFit="1" customWidth="1" style="1" min="5634" max="5634"/>
    <col width="22.6640625" customWidth="1" style="1" min="5635" max="5635"/>
    <col width="22.44140625" bestFit="1" customWidth="1" style="1" min="5636" max="5636"/>
    <col width="22.44140625" customWidth="1" style="1" min="5637" max="5639"/>
    <col width="18.33203125" bestFit="1" customWidth="1" style="1" min="5640" max="5640"/>
    <col width="11.88671875" customWidth="1" style="1" min="5641" max="5641"/>
    <col width="22.44140625" customWidth="1" style="1" min="5642" max="5642"/>
    <col width="9.109375" customWidth="1" style="1" min="5643" max="5888"/>
    <col width="21.109375" bestFit="1" customWidth="1" style="1" min="5889" max="5889"/>
    <col width="70" bestFit="1" customWidth="1" style="1" min="5890" max="5890"/>
    <col width="22.6640625" customWidth="1" style="1" min="5891" max="5891"/>
    <col width="22.44140625" bestFit="1" customWidth="1" style="1" min="5892" max="5892"/>
    <col width="22.44140625" customWidth="1" style="1" min="5893" max="5895"/>
    <col width="18.33203125" bestFit="1" customWidth="1" style="1" min="5896" max="5896"/>
    <col width="11.88671875" customWidth="1" style="1" min="5897" max="5897"/>
    <col width="22.44140625" customWidth="1" style="1" min="5898" max="5898"/>
    <col width="9.109375" customWidth="1" style="1" min="5899" max="6144"/>
    <col width="21.109375" bestFit="1" customWidth="1" style="1" min="6145" max="6145"/>
    <col width="70" bestFit="1" customWidth="1" style="1" min="6146" max="6146"/>
    <col width="22.6640625" customWidth="1" style="1" min="6147" max="6147"/>
    <col width="22.44140625" bestFit="1" customWidth="1" style="1" min="6148" max="6148"/>
    <col width="22.44140625" customWidth="1" style="1" min="6149" max="6151"/>
    <col width="18.33203125" bestFit="1" customWidth="1" style="1" min="6152" max="6152"/>
    <col width="11.88671875" customWidth="1" style="1" min="6153" max="6153"/>
    <col width="22.44140625" customWidth="1" style="1" min="6154" max="6154"/>
    <col width="9.109375" customWidth="1" style="1" min="6155" max="6400"/>
    <col width="21.109375" bestFit="1" customWidth="1" style="1" min="6401" max="6401"/>
    <col width="70" bestFit="1" customWidth="1" style="1" min="6402" max="6402"/>
    <col width="22.6640625" customWidth="1" style="1" min="6403" max="6403"/>
    <col width="22.44140625" bestFit="1" customWidth="1" style="1" min="6404" max="6404"/>
    <col width="22.44140625" customWidth="1" style="1" min="6405" max="6407"/>
    <col width="18.33203125" bestFit="1" customWidth="1" style="1" min="6408" max="6408"/>
    <col width="11.88671875" customWidth="1" style="1" min="6409" max="6409"/>
    <col width="22.44140625" customWidth="1" style="1" min="6410" max="6410"/>
    <col width="9.109375" customWidth="1" style="1" min="6411" max="6656"/>
    <col width="21.109375" bestFit="1" customWidth="1" style="1" min="6657" max="6657"/>
    <col width="70" bestFit="1" customWidth="1" style="1" min="6658" max="6658"/>
    <col width="22.6640625" customWidth="1" style="1" min="6659" max="6659"/>
    <col width="22.44140625" bestFit="1" customWidth="1" style="1" min="6660" max="6660"/>
    <col width="22.44140625" customWidth="1" style="1" min="6661" max="6663"/>
    <col width="18.33203125" bestFit="1" customWidth="1" style="1" min="6664" max="6664"/>
    <col width="11.88671875" customWidth="1" style="1" min="6665" max="6665"/>
    <col width="22.44140625" customWidth="1" style="1" min="6666" max="6666"/>
    <col width="9.109375" customWidth="1" style="1" min="6667" max="6912"/>
    <col width="21.109375" bestFit="1" customWidth="1" style="1" min="6913" max="6913"/>
    <col width="70" bestFit="1" customWidth="1" style="1" min="6914" max="6914"/>
    <col width="22.6640625" customWidth="1" style="1" min="6915" max="6915"/>
    <col width="22.44140625" bestFit="1" customWidth="1" style="1" min="6916" max="6916"/>
    <col width="22.44140625" customWidth="1" style="1" min="6917" max="6919"/>
    <col width="18.33203125" bestFit="1" customWidth="1" style="1" min="6920" max="6920"/>
    <col width="11.88671875" customWidth="1" style="1" min="6921" max="6921"/>
    <col width="22.44140625" customWidth="1" style="1" min="6922" max="6922"/>
    <col width="9.109375" customWidth="1" style="1" min="6923" max="7168"/>
    <col width="21.109375" bestFit="1" customWidth="1" style="1" min="7169" max="7169"/>
    <col width="70" bestFit="1" customWidth="1" style="1" min="7170" max="7170"/>
    <col width="22.6640625" customWidth="1" style="1" min="7171" max="7171"/>
    <col width="22.44140625" bestFit="1" customWidth="1" style="1" min="7172" max="7172"/>
    <col width="22.44140625" customWidth="1" style="1" min="7173" max="7175"/>
    <col width="18.33203125" bestFit="1" customWidth="1" style="1" min="7176" max="7176"/>
    <col width="11.88671875" customWidth="1" style="1" min="7177" max="7177"/>
    <col width="22.44140625" customWidth="1" style="1" min="7178" max="7178"/>
    <col width="9.109375" customWidth="1" style="1" min="7179" max="7424"/>
    <col width="21.109375" bestFit="1" customWidth="1" style="1" min="7425" max="7425"/>
    <col width="70" bestFit="1" customWidth="1" style="1" min="7426" max="7426"/>
    <col width="22.6640625" customWidth="1" style="1" min="7427" max="7427"/>
    <col width="22.44140625" bestFit="1" customWidth="1" style="1" min="7428" max="7428"/>
    <col width="22.44140625" customWidth="1" style="1" min="7429" max="7431"/>
    <col width="18.33203125" bestFit="1" customWidth="1" style="1" min="7432" max="7432"/>
    <col width="11.88671875" customWidth="1" style="1" min="7433" max="7433"/>
    <col width="22.44140625" customWidth="1" style="1" min="7434" max="7434"/>
    <col width="9.109375" customWidth="1" style="1" min="7435" max="7680"/>
    <col width="21.109375" bestFit="1" customWidth="1" style="1" min="7681" max="7681"/>
    <col width="70" bestFit="1" customWidth="1" style="1" min="7682" max="7682"/>
    <col width="22.6640625" customWidth="1" style="1" min="7683" max="7683"/>
    <col width="22.44140625" bestFit="1" customWidth="1" style="1" min="7684" max="7684"/>
    <col width="22.44140625" customWidth="1" style="1" min="7685" max="7687"/>
    <col width="18.33203125" bestFit="1" customWidth="1" style="1" min="7688" max="7688"/>
    <col width="11.88671875" customWidth="1" style="1" min="7689" max="7689"/>
    <col width="22.44140625" customWidth="1" style="1" min="7690" max="7690"/>
    <col width="9.109375" customWidth="1" style="1" min="7691" max="7936"/>
    <col width="21.109375" bestFit="1" customWidth="1" style="1" min="7937" max="7937"/>
    <col width="70" bestFit="1" customWidth="1" style="1" min="7938" max="7938"/>
    <col width="22.6640625" customWidth="1" style="1" min="7939" max="7939"/>
    <col width="22.44140625" bestFit="1" customWidth="1" style="1" min="7940" max="7940"/>
    <col width="22.44140625" customWidth="1" style="1" min="7941" max="7943"/>
    <col width="18.33203125" bestFit="1" customWidth="1" style="1" min="7944" max="7944"/>
    <col width="11.88671875" customWidth="1" style="1" min="7945" max="7945"/>
    <col width="22.44140625" customWidth="1" style="1" min="7946" max="7946"/>
    <col width="9.109375" customWidth="1" style="1" min="7947" max="8192"/>
    <col width="21.109375" bestFit="1" customWidth="1" style="1" min="8193" max="8193"/>
    <col width="70" bestFit="1" customWidth="1" style="1" min="8194" max="8194"/>
    <col width="22.6640625" customWidth="1" style="1" min="8195" max="8195"/>
    <col width="22.44140625" bestFit="1" customWidth="1" style="1" min="8196" max="8196"/>
    <col width="22.44140625" customWidth="1" style="1" min="8197" max="8199"/>
    <col width="18.33203125" bestFit="1" customWidth="1" style="1" min="8200" max="8200"/>
    <col width="11.88671875" customWidth="1" style="1" min="8201" max="8201"/>
    <col width="22.44140625" customWidth="1" style="1" min="8202" max="8202"/>
    <col width="9.109375" customWidth="1" style="1" min="8203" max="8448"/>
    <col width="21.109375" bestFit="1" customWidth="1" style="1" min="8449" max="8449"/>
    <col width="70" bestFit="1" customWidth="1" style="1" min="8450" max="8450"/>
    <col width="22.6640625" customWidth="1" style="1" min="8451" max="8451"/>
    <col width="22.44140625" bestFit="1" customWidth="1" style="1" min="8452" max="8452"/>
    <col width="22.44140625" customWidth="1" style="1" min="8453" max="8455"/>
    <col width="18.33203125" bestFit="1" customWidth="1" style="1" min="8456" max="8456"/>
    <col width="11.88671875" customWidth="1" style="1" min="8457" max="8457"/>
    <col width="22.44140625" customWidth="1" style="1" min="8458" max="8458"/>
    <col width="9.109375" customWidth="1" style="1" min="8459" max="8704"/>
    <col width="21.109375" bestFit="1" customWidth="1" style="1" min="8705" max="8705"/>
    <col width="70" bestFit="1" customWidth="1" style="1" min="8706" max="8706"/>
    <col width="22.6640625" customWidth="1" style="1" min="8707" max="8707"/>
    <col width="22.44140625" bestFit="1" customWidth="1" style="1" min="8708" max="8708"/>
    <col width="22.44140625" customWidth="1" style="1" min="8709" max="8711"/>
    <col width="18.33203125" bestFit="1" customWidth="1" style="1" min="8712" max="8712"/>
    <col width="11.88671875" customWidth="1" style="1" min="8713" max="8713"/>
    <col width="22.44140625" customWidth="1" style="1" min="8714" max="8714"/>
    <col width="9.109375" customWidth="1" style="1" min="8715" max="8960"/>
    <col width="21.109375" bestFit="1" customWidth="1" style="1" min="8961" max="8961"/>
    <col width="70" bestFit="1" customWidth="1" style="1" min="8962" max="8962"/>
    <col width="22.6640625" customWidth="1" style="1" min="8963" max="8963"/>
    <col width="22.44140625" bestFit="1" customWidth="1" style="1" min="8964" max="8964"/>
    <col width="22.44140625" customWidth="1" style="1" min="8965" max="8967"/>
    <col width="18.33203125" bestFit="1" customWidth="1" style="1" min="8968" max="8968"/>
    <col width="11.88671875" customWidth="1" style="1" min="8969" max="8969"/>
    <col width="22.44140625" customWidth="1" style="1" min="8970" max="8970"/>
    <col width="9.109375" customWidth="1" style="1" min="8971" max="9216"/>
    <col width="21.109375" bestFit="1" customWidth="1" style="1" min="9217" max="9217"/>
    <col width="70" bestFit="1" customWidth="1" style="1" min="9218" max="9218"/>
    <col width="22.6640625" customWidth="1" style="1" min="9219" max="9219"/>
    <col width="22.44140625" bestFit="1" customWidth="1" style="1" min="9220" max="9220"/>
    <col width="22.44140625" customWidth="1" style="1" min="9221" max="9223"/>
    <col width="18.33203125" bestFit="1" customWidth="1" style="1" min="9224" max="9224"/>
    <col width="11.88671875" customWidth="1" style="1" min="9225" max="9225"/>
    <col width="22.44140625" customWidth="1" style="1" min="9226" max="9226"/>
    <col width="9.109375" customWidth="1" style="1" min="9227" max="9472"/>
    <col width="21.109375" bestFit="1" customWidth="1" style="1" min="9473" max="9473"/>
    <col width="70" bestFit="1" customWidth="1" style="1" min="9474" max="9474"/>
    <col width="22.6640625" customWidth="1" style="1" min="9475" max="9475"/>
    <col width="22.44140625" bestFit="1" customWidth="1" style="1" min="9476" max="9476"/>
    <col width="22.44140625" customWidth="1" style="1" min="9477" max="9479"/>
    <col width="18.33203125" bestFit="1" customWidth="1" style="1" min="9480" max="9480"/>
    <col width="11.88671875" customWidth="1" style="1" min="9481" max="9481"/>
    <col width="22.44140625" customWidth="1" style="1" min="9482" max="9482"/>
    <col width="9.109375" customWidth="1" style="1" min="9483" max="9728"/>
    <col width="21.109375" bestFit="1" customWidth="1" style="1" min="9729" max="9729"/>
    <col width="70" bestFit="1" customWidth="1" style="1" min="9730" max="9730"/>
    <col width="22.6640625" customWidth="1" style="1" min="9731" max="9731"/>
    <col width="22.44140625" bestFit="1" customWidth="1" style="1" min="9732" max="9732"/>
    <col width="22.44140625" customWidth="1" style="1" min="9733" max="9735"/>
    <col width="18.33203125" bestFit="1" customWidth="1" style="1" min="9736" max="9736"/>
    <col width="11.88671875" customWidth="1" style="1" min="9737" max="9737"/>
    <col width="22.44140625" customWidth="1" style="1" min="9738" max="9738"/>
    <col width="9.109375" customWidth="1" style="1" min="9739" max="9984"/>
    <col width="21.109375" bestFit="1" customWidth="1" style="1" min="9985" max="9985"/>
    <col width="70" bestFit="1" customWidth="1" style="1" min="9986" max="9986"/>
    <col width="22.6640625" customWidth="1" style="1" min="9987" max="9987"/>
    <col width="22.44140625" bestFit="1" customWidth="1" style="1" min="9988" max="9988"/>
    <col width="22.44140625" customWidth="1" style="1" min="9989" max="9991"/>
    <col width="18.33203125" bestFit="1" customWidth="1" style="1" min="9992" max="9992"/>
    <col width="11.88671875" customWidth="1" style="1" min="9993" max="9993"/>
    <col width="22.44140625" customWidth="1" style="1" min="9994" max="9994"/>
    <col width="9.109375" customWidth="1" style="1" min="9995" max="10240"/>
    <col width="21.109375" bestFit="1" customWidth="1" style="1" min="10241" max="10241"/>
    <col width="70" bestFit="1" customWidth="1" style="1" min="10242" max="10242"/>
    <col width="22.6640625" customWidth="1" style="1" min="10243" max="10243"/>
    <col width="22.44140625" bestFit="1" customWidth="1" style="1" min="10244" max="10244"/>
    <col width="22.44140625" customWidth="1" style="1" min="10245" max="10247"/>
    <col width="18.33203125" bestFit="1" customWidth="1" style="1" min="10248" max="10248"/>
    <col width="11.88671875" customWidth="1" style="1" min="10249" max="10249"/>
    <col width="22.44140625" customWidth="1" style="1" min="10250" max="10250"/>
    <col width="9.109375" customWidth="1" style="1" min="10251" max="10496"/>
    <col width="21.109375" bestFit="1" customWidth="1" style="1" min="10497" max="10497"/>
    <col width="70" bestFit="1" customWidth="1" style="1" min="10498" max="10498"/>
    <col width="22.6640625" customWidth="1" style="1" min="10499" max="10499"/>
    <col width="22.44140625" bestFit="1" customWidth="1" style="1" min="10500" max="10500"/>
    <col width="22.44140625" customWidth="1" style="1" min="10501" max="10503"/>
    <col width="18.33203125" bestFit="1" customWidth="1" style="1" min="10504" max="10504"/>
    <col width="11.88671875" customWidth="1" style="1" min="10505" max="10505"/>
    <col width="22.44140625" customWidth="1" style="1" min="10506" max="10506"/>
    <col width="9.109375" customWidth="1" style="1" min="10507" max="10752"/>
    <col width="21.109375" bestFit="1" customWidth="1" style="1" min="10753" max="10753"/>
    <col width="70" bestFit="1" customWidth="1" style="1" min="10754" max="10754"/>
    <col width="22.6640625" customWidth="1" style="1" min="10755" max="10755"/>
    <col width="22.44140625" bestFit="1" customWidth="1" style="1" min="10756" max="10756"/>
    <col width="22.44140625" customWidth="1" style="1" min="10757" max="10759"/>
    <col width="18.33203125" bestFit="1" customWidth="1" style="1" min="10760" max="10760"/>
    <col width="11.88671875" customWidth="1" style="1" min="10761" max="10761"/>
    <col width="22.44140625" customWidth="1" style="1" min="10762" max="10762"/>
    <col width="9.109375" customWidth="1" style="1" min="10763" max="11008"/>
    <col width="21.109375" bestFit="1" customWidth="1" style="1" min="11009" max="11009"/>
    <col width="70" bestFit="1" customWidth="1" style="1" min="11010" max="11010"/>
    <col width="22.6640625" customWidth="1" style="1" min="11011" max="11011"/>
    <col width="22.44140625" bestFit="1" customWidth="1" style="1" min="11012" max="11012"/>
    <col width="22.44140625" customWidth="1" style="1" min="11013" max="11015"/>
    <col width="18.33203125" bestFit="1" customWidth="1" style="1" min="11016" max="11016"/>
    <col width="11.88671875" customWidth="1" style="1" min="11017" max="11017"/>
    <col width="22.44140625" customWidth="1" style="1" min="11018" max="11018"/>
    <col width="9.109375" customWidth="1" style="1" min="11019" max="11264"/>
    <col width="21.109375" bestFit="1" customWidth="1" style="1" min="11265" max="11265"/>
    <col width="70" bestFit="1" customWidth="1" style="1" min="11266" max="11266"/>
    <col width="22.6640625" customWidth="1" style="1" min="11267" max="11267"/>
    <col width="22.44140625" bestFit="1" customWidth="1" style="1" min="11268" max="11268"/>
    <col width="22.44140625" customWidth="1" style="1" min="11269" max="11271"/>
    <col width="18.33203125" bestFit="1" customWidth="1" style="1" min="11272" max="11272"/>
    <col width="11.88671875" customWidth="1" style="1" min="11273" max="11273"/>
    <col width="22.44140625" customWidth="1" style="1" min="11274" max="11274"/>
    <col width="9.109375" customWidth="1" style="1" min="11275" max="11520"/>
    <col width="21.109375" bestFit="1" customWidth="1" style="1" min="11521" max="11521"/>
    <col width="70" bestFit="1" customWidth="1" style="1" min="11522" max="11522"/>
    <col width="22.6640625" customWidth="1" style="1" min="11523" max="11523"/>
    <col width="22.44140625" bestFit="1" customWidth="1" style="1" min="11524" max="11524"/>
    <col width="22.44140625" customWidth="1" style="1" min="11525" max="11527"/>
    <col width="18.33203125" bestFit="1" customWidth="1" style="1" min="11528" max="11528"/>
    <col width="11.88671875" customWidth="1" style="1" min="11529" max="11529"/>
    <col width="22.44140625" customWidth="1" style="1" min="11530" max="11530"/>
    <col width="9.109375" customWidth="1" style="1" min="11531" max="11776"/>
    <col width="21.109375" bestFit="1" customWidth="1" style="1" min="11777" max="11777"/>
    <col width="70" bestFit="1" customWidth="1" style="1" min="11778" max="11778"/>
    <col width="22.6640625" customWidth="1" style="1" min="11779" max="11779"/>
    <col width="22.44140625" bestFit="1" customWidth="1" style="1" min="11780" max="11780"/>
    <col width="22.44140625" customWidth="1" style="1" min="11781" max="11783"/>
    <col width="18.33203125" bestFit="1" customWidth="1" style="1" min="11784" max="11784"/>
    <col width="11.88671875" customWidth="1" style="1" min="11785" max="11785"/>
    <col width="22.44140625" customWidth="1" style="1" min="11786" max="11786"/>
    <col width="9.109375" customWidth="1" style="1" min="11787" max="12032"/>
    <col width="21.109375" bestFit="1" customWidth="1" style="1" min="12033" max="12033"/>
    <col width="70" bestFit="1" customWidth="1" style="1" min="12034" max="12034"/>
    <col width="22.6640625" customWidth="1" style="1" min="12035" max="12035"/>
    <col width="22.44140625" bestFit="1" customWidth="1" style="1" min="12036" max="12036"/>
    <col width="22.44140625" customWidth="1" style="1" min="12037" max="12039"/>
    <col width="18.33203125" bestFit="1" customWidth="1" style="1" min="12040" max="12040"/>
    <col width="11.88671875" customWidth="1" style="1" min="12041" max="12041"/>
    <col width="22.44140625" customWidth="1" style="1" min="12042" max="12042"/>
    <col width="9.109375" customWidth="1" style="1" min="12043" max="12288"/>
    <col width="21.109375" bestFit="1" customWidth="1" style="1" min="12289" max="12289"/>
    <col width="70" bestFit="1" customWidth="1" style="1" min="12290" max="12290"/>
    <col width="22.6640625" customWidth="1" style="1" min="12291" max="12291"/>
    <col width="22.44140625" bestFit="1" customWidth="1" style="1" min="12292" max="12292"/>
    <col width="22.44140625" customWidth="1" style="1" min="12293" max="12295"/>
    <col width="18.33203125" bestFit="1" customWidth="1" style="1" min="12296" max="12296"/>
    <col width="11.88671875" customWidth="1" style="1" min="12297" max="12297"/>
    <col width="22.44140625" customWidth="1" style="1" min="12298" max="12298"/>
    <col width="9.109375" customWidth="1" style="1" min="12299" max="12544"/>
    <col width="21.109375" bestFit="1" customWidth="1" style="1" min="12545" max="12545"/>
    <col width="70" bestFit="1" customWidth="1" style="1" min="12546" max="12546"/>
    <col width="22.6640625" customWidth="1" style="1" min="12547" max="12547"/>
    <col width="22.44140625" bestFit="1" customWidth="1" style="1" min="12548" max="12548"/>
    <col width="22.44140625" customWidth="1" style="1" min="12549" max="12551"/>
    <col width="18.33203125" bestFit="1" customWidth="1" style="1" min="12552" max="12552"/>
    <col width="11.88671875" customWidth="1" style="1" min="12553" max="12553"/>
    <col width="22.44140625" customWidth="1" style="1" min="12554" max="12554"/>
    <col width="9.109375" customWidth="1" style="1" min="12555" max="12800"/>
    <col width="21.109375" bestFit="1" customWidth="1" style="1" min="12801" max="12801"/>
    <col width="70" bestFit="1" customWidth="1" style="1" min="12802" max="12802"/>
    <col width="22.6640625" customWidth="1" style="1" min="12803" max="12803"/>
    <col width="22.44140625" bestFit="1" customWidth="1" style="1" min="12804" max="12804"/>
    <col width="22.44140625" customWidth="1" style="1" min="12805" max="12807"/>
    <col width="18.33203125" bestFit="1" customWidth="1" style="1" min="12808" max="12808"/>
    <col width="11.88671875" customWidth="1" style="1" min="12809" max="12809"/>
    <col width="22.44140625" customWidth="1" style="1" min="12810" max="12810"/>
    <col width="9.109375" customWidth="1" style="1" min="12811" max="13056"/>
    <col width="21.109375" bestFit="1" customWidth="1" style="1" min="13057" max="13057"/>
    <col width="70" bestFit="1" customWidth="1" style="1" min="13058" max="13058"/>
    <col width="22.6640625" customWidth="1" style="1" min="13059" max="13059"/>
    <col width="22.44140625" bestFit="1" customWidth="1" style="1" min="13060" max="13060"/>
    <col width="22.44140625" customWidth="1" style="1" min="13061" max="13063"/>
    <col width="18.33203125" bestFit="1" customWidth="1" style="1" min="13064" max="13064"/>
    <col width="11.88671875" customWidth="1" style="1" min="13065" max="13065"/>
    <col width="22.44140625" customWidth="1" style="1" min="13066" max="13066"/>
    <col width="9.109375" customWidth="1" style="1" min="13067" max="13312"/>
    <col width="21.109375" bestFit="1" customWidth="1" style="1" min="13313" max="13313"/>
    <col width="70" bestFit="1" customWidth="1" style="1" min="13314" max="13314"/>
    <col width="22.6640625" customWidth="1" style="1" min="13315" max="13315"/>
    <col width="22.44140625" bestFit="1" customWidth="1" style="1" min="13316" max="13316"/>
    <col width="22.44140625" customWidth="1" style="1" min="13317" max="13319"/>
    <col width="18.33203125" bestFit="1" customWidth="1" style="1" min="13320" max="13320"/>
    <col width="11.88671875" customWidth="1" style="1" min="13321" max="13321"/>
    <col width="22.44140625" customWidth="1" style="1" min="13322" max="13322"/>
    <col width="9.109375" customWidth="1" style="1" min="13323" max="13568"/>
    <col width="21.109375" bestFit="1" customWidth="1" style="1" min="13569" max="13569"/>
    <col width="70" bestFit="1" customWidth="1" style="1" min="13570" max="13570"/>
    <col width="22.6640625" customWidth="1" style="1" min="13571" max="13571"/>
    <col width="22.44140625" bestFit="1" customWidth="1" style="1" min="13572" max="13572"/>
    <col width="22.44140625" customWidth="1" style="1" min="13573" max="13575"/>
    <col width="18.33203125" bestFit="1" customWidth="1" style="1" min="13576" max="13576"/>
    <col width="11.88671875" customWidth="1" style="1" min="13577" max="13577"/>
    <col width="22.44140625" customWidth="1" style="1" min="13578" max="13578"/>
    <col width="9.109375" customWidth="1" style="1" min="13579" max="13824"/>
    <col width="21.109375" bestFit="1" customWidth="1" style="1" min="13825" max="13825"/>
    <col width="70" bestFit="1" customWidth="1" style="1" min="13826" max="13826"/>
    <col width="22.6640625" customWidth="1" style="1" min="13827" max="13827"/>
    <col width="22.44140625" bestFit="1" customWidth="1" style="1" min="13828" max="13828"/>
    <col width="22.44140625" customWidth="1" style="1" min="13829" max="13831"/>
    <col width="18.33203125" bestFit="1" customWidth="1" style="1" min="13832" max="13832"/>
    <col width="11.88671875" customWidth="1" style="1" min="13833" max="13833"/>
    <col width="22.44140625" customWidth="1" style="1" min="13834" max="13834"/>
    <col width="9.109375" customWidth="1" style="1" min="13835" max="14080"/>
    <col width="21.109375" bestFit="1" customWidth="1" style="1" min="14081" max="14081"/>
    <col width="70" bestFit="1" customWidth="1" style="1" min="14082" max="14082"/>
    <col width="22.6640625" customWidth="1" style="1" min="14083" max="14083"/>
    <col width="22.44140625" bestFit="1" customWidth="1" style="1" min="14084" max="14084"/>
    <col width="22.44140625" customWidth="1" style="1" min="14085" max="14087"/>
    <col width="18.33203125" bestFit="1" customWidth="1" style="1" min="14088" max="14088"/>
    <col width="11.88671875" customWidth="1" style="1" min="14089" max="14089"/>
    <col width="22.44140625" customWidth="1" style="1" min="14090" max="14090"/>
    <col width="9.109375" customWidth="1" style="1" min="14091" max="14336"/>
    <col width="21.109375" bestFit="1" customWidth="1" style="1" min="14337" max="14337"/>
    <col width="70" bestFit="1" customWidth="1" style="1" min="14338" max="14338"/>
    <col width="22.6640625" customWidth="1" style="1" min="14339" max="14339"/>
    <col width="22.44140625" bestFit="1" customWidth="1" style="1" min="14340" max="14340"/>
    <col width="22.44140625" customWidth="1" style="1" min="14341" max="14343"/>
    <col width="18.33203125" bestFit="1" customWidth="1" style="1" min="14344" max="14344"/>
    <col width="11.88671875" customWidth="1" style="1" min="14345" max="14345"/>
    <col width="22.44140625" customWidth="1" style="1" min="14346" max="14346"/>
    <col width="9.109375" customWidth="1" style="1" min="14347" max="14592"/>
    <col width="21.109375" bestFit="1" customWidth="1" style="1" min="14593" max="14593"/>
    <col width="70" bestFit="1" customWidth="1" style="1" min="14594" max="14594"/>
    <col width="22.6640625" customWidth="1" style="1" min="14595" max="14595"/>
    <col width="22.44140625" bestFit="1" customWidth="1" style="1" min="14596" max="14596"/>
    <col width="22.44140625" customWidth="1" style="1" min="14597" max="14599"/>
    <col width="18.33203125" bestFit="1" customWidth="1" style="1" min="14600" max="14600"/>
    <col width="11.88671875" customWidth="1" style="1" min="14601" max="14601"/>
    <col width="22.44140625" customWidth="1" style="1" min="14602" max="14602"/>
    <col width="9.109375" customWidth="1" style="1" min="14603" max="14848"/>
    <col width="21.109375" bestFit="1" customWidth="1" style="1" min="14849" max="14849"/>
    <col width="70" bestFit="1" customWidth="1" style="1" min="14850" max="14850"/>
    <col width="22.6640625" customWidth="1" style="1" min="14851" max="14851"/>
    <col width="22.44140625" bestFit="1" customWidth="1" style="1" min="14852" max="14852"/>
    <col width="22.44140625" customWidth="1" style="1" min="14853" max="14855"/>
    <col width="18.33203125" bestFit="1" customWidth="1" style="1" min="14856" max="14856"/>
    <col width="11.88671875" customWidth="1" style="1" min="14857" max="14857"/>
    <col width="22.44140625" customWidth="1" style="1" min="14858" max="14858"/>
    <col width="9.109375" customWidth="1" style="1" min="14859" max="15104"/>
    <col width="21.109375" bestFit="1" customWidth="1" style="1" min="15105" max="15105"/>
    <col width="70" bestFit="1" customWidth="1" style="1" min="15106" max="15106"/>
    <col width="22.6640625" customWidth="1" style="1" min="15107" max="15107"/>
    <col width="22.44140625" bestFit="1" customWidth="1" style="1" min="15108" max="15108"/>
    <col width="22.44140625" customWidth="1" style="1" min="15109" max="15111"/>
    <col width="18.33203125" bestFit="1" customWidth="1" style="1" min="15112" max="15112"/>
    <col width="11.88671875" customWidth="1" style="1" min="15113" max="15113"/>
    <col width="22.44140625" customWidth="1" style="1" min="15114" max="15114"/>
    <col width="9.109375" customWidth="1" style="1" min="15115" max="15360"/>
    <col width="21.109375" bestFit="1" customWidth="1" style="1" min="15361" max="15361"/>
    <col width="70" bestFit="1" customWidth="1" style="1" min="15362" max="15362"/>
    <col width="22.6640625" customWidth="1" style="1" min="15363" max="15363"/>
    <col width="22.44140625" bestFit="1" customWidth="1" style="1" min="15364" max="15364"/>
    <col width="22.44140625" customWidth="1" style="1" min="15365" max="15367"/>
    <col width="18.33203125" bestFit="1" customWidth="1" style="1" min="15368" max="15368"/>
    <col width="11.88671875" customWidth="1" style="1" min="15369" max="15369"/>
    <col width="22.44140625" customWidth="1" style="1" min="15370" max="15370"/>
    <col width="9.109375" customWidth="1" style="1" min="15371" max="15616"/>
    <col width="21.109375" bestFit="1" customWidth="1" style="1" min="15617" max="15617"/>
    <col width="70" bestFit="1" customWidth="1" style="1" min="15618" max="15618"/>
    <col width="22.6640625" customWidth="1" style="1" min="15619" max="15619"/>
    <col width="22.44140625" bestFit="1" customWidth="1" style="1" min="15620" max="15620"/>
    <col width="22.44140625" customWidth="1" style="1" min="15621" max="15623"/>
    <col width="18.33203125" bestFit="1" customWidth="1" style="1" min="15624" max="15624"/>
    <col width="11.88671875" customWidth="1" style="1" min="15625" max="15625"/>
    <col width="22.44140625" customWidth="1" style="1" min="15626" max="15626"/>
    <col width="9.109375" customWidth="1" style="1" min="15627" max="15872"/>
    <col width="21.109375" bestFit="1" customWidth="1" style="1" min="15873" max="15873"/>
    <col width="70" bestFit="1" customWidth="1" style="1" min="15874" max="15874"/>
    <col width="22.6640625" customWidth="1" style="1" min="15875" max="15875"/>
    <col width="22.44140625" bestFit="1" customWidth="1" style="1" min="15876" max="15876"/>
    <col width="22.44140625" customWidth="1" style="1" min="15877" max="15879"/>
    <col width="18.33203125" bestFit="1" customWidth="1" style="1" min="15880" max="15880"/>
    <col width="11.88671875" customWidth="1" style="1" min="15881" max="15881"/>
    <col width="22.44140625" customWidth="1" style="1" min="15882" max="15882"/>
    <col width="9.109375" customWidth="1" style="1" min="15883" max="16128"/>
    <col width="21.109375" bestFit="1" customWidth="1" style="1" min="16129" max="16129"/>
    <col width="70" bestFit="1" customWidth="1" style="1" min="16130" max="16130"/>
    <col width="22.6640625" customWidth="1" style="1" min="16131" max="16131"/>
    <col width="22.44140625" bestFit="1" customWidth="1" style="1" min="16132" max="16132"/>
    <col width="22.44140625" customWidth="1" style="1" min="16133" max="16135"/>
    <col width="18.33203125" bestFit="1" customWidth="1" style="1" min="16136" max="16136"/>
    <col width="11.88671875" customWidth="1" style="1" min="16137" max="16137"/>
    <col width="22.44140625" customWidth="1" style="1" min="16138" max="16138"/>
    <col width="9.109375" customWidth="1" style="1" min="16139" max="16384"/>
  </cols>
  <sheetData>
    <row r="1" ht="12.75" customHeight="1">
      <c r="C1" s="302" t="inlineStr">
        <is>
          <t>Eindbalans 31-03-2019</t>
        </is>
      </c>
      <c r="D1" s="302" t="inlineStr">
        <is>
          <t>Mutaties Q2 2019</t>
        </is>
      </c>
      <c r="E1" s="302" t="inlineStr">
        <is>
          <t>Mutaties Q3 2019</t>
        </is>
      </c>
      <c r="F1" s="302" t="inlineStr">
        <is>
          <t>Mutaties Q4 2019</t>
        </is>
      </c>
      <c r="G1" s="307" t="inlineStr">
        <is>
          <t>Mutaties Q1 2020</t>
        </is>
      </c>
      <c r="H1" s="308" t="inlineStr">
        <is>
          <t>Saldi per 31-03-2020</t>
        </is>
      </c>
    </row>
    <row r="3" ht="12.75" customHeight="1">
      <c r="A3" s="132" t="inlineStr">
        <is>
          <t>Balans</t>
        </is>
      </c>
    </row>
    <row r="4" ht="12.75" customHeight="1">
      <c r="A4" s="130" t="n">
        <v>1600200</v>
      </c>
      <c r="B4" s="1" t="inlineStr">
        <is>
          <t>VG Vastgoedbeleggingen Verkrijgings- of vervaardigingsprijs</t>
        </is>
      </c>
      <c r="C4" s="302" t="n">
        <v>132670468</v>
      </c>
      <c r="E4" s="302" t="n">
        <v>0</v>
      </c>
      <c r="G4" s="307" t="n">
        <v>-3658477</v>
      </c>
      <c r="H4" s="308">
        <f>SUM(C4:G4)</f>
        <v/>
      </c>
      <c r="I4" s="133" t="n"/>
    </row>
    <row r="5" ht="12.75" customHeight="1">
      <c r="A5" s="130" t="inlineStr">
        <is>
          <t>1600200</t>
        </is>
      </c>
      <c r="B5" s="1" t="inlineStr">
        <is>
          <t>VG Vastgoedbeleggingen Cum afschrijvingen en waardeverm</t>
        </is>
      </c>
      <c r="C5" s="302" t="n">
        <v>-8616762</v>
      </c>
      <c r="D5" s="302" t="n">
        <v>-650161</v>
      </c>
      <c r="E5" s="302" t="n">
        <v>-653662</v>
      </c>
      <c r="F5" s="302" t="n">
        <v>-656408</v>
      </c>
      <c r="G5" s="307" t="n">
        <v>-380013</v>
      </c>
      <c r="H5" s="308">
        <f>SUM(C5:G5)</f>
        <v/>
      </c>
    </row>
    <row r="6" ht="12.75" customHeight="1">
      <c r="A6" s="130" t="inlineStr">
        <is>
          <t>1610803</t>
        </is>
      </c>
      <c r="B6" s="1" t="inlineStr">
        <is>
          <t>VG Comm VG in exploitatie Buitengebruikstellingen aanschaffingswaarde</t>
        </is>
      </c>
      <c r="C6" s="302" t="n">
        <v>-651550</v>
      </c>
      <c r="D6" s="302" t="n">
        <v>-1101554</v>
      </c>
      <c r="E6" s="302" t="n">
        <v>-462286</v>
      </c>
      <c r="F6" s="309" t="n">
        <v>-1443087</v>
      </c>
      <c r="G6" s="310" t="n">
        <v>2472387</v>
      </c>
      <c r="H6" s="308">
        <f>SUM(C6:G6)</f>
        <v/>
      </c>
    </row>
    <row r="7" ht="12.75" customHeight="1">
      <c r="A7" s="130" t="inlineStr">
        <is>
          <t>1611003</t>
        </is>
      </c>
      <c r="B7" s="1" t="inlineStr">
        <is>
          <t>VG Comm VG in exploitatie Buitengebruikstellingen cum. afschr. en waardeverm.</t>
        </is>
      </c>
      <c r="C7" s="302" t="n">
        <v>41286</v>
      </c>
      <c r="D7" s="302" t="n">
        <v>71536</v>
      </c>
      <c r="E7" s="302" t="n">
        <v>33933</v>
      </c>
      <c r="F7" s="302" t="n">
        <v>116170</v>
      </c>
      <c r="G7" s="307" t="n">
        <v>-162402</v>
      </c>
      <c r="H7" s="308">
        <f>SUM(C7:G7)</f>
        <v/>
      </c>
    </row>
    <row r="8" ht="12.75" customHeight="1">
      <c r="A8" s="1" t="inlineStr">
        <is>
          <t>Totaal Vastgoedbeleggingen</t>
        </is>
      </c>
      <c r="I8" s="133" t="n"/>
    </row>
    <row r="10" ht="12.75" customHeight="1">
      <c r="A10" s="130" t="inlineStr">
        <is>
          <t>1790002</t>
        </is>
      </c>
      <c r="B10" s="1" t="inlineStr">
        <is>
          <t>FVA Latente belastingvordering langlopend</t>
        </is>
      </c>
      <c r="C10" s="302" t="n">
        <v>2564669</v>
      </c>
      <c r="D10" s="302" t="n">
        <v>142232</v>
      </c>
      <c r="E10" s="302" t="n">
        <v>153794</v>
      </c>
      <c r="F10" s="302" t="n">
        <v>129418</v>
      </c>
      <c r="G10" s="307" t="n">
        <v>-293081</v>
      </c>
      <c r="H10" s="308">
        <f>SUM(C10:G10)</f>
        <v/>
      </c>
    </row>
    <row r="11" ht="12.75" customHeight="1">
      <c r="A11" s="1" t="inlineStr">
        <is>
          <t>Totaal Financiële vaste activa</t>
        </is>
      </c>
    </row>
    <row r="13" ht="12.75" customHeight="1">
      <c r="A13" s="130" t="inlineStr">
        <is>
          <t>2000000</t>
        </is>
      </c>
      <c r="B13" s="1" t="inlineStr">
        <is>
          <t>VOR Debiteuren</t>
        </is>
      </c>
      <c r="C13" s="302" t="n">
        <v>277548</v>
      </c>
      <c r="D13" s="302" t="n">
        <v>66045</v>
      </c>
      <c r="E13" s="302" t="n">
        <v>-93669</v>
      </c>
      <c r="F13" s="302" t="n">
        <v>-177050</v>
      </c>
      <c r="G13" s="307" t="n">
        <v>5313</v>
      </c>
      <c r="H13" s="308">
        <f>SUM(C13:G13)</f>
        <v/>
      </c>
    </row>
    <row r="14" ht="12.75" customHeight="1">
      <c r="A14" s="130" t="inlineStr">
        <is>
          <t>2000300</t>
        </is>
      </c>
      <c r="B14" s="1" t="inlineStr">
        <is>
          <t>VOR Voorziening dubieuze debiteuren</t>
        </is>
      </c>
      <c r="C14" s="302" t="n">
        <v>-64501</v>
      </c>
      <c r="D14" s="302" t="n">
        <v>0</v>
      </c>
      <c r="E14" s="302" t="n">
        <v>0</v>
      </c>
      <c r="F14" s="302" t="n">
        <v>0</v>
      </c>
      <c r="G14" s="307" t="n">
        <v>0</v>
      </c>
      <c r="H14" s="308">
        <f>SUM(C14:G14)</f>
        <v/>
      </c>
    </row>
    <row r="15" ht="12.75" customHeight="1">
      <c r="A15" s="1" t="inlineStr">
        <is>
          <t>Totaal Debiteuren</t>
        </is>
      </c>
    </row>
    <row r="17" ht="12.75" customHeight="1">
      <c r="A17" s="130" t="n">
        <v>2640000</v>
      </c>
      <c r="B17" s="1" t="inlineStr">
        <is>
          <t>RC Kortlopend DMRRP INV - I BV</t>
        </is>
      </c>
      <c r="C17" s="302" t="n">
        <v>110497</v>
      </c>
      <c r="D17" s="302" t="n">
        <v>0</v>
      </c>
      <c r="E17" s="302" t="n">
        <v>0</v>
      </c>
      <c r="F17" s="302" t="n">
        <v>0</v>
      </c>
      <c r="G17" s="307" t="n">
        <v>100000</v>
      </c>
      <c r="H17" s="308">
        <f>SUM(C17:G17)</f>
        <v/>
      </c>
    </row>
    <row r="18" ht="12.75" customHeight="1">
      <c r="A18" s="1" t="inlineStr">
        <is>
          <t>Totaal Rekening-courant aandeelhouder</t>
        </is>
      </c>
    </row>
    <row r="20" ht="12.75" customHeight="1">
      <c r="A20" s="130" t="n">
        <v>2040200</v>
      </c>
      <c r="B20" s="1" t="inlineStr">
        <is>
          <t>VOR Te vorderen waarborgsommen kortlopen</t>
        </is>
      </c>
      <c r="C20" s="302" t="n">
        <v>0</v>
      </c>
      <c r="D20" s="302" t="n">
        <v>0</v>
      </c>
      <c r="E20" s="302" t="n">
        <v>0</v>
      </c>
      <c r="F20" s="302" t="n">
        <v>5000</v>
      </c>
      <c r="G20" s="307" t="n">
        <v>0</v>
      </c>
      <c r="H20" s="308">
        <f>SUM(C20:G20)</f>
        <v/>
      </c>
    </row>
    <row r="21" ht="12.75" customHeight="1">
      <c r="A21" s="130" t="inlineStr">
        <is>
          <t>2040700</t>
        </is>
      </c>
      <c r="B21" s="1" t="inlineStr">
        <is>
          <t>VOR Vooruitbetaalde servicekosten</t>
        </is>
      </c>
      <c r="C21" s="302" t="n">
        <v>15594</v>
      </c>
      <c r="D21" s="302" t="n">
        <v>0</v>
      </c>
      <c r="E21" s="302" t="n">
        <v>0</v>
      </c>
      <c r="F21" s="302" t="n">
        <v>-10713</v>
      </c>
      <c r="G21" s="307" t="n">
        <v>0</v>
      </c>
      <c r="H21" s="308">
        <f>SUM(C21:G21)</f>
        <v/>
      </c>
    </row>
    <row r="22" ht="12.75" customHeight="1">
      <c r="A22" s="130" t="inlineStr">
        <is>
          <t>2040900</t>
        </is>
      </c>
      <c r="B22" s="1" t="inlineStr">
        <is>
          <t>VOR Vooruitbetaalde overige kosten</t>
        </is>
      </c>
      <c r="C22" s="302" t="n"/>
      <c r="D22" s="302" t="n">
        <v>0</v>
      </c>
      <c r="E22" s="302" t="n">
        <v>0</v>
      </c>
      <c r="F22" s="302" t="n">
        <v>425</v>
      </c>
      <c r="G22" s="307" t="n">
        <v>0</v>
      </c>
      <c r="H22" s="308">
        <f>SUM(C22:G22)</f>
        <v/>
      </c>
    </row>
    <row r="23" ht="12.75" customHeight="1">
      <c r="A23" s="1" t="inlineStr">
        <is>
          <t>Totaal overige vorderingen</t>
        </is>
      </c>
    </row>
    <row r="25" ht="12.75" customHeight="1">
      <c r="A25" s="130" t="inlineStr">
        <is>
          <t>2300000</t>
        </is>
      </c>
      <c r="B25" s="1" t="inlineStr">
        <is>
          <t>LM Kruisposten</t>
        </is>
      </c>
      <c r="C25" s="302" t="n">
        <v>672</v>
      </c>
      <c r="D25" s="302" t="n">
        <v>-4010</v>
      </c>
      <c r="E25" s="302" t="n">
        <v>3338</v>
      </c>
      <c r="F25" s="302" t="n">
        <v>0</v>
      </c>
      <c r="H25" s="308">
        <f>SUM(C25:G25)</f>
        <v/>
      </c>
    </row>
    <row r="26" ht="12.75" customHeight="1">
      <c r="A26" s="130" t="inlineStr">
        <is>
          <t>2400200</t>
        </is>
      </c>
      <c r="B26" s="1" t="inlineStr">
        <is>
          <t>LM ABN AMRO Bank Disposal NL58 ABNA 0818 9180 39</t>
        </is>
      </c>
      <c r="C26" s="302" t="n">
        <v>538961</v>
      </c>
      <c r="D26" s="302" t="n">
        <v>-458920</v>
      </c>
      <c r="E26" s="302" t="n">
        <v>649658</v>
      </c>
      <c r="F26" s="302" t="n">
        <v>1729271</v>
      </c>
      <c r="G26" s="307" t="n">
        <v>-1031638</v>
      </c>
      <c r="H26" s="308">
        <f>SUM(C26:G26)</f>
        <v/>
      </c>
    </row>
    <row r="27" ht="12.75" customHeight="1">
      <c r="A27" s="130" t="inlineStr">
        <is>
          <t>2400201</t>
        </is>
      </c>
      <c r="B27" s="1" t="inlineStr">
        <is>
          <t>LM ABN AMRO Bank Deposit NL57 ABNA 0541 6205 68</t>
        </is>
      </c>
      <c r="C27" s="302" t="n">
        <v>1369615</v>
      </c>
      <c r="D27" s="302" t="n">
        <v>-1368856</v>
      </c>
      <c r="E27" s="302" t="n">
        <v>12154</v>
      </c>
      <c r="F27" s="302" t="n">
        <v>74896</v>
      </c>
      <c r="G27" s="307" t="n">
        <v>1058693</v>
      </c>
      <c r="H27" s="308">
        <f>SUM(C27:G27)</f>
        <v/>
      </c>
    </row>
    <row r="28" ht="12.75" customHeight="1">
      <c r="A28" s="130" t="inlineStr">
        <is>
          <t>2400202</t>
        </is>
      </c>
      <c r="B28" s="1" t="inlineStr">
        <is>
          <t>LM ABN AMRO Bank General NL93 ABNA 0541 6132 27</t>
        </is>
      </c>
      <c r="C28" s="302" t="n">
        <v>1034628</v>
      </c>
      <c r="D28" s="302" t="n">
        <v>-1028597</v>
      </c>
      <c r="E28" s="302" t="n">
        <v>785758</v>
      </c>
      <c r="F28" s="302" t="n">
        <v>-19584</v>
      </c>
      <c r="G28" s="307" t="n">
        <v>-29065</v>
      </c>
      <c r="H28" s="308">
        <f>SUM(C28:G28)</f>
        <v/>
      </c>
    </row>
    <row r="29" ht="12.75" customHeight="1">
      <c r="A29" s="130" t="inlineStr">
        <is>
          <t>2400203</t>
        </is>
      </c>
      <c r="B29" s="1" t="inlineStr">
        <is>
          <t>LM ABN AMRO Bank Maintres NL04 ABNA 0541 6188 06</t>
        </is>
      </c>
      <c r="C29" s="302" t="n">
        <v>601349</v>
      </c>
      <c r="D29" s="302" t="n">
        <v>44887</v>
      </c>
      <c r="E29" s="302" t="n">
        <v>-62925</v>
      </c>
      <c r="F29" s="302" t="n">
        <v>66151</v>
      </c>
      <c r="G29" s="307" t="n">
        <v>-46640</v>
      </c>
      <c r="H29" s="308">
        <f>SUM(C29:G29)</f>
        <v/>
      </c>
    </row>
    <row r="30" ht="12.75" customHeight="1">
      <c r="A30" s="130" t="inlineStr">
        <is>
          <t>2400204</t>
        </is>
      </c>
      <c r="B30" s="1" t="inlineStr">
        <is>
          <t>LM ABN AMRO Bank Rent NL46 ABNA 0541 6088 35</t>
        </is>
      </c>
      <c r="C30" s="302" t="n">
        <v>499737</v>
      </c>
      <c r="D30" s="302" t="n">
        <v>528567</v>
      </c>
      <c r="E30" s="302" t="n">
        <v>-364896</v>
      </c>
      <c r="F30" s="302" t="n">
        <v>1098220</v>
      </c>
      <c r="G30" s="307" t="n">
        <v>-73423</v>
      </c>
      <c r="H30" s="308">
        <f>SUM(C30:G30)</f>
        <v/>
      </c>
    </row>
    <row r="31" ht="12.75" customHeight="1">
      <c r="A31" s="130" t="inlineStr">
        <is>
          <t>2400205</t>
        </is>
      </c>
      <c r="B31" s="1" t="inlineStr">
        <is>
          <t>LM ABN AMRO Bank SR EXP NL88 ABNA 0541 6205 92</t>
        </is>
      </c>
      <c r="C31" s="302" t="n">
        <v>58140</v>
      </c>
      <c r="D31" s="302" t="n">
        <v>58399</v>
      </c>
      <c r="E31" s="302" t="n">
        <v>-115700</v>
      </c>
      <c r="F31" s="302" t="n">
        <v>194761</v>
      </c>
      <c r="G31" s="307" t="n">
        <v>114437</v>
      </c>
      <c r="H31" s="308">
        <f>SUM(C31:G31)</f>
        <v/>
      </c>
    </row>
    <row r="32" ht="12.75" customHeight="1">
      <c r="A32" s="1" t="inlineStr">
        <is>
          <t>Totaal Liquide middelen</t>
        </is>
      </c>
    </row>
    <row r="34" ht="12.75" customHeight="1">
      <c r="A34" s="130" t="n">
        <v>1000002</v>
      </c>
      <c r="B34" s="1" t="inlineStr">
        <is>
          <t>EV Normale aandelen Saldo</t>
        </is>
      </c>
      <c r="C34" s="302" t="n">
        <v>-1</v>
      </c>
      <c r="D34" s="302" t="n">
        <v>0</v>
      </c>
      <c r="E34" s="302" t="n">
        <v>0</v>
      </c>
      <c r="F34" s="302" t="n">
        <v>0</v>
      </c>
      <c r="G34" s="307" t="n">
        <v>0</v>
      </c>
      <c r="H34" s="308">
        <f>SUM(C34:G34)</f>
        <v/>
      </c>
    </row>
    <row r="35" ht="12.75" customHeight="1">
      <c r="A35" s="130" t="n">
        <v>1100000</v>
      </c>
      <c r="B35" s="1" t="inlineStr">
        <is>
          <t>EV Agioreserve Agio aandelen</t>
        </is>
      </c>
      <c r="C35" s="302" t="n">
        <v>-19431219</v>
      </c>
      <c r="D35" s="302" t="n">
        <v>0</v>
      </c>
      <c r="E35" s="302" t="n">
        <v>0</v>
      </c>
      <c r="F35" s="302" t="n">
        <v>0</v>
      </c>
      <c r="G35" s="307" t="n">
        <v>0</v>
      </c>
      <c r="H35" s="308">
        <f>SUM(C35:G35)</f>
        <v/>
      </c>
    </row>
    <row r="36" ht="12.75" customHeight="1">
      <c r="A36" s="130" t="n">
        <v>1160000</v>
      </c>
      <c r="B36" s="1" t="inlineStr">
        <is>
          <t>EV Overige reserve Reserve aandelen</t>
        </is>
      </c>
      <c r="C36" s="302">
        <f>16276587-1251333-650</f>
        <v/>
      </c>
      <c r="D36" s="302" t="n">
        <v>0</v>
      </c>
      <c r="E36" s="302" t="n">
        <v>0</v>
      </c>
      <c r="F36" s="302" t="n">
        <v>0</v>
      </c>
      <c r="G36" s="307" t="n">
        <v>0</v>
      </c>
      <c r="H36" s="308">
        <f>SUM(C36:G36)</f>
        <v/>
      </c>
    </row>
    <row r="37" ht="12.75" customHeight="1">
      <c r="A37" s="130" t="inlineStr">
        <is>
          <t>1160100</t>
        </is>
      </c>
      <c r="B37" s="1" t="inlineStr">
        <is>
          <t>EV Overige reserve  Dividenduitkeringen aandelen</t>
        </is>
      </c>
      <c r="C37" s="302" t="n">
        <v>310000</v>
      </c>
      <c r="D37" s="302" t="n">
        <v>225000</v>
      </c>
      <c r="E37" s="302" t="n">
        <v>285500</v>
      </c>
      <c r="F37" s="302" t="n">
        <v>235000</v>
      </c>
      <c r="G37" s="307" t="n">
        <v>1510938</v>
      </c>
      <c r="H37" s="308">
        <f>SUM(C37:G37)</f>
        <v/>
      </c>
    </row>
    <row r="38" ht="12.75" customHeight="1">
      <c r="A38" s="1" t="inlineStr">
        <is>
          <t>Totaal Eigen vermogen</t>
        </is>
      </c>
    </row>
    <row r="40" ht="12.75" customHeight="1">
      <c r="A40" s="130" t="n">
        <v>1930001</v>
      </c>
      <c r="B40" s="1" t="inlineStr">
        <is>
          <t>LLS Hoofdsom ABN AMRO Bank NV Senior Facility Agreement</t>
        </is>
      </c>
      <c r="C40" s="302" t="n">
        <v>-130000000</v>
      </c>
      <c r="D40" s="302" t="n">
        <v>0</v>
      </c>
      <c r="E40" s="302" t="n">
        <v>0</v>
      </c>
      <c r="F40" s="302" t="n">
        <v>0</v>
      </c>
      <c r="G40" s="307" t="n">
        <v>0</v>
      </c>
      <c r="H40" s="308">
        <f>SUM(C40:G40)</f>
        <v/>
      </c>
    </row>
    <row r="41" ht="12.75" customHeight="1">
      <c r="A41" s="130" t="inlineStr">
        <is>
          <t>1930101</t>
        </is>
      </c>
      <c r="B41" s="1" t="inlineStr">
        <is>
          <t>LLS Cum aflossingen ABN AMRO Bank NV Senior Facility Agreement</t>
        </is>
      </c>
      <c r="C41" s="302" t="n">
        <v>5070233</v>
      </c>
      <c r="D41" s="302" t="n">
        <v>4692972</v>
      </c>
      <c r="E41" s="302" t="n">
        <v>601184</v>
      </c>
      <c r="F41" s="302" t="n">
        <v>601184</v>
      </c>
      <c r="G41" s="307" t="n">
        <v>2258971</v>
      </c>
      <c r="H41" s="308">
        <f>SUM(C41:G41)</f>
        <v/>
      </c>
    </row>
    <row r="42" ht="12.75" customHeight="1">
      <c r="A42" s="130" t="inlineStr">
        <is>
          <t>1930201</t>
        </is>
      </c>
      <c r="B42" s="1" t="inlineStr">
        <is>
          <t>LLS Kortlopend deel ABN AMRO Bank NV Senior Facility Agreement</t>
        </is>
      </c>
      <c r="C42" s="302" t="n">
        <v>0</v>
      </c>
      <c r="D42" s="302" t="n">
        <v>0</v>
      </c>
      <c r="E42" s="302" t="n">
        <v>0</v>
      </c>
      <c r="F42" s="302" t="n">
        <v>0</v>
      </c>
      <c r="G42" s="307" t="n">
        <v>0</v>
      </c>
      <c r="H42" s="308">
        <f>SUM(C42:G42)</f>
        <v/>
      </c>
    </row>
    <row r="43" ht="12.75" customHeight="1">
      <c r="A43" s="1" t="inlineStr">
        <is>
          <t>Totaal Langlopende schulden</t>
        </is>
      </c>
    </row>
    <row r="45" ht="12.75" customHeight="1">
      <c r="A45" s="130" t="inlineStr">
        <is>
          <t>2730000</t>
        </is>
      </c>
      <c r="B45" s="1" t="inlineStr">
        <is>
          <t>KLS Crediteuren</t>
        </is>
      </c>
      <c r="C45" s="302" t="n">
        <v>-195693</v>
      </c>
      <c r="D45" s="302" t="n">
        <v>-5981</v>
      </c>
      <c r="E45" s="302" t="n">
        <v>28193</v>
      </c>
      <c r="F45" s="302" t="n">
        <v>-67126</v>
      </c>
      <c r="G45" s="307" t="n">
        <v>17250</v>
      </c>
      <c r="H45" s="308">
        <f>SUM(C45:G45)</f>
        <v/>
      </c>
    </row>
    <row r="46" ht="12.75" customHeight="1">
      <c r="A46" s="130" t="inlineStr">
        <is>
          <t>2730001</t>
        </is>
      </c>
      <c r="B46" s="1" t="inlineStr">
        <is>
          <t>KLS Crediteuren intercompany</t>
        </is>
      </c>
      <c r="C46" s="302" t="n">
        <v>0</v>
      </c>
      <c r="D46" s="302" t="n">
        <v>0</v>
      </c>
      <c r="E46" s="302" t="n">
        <v>0</v>
      </c>
      <c r="F46" s="302" t="n">
        <v>0</v>
      </c>
      <c r="G46" s="307" t="n">
        <v>0</v>
      </c>
      <c r="H46" s="308">
        <f>SUM(C46:G46)</f>
        <v/>
      </c>
    </row>
    <row r="47" ht="12.75" customHeight="1">
      <c r="A47" s="1" t="inlineStr">
        <is>
          <t>Totaal Crediteuren</t>
        </is>
      </c>
    </row>
    <row r="48" ht="12.75" customHeight="1">
      <c r="H48" s="308">
        <f>SUM(C48:F48)</f>
        <v/>
      </c>
    </row>
    <row r="49" ht="12.75" customHeight="1">
      <c r="A49" s="130" t="inlineStr">
        <is>
          <t>2512100</t>
        </is>
      </c>
      <c r="B49" s="1" t="inlineStr">
        <is>
          <t>BEL Afgedragen/ontvangen BTW</t>
        </is>
      </c>
      <c r="C49" s="302" t="n">
        <v>-3716</v>
      </c>
      <c r="D49" s="302" t="n">
        <v>9</v>
      </c>
      <c r="E49" s="302" t="n">
        <v>-19</v>
      </c>
      <c r="F49" s="302" t="n">
        <v>-204</v>
      </c>
      <c r="G49" s="307" t="n">
        <v>17</v>
      </c>
      <c r="H49" s="308">
        <f>SUM(C49:G49)</f>
        <v/>
      </c>
    </row>
    <row r="50" ht="12.75" customHeight="1">
      <c r="A50" s="130" t="inlineStr">
        <is>
          <t>2530000</t>
        </is>
      </c>
      <c r="B50" s="1" t="inlineStr">
        <is>
          <t>BEL Te betalen vennootschapsbelasting</t>
        </is>
      </c>
      <c r="C50" s="302" t="n">
        <v>-165928</v>
      </c>
      <c r="D50" s="302" t="n">
        <v>-197342</v>
      </c>
      <c r="E50" s="302" t="n">
        <v>-74792</v>
      </c>
      <c r="F50" s="302" t="n">
        <v>94944</v>
      </c>
      <c r="G50" s="307" t="n">
        <v>0</v>
      </c>
      <c r="H50" s="308">
        <f>SUM(C50:G50)</f>
        <v/>
      </c>
    </row>
    <row r="51" ht="12.75" customHeight="1">
      <c r="A51" s="130" t="inlineStr">
        <is>
          <t>2550000</t>
        </is>
      </c>
      <c r="B51" s="1" t="inlineStr">
        <is>
          <t>BEL Te betalen overige belastingen</t>
        </is>
      </c>
      <c r="C51" s="302" t="n">
        <v>284637</v>
      </c>
      <c r="D51" s="302" t="n">
        <v>-94879</v>
      </c>
      <c r="E51" s="302" t="n">
        <v>-94878</v>
      </c>
      <c r="F51" s="302" t="n">
        <v>-94878</v>
      </c>
      <c r="G51" s="307" t="n">
        <v>0</v>
      </c>
      <c r="H51" s="308">
        <f>SUM(C51:G51)</f>
        <v/>
      </c>
    </row>
    <row r="52" ht="12.75" customHeight="1">
      <c r="A52" s="1" t="inlineStr">
        <is>
          <t>Totaal Belastingen</t>
        </is>
      </c>
    </row>
    <row r="54" ht="12.75" customHeight="1">
      <c r="A54" s="130" t="inlineStr">
        <is>
          <t>2740300</t>
        </is>
      </c>
      <c r="B54" s="1" t="inlineStr">
        <is>
          <t>KLS Te betalen waarborgsommen kortlopend</t>
        </is>
      </c>
      <c r="C54" s="302" t="n">
        <v>-678423</v>
      </c>
      <c r="D54" s="302" t="n">
        <v>-13448</v>
      </c>
      <c r="E54" s="302" t="n">
        <v>-8607</v>
      </c>
      <c r="F54" s="302" t="n">
        <v>-10299</v>
      </c>
      <c r="G54" s="307" t="n">
        <v>10687</v>
      </c>
      <c r="H54" s="308">
        <f>SUM(C54:G54)</f>
        <v/>
      </c>
    </row>
    <row r="55" ht="12.75" customHeight="1">
      <c r="A55" s="130" t="n">
        <v>2740500</v>
      </c>
      <c r="B55" s="1" t="inlineStr">
        <is>
          <t>KLS Te betalen accountants- en administratiekosten</t>
        </is>
      </c>
      <c r="C55" s="302" t="n">
        <v>-22500</v>
      </c>
      <c r="D55" s="302" t="n">
        <v>0</v>
      </c>
      <c r="E55" s="302" t="n">
        <v>0</v>
      </c>
      <c r="F55" s="302" t="n">
        <v>0</v>
      </c>
      <c r="G55" s="307" t="n">
        <v>0</v>
      </c>
      <c r="H55" s="308">
        <f>SUM(C55:G55)</f>
        <v/>
      </c>
    </row>
    <row r="56" ht="12.75" customHeight="1">
      <c r="A56" s="130" t="inlineStr">
        <is>
          <t>2740600</t>
        </is>
      </c>
      <c r="B56" s="1" t="inlineStr">
        <is>
          <t>KLS Te betalen rente</t>
        </is>
      </c>
      <c r="C56" s="302" t="n">
        <v>-503883</v>
      </c>
      <c r="D56" s="302" t="n">
        <v>503883</v>
      </c>
      <c r="E56" s="302" t="n">
        <v>0</v>
      </c>
      <c r="F56" s="302" t="n">
        <v>0</v>
      </c>
      <c r="G56" s="307" t="n">
        <v>-457533</v>
      </c>
      <c r="H56" s="308">
        <f>SUM(C56:G56)</f>
        <v/>
      </c>
    </row>
    <row r="57" ht="12.75" customHeight="1">
      <c r="A57" s="130" t="inlineStr">
        <is>
          <t>2740700</t>
        </is>
      </c>
      <c r="B57" s="1" t="inlineStr">
        <is>
          <t>KLS Te betalen verzekeringen</t>
        </is>
      </c>
      <c r="C57" s="302" t="n">
        <v>47712</v>
      </c>
      <c r="D57" s="302" t="n">
        <v>-15904</v>
      </c>
      <c r="E57" s="302" t="n">
        <v>-15903</v>
      </c>
      <c r="F57" s="302" t="n">
        <v>-15903</v>
      </c>
      <c r="G57" s="307" t="n">
        <v>0</v>
      </c>
      <c r="H57" s="308">
        <f>SUM(C57:G57)</f>
        <v/>
      </c>
    </row>
    <row r="58" ht="12.75" customHeight="1">
      <c r="A58" s="130" t="inlineStr">
        <is>
          <t>2741000</t>
        </is>
      </c>
      <c r="B58" s="1" t="inlineStr">
        <is>
          <t>KLS Te betalen servicekosten</t>
        </is>
      </c>
      <c r="C58" s="302" t="n">
        <v>8500</v>
      </c>
      <c r="D58" s="302" t="n">
        <v>-8500</v>
      </c>
      <c r="E58" s="302" t="n">
        <v>0</v>
      </c>
      <c r="F58" s="302" t="n">
        <v>0</v>
      </c>
      <c r="G58" s="307" t="n">
        <v>0</v>
      </c>
      <c r="H58" s="308">
        <f>SUM(C58:G58)</f>
        <v/>
      </c>
    </row>
    <row r="59" ht="12.75" customHeight="1">
      <c r="A59" s="130" t="inlineStr">
        <is>
          <t>2741001</t>
        </is>
      </c>
      <c r="B59" s="1" t="inlineStr">
        <is>
          <t>KLS Te betalen exploitatiekosten</t>
        </is>
      </c>
      <c r="C59" s="302" t="n">
        <v>0</v>
      </c>
      <c r="D59" s="302" t="n">
        <v>0</v>
      </c>
      <c r="E59" s="302" t="n">
        <v>0</v>
      </c>
      <c r="F59" s="302" t="n">
        <v>-2118</v>
      </c>
      <c r="G59" s="307" t="n">
        <v>0</v>
      </c>
      <c r="H59" s="308">
        <f>SUM(C59:G59)</f>
        <v/>
      </c>
    </row>
    <row r="60" ht="12.75" customHeight="1">
      <c r="A60" s="130" t="inlineStr">
        <is>
          <t>2741002</t>
        </is>
      </c>
      <c r="B60" s="1" t="inlineStr">
        <is>
          <t>KLS Te betalen VVE</t>
        </is>
      </c>
      <c r="C60" s="302" t="n">
        <v>0</v>
      </c>
      <c r="D60" s="302" t="n">
        <v>0</v>
      </c>
      <c r="E60" s="302" t="n">
        <v>0</v>
      </c>
      <c r="F60" s="302" t="n">
        <v>-1846</v>
      </c>
      <c r="G60" s="307" t="n">
        <v>0</v>
      </c>
      <c r="H60" s="308">
        <f>SUM(C60:G60)</f>
        <v/>
      </c>
    </row>
    <row r="61" ht="12.75" customHeight="1">
      <c r="A61" s="130" t="inlineStr">
        <is>
          <t>2741004</t>
        </is>
      </c>
      <c r="B61" s="1" t="inlineStr">
        <is>
          <t>KLS Te betalen Hoen</t>
        </is>
      </c>
      <c r="C61" s="302" t="n">
        <v>-80046</v>
      </c>
      <c r="D61" s="302" t="n">
        <v>487</v>
      </c>
      <c r="E61" s="302" t="n">
        <v>38680</v>
      </c>
      <c r="F61" s="302" t="n">
        <v>61</v>
      </c>
      <c r="G61" s="307" t="n">
        <v>483</v>
      </c>
      <c r="H61" s="308">
        <f>SUM(C61:G61)</f>
        <v/>
      </c>
    </row>
    <row r="62" ht="12.75" customHeight="1">
      <c r="A62" s="130" t="inlineStr">
        <is>
          <t>2741005</t>
        </is>
      </c>
      <c r="B62" s="1" t="inlineStr">
        <is>
          <t>KLS Te betalen managementvergoedingen</t>
        </is>
      </c>
      <c r="C62" s="302" t="n">
        <v>0</v>
      </c>
      <c r="D62" s="302" t="n">
        <v>0</v>
      </c>
      <c r="E62" s="302" t="n">
        <v>0</v>
      </c>
      <c r="F62" s="302" t="n">
        <v>0</v>
      </c>
      <c r="G62" s="307" t="n">
        <v>0</v>
      </c>
      <c r="H62" s="308">
        <f>SUM(C62:G62)</f>
        <v/>
      </c>
    </row>
    <row r="63" ht="12.75" customHeight="1">
      <c r="A63" s="130" t="inlineStr">
        <is>
          <t>2741200</t>
        </is>
      </c>
      <c r="B63" s="1" t="inlineStr">
        <is>
          <t>KLS Te betalen overige kosten</t>
        </is>
      </c>
      <c r="C63" s="302" t="n">
        <v>0</v>
      </c>
      <c r="D63" s="302" t="n">
        <v>0</v>
      </c>
      <c r="E63" s="302" t="n">
        <v>20000</v>
      </c>
      <c r="F63" s="302" t="n">
        <v>-1083</v>
      </c>
      <c r="G63" s="307" t="n">
        <v>0</v>
      </c>
      <c r="H63" s="308">
        <f>SUM(C63:G63)</f>
        <v/>
      </c>
    </row>
    <row r="64" ht="12.75" customHeight="1">
      <c r="A64" s="130" t="inlineStr">
        <is>
          <t>2741900</t>
        </is>
      </c>
      <c r="B64" s="1" t="inlineStr">
        <is>
          <t>KLS Nog uit te zoeken posten MT940</t>
        </is>
      </c>
      <c r="D64" s="302" t="n">
        <v>163</v>
      </c>
      <c r="E64" s="302" t="n">
        <v>0</v>
      </c>
      <c r="F64" s="302" t="n">
        <v>-162</v>
      </c>
      <c r="G64" s="307" t="n">
        <v>851</v>
      </c>
      <c r="H64" s="308">
        <f>SUM(C64:G64)</f>
        <v/>
      </c>
    </row>
    <row r="65" ht="12.75" customHeight="1">
      <c r="A65" s="130" t="inlineStr">
        <is>
          <t>2742200</t>
        </is>
      </c>
      <c r="B65" s="1" t="inlineStr">
        <is>
          <t>KLS Vooruitontvangen bedragen</t>
        </is>
      </c>
      <c r="C65" s="302" t="n">
        <v>-114628</v>
      </c>
      <c r="D65" s="302" t="n">
        <v>5210</v>
      </c>
      <c r="E65" s="302">
        <f>-20427-5</f>
        <v/>
      </c>
      <c r="F65" s="302" t="n">
        <v>-17605</v>
      </c>
      <c r="G65" s="307" t="n">
        <v>-5561</v>
      </c>
      <c r="H65" s="308">
        <f>SUM(C65:G65)</f>
        <v/>
      </c>
    </row>
    <row r="66" ht="12.75" customHeight="1">
      <c r="A66" s="1" t="inlineStr">
        <is>
          <t>Totaal Overige schulden</t>
        </is>
      </c>
    </row>
    <row r="69" ht="12.75" customHeight="1">
      <c r="A69" s="132" t="inlineStr">
        <is>
          <t>Winst- en verliesrekening (baten zijn positief, kosten negatief)</t>
        </is>
      </c>
    </row>
    <row r="70" ht="12.75" customHeight="1">
      <c r="A70" s="130" t="inlineStr">
        <is>
          <t>8000003</t>
        </is>
      </c>
      <c r="B70" s="1" t="inlineStr">
        <is>
          <t>OPB Netto-omzet Theoretische huuropbrengsten</t>
        </is>
      </c>
      <c r="D70" s="302" t="n">
        <v>-2785968</v>
      </c>
      <c r="E70" s="302" t="n">
        <v>-2864512</v>
      </c>
      <c r="F70" s="302" t="n">
        <v>-2858133</v>
      </c>
      <c r="G70" s="307" t="n">
        <v>-2847208</v>
      </c>
      <c r="H70" s="308">
        <f>SUM(C70:G70)</f>
        <v/>
      </c>
    </row>
    <row r="71" ht="12.75" customHeight="1">
      <c r="A71" s="130" t="inlineStr">
        <is>
          <t>8000004</t>
        </is>
      </c>
      <c r="B71" s="1" t="inlineStr">
        <is>
          <t>OPB Netto-omzet Leegstand huuropbrengsten</t>
        </is>
      </c>
      <c r="D71" s="302" t="n">
        <v>52029</v>
      </c>
      <c r="E71" s="302" t="n">
        <v>66870</v>
      </c>
      <c r="F71" s="302" t="n">
        <v>63770</v>
      </c>
      <c r="G71" s="307" t="n">
        <v>69125</v>
      </c>
      <c r="H71" s="308">
        <f>SUM(C71:G71)</f>
        <v/>
      </c>
    </row>
    <row r="72" ht="12.75" customHeight="1">
      <c r="A72" s="1" t="inlineStr">
        <is>
          <t>Totaal Netto-omzet</t>
        </is>
      </c>
      <c r="D72" s="302">
        <f>SUM(D70:D71)</f>
        <v/>
      </c>
      <c r="E72" s="302">
        <f>SUM(E70:E71)</f>
        <v/>
      </c>
      <c r="F72" s="302">
        <f>SUM(F70:F71)</f>
        <v/>
      </c>
      <c r="G72" s="307">
        <f>SUM(G70:G71)</f>
        <v/>
      </c>
      <c r="H72" s="308">
        <f>SUM(C72:G72)</f>
        <v/>
      </c>
    </row>
    <row r="74" ht="12.75" customHeight="1">
      <c r="A74" s="130" t="inlineStr">
        <is>
          <t>8400600</t>
        </is>
      </c>
      <c r="B74" s="1" t="inlineStr">
        <is>
          <t>OPB Overige bedrijfsopbrengsten Totale servicekosten</t>
        </is>
      </c>
      <c r="D74" s="302" t="n">
        <v>-175044</v>
      </c>
      <c r="E74" s="302" t="n">
        <v>-173416</v>
      </c>
      <c r="F74" s="302" t="n">
        <v>-173087</v>
      </c>
      <c r="G74" s="307" t="n">
        <v>-172417</v>
      </c>
      <c r="H74" s="308">
        <f>SUM(C74:G74)</f>
        <v/>
      </c>
    </row>
    <row r="75" ht="12.75" customHeight="1">
      <c r="A75" s="130" t="inlineStr">
        <is>
          <t>8400700</t>
        </is>
      </c>
      <c r="B75" s="1" t="inlineStr">
        <is>
          <t>OPB Overige bedrijfsopbrengsten Servicekosten leegstand</t>
        </is>
      </c>
      <c r="D75" s="302" t="n">
        <v>8634</v>
      </c>
      <c r="E75" s="302" t="n">
        <v>8357</v>
      </c>
      <c r="F75" s="302" t="n">
        <v>29682</v>
      </c>
      <c r="G75" s="307" t="n">
        <v>10767</v>
      </c>
      <c r="H75" s="308">
        <f>SUM(C75:G75)</f>
        <v/>
      </c>
    </row>
    <row r="76" ht="12.75" customHeight="1">
      <c r="A76" s="130" t="inlineStr">
        <is>
          <t>8400800</t>
        </is>
      </c>
      <c r="B76" s="1" t="inlineStr">
        <is>
          <t>OPB Overige bedrijfsopbrengsten Gerealiseerde servicekosten</t>
        </is>
      </c>
      <c r="D76" s="302" t="n">
        <v>181608</v>
      </c>
      <c r="E76" s="302" t="n">
        <v>162849</v>
      </c>
      <c r="F76" s="302" t="n">
        <v>86991</v>
      </c>
      <c r="G76" s="307" t="n">
        <v>133343</v>
      </c>
      <c r="H76" s="308">
        <f>SUM(C76:G76)</f>
        <v/>
      </c>
    </row>
    <row r="77" ht="12.75" customHeight="1">
      <c r="A77" s="1" t="inlineStr">
        <is>
          <t>Totaal Overige bedrijfsopbrengsten</t>
        </is>
      </c>
      <c r="D77" s="302">
        <f>SUM(D74:D76)</f>
        <v/>
      </c>
      <c r="E77" s="302">
        <f>SUM(E74:E76)</f>
        <v/>
      </c>
      <c r="F77" s="302">
        <f>SUM(F74:F76)</f>
        <v/>
      </c>
      <c r="G77" s="307">
        <f>SUM(G74:G76)</f>
        <v/>
      </c>
      <c r="H77" s="308">
        <f>SUM(C77:G77)</f>
        <v/>
      </c>
    </row>
    <row r="79" ht="12.75" customHeight="1">
      <c r="A79" s="130" t="inlineStr">
        <is>
          <t>4051400</t>
        </is>
      </c>
      <c r="B79" s="1" t="inlineStr">
        <is>
          <t>KN Diensten door derden</t>
        </is>
      </c>
      <c r="D79" s="302" t="n">
        <v>118277</v>
      </c>
      <c r="E79" s="302" t="n">
        <v>121669</v>
      </c>
      <c r="F79" s="302" t="n">
        <v>121336</v>
      </c>
      <c r="G79" s="307" t="n">
        <v>120736</v>
      </c>
      <c r="H79" s="308">
        <f>SUM(C79:G79)</f>
        <v/>
      </c>
    </row>
    <row r="80" ht="12.75" customHeight="1">
      <c r="A80" s="1" t="inlineStr">
        <is>
          <t>Totaal overige personeelskosten</t>
        </is>
      </c>
      <c r="D80" s="302">
        <f>SUM(D79)</f>
        <v/>
      </c>
      <c r="E80" s="302">
        <f>SUM(E79)</f>
        <v/>
      </c>
      <c r="F80" s="302">
        <f>SUM(F79)</f>
        <v/>
      </c>
      <c r="G80" s="307">
        <f>SUM(G79)</f>
        <v/>
      </c>
      <c r="H80" s="308">
        <f>SUM(C80:G80)</f>
        <v/>
      </c>
    </row>
    <row r="82" ht="12.75" customHeight="1">
      <c r="A82" s="130" t="inlineStr">
        <is>
          <t>4730000</t>
        </is>
      </c>
      <c r="B82" s="1" t="inlineStr">
        <is>
          <t>AFKN Afschrijvingskosten Vastgoedbeleggingen</t>
        </is>
      </c>
      <c r="D82" s="302" t="n">
        <v>650161</v>
      </c>
      <c r="E82" s="302" t="n">
        <v>653662</v>
      </c>
      <c r="F82" s="302" t="n">
        <v>656408</v>
      </c>
      <c r="G82" s="307" t="n">
        <v>642938</v>
      </c>
      <c r="H82" s="308">
        <f>SUM(C82:G82)</f>
        <v/>
      </c>
    </row>
    <row r="83" ht="12.75" customHeight="1">
      <c r="A83" s="130" t="inlineStr">
        <is>
          <t>4730200</t>
        </is>
      </c>
      <c r="B83" s="1" t="inlineStr">
        <is>
          <t>AFKN Boekresultaat Vastgoedbeleggingen</t>
        </is>
      </c>
      <c r="D83" s="302" t="n">
        <v>-899982</v>
      </c>
      <c r="E83" s="302" t="n">
        <v>-485647</v>
      </c>
      <c r="F83" s="302" t="n">
        <v>-1058583</v>
      </c>
      <c r="G83" s="307" t="n">
        <v>-987433</v>
      </c>
      <c r="H83" s="308">
        <f>SUM(C83:G83)</f>
        <v/>
      </c>
    </row>
    <row r="84" ht="12.75" customHeight="1">
      <c r="A84" s="1" t="inlineStr">
        <is>
          <t>Totaal Afschrijvingen vastgoedbeleggingen</t>
        </is>
      </c>
      <c r="D84" s="302">
        <f>SUM(D82:D83)</f>
        <v/>
      </c>
      <c r="E84" s="302">
        <f>SUM(E82:E83)</f>
        <v/>
      </c>
      <c r="F84" s="302">
        <f>SUM(F82:F83)</f>
        <v/>
      </c>
      <c r="G84" s="307">
        <f>SUM(G82:G83)</f>
        <v/>
      </c>
      <c r="H84" s="308">
        <f>SUM(C84:G84)</f>
        <v/>
      </c>
    </row>
    <row r="86" ht="12.75" customHeight="1">
      <c r="A86" s="130" t="inlineStr">
        <is>
          <t>4100400</t>
        </is>
      </c>
      <c r="B86" s="1" t="inlineStr">
        <is>
          <t>KN Onderhoud gebouwen</t>
        </is>
      </c>
      <c r="D86" s="302" t="n">
        <v>364950</v>
      </c>
      <c r="E86" s="302" t="n">
        <v>473207</v>
      </c>
      <c r="F86" s="302" t="n">
        <v>577916</v>
      </c>
      <c r="G86" s="307" t="n">
        <v>491958</v>
      </c>
      <c r="H86" s="308">
        <f>SUM(C86:G86)</f>
        <v/>
      </c>
    </row>
    <row r="87" ht="12.75" customHeight="1">
      <c r="A87" s="130" t="inlineStr">
        <is>
          <t>4100410</t>
        </is>
      </c>
      <c r="B87" s="1" t="inlineStr">
        <is>
          <t>Verhuurdersheffing</t>
        </is>
      </c>
      <c r="D87" s="302" t="n">
        <v>671</v>
      </c>
      <c r="E87" s="302" t="n">
        <v>526216</v>
      </c>
      <c r="F87" s="302" t="n">
        <v>0</v>
      </c>
      <c r="G87" s="307" t="n">
        <v>0</v>
      </c>
      <c r="H87" s="308">
        <f>SUM(C87:G87)</f>
        <v/>
      </c>
    </row>
    <row r="88" ht="12.75" customHeight="1">
      <c r="A88" s="130" t="inlineStr">
        <is>
          <t>4100900</t>
        </is>
      </c>
      <c r="B88" s="1" t="inlineStr">
        <is>
          <t>KN Onroerende zaakbelasting</t>
        </is>
      </c>
      <c r="D88" s="302" t="n">
        <v>82857</v>
      </c>
      <c r="E88" s="302" t="n">
        <v>65301</v>
      </c>
      <c r="F88" s="302" t="n">
        <v>65007</v>
      </c>
      <c r="G88" s="307" t="n">
        <v>47461</v>
      </c>
      <c r="H88" s="308">
        <f>SUM(C88:G88)</f>
        <v/>
      </c>
    </row>
    <row r="89" ht="12.75" customHeight="1">
      <c r="A89" s="130" t="inlineStr">
        <is>
          <t>4101000</t>
        </is>
      </c>
      <c r="B89" s="1" t="inlineStr">
        <is>
          <t>KN VvE-kosten</t>
        </is>
      </c>
      <c r="D89" s="302" t="n">
        <v>166785</v>
      </c>
      <c r="E89" s="302" t="n">
        <v>143177</v>
      </c>
      <c r="F89" s="302" t="n">
        <v>5404</v>
      </c>
      <c r="G89" s="307" t="n">
        <v>96652</v>
      </c>
      <c r="H89" s="308">
        <f>SUM(C89:G89)</f>
        <v/>
      </c>
    </row>
    <row r="90" ht="12.75" customHeight="1">
      <c r="A90" s="130" t="inlineStr">
        <is>
          <t>4101010</t>
        </is>
      </c>
      <c r="B90" s="1" t="inlineStr">
        <is>
          <t>Gemeentelijke belastingen</t>
        </is>
      </c>
      <c r="D90" s="302" t="n">
        <v>41233</v>
      </c>
      <c r="E90" s="302" t="n">
        <v>29292</v>
      </c>
      <c r="F90" s="302" t="n">
        <v>29292</v>
      </c>
      <c r="G90" s="307" t="n">
        <v>39392</v>
      </c>
      <c r="H90" s="308">
        <f>SUM(C90:G90)</f>
        <v/>
      </c>
    </row>
    <row r="91" ht="12.75" customHeight="1">
      <c r="A91" s="130" t="inlineStr">
        <is>
          <t>4101020</t>
        </is>
      </c>
      <c r="B91" s="1" t="inlineStr">
        <is>
          <t>Waterschapsbelasting</t>
        </is>
      </c>
      <c r="D91" s="302" t="n">
        <v>48210</v>
      </c>
      <c r="E91" s="302" t="n">
        <v>18196</v>
      </c>
      <c r="F91" s="302" t="n">
        <v>1661</v>
      </c>
      <c r="G91" s="307" t="n">
        <v>250</v>
      </c>
      <c r="H91" s="308">
        <f>SUM(C91:G91)</f>
        <v/>
      </c>
    </row>
    <row r="92" ht="12.75" customHeight="1">
      <c r="A92" s="130" t="inlineStr">
        <is>
          <t>4101300</t>
        </is>
      </c>
      <c r="B92" s="1" t="inlineStr">
        <is>
          <t>KN Servicekosten leegstand</t>
        </is>
      </c>
      <c r="D92" s="302" t="n">
        <v>41592</v>
      </c>
      <c r="E92" s="302" t="n">
        <v>10273</v>
      </c>
      <c r="F92" s="302" t="n">
        <v>35598</v>
      </c>
      <c r="G92" s="307" t="n">
        <v>-799</v>
      </c>
      <c r="H92" s="308">
        <f>SUM(C92:G92)</f>
        <v/>
      </c>
    </row>
    <row r="93" ht="12.75" customHeight="1">
      <c r="A93" s="130" t="inlineStr">
        <is>
          <t>4109800</t>
        </is>
      </c>
      <c r="B93" s="1" t="inlineStr">
        <is>
          <t>KN Overige huisvestingskosten</t>
        </is>
      </c>
      <c r="D93" s="302" t="n">
        <v>39569</v>
      </c>
      <c r="E93" s="302" t="n">
        <v>0</v>
      </c>
      <c r="F93" s="302" t="n">
        <v>2153</v>
      </c>
      <c r="G93" s="307" t="n">
        <v>0</v>
      </c>
      <c r="H93" s="308">
        <f>SUM(C93:G93)</f>
        <v/>
      </c>
    </row>
    <row r="94" ht="12.75" customHeight="1">
      <c r="A94" s="1" t="inlineStr">
        <is>
          <t>Totaal Huisvestingskosten</t>
        </is>
      </c>
      <c r="D94" s="302">
        <f>SUM(D86:D93)</f>
        <v/>
      </c>
      <c r="E94" s="302">
        <f>SUM(E86:E93)</f>
        <v/>
      </c>
      <c r="F94" s="302">
        <f>SUM(F86:F93)</f>
        <v/>
      </c>
      <c r="G94" s="307">
        <f>SUM(G86:G93)</f>
        <v/>
      </c>
      <c r="H94" s="308">
        <f>SUM(C94:G94)</f>
        <v/>
      </c>
    </row>
    <row r="96" ht="12.75" customHeight="1">
      <c r="A96" s="130" t="inlineStr">
        <is>
          <t>4500400</t>
        </is>
      </c>
      <c r="B96" s="1" t="inlineStr">
        <is>
          <t>KN Representatiekosten</t>
        </is>
      </c>
      <c r="D96" s="302" t="n">
        <v>0</v>
      </c>
      <c r="E96" s="302" t="n">
        <v>4200</v>
      </c>
      <c r="F96" s="302" t="n">
        <v>0</v>
      </c>
      <c r="G96" s="307" t="n">
        <v>0</v>
      </c>
      <c r="H96" s="308">
        <f>SUM(C96:G96)</f>
        <v/>
      </c>
    </row>
    <row r="97" ht="12.75" customHeight="1">
      <c r="A97" s="130" t="inlineStr">
        <is>
          <t>4501200</t>
        </is>
      </c>
      <c r="B97" s="1" t="inlineStr">
        <is>
          <t>KN Mutatie voorziening dubieuze debiteuren</t>
        </is>
      </c>
      <c r="D97" s="302" t="n">
        <v>0</v>
      </c>
      <c r="E97" s="302" t="n">
        <v>0</v>
      </c>
      <c r="F97" s="302" t="n">
        <v>0</v>
      </c>
      <c r="G97" s="307" t="n">
        <v>0</v>
      </c>
      <c r="H97" s="308">
        <f>SUM(C97:G97)</f>
        <v/>
      </c>
    </row>
    <row r="98" ht="12.75" customHeight="1">
      <c r="A98" s="130" t="inlineStr">
        <is>
          <t>4501300</t>
        </is>
      </c>
      <c r="B98" s="1" t="inlineStr">
        <is>
          <t>KN Afboeking dubieuze debiteuren</t>
        </is>
      </c>
      <c r="D98" s="302" t="n">
        <v>-800</v>
      </c>
      <c r="E98" s="302" t="n">
        <v>2282</v>
      </c>
      <c r="F98" s="302" t="n">
        <v>28608</v>
      </c>
      <c r="G98" s="307" t="n">
        <v>-164</v>
      </c>
      <c r="H98" s="308">
        <f>SUM(C98:G98)</f>
        <v/>
      </c>
    </row>
    <row r="99" ht="12.75" customHeight="1">
      <c r="A99" s="1" t="inlineStr">
        <is>
          <t>Totaal Verkoopkosten</t>
        </is>
      </c>
      <c r="D99" s="302">
        <f>SUM(D96:D98)</f>
        <v/>
      </c>
      <c r="E99" s="302">
        <f>SUM(E96:E98)</f>
        <v/>
      </c>
      <c r="F99" s="302">
        <f>SUM(F96:F98)</f>
        <v/>
      </c>
      <c r="G99" s="307">
        <f>SUM(G96:G98)</f>
        <v/>
      </c>
      <c r="H99" s="308">
        <f>SUM(C99:G99)</f>
        <v/>
      </c>
    </row>
    <row r="101" ht="12.75" customHeight="1">
      <c r="A101" s="130" t="inlineStr">
        <is>
          <t>4300500</t>
        </is>
      </c>
      <c r="B101" s="1" t="inlineStr">
        <is>
          <t>KN Incassokosten</t>
        </is>
      </c>
      <c r="D101" s="302" t="n">
        <v>0</v>
      </c>
      <c r="E101" s="302" t="n">
        <v>0</v>
      </c>
      <c r="F101" s="302" t="n">
        <v>-590</v>
      </c>
      <c r="G101" s="307" t="n">
        <v>0</v>
      </c>
      <c r="H101" s="308">
        <f>SUM(C101:G101)</f>
        <v/>
      </c>
    </row>
    <row r="102" ht="12.75" customHeight="1">
      <c r="A102" s="1" t="inlineStr">
        <is>
          <t>Totaal Kantoorkosten</t>
        </is>
      </c>
      <c r="D102" s="302" t="n">
        <v>0</v>
      </c>
      <c r="E102" s="302">
        <f>SUM(E101)</f>
        <v/>
      </c>
      <c r="F102" s="302">
        <f>SUM(F101)</f>
        <v/>
      </c>
      <c r="G102" s="307">
        <f>SUM(G101)</f>
        <v/>
      </c>
      <c r="H102" s="308">
        <f>SUM(C102:G102)</f>
        <v/>
      </c>
    </row>
    <row r="104" ht="12.75" customHeight="1">
      <c r="A104" s="130" t="inlineStr">
        <is>
          <t>4310000</t>
        </is>
      </c>
      <c r="B104" s="1" t="inlineStr">
        <is>
          <t>KN Abonnementen en contributies</t>
        </is>
      </c>
      <c r="D104" s="302" t="n">
        <v>4385</v>
      </c>
      <c r="E104" s="302" t="n">
        <v>0</v>
      </c>
      <c r="F104" s="302" t="n">
        <v>0</v>
      </c>
      <c r="G104" s="307" t="n">
        <v>4406</v>
      </c>
      <c r="H104" s="308">
        <f>SUM(C104:G104)</f>
        <v/>
      </c>
    </row>
    <row r="105" ht="12.75" customHeight="1">
      <c r="A105" s="130" t="inlineStr">
        <is>
          <t>4310400</t>
        </is>
      </c>
      <c r="B105" s="1" t="inlineStr">
        <is>
          <t>KN Assurantiepremie algemeen</t>
        </is>
      </c>
      <c r="D105" s="302" t="n">
        <v>28966</v>
      </c>
      <c r="E105" s="302" t="n">
        <v>28072</v>
      </c>
      <c r="F105" s="302" t="n">
        <v>13908</v>
      </c>
      <c r="G105" s="307" t="n">
        <v>321</v>
      </c>
      <c r="H105" s="308">
        <f>SUM(C105:G105)</f>
        <v/>
      </c>
    </row>
    <row r="106" ht="12.75" customHeight="1">
      <c r="A106" s="130" t="inlineStr">
        <is>
          <t>4310500</t>
        </is>
      </c>
      <c r="B106" s="1" t="inlineStr">
        <is>
          <t>KN Managementvergoeding</t>
        </is>
      </c>
      <c r="D106" s="302" t="n">
        <v>5445</v>
      </c>
      <c r="E106" s="302" t="n">
        <v>5445</v>
      </c>
      <c r="F106" s="302" t="n">
        <v>5445</v>
      </c>
      <c r="G106" s="307" t="n">
        <v>5445</v>
      </c>
      <c r="H106" s="308">
        <f>SUM(C106:G106)</f>
        <v/>
      </c>
    </row>
    <row r="107" ht="12.75" customHeight="1">
      <c r="A107" s="130" t="inlineStr">
        <is>
          <t>4310600</t>
        </is>
      </c>
      <c r="B107" s="1" t="inlineStr">
        <is>
          <t>KN Accountantskosten</t>
        </is>
      </c>
      <c r="D107" s="302" t="n">
        <v>54033</v>
      </c>
      <c r="E107" s="302" t="n">
        <v>16927</v>
      </c>
      <c r="F107" s="302" t="n">
        <v>21556</v>
      </c>
      <c r="G107" s="307" t="n">
        <v>6339</v>
      </c>
      <c r="H107" s="308">
        <f>SUM(C107:G107)</f>
        <v/>
      </c>
    </row>
    <row r="108" ht="12.75" customHeight="1">
      <c r="A108" s="130" t="inlineStr">
        <is>
          <t>4310700</t>
        </is>
      </c>
      <c r="B108" s="1" t="inlineStr">
        <is>
          <t>KN Administratiekosten</t>
        </is>
      </c>
      <c r="D108" s="302" t="n">
        <v>378</v>
      </c>
      <c r="E108" s="302" t="n">
        <v>0</v>
      </c>
      <c r="F108" s="302" t="n">
        <v>1491</v>
      </c>
      <c r="G108" s="307" t="n">
        <v>1210</v>
      </c>
      <c r="H108" s="308">
        <f>SUM(C108:G108)</f>
        <v/>
      </c>
    </row>
    <row r="109" ht="12.75" customHeight="1">
      <c r="A109" s="130" t="inlineStr">
        <is>
          <t>4310800</t>
        </is>
      </c>
      <c r="B109" s="1" t="inlineStr">
        <is>
          <t>KN Makelaarskosten</t>
        </is>
      </c>
      <c r="D109" s="302" t="n">
        <v>85400</v>
      </c>
      <c r="E109" s="302" t="n">
        <v>39079</v>
      </c>
      <c r="F109" s="302" t="n">
        <v>54700</v>
      </c>
      <c r="G109" s="307" t="n">
        <v>62550</v>
      </c>
      <c r="H109" s="308">
        <f>SUM(C109:G109)</f>
        <v/>
      </c>
    </row>
    <row r="110" ht="12.75" customHeight="1">
      <c r="A110" s="130" t="inlineStr">
        <is>
          <t>4311000</t>
        </is>
      </c>
      <c r="B110" s="1" t="inlineStr">
        <is>
          <t>KN Juridische kosten</t>
        </is>
      </c>
      <c r="D110" s="302" t="n">
        <v>12796</v>
      </c>
      <c r="E110" s="302" t="n">
        <v>37004</v>
      </c>
      <c r="F110" s="302" t="n">
        <v>8809</v>
      </c>
      <c r="G110" s="307" t="n">
        <v>4418</v>
      </c>
      <c r="H110" s="308">
        <f>SUM(C110:G110)</f>
        <v/>
      </c>
    </row>
    <row r="111" ht="12.75" customHeight="1">
      <c r="A111" s="130" t="inlineStr">
        <is>
          <t>4311800</t>
        </is>
      </c>
      <c r="B111" s="1" t="inlineStr">
        <is>
          <t>KN Advieskosten</t>
        </is>
      </c>
      <c r="D111" s="302" t="n">
        <v>0</v>
      </c>
      <c r="E111" s="302" t="n">
        <v>0</v>
      </c>
      <c r="F111" s="302" t="n">
        <v>0</v>
      </c>
      <c r="G111" s="307" t="n">
        <v>0</v>
      </c>
      <c r="H111" s="308">
        <f>SUM(C111:G111)</f>
        <v/>
      </c>
    </row>
    <row r="112" ht="12.75" customHeight="1">
      <c r="A112" s="130" t="inlineStr">
        <is>
          <t>4311900</t>
        </is>
      </c>
      <c r="B112" s="1" t="inlineStr">
        <is>
          <t>KN Bankkosten</t>
        </is>
      </c>
      <c r="D112" s="302" t="n">
        <v>1261</v>
      </c>
      <c r="E112" s="302" t="n">
        <v>1391</v>
      </c>
      <c r="F112" s="302" t="n">
        <v>1317</v>
      </c>
      <c r="G112" s="307" t="n">
        <v>1219</v>
      </c>
      <c r="H112" s="308">
        <f>SUM(C112:G112)</f>
        <v/>
      </c>
    </row>
    <row r="113" ht="12.75" customHeight="1">
      <c r="A113" s="130" t="inlineStr">
        <is>
          <t>4312600</t>
        </is>
      </c>
      <c r="B113" s="1" t="inlineStr">
        <is>
          <t>KN Agent Fee facility</t>
        </is>
      </c>
      <c r="E113" s="302" t="n">
        <v>20000</v>
      </c>
      <c r="F113" s="302" t="n">
        <v>0</v>
      </c>
      <c r="G113" s="307" t="n">
        <v>0</v>
      </c>
      <c r="H113" s="308">
        <f>SUM(C113:G113)</f>
        <v/>
      </c>
    </row>
    <row r="114" ht="12.75" customHeight="1">
      <c r="A114" s="130" t="inlineStr">
        <is>
          <t>4319800</t>
        </is>
      </c>
      <c r="B114" s="1" t="inlineStr">
        <is>
          <t>KN Overige algemene kosten</t>
        </is>
      </c>
      <c r="D114" s="302" t="n">
        <v>974</v>
      </c>
      <c r="E114" s="302" t="n">
        <v>1210</v>
      </c>
      <c r="F114" s="309" t="n">
        <v>-1126</v>
      </c>
      <c r="G114" s="311" t="n">
        <v>0</v>
      </c>
      <c r="H114" s="308">
        <f>SUM(C114:G114)</f>
        <v/>
      </c>
    </row>
    <row r="115" ht="12.75" customHeight="1">
      <c r="A115" s="1" t="inlineStr">
        <is>
          <t>Totaal Algemene kosten</t>
        </is>
      </c>
      <c r="D115" s="302">
        <f>SUM(D104:D114)</f>
        <v/>
      </c>
      <c r="E115" s="302">
        <f>SUM(E104:E114)+2</f>
        <v/>
      </c>
      <c r="F115" s="302">
        <f>SUM(F104:F114)</f>
        <v/>
      </c>
      <c r="G115" s="307">
        <f>SUM(G104:G114)</f>
        <v/>
      </c>
      <c r="H115" s="308">
        <f>SUM(C115:G115)</f>
        <v/>
      </c>
    </row>
    <row r="117" ht="12.75" customHeight="1">
      <c r="A117" s="130" t="inlineStr">
        <is>
          <t>4623000</t>
        </is>
      </c>
      <c r="B117" s="1" t="inlineStr">
        <is>
          <t>FINBL Rente ABN AMRO Bank NV leningen</t>
        </is>
      </c>
      <c r="D117" s="302" t="n">
        <v>0</v>
      </c>
      <c r="E117" s="302" t="n">
        <v>0</v>
      </c>
      <c r="F117" s="302" t="n">
        <v>0</v>
      </c>
      <c r="H117" s="308">
        <f>SUM(C117:G117)</f>
        <v/>
      </c>
    </row>
    <row r="118" ht="12.75" customHeight="1">
      <c r="A118" s="130" t="inlineStr">
        <is>
          <t>4623001</t>
        </is>
      </c>
      <c r="B118" s="1" t="inlineStr">
        <is>
          <t>FINBL Rente ABN AMRO Bank NV Senior Facility Agreement</t>
        </is>
      </c>
      <c r="D118" s="302" t="n">
        <v>513800</v>
      </c>
      <c r="E118" s="302" t="n">
        <v>486625</v>
      </c>
      <c r="F118" s="302" t="n">
        <v>473890</v>
      </c>
      <c r="G118" s="307" t="n">
        <v>457533</v>
      </c>
      <c r="H118" s="308">
        <f>SUM(C118:G118)</f>
        <v/>
      </c>
    </row>
    <row r="119" ht="12.75" customHeight="1">
      <c r="A119" s="130" t="inlineStr">
        <is>
          <t>4628001</t>
        </is>
      </c>
      <c r="B119" s="1" t="inlineStr">
        <is>
          <t>FINBL Rente LLS QSPESS Limited</t>
        </is>
      </c>
      <c r="D119" s="302" t="n">
        <v>0</v>
      </c>
      <c r="E119" s="302" t="n">
        <v>0</v>
      </c>
      <c r="F119" s="302" t="n">
        <v>0</v>
      </c>
      <c r="G119" s="307" t="n">
        <v>0</v>
      </c>
      <c r="H119" s="308">
        <f>SUM(C119:G119)</f>
        <v/>
      </c>
    </row>
    <row r="120" ht="12.75" customHeight="1">
      <c r="A120" s="130" t="n">
        <v>4630000</v>
      </c>
      <c r="B120" s="1" t="inlineStr">
        <is>
          <t>FINBL Rente belastingen</t>
        </is>
      </c>
      <c r="D120" s="302" t="n">
        <v>0</v>
      </c>
      <c r="E120" s="302" t="n">
        <v>0</v>
      </c>
      <c r="F120" s="302" t="n">
        <v>0</v>
      </c>
      <c r="G120" s="307" t="n">
        <v>0</v>
      </c>
      <c r="H120" s="308">
        <f>SUM(C120:G120)</f>
        <v/>
      </c>
    </row>
    <row r="121" ht="12.75" customHeight="1">
      <c r="A121" s="130" t="inlineStr">
        <is>
          <t>4643000</t>
        </is>
      </c>
      <c r="B121" s="1" t="inlineStr">
        <is>
          <t>FINBL Overige rentelasten</t>
        </is>
      </c>
      <c r="D121" s="302" t="n">
        <v>108774</v>
      </c>
      <c r="E121" s="302" t="n">
        <v>111640</v>
      </c>
      <c r="F121" s="302" t="n">
        <v>108560</v>
      </c>
      <c r="G121" s="307" t="n">
        <v>106683</v>
      </c>
      <c r="H121" s="308">
        <f>SUM(C121:G121)</f>
        <v/>
      </c>
    </row>
    <row r="122" ht="12.75" customHeight="1">
      <c r="A122" s="130" t="inlineStr">
        <is>
          <t>Totaal Financiële baten en lasten</t>
        </is>
      </c>
      <c r="D122" s="302">
        <f>SUM(D117:D121)</f>
        <v/>
      </c>
      <c r="E122" s="302">
        <f>SUM(E117:E121)</f>
        <v/>
      </c>
      <c r="F122" s="302">
        <f>SUM(F117:F121)</f>
        <v/>
      </c>
      <c r="G122" s="307">
        <f>SUM(G117:G121)</f>
        <v/>
      </c>
      <c r="H122" s="308">
        <f>SUM(C122:G122)</f>
        <v/>
      </c>
    </row>
    <row r="124" ht="12.75" customHeight="1">
      <c r="A124" s="130" t="inlineStr">
        <is>
          <t>9510000</t>
        </is>
      </c>
      <c r="B124" s="1" t="inlineStr">
        <is>
          <t>VPB Mutatie belastinglatentie Mutatie actieve latentie</t>
        </is>
      </c>
      <c r="D124" s="302" t="n">
        <v>-142232</v>
      </c>
      <c r="E124" s="302" t="n">
        <v>-153794</v>
      </c>
      <c r="F124" s="302" t="n">
        <v>-129418</v>
      </c>
      <c r="G124" s="307" t="n">
        <v>293081</v>
      </c>
      <c r="H124" s="308">
        <f>SUM(C124:G124)</f>
        <v/>
      </c>
    </row>
    <row r="125" ht="12.75" customHeight="1">
      <c r="A125" s="130" t="n">
        <v>9500100</v>
      </c>
      <c r="B125" s="1" t="inlineStr">
        <is>
          <t>VPB Vennootschapsbelasting VPB voorgaande jaren</t>
        </is>
      </c>
      <c r="E125" s="302" t="n">
        <v>0</v>
      </c>
      <c r="H125" s="308">
        <f>SUM(C125:G125)</f>
        <v/>
      </c>
    </row>
    <row r="126" ht="12.75" customHeight="1">
      <c r="A126" s="130" t="inlineStr">
        <is>
          <t>Totaal vennootschapsbelasting</t>
        </is>
      </c>
      <c r="D126" s="302">
        <f>SUM(D124:D125)</f>
        <v/>
      </c>
      <c r="E126" s="302">
        <f>SUM(E124:E125)</f>
        <v/>
      </c>
      <c r="F126" s="302">
        <f>SUM(F124:F125)</f>
        <v/>
      </c>
      <c r="G126" s="307">
        <f>SUM(G124:G125)</f>
        <v/>
      </c>
      <c r="H126" s="308">
        <f>SUM(C126:G126)</f>
        <v/>
      </c>
    </row>
    <row r="127" ht="12.75" customHeight="1">
      <c r="H127" s="308">
        <f>SUM(C127:F127)</f>
        <v/>
      </c>
    </row>
    <row r="128" ht="12.75" customHeight="1">
      <c r="A128" s="1" t="inlineStr">
        <is>
          <t>Resultaat na belasting</t>
        </is>
      </c>
      <c r="D128" s="302">
        <f>D72+D77+D80+D84+D94+D99+D102+D115+D122+D126</f>
        <v/>
      </c>
      <c r="E128" s="302">
        <f>E72+E77+E80+E84+E94+E99+E102+E115+E122+E126</f>
        <v/>
      </c>
      <c r="F128" s="302">
        <f>F72+F77+F80+F84+F94+F99+F102+F115+F122+F126</f>
        <v/>
      </c>
      <c r="G128" s="307">
        <f>G72+G77+G80+G84+G94+G99+G102+G115+G122+G126</f>
        <v/>
      </c>
      <c r="H128" s="308">
        <f>SUM(C128:G128)</f>
        <v/>
      </c>
    </row>
    <row r="130" ht="12.75" customHeight="1">
      <c r="C130" s="293" t="n"/>
      <c r="D130" s="293">
        <f>SUM(D4:D66)+D128</f>
        <v/>
      </c>
      <c r="E130" s="293">
        <f>SUM(E4:E66)+E128</f>
        <v/>
      </c>
      <c r="F130" s="293">
        <f>SUM(F4:F66)+F128</f>
        <v/>
      </c>
      <c r="G130" s="312">
        <f>SUM(G4:G66)+G128</f>
        <v/>
      </c>
      <c r="H130" s="312">
        <f>SUM(H4:H66)+H128</f>
        <v/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1"/>
  <sheetViews>
    <sheetView topLeftCell="A87" zoomScale="77" zoomScaleNormal="115" workbookViewId="0">
      <selection activeCell="D112" sqref="D112"/>
    </sheetView>
  </sheetViews>
  <sheetFormatPr baseColWidth="8" defaultRowHeight="12.75" customHeight="1"/>
  <cols>
    <col width="20" bestFit="1" customWidth="1" style="173" min="1" max="1"/>
    <col width="66.33203125" bestFit="1" customWidth="1" style="174" min="2" max="2"/>
    <col width="21.33203125" customWidth="1" style="313" min="3" max="3"/>
    <col width="21.33203125" customWidth="1" style="314" min="4" max="6"/>
    <col width="21.33203125" customWidth="1" style="313" min="7" max="7"/>
    <col width="17.33203125" bestFit="1" customWidth="1" style="315" min="8" max="8"/>
    <col width="11.109375" customWidth="1" style="174" min="9" max="9"/>
    <col width="21.33203125" customWidth="1" style="316" min="10" max="10"/>
    <col width="8.88671875" customWidth="1" style="174" min="11" max="256"/>
    <col width="20" bestFit="1" customWidth="1" style="174" min="257" max="257"/>
    <col width="66.33203125" bestFit="1" customWidth="1" style="174" min="258" max="258"/>
    <col width="21.33203125" customWidth="1" style="174" min="259" max="263"/>
    <col width="17.33203125" bestFit="1" customWidth="1" style="174" min="264" max="264"/>
    <col width="11.109375" customWidth="1" style="174" min="265" max="265"/>
    <col width="21.33203125" customWidth="1" style="174" min="266" max="266"/>
    <col width="8.88671875" customWidth="1" style="174" min="267" max="512"/>
    <col width="20" bestFit="1" customWidth="1" style="174" min="513" max="513"/>
    <col width="66.33203125" bestFit="1" customWidth="1" style="174" min="514" max="514"/>
    <col width="21.33203125" customWidth="1" style="174" min="515" max="519"/>
    <col width="17.33203125" bestFit="1" customWidth="1" style="174" min="520" max="520"/>
    <col width="11.109375" customWidth="1" style="174" min="521" max="521"/>
    <col width="21.33203125" customWidth="1" style="174" min="522" max="522"/>
    <col width="8.88671875" customWidth="1" style="174" min="523" max="768"/>
    <col width="20" bestFit="1" customWidth="1" style="174" min="769" max="769"/>
    <col width="66.33203125" bestFit="1" customWidth="1" style="174" min="770" max="770"/>
    <col width="21.33203125" customWidth="1" style="174" min="771" max="775"/>
    <col width="17.33203125" bestFit="1" customWidth="1" style="174" min="776" max="776"/>
    <col width="11.109375" customWidth="1" style="174" min="777" max="777"/>
    <col width="21.33203125" customWidth="1" style="174" min="778" max="778"/>
    <col width="8.88671875" customWidth="1" style="174" min="779" max="1024"/>
    <col width="20" bestFit="1" customWidth="1" style="174" min="1025" max="1025"/>
    <col width="66.33203125" bestFit="1" customWidth="1" style="174" min="1026" max="1026"/>
    <col width="21.33203125" customWidth="1" style="174" min="1027" max="1031"/>
    <col width="17.33203125" bestFit="1" customWidth="1" style="174" min="1032" max="1032"/>
    <col width="11.109375" customWidth="1" style="174" min="1033" max="1033"/>
    <col width="21.33203125" customWidth="1" style="174" min="1034" max="1034"/>
    <col width="8.88671875" customWidth="1" style="174" min="1035" max="1280"/>
    <col width="20" bestFit="1" customWidth="1" style="174" min="1281" max="1281"/>
    <col width="66.33203125" bestFit="1" customWidth="1" style="174" min="1282" max="1282"/>
    <col width="21.33203125" customWidth="1" style="174" min="1283" max="1287"/>
    <col width="17.33203125" bestFit="1" customWidth="1" style="174" min="1288" max="1288"/>
    <col width="11.109375" customWidth="1" style="174" min="1289" max="1289"/>
    <col width="21.33203125" customWidth="1" style="174" min="1290" max="1290"/>
    <col width="8.88671875" customWidth="1" style="174" min="1291" max="1536"/>
    <col width="20" bestFit="1" customWidth="1" style="174" min="1537" max="1537"/>
    <col width="66.33203125" bestFit="1" customWidth="1" style="174" min="1538" max="1538"/>
    <col width="21.33203125" customWidth="1" style="174" min="1539" max="1543"/>
    <col width="17.33203125" bestFit="1" customWidth="1" style="174" min="1544" max="1544"/>
    <col width="11.109375" customWidth="1" style="174" min="1545" max="1545"/>
    <col width="21.33203125" customWidth="1" style="174" min="1546" max="1546"/>
    <col width="8.88671875" customWidth="1" style="174" min="1547" max="1792"/>
    <col width="20" bestFit="1" customWidth="1" style="174" min="1793" max="1793"/>
    <col width="66.33203125" bestFit="1" customWidth="1" style="174" min="1794" max="1794"/>
    <col width="21.33203125" customWidth="1" style="174" min="1795" max="1799"/>
    <col width="17.33203125" bestFit="1" customWidth="1" style="174" min="1800" max="1800"/>
    <col width="11.109375" customWidth="1" style="174" min="1801" max="1801"/>
    <col width="21.33203125" customWidth="1" style="174" min="1802" max="1802"/>
    <col width="8.88671875" customWidth="1" style="174" min="1803" max="2048"/>
    <col width="20" bestFit="1" customWidth="1" style="174" min="2049" max="2049"/>
    <col width="66.33203125" bestFit="1" customWidth="1" style="174" min="2050" max="2050"/>
    <col width="21.33203125" customWidth="1" style="174" min="2051" max="2055"/>
    <col width="17.33203125" bestFit="1" customWidth="1" style="174" min="2056" max="2056"/>
    <col width="11.109375" customWidth="1" style="174" min="2057" max="2057"/>
    <col width="21.33203125" customWidth="1" style="174" min="2058" max="2058"/>
    <col width="8.88671875" customWidth="1" style="174" min="2059" max="2304"/>
    <col width="20" bestFit="1" customWidth="1" style="174" min="2305" max="2305"/>
    <col width="66.33203125" bestFit="1" customWidth="1" style="174" min="2306" max="2306"/>
    <col width="21.33203125" customWidth="1" style="174" min="2307" max="2311"/>
    <col width="17.33203125" bestFit="1" customWidth="1" style="174" min="2312" max="2312"/>
    <col width="11.109375" customWidth="1" style="174" min="2313" max="2313"/>
    <col width="21.33203125" customWidth="1" style="174" min="2314" max="2314"/>
    <col width="8.88671875" customWidth="1" style="174" min="2315" max="2560"/>
    <col width="20" bestFit="1" customWidth="1" style="174" min="2561" max="2561"/>
    <col width="66.33203125" bestFit="1" customWidth="1" style="174" min="2562" max="2562"/>
    <col width="21.33203125" customWidth="1" style="174" min="2563" max="2567"/>
    <col width="17.33203125" bestFit="1" customWidth="1" style="174" min="2568" max="2568"/>
    <col width="11.109375" customWidth="1" style="174" min="2569" max="2569"/>
    <col width="21.33203125" customWidth="1" style="174" min="2570" max="2570"/>
    <col width="8.88671875" customWidth="1" style="174" min="2571" max="2816"/>
    <col width="20" bestFit="1" customWidth="1" style="174" min="2817" max="2817"/>
    <col width="66.33203125" bestFit="1" customWidth="1" style="174" min="2818" max="2818"/>
    <col width="21.33203125" customWidth="1" style="174" min="2819" max="2823"/>
    <col width="17.33203125" bestFit="1" customWidth="1" style="174" min="2824" max="2824"/>
    <col width="11.109375" customWidth="1" style="174" min="2825" max="2825"/>
    <col width="21.33203125" customWidth="1" style="174" min="2826" max="2826"/>
    <col width="8.88671875" customWidth="1" style="174" min="2827" max="3072"/>
    <col width="20" bestFit="1" customWidth="1" style="174" min="3073" max="3073"/>
    <col width="66.33203125" bestFit="1" customWidth="1" style="174" min="3074" max="3074"/>
    <col width="21.33203125" customWidth="1" style="174" min="3075" max="3079"/>
    <col width="17.33203125" bestFit="1" customWidth="1" style="174" min="3080" max="3080"/>
    <col width="11.109375" customWidth="1" style="174" min="3081" max="3081"/>
    <col width="21.33203125" customWidth="1" style="174" min="3082" max="3082"/>
    <col width="8.88671875" customWidth="1" style="174" min="3083" max="3328"/>
    <col width="20" bestFit="1" customWidth="1" style="174" min="3329" max="3329"/>
    <col width="66.33203125" bestFit="1" customWidth="1" style="174" min="3330" max="3330"/>
    <col width="21.33203125" customWidth="1" style="174" min="3331" max="3335"/>
    <col width="17.33203125" bestFit="1" customWidth="1" style="174" min="3336" max="3336"/>
    <col width="11.109375" customWidth="1" style="174" min="3337" max="3337"/>
    <col width="21.33203125" customWidth="1" style="174" min="3338" max="3338"/>
    <col width="8.88671875" customWidth="1" style="174" min="3339" max="3584"/>
    <col width="20" bestFit="1" customWidth="1" style="174" min="3585" max="3585"/>
    <col width="66.33203125" bestFit="1" customWidth="1" style="174" min="3586" max="3586"/>
    <col width="21.33203125" customWidth="1" style="174" min="3587" max="3591"/>
    <col width="17.33203125" bestFit="1" customWidth="1" style="174" min="3592" max="3592"/>
    <col width="11.109375" customWidth="1" style="174" min="3593" max="3593"/>
    <col width="21.33203125" customWidth="1" style="174" min="3594" max="3594"/>
    <col width="8.88671875" customWidth="1" style="174" min="3595" max="3840"/>
    <col width="20" bestFit="1" customWidth="1" style="174" min="3841" max="3841"/>
    <col width="66.33203125" bestFit="1" customWidth="1" style="174" min="3842" max="3842"/>
    <col width="21.33203125" customWidth="1" style="174" min="3843" max="3847"/>
    <col width="17.33203125" bestFit="1" customWidth="1" style="174" min="3848" max="3848"/>
    <col width="11.109375" customWidth="1" style="174" min="3849" max="3849"/>
    <col width="21.33203125" customWidth="1" style="174" min="3850" max="3850"/>
    <col width="8.88671875" customWidth="1" style="174" min="3851" max="4096"/>
    <col width="20" bestFit="1" customWidth="1" style="174" min="4097" max="4097"/>
    <col width="66.33203125" bestFit="1" customWidth="1" style="174" min="4098" max="4098"/>
    <col width="21.33203125" customWidth="1" style="174" min="4099" max="4103"/>
    <col width="17.33203125" bestFit="1" customWidth="1" style="174" min="4104" max="4104"/>
    <col width="11.109375" customWidth="1" style="174" min="4105" max="4105"/>
    <col width="21.33203125" customWidth="1" style="174" min="4106" max="4106"/>
    <col width="8.88671875" customWidth="1" style="174" min="4107" max="4352"/>
    <col width="20" bestFit="1" customWidth="1" style="174" min="4353" max="4353"/>
    <col width="66.33203125" bestFit="1" customWidth="1" style="174" min="4354" max="4354"/>
    <col width="21.33203125" customWidth="1" style="174" min="4355" max="4359"/>
    <col width="17.33203125" bestFit="1" customWidth="1" style="174" min="4360" max="4360"/>
    <col width="11.109375" customWidth="1" style="174" min="4361" max="4361"/>
    <col width="21.33203125" customWidth="1" style="174" min="4362" max="4362"/>
    <col width="8.88671875" customWidth="1" style="174" min="4363" max="4608"/>
    <col width="20" bestFit="1" customWidth="1" style="174" min="4609" max="4609"/>
    <col width="66.33203125" bestFit="1" customWidth="1" style="174" min="4610" max="4610"/>
    <col width="21.33203125" customWidth="1" style="174" min="4611" max="4615"/>
    <col width="17.33203125" bestFit="1" customWidth="1" style="174" min="4616" max="4616"/>
    <col width="11.109375" customWidth="1" style="174" min="4617" max="4617"/>
    <col width="21.33203125" customWidth="1" style="174" min="4618" max="4618"/>
    <col width="8.88671875" customWidth="1" style="174" min="4619" max="4864"/>
    <col width="20" bestFit="1" customWidth="1" style="174" min="4865" max="4865"/>
    <col width="66.33203125" bestFit="1" customWidth="1" style="174" min="4866" max="4866"/>
    <col width="21.33203125" customWidth="1" style="174" min="4867" max="4871"/>
    <col width="17.33203125" bestFit="1" customWidth="1" style="174" min="4872" max="4872"/>
    <col width="11.109375" customWidth="1" style="174" min="4873" max="4873"/>
    <col width="21.33203125" customWidth="1" style="174" min="4874" max="4874"/>
    <col width="8.88671875" customWidth="1" style="174" min="4875" max="5120"/>
    <col width="20" bestFit="1" customWidth="1" style="174" min="5121" max="5121"/>
    <col width="66.33203125" bestFit="1" customWidth="1" style="174" min="5122" max="5122"/>
    <col width="21.33203125" customWidth="1" style="174" min="5123" max="5127"/>
    <col width="17.33203125" bestFit="1" customWidth="1" style="174" min="5128" max="5128"/>
    <col width="11.109375" customWidth="1" style="174" min="5129" max="5129"/>
    <col width="21.33203125" customWidth="1" style="174" min="5130" max="5130"/>
    <col width="8.88671875" customWidth="1" style="174" min="5131" max="5376"/>
    <col width="20" bestFit="1" customWidth="1" style="174" min="5377" max="5377"/>
    <col width="66.33203125" bestFit="1" customWidth="1" style="174" min="5378" max="5378"/>
    <col width="21.33203125" customWidth="1" style="174" min="5379" max="5383"/>
    <col width="17.33203125" bestFit="1" customWidth="1" style="174" min="5384" max="5384"/>
    <col width="11.109375" customWidth="1" style="174" min="5385" max="5385"/>
    <col width="21.33203125" customWidth="1" style="174" min="5386" max="5386"/>
    <col width="8.88671875" customWidth="1" style="174" min="5387" max="5632"/>
    <col width="20" bestFit="1" customWidth="1" style="174" min="5633" max="5633"/>
    <col width="66.33203125" bestFit="1" customWidth="1" style="174" min="5634" max="5634"/>
    <col width="21.33203125" customWidth="1" style="174" min="5635" max="5639"/>
    <col width="17.33203125" bestFit="1" customWidth="1" style="174" min="5640" max="5640"/>
    <col width="11.109375" customWidth="1" style="174" min="5641" max="5641"/>
    <col width="21.33203125" customWidth="1" style="174" min="5642" max="5642"/>
    <col width="8.88671875" customWidth="1" style="174" min="5643" max="5888"/>
    <col width="20" bestFit="1" customWidth="1" style="174" min="5889" max="5889"/>
    <col width="66.33203125" bestFit="1" customWidth="1" style="174" min="5890" max="5890"/>
    <col width="21.33203125" customWidth="1" style="174" min="5891" max="5895"/>
    <col width="17.33203125" bestFit="1" customWidth="1" style="174" min="5896" max="5896"/>
    <col width="11.109375" customWidth="1" style="174" min="5897" max="5897"/>
    <col width="21.33203125" customWidth="1" style="174" min="5898" max="5898"/>
    <col width="8.88671875" customWidth="1" style="174" min="5899" max="6144"/>
    <col width="20" bestFit="1" customWidth="1" style="174" min="6145" max="6145"/>
    <col width="66.33203125" bestFit="1" customWidth="1" style="174" min="6146" max="6146"/>
    <col width="21.33203125" customWidth="1" style="174" min="6147" max="6151"/>
    <col width="17.33203125" bestFit="1" customWidth="1" style="174" min="6152" max="6152"/>
    <col width="11.109375" customWidth="1" style="174" min="6153" max="6153"/>
    <col width="21.33203125" customWidth="1" style="174" min="6154" max="6154"/>
    <col width="8.88671875" customWidth="1" style="174" min="6155" max="6400"/>
    <col width="20" bestFit="1" customWidth="1" style="174" min="6401" max="6401"/>
    <col width="66.33203125" bestFit="1" customWidth="1" style="174" min="6402" max="6402"/>
    <col width="21.33203125" customWidth="1" style="174" min="6403" max="6407"/>
    <col width="17.33203125" bestFit="1" customWidth="1" style="174" min="6408" max="6408"/>
    <col width="11.109375" customWidth="1" style="174" min="6409" max="6409"/>
    <col width="21.33203125" customWidth="1" style="174" min="6410" max="6410"/>
    <col width="8.88671875" customWidth="1" style="174" min="6411" max="6656"/>
    <col width="20" bestFit="1" customWidth="1" style="174" min="6657" max="6657"/>
    <col width="66.33203125" bestFit="1" customWidth="1" style="174" min="6658" max="6658"/>
    <col width="21.33203125" customWidth="1" style="174" min="6659" max="6663"/>
    <col width="17.33203125" bestFit="1" customWidth="1" style="174" min="6664" max="6664"/>
    <col width="11.109375" customWidth="1" style="174" min="6665" max="6665"/>
    <col width="21.33203125" customWidth="1" style="174" min="6666" max="6666"/>
    <col width="8.88671875" customWidth="1" style="174" min="6667" max="6912"/>
    <col width="20" bestFit="1" customWidth="1" style="174" min="6913" max="6913"/>
    <col width="66.33203125" bestFit="1" customWidth="1" style="174" min="6914" max="6914"/>
    <col width="21.33203125" customWidth="1" style="174" min="6915" max="6919"/>
    <col width="17.33203125" bestFit="1" customWidth="1" style="174" min="6920" max="6920"/>
    <col width="11.109375" customWidth="1" style="174" min="6921" max="6921"/>
    <col width="21.33203125" customWidth="1" style="174" min="6922" max="6922"/>
    <col width="8.88671875" customWidth="1" style="174" min="6923" max="7168"/>
    <col width="20" bestFit="1" customWidth="1" style="174" min="7169" max="7169"/>
    <col width="66.33203125" bestFit="1" customWidth="1" style="174" min="7170" max="7170"/>
    <col width="21.33203125" customWidth="1" style="174" min="7171" max="7175"/>
    <col width="17.33203125" bestFit="1" customWidth="1" style="174" min="7176" max="7176"/>
    <col width="11.109375" customWidth="1" style="174" min="7177" max="7177"/>
    <col width="21.33203125" customWidth="1" style="174" min="7178" max="7178"/>
    <col width="8.88671875" customWidth="1" style="174" min="7179" max="7424"/>
    <col width="20" bestFit="1" customWidth="1" style="174" min="7425" max="7425"/>
    <col width="66.33203125" bestFit="1" customWidth="1" style="174" min="7426" max="7426"/>
    <col width="21.33203125" customWidth="1" style="174" min="7427" max="7431"/>
    <col width="17.33203125" bestFit="1" customWidth="1" style="174" min="7432" max="7432"/>
    <col width="11.109375" customWidth="1" style="174" min="7433" max="7433"/>
    <col width="21.33203125" customWidth="1" style="174" min="7434" max="7434"/>
    <col width="8.88671875" customWidth="1" style="174" min="7435" max="7680"/>
    <col width="20" bestFit="1" customWidth="1" style="174" min="7681" max="7681"/>
    <col width="66.33203125" bestFit="1" customWidth="1" style="174" min="7682" max="7682"/>
    <col width="21.33203125" customWidth="1" style="174" min="7683" max="7687"/>
    <col width="17.33203125" bestFit="1" customWidth="1" style="174" min="7688" max="7688"/>
    <col width="11.109375" customWidth="1" style="174" min="7689" max="7689"/>
    <col width="21.33203125" customWidth="1" style="174" min="7690" max="7690"/>
    <col width="8.88671875" customWidth="1" style="174" min="7691" max="7936"/>
    <col width="20" bestFit="1" customWidth="1" style="174" min="7937" max="7937"/>
    <col width="66.33203125" bestFit="1" customWidth="1" style="174" min="7938" max="7938"/>
    <col width="21.33203125" customWidth="1" style="174" min="7939" max="7943"/>
    <col width="17.33203125" bestFit="1" customWidth="1" style="174" min="7944" max="7944"/>
    <col width="11.109375" customWidth="1" style="174" min="7945" max="7945"/>
    <col width="21.33203125" customWidth="1" style="174" min="7946" max="7946"/>
    <col width="8.88671875" customWidth="1" style="174" min="7947" max="8192"/>
    <col width="20" bestFit="1" customWidth="1" style="174" min="8193" max="8193"/>
    <col width="66.33203125" bestFit="1" customWidth="1" style="174" min="8194" max="8194"/>
    <col width="21.33203125" customWidth="1" style="174" min="8195" max="8199"/>
    <col width="17.33203125" bestFit="1" customWidth="1" style="174" min="8200" max="8200"/>
    <col width="11.109375" customWidth="1" style="174" min="8201" max="8201"/>
    <col width="21.33203125" customWidth="1" style="174" min="8202" max="8202"/>
    <col width="8.88671875" customWidth="1" style="174" min="8203" max="8448"/>
    <col width="20" bestFit="1" customWidth="1" style="174" min="8449" max="8449"/>
    <col width="66.33203125" bestFit="1" customWidth="1" style="174" min="8450" max="8450"/>
    <col width="21.33203125" customWidth="1" style="174" min="8451" max="8455"/>
    <col width="17.33203125" bestFit="1" customWidth="1" style="174" min="8456" max="8456"/>
    <col width="11.109375" customWidth="1" style="174" min="8457" max="8457"/>
    <col width="21.33203125" customWidth="1" style="174" min="8458" max="8458"/>
    <col width="8.88671875" customWidth="1" style="174" min="8459" max="8704"/>
    <col width="20" bestFit="1" customWidth="1" style="174" min="8705" max="8705"/>
    <col width="66.33203125" bestFit="1" customWidth="1" style="174" min="8706" max="8706"/>
    <col width="21.33203125" customWidth="1" style="174" min="8707" max="8711"/>
    <col width="17.33203125" bestFit="1" customWidth="1" style="174" min="8712" max="8712"/>
    <col width="11.109375" customWidth="1" style="174" min="8713" max="8713"/>
    <col width="21.33203125" customWidth="1" style="174" min="8714" max="8714"/>
    <col width="8.88671875" customWidth="1" style="174" min="8715" max="8960"/>
    <col width="20" bestFit="1" customWidth="1" style="174" min="8961" max="8961"/>
    <col width="66.33203125" bestFit="1" customWidth="1" style="174" min="8962" max="8962"/>
    <col width="21.33203125" customWidth="1" style="174" min="8963" max="8967"/>
    <col width="17.33203125" bestFit="1" customWidth="1" style="174" min="8968" max="8968"/>
    <col width="11.109375" customWidth="1" style="174" min="8969" max="8969"/>
    <col width="21.33203125" customWidth="1" style="174" min="8970" max="8970"/>
    <col width="8.88671875" customWidth="1" style="174" min="8971" max="9216"/>
    <col width="20" bestFit="1" customWidth="1" style="174" min="9217" max="9217"/>
    <col width="66.33203125" bestFit="1" customWidth="1" style="174" min="9218" max="9218"/>
    <col width="21.33203125" customWidth="1" style="174" min="9219" max="9223"/>
    <col width="17.33203125" bestFit="1" customWidth="1" style="174" min="9224" max="9224"/>
    <col width="11.109375" customWidth="1" style="174" min="9225" max="9225"/>
    <col width="21.33203125" customWidth="1" style="174" min="9226" max="9226"/>
    <col width="8.88671875" customWidth="1" style="174" min="9227" max="9472"/>
    <col width="20" bestFit="1" customWidth="1" style="174" min="9473" max="9473"/>
    <col width="66.33203125" bestFit="1" customWidth="1" style="174" min="9474" max="9474"/>
    <col width="21.33203125" customWidth="1" style="174" min="9475" max="9479"/>
    <col width="17.33203125" bestFit="1" customWidth="1" style="174" min="9480" max="9480"/>
    <col width="11.109375" customWidth="1" style="174" min="9481" max="9481"/>
    <col width="21.33203125" customWidth="1" style="174" min="9482" max="9482"/>
    <col width="8.88671875" customWidth="1" style="174" min="9483" max="9728"/>
    <col width="20" bestFit="1" customWidth="1" style="174" min="9729" max="9729"/>
    <col width="66.33203125" bestFit="1" customWidth="1" style="174" min="9730" max="9730"/>
    <col width="21.33203125" customWidth="1" style="174" min="9731" max="9735"/>
    <col width="17.33203125" bestFit="1" customWidth="1" style="174" min="9736" max="9736"/>
    <col width="11.109375" customWidth="1" style="174" min="9737" max="9737"/>
    <col width="21.33203125" customWidth="1" style="174" min="9738" max="9738"/>
    <col width="8.88671875" customWidth="1" style="174" min="9739" max="9984"/>
    <col width="20" bestFit="1" customWidth="1" style="174" min="9985" max="9985"/>
    <col width="66.33203125" bestFit="1" customWidth="1" style="174" min="9986" max="9986"/>
    <col width="21.33203125" customWidth="1" style="174" min="9987" max="9991"/>
    <col width="17.33203125" bestFit="1" customWidth="1" style="174" min="9992" max="9992"/>
    <col width="11.109375" customWidth="1" style="174" min="9993" max="9993"/>
    <col width="21.33203125" customWidth="1" style="174" min="9994" max="9994"/>
    <col width="8.88671875" customWidth="1" style="174" min="9995" max="10240"/>
    <col width="20" bestFit="1" customWidth="1" style="174" min="10241" max="10241"/>
    <col width="66.33203125" bestFit="1" customWidth="1" style="174" min="10242" max="10242"/>
    <col width="21.33203125" customWidth="1" style="174" min="10243" max="10247"/>
    <col width="17.33203125" bestFit="1" customWidth="1" style="174" min="10248" max="10248"/>
    <col width="11.109375" customWidth="1" style="174" min="10249" max="10249"/>
    <col width="21.33203125" customWidth="1" style="174" min="10250" max="10250"/>
    <col width="8.88671875" customWidth="1" style="174" min="10251" max="10496"/>
    <col width="20" bestFit="1" customWidth="1" style="174" min="10497" max="10497"/>
    <col width="66.33203125" bestFit="1" customWidth="1" style="174" min="10498" max="10498"/>
    <col width="21.33203125" customWidth="1" style="174" min="10499" max="10503"/>
    <col width="17.33203125" bestFit="1" customWidth="1" style="174" min="10504" max="10504"/>
    <col width="11.109375" customWidth="1" style="174" min="10505" max="10505"/>
    <col width="21.33203125" customWidth="1" style="174" min="10506" max="10506"/>
    <col width="8.88671875" customWidth="1" style="174" min="10507" max="10752"/>
    <col width="20" bestFit="1" customWidth="1" style="174" min="10753" max="10753"/>
    <col width="66.33203125" bestFit="1" customWidth="1" style="174" min="10754" max="10754"/>
    <col width="21.33203125" customWidth="1" style="174" min="10755" max="10759"/>
    <col width="17.33203125" bestFit="1" customWidth="1" style="174" min="10760" max="10760"/>
    <col width="11.109375" customWidth="1" style="174" min="10761" max="10761"/>
    <col width="21.33203125" customWidth="1" style="174" min="10762" max="10762"/>
    <col width="8.88671875" customWidth="1" style="174" min="10763" max="11008"/>
    <col width="20" bestFit="1" customWidth="1" style="174" min="11009" max="11009"/>
    <col width="66.33203125" bestFit="1" customWidth="1" style="174" min="11010" max="11010"/>
    <col width="21.33203125" customWidth="1" style="174" min="11011" max="11015"/>
    <col width="17.33203125" bestFit="1" customWidth="1" style="174" min="11016" max="11016"/>
    <col width="11.109375" customWidth="1" style="174" min="11017" max="11017"/>
    <col width="21.33203125" customWidth="1" style="174" min="11018" max="11018"/>
    <col width="8.88671875" customWidth="1" style="174" min="11019" max="11264"/>
    <col width="20" bestFit="1" customWidth="1" style="174" min="11265" max="11265"/>
    <col width="66.33203125" bestFit="1" customWidth="1" style="174" min="11266" max="11266"/>
    <col width="21.33203125" customWidth="1" style="174" min="11267" max="11271"/>
    <col width="17.33203125" bestFit="1" customWidth="1" style="174" min="11272" max="11272"/>
    <col width="11.109375" customWidth="1" style="174" min="11273" max="11273"/>
    <col width="21.33203125" customWidth="1" style="174" min="11274" max="11274"/>
    <col width="8.88671875" customWidth="1" style="174" min="11275" max="11520"/>
    <col width="20" bestFit="1" customWidth="1" style="174" min="11521" max="11521"/>
    <col width="66.33203125" bestFit="1" customWidth="1" style="174" min="11522" max="11522"/>
    <col width="21.33203125" customWidth="1" style="174" min="11523" max="11527"/>
    <col width="17.33203125" bestFit="1" customWidth="1" style="174" min="11528" max="11528"/>
    <col width="11.109375" customWidth="1" style="174" min="11529" max="11529"/>
    <col width="21.33203125" customWidth="1" style="174" min="11530" max="11530"/>
    <col width="8.88671875" customWidth="1" style="174" min="11531" max="11776"/>
    <col width="20" bestFit="1" customWidth="1" style="174" min="11777" max="11777"/>
    <col width="66.33203125" bestFit="1" customWidth="1" style="174" min="11778" max="11778"/>
    <col width="21.33203125" customWidth="1" style="174" min="11779" max="11783"/>
    <col width="17.33203125" bestFit="1" customWidth="1" style="174" min="11784" max="11784"/>
    <col width="11.109375" customWidth="1" style="174" min="11785" max="11785"/>
    <col width="21.33203125" customWidth="1" style="174" min="11786" max="11786"/>
    <col width="8.88671875" customWidth="1" style="174" min="11787" max="12032"/>
    <col width="20" bestFit="1" customWidth="1" style="174" min="12033" max="12033"/>
    <col width="66.33203125" bestFit="1" customWidth="1" style="174" min="12034" max="12034"/>
    <col width="21.33203125" customWidth="1" style="174" min="12035" max="12039"/>
    <col width="17.33203125" bestFit="1" customWidth="1" style="174" min="12040" max="12040"/>
    <col width="11.109375" customWidth="1" style="174" min="12041" max="12041"/>
    <col width="21.33203125" customWidth="1" style="174" min="12042" max="12042"/>
    <col width="8.88671875" customWidth="1" style="174" min="12043" max="12288"/>
    <col width="20" bestFit="1" customWidth="1" style="174" min="12289" max="12289"/>
    <col width="66.33203125" bestFit="1" customWidth="1" style="174" min="12290" max="12290"/>
    <col width="21.33203125" customWidth="1" style="174" min="12291" max="12295"/>
    <col width="17.33203125" bestFit="1" customWidth="1" style="174" min="12296" max="12296"/>
    <col width="11.109375" customWidth="1" style="174" min="12297" max="12297"/>
    <col width="21.33203125" customWidth="1" style="174" min="12298" max="12298"/>
    <col width="8.88671875" customWidth="1" style="174" min="12299" max="12544"/>
    <col width="20" bestFit="1" customWidth="1" style="174" min="12545" max="12545"/>
    <col width="66.33203125" bestFit="1" customWidth="1" style="174" min="12546" max="12546"/>
    <col width="21.33203125" customWidth="1" style="174" min="12547" max="12551"/>
    <col width="17.33203125" bestFit="1" customWidth="1" style="174" min="12552" max="12552"/>
    <col width="11.109375" customWidth="1" style="174" min="12553" max="12553"/>
    <col width="21.33203125" customWidth="1" style="174" min="12554" max="12554"/>
    <col width="8.88671875" customWidth="1" style="174" min="12555" max="12800"/>
    <col width="20" bestFit="1" customWidth="1" style="174" min="12801" max="12801"/>
    <col width="66.33203125" bestFit="1" customWidth="1" style="174" min="12802" max="12802"/>
    <col width="21.33203125" customWidth="1" style="174" min="12803" max="12807"/>
    <col width="17.33203125" bestFit="1" customWidth="1" style="174" min="12808" max="12808"/>
    <col width="11.109375" customWidth="1" style="174" min="12809" max="12809"/>
    <col width="21.33203125" customWidth="1" style="174" min="12810" max="12810"/>
    <col width="8.88671875" customWidth="1" style="174" min="12811" max="13056"/>
    <col width="20" bestFit="1" customWidth="1" style="174" min="13057" max="13057"/>
    <col width="66.33203125" bestFit="1" customWidth="1" style="174" min="13058" max="13058"/>
    <col width="21.33203125" customWidth="1" style="174" min="13059" max="13063"/>
    <col width="17.33203125" bestFit="1" customWidth="1" style="174" min="13064" max="13064"/>
    <col width="11.109375" customWidth="1" style="174" min="13065" max="13065"/>
    <col width="21.33203125" customWidth="1" style="174" min="13066" max="13066"/>
    <col width="8.88671875" customWidth="1" style="174" min="13067" max="13312"/>
    <col width="20" bestFit="1" customWidth="1" style="174" min="13313" max="13313"/>
    <col width="66.33203125" bestFit="1" customWidth="1" style="174" min="13314" max="13314"/>
    <col width="21.33203125" customWidth="1" style="174" min="13315" max="13319"/>
    <col width="17.33203125" bestFit="1" customWidth="1" style="174" min="13320" max="13320"/>
    <col width="11.109375" customWidth="1" style="174" min="13321" max="13321"/>
    <col width="21.33203125" customWidth="1" style="174" min="13322" max="13322"/>
    <col width="8.88671875" customWidth="1" style="174" min="13323" max="13568"/>
    <col width="20" bestFit="1" customWidth="1" style="174" min="13569" max="13569"/>
    <col width="66.33203125" bestFit="1" customWidth="1" style="174" min="13570" max="13570"/>
    <col width="21.33203125" customWidth="1" style="174" min="13571" max="13575"/>
    <col width="17.33203125" bestFit="1" customWidth="1" style="174" min="13576" max="13576"/>
    <col width="11.109375" customWidth="1" style="174" min="13577" max="13577"/>
    <col width="21.33203125" customWidth="1" style="174" min="13578" max="13578"/>
    <col width="8.88671875" customWidth="1" style="174" min="13579" max="13824"/>
    <col width="20" bestFit="1" customWidth="1" style="174" min="13825" max="13825"/>
    <col width="66.33203125" bestFit="1" customWidth="1" style="174" min="13826" max="13826"/>
    <col width="21.33203125" customWidth="1" style="174" min="13827" max="13831"/>
    <col width="17.33203125" bestFit="1" customWidth="1" style="174" min="13832" max="13832"/>
    <col width="11.109375" customWidth="1" style="174" min="13833" max="13833"/>
    <col width="21.33203125" customWidth="1" style="174" min="13834" max="13834"/>
    <col width="8.88671875" customWidth="1" style="174" min="13835" max="14080"/>
    <col width="20" bestFit="1" customWidth="1" style="174" min="14081" max="14081"/>
    <col width="66.33203125" bestFit="1" customWidth="1" style="174" min="14082" max="14082"/>
    <col width="21.33203125" customWidth="1" style="174" min="14083" max="14087"/>
    <col width="17.33203125" bestFit="1" customWidth="1" style="174" min="14088" max="14088"/>
    <col width="11.109375" customWidth="1" style="174" min="14089" max="14089"/>
    <col width="21.33203125" customWidth="1" style="174" min="14090" max="14090"/>
    <col width="8.88671875" customWidth="1" style="174" min="14091" max="14336"/>
    <col width="20" bestFit="1" customWidth="1" style="174" min="14337" max="14337"/>
    <col width="66.33203125" bestFit="1" customWidth="1" style="174" min="14338" max="14338"/>
    <col width="21.33203125" customWidth="1" style="174" min="14339" max="14343"/>
    <col width="17.33203125" bestFit="1" customWidth="1" style="174" min="14344" max="14344"/>
    <col width="11.109375" customWidth="1" style="174" min="14345" max="14345"/>
    <col width="21.33203125" customWidth="1" style="174" min="14346" max="14346"/>
    <col width="8.88671875" customWidth="1" style="174" min="14347" max="14592"/>
    <col width="20" bestFit="1" customWidth="1" style="174" min="14593" max="14593"/>
    <col width="66.33203125" bestFit="1" customWidth="1" style="174" min="14594" max="14594"/>
    <col width="21.33203125" customWidth="1" style="174" min="14595" max="14599"/>
    <col width="17.33203125" bestFit="1" customWidth="1" style="174" min="14600" max="14600"/>
    <col width="11.109375" customWidth="1" style="174" min="14601" max="14601"/>
    <col width="21.33203125" customWidth="1" style="174" min="14602" max="14602"/>
    <col width="8.88671875" customWidth="1" style="174" min="14603" max="14848"/>
    <col width="20" bestFit="1" customWidth="1" style="174" min="14849" max="14849"/>
    <col width="66.33203125" bestFit="1" customWidth="1" style="174" min="14850" max="14850"/>
    <col width="21.33203125" customWidth="1" style="174" min="14851" max="14855"/>
    <col width="17.33203125" bestFit="1" customWidth="1" style="174" min="14856" max="14856"/>
    <col width="11.109375" customWidth="1" style="174" min="14857" max="14857"/>
    <col width="21.33203125" customWidth="1" style="174" min="14858" max="14858"/>
    <col width="8.88671875" customWidth="1" style="174" min="14859" max="15104"/>
    <col width="20" bestFit="1" customWidth="1" style="174" min="15105" max="15105"/>
    <col width="66.33203125" bestFit="1" customWidth="1" style="174" min="15106" max="15106"/>
    <col width="21.33203125" customWidth="1" style="174" min="15107" max="15111"/>
    <col width="17.33203125" bestFit="1" customWidth="1" style="174" min="15112" max="15112"/>
    <col width="11.109375" customWidth="1" style="174" min="15113" max="15113"/>
    <col width="21.33203125" customWidth="1" style="174" min="15114" max="15114"/>
    <col width="8.88671875" customWidth="1" style="174" min="15115" max="15360"/>
    <col width="20" bestFit="1" customWidth="1" style="174" min="15361" max="15361"/>
    <col width="66.33203125" bestFit="1" customWidth="1" style="174" min="15362" max="15362"/>
    <col width="21.33203125" customWidth="1" style="174" min="15363" max="15367"/>
    <col width="17.33203125" bestFit="1" customWidth="1" style="174" min="15368" max="15368"/>
    <col width="11.109375" customWidth="1" style="174" min="15369" max="15369"/>
    <col width="21.33203125" customWidth="1" style="174" min="15370" max="15370"/>
    <col width="8.88671875" customWidth="1" style="174" min="15371" max="15616"/>
    <col width="20" bestFit="1" customWidth="1" style="174" min="15617" max="15617"/>
    <col width="66.33203125" bestFit="1" customWidth="1" style="174" min="15618" max="15618"/>
    <col width="21.33203125" customWidth="1" style="174" min="15619" max="15623"/>
    <col width="17.33203125" bestFit="1" customWidth="1" style="174" min="15624" max="15624"/>
    <col width="11.109375" customWidth="1" style="174" min="15625" max="15625"/>
    <col width="21.33203125" customWidth="1" style="174" min="15626" max="15626"/>
    <col width="8.88671875" customWidth="1" style="174" min="15627" max="15872"/>
    <col width="20" bestFit="1" customWidth="1" style="174" min="15873" max="15873"/>
    <col width="66.33203125" bestFit="1" customWidth="1" style="174" min="15874" max="15874"/>
    <col width="21.33203125" customWidth="1" style="174" min="15875" max="15879"/>
    <col width="17.33203125" bestFit="1" customWidth="1" style="174" min="15880" max="15880"/>
    <col width="11.109375" customWidth="1" style="174" min="15881" max="15881"/>
    <col width="21.33203125" customWidth="1" style="174" min="15882" max="15882"/>
    <col width="8.88671875" customWidth="1" style="174" min="15883" max="16128"/>
    <col width="20" bestFit="1" customWidth="1" style="174" min="16129" max="16129"/>
    <col width="66.33203125" bestFit="1" customWidth="1" style="174" min="16130" max="16130"/>
    <col width="21.33203125" customWidth="1" style="174" min="16131" max="16135"/>
    <col width="17.33203125" bestFit="1" customWidth="1" style="174" min="16136" max="16136"/>
    <col width="11.109375" customWidth="1" style="174" min="16137" max="16137"/>
    <col width="21.33203125" customWidth="1" style="174" min="16138" max="16138"/>
    <col width="8.88671875" customWidth="1" style="174" min="16139" max="16384"/>
  </cols>
  <sheetData>
    <row r="1" ht="12.75" customHeight="1">
      <c r="C1" s="313" t="inlineStr">
        <is>
          <t>Eindbalans 30-06-2019</t>
        </is>
      </c>
      <c r="D1" s="314" t="inlineStr">
        <is>
          <t>Mutaties Q3 2019</t>
        </is>
      </c>
      <c r="E1" s="314" t="inlineStr">
        <is>
          <t>Mutaties Q4 2019</t>
        </is>
      </c>
      <c r="F1" s="314" t="inlineStr">
        <is>
          <t>Mutaties Q1 2020</t>
        </is>
      </c>
      <c r="G1" s="313" t="inlineStr">
        <is>
          <t>Mutaties Q2 2020</t>
        </is>
      </c>
      <c r="H1" s="315" t="inlineStr">
        <is>
          <t>Saldi per 30-06-2020</t>
        </is>
      </c>
    </row>
    <row r="2" ht="12.75" customHeight="1">
      <c r="C2" s="313">
        <f>$C$4+SUM(C5:C7)</f>
        <v/>
      </c>
      <c r="D2" s="313">
        <f>$C$4+SUM($C$5:D7)</f>
        <v/>
      </c>
      <c r="E2" s="313">
        <f>$C$4+SUM($C$5:E7)</f>
        <v/>
      </c>
      <c r="F2" s="313">
        <f>$C$4+SUM($C$5:F7)+F4</f>
        <v/>
      </c>
      <c r="G2" s="313">
        <f>$C$4+SUM($C$5:G7)+F4</f>
        <v/>
      </c>
    </row>
    <row r="3" ht="12.75" customHeight="1">
      <c r="A3" s="179" t="inlineStr">
        <is>
          <t>Balans</t>
        </is>
      </c>
    </row>
    <row r="4" ht="12.75" customHeight="1">
      <c r="A4" s="173" t="n">
        <v>1600200</v>
      </c>
      <c r="B4" s="174" t="inlineStr">
        <is>
          <t>VG Vastgoedbeleggingen Verkrijgings- of vervaardigingsprijs</t>
        </is>
      </c>
      <c r="C4" s="313" t="n">
        <v>132670468</v>
      </c>
      <c r="D4" s="314" t="n">
        <v>0</v>
      </c>
      <c r="F4" s="314" t="n">
        <v>-3658477</v>
      </c>
      <c r="H4" s="315">
        <f>SUM(C4:G4)</f>
        <v/>
      </c>
      <c r="I4" s="180" t="n"/>
    </row>
    <row r="5" ht="12.75" customHeight="1">
      <c r="A5" s="173" t="inlineStr">
        <is>
          <t>1600200</t>
        </is>
      </c>
      <c r="B5" s="174" t="inlineStr">
        <is>
          <t>VG Vastgoedbeleggingen Cum afschrijvingen en waardeverm</t>
        </is>
      </c>
      <c r="C5" s="313" t="n">
        <v>-9266923</v>
      </c>
      <c r="D5" s="314" t="n">
        <v>-653662</v>
      </c>
      <c r="E5" s="314" t="n">
        <v>-656408</v>
      </c>
      <c r="F5" s="314" t="n">
        <v>-380013</v>
      </c>
      <c r="G5" s="313" t="n">
        <v>-630199</v>
      </c>
      <c r="H5" s="315">
        <f>SUM(C5:G5)</f>
        <v/>
      </c>
      <c r="J5" s="314" t="n">
        <v>540977</v>
      </c>
    </row>
    <row r="6" ht="12.75" customHeight="1">
      <c r="A6" s="173" t="inlineStr">
        <is>
          <t>1610803</t>
        </is>
      </c>
      <c r="B6" s="174" t="inlineStr">
        <is>
          <t>VG Comm VG in exploitatie Buitengebruikstellingen aanschaffingswaarde</t>
        </is>
      </c>
      <c r="C6" s="313" t="n">
        <v>-1753104</v>
      </c>
      <c r="D6" s="314" t="n">
        <v>-462286</v>
      </c>
      <c r="E6" s="317" t="n">
        <v>-1443087</v>
      </c>
      <c r="F6" s="317" t="n">
        <v>2472387</v>
      </c>
      <c r="G6" s="317" t="n">
        <v>-841866</v>
      </c>
      <c r="H6" s="315">
        <f>SUM(C6:G6)</f>
        <v/>
      </c>
    </row>
    <row r="7" ht="12.75" customHeight="1">
      <c r="A7" s="173" t="inlineStr">
        <is>
          <t>1611003</t>
        </is>
      </c>
      <c r="B7" s="174" t="inlineStr">
        <is>
          <t>VG Comm VG in exploitatie Buitengebruikstellingen cum. afschr. en waardeverm.</t>
        </is>
      </c>
      <c r="C7" s="313" t="n">
        <v>112822</v>
      </c>
      <c r="D7" s="314" t="n">
        <v>33933</v>
      </c>
      <c r="E7" s="314" t="n">
        <v>116170</v>
      </c>
      <c r="F7" s="314" t="n">
        <v>-162402</v>
      </c>
      <c r="G7" s="313" t="n">
        <v>76100</v>
      </c>
      <c r="H7" s="315">
        <f>SUM(C7:G7)</f>
        <v/>
      </c>
    </row>
    <row r="8" ht="12.75" customHeight="1">
      <c r="A8" s="174" t="inlineStr">
        <is>
          <t>Totaal Vastgoedbeleggingen</t>
        </is>
      </c>
      <c r="C8" s="313" t="n">
        <v>0</v>
      </c>
      <c r="I8" s="180" t="n"/>
    </row>
    <row r="9" ht="12.75" customHeight="1">
      <c r="C9" s="313" t="n">
        <v>0</v>
      </c>
    </row>
    <row r="10" ht="12.75" customHeight="1">
      <c r="A10" s="173" t="inlineStr">
        <is>
          <t>1790002</t>
        </is>
      </c>
      <c r="B10" s="174" t="inlineStr">
        <is>
          <t>FVA Latente belastingvordering langlopend</t>
        </is>
      </c>
      <c r="C10" s="313" t="n">
        <v>2706901</v>
      </c>
      <c r="D10" s="314" t="n">
        <v>153794</v>
      </c>
      <c r="E10" s="314" t="n">
        <v>-278091</v>
      </c>
      <c r="F10" s="314" t="n">
        <v>-293081</v>
      </c>
      <c r="G10" s="313" t="n">
        <v>524916</v>
      </c>
      <c r="H10" s="315">
        <f>SUM(C10:G10)</f>
        <v/>
      </c>
    </row>
    <row r="11" ht="12.75" customHeight="1">
      <c r="A11" s="174" t="inlineStr">
        <is>
          <t>Totaal Financiële vaste activa</t>
        </is>
      </c>
      <c r="C11" s="313" t="n">
        <v>0</v>
      </c>
    </row>
    <row r="12" ht="12.75" customHeight="1">
      <c r="C12" s="313" t="n">
        <v>0</v>
      </c>
    </row>
    <row r="13" ht="12.75" customHeight="1">
      <c r="A13" s="173" t="inlineStr">
        <is>
          <t>2000000</t>
        </is>
      </c>
      <c r="B13" s="174" t="inlineStr">
        <is>
          <t>VOR Debiteuren</t>
        </is>
      </c>
      <c r="C13" s="313" t="n">
        <v>343593</v>
      </c>
      <c r="D13" s="314" t="n">
        <v>-93669</v>
      </c>
      <c r="E13" s="314" t="n">
        <v>-177050</v>
      </c>
      <c r="F13" s="314" t="n">
        <v>220477</v>
      </c>
      <c r="G13" s="313" t="n">
        <v>-208231</v>
      </c>
      <c r="H13" s="315">
        <f>SUM(C13:G13)</f>
        <v/>
      </c>
    </row>
    <row r="14" ht="12.75" customHeight="1">
      <c r="A14" s="173" t="inlineStr">
        <is>
          <t>2000300</t>
        </is>
      </c>
      <c r="B14" s="174" t="inlineStr">
        <is>
          <t>VOR Voorziening dubieuze debiteuren</t>
        </is>
      </c>
      <c r="C14" s="313" t="n">
        <v>-64501</v>
      </c>
      <c r="D14" s="314" t="n">
        <v>0</v>
      </c>
      <c r="E14" s="314" t="n">
        <v>8960</v>
      </c>
      <c r="F14" s="314" t="n">
        <v>0</v>
      </c>
      <c r="H14" s="315">
        <f>SUM(C14:G14)</f>
        <v/>
      </c>
    </row>
    <row r="15" ht="12.75" customHeight="1">
      <c r="A15" s="174" t="inlineStr">
        <is>
          <t>Totaal Debiteuren</t>
        </is>
      </c>
      <c r="C15" s="313" t="n">
        <v>0</v>
      </c>
    </row>
    <row r="16" ht="12.75" customHeight="1">
      <c r="C16" s="313" t="n">
        <v>0</v>
      </c>
    </row>
    <row r="17" ht="12.75" customHeight="1">
      <c r="A17" s="173" t="n">
        <v>2640000</v>
      </c>
      <c r="B17" s="174" t="inlineStr">
        <is>
          <t>RC Kortlopend DMRRP INV - I BV</t>
        </is>
      </c>
      <c r="C17" s="313" t="n">
        <v>110497</v>
      </c>
      <c r="D17" s="314" t="n">
        <v>0</v>
      </c>
      <c r="E17" s="314" t="n">
        <v>-2023897</v>
      </c>
      <c r="H17" s="315">
        <f>SUM(C17:G17)</f>
        <v/>
      </c>
    </row>
    <row r="18" ht="12.75" customHeight="1">
      <c r="A18" s="174" t="inlineStr">
        <is>
          <t>Totaal Rekening-courant aandeelhouder</t>
        </is>
      </c>
      <c r="C18" s="313" t="n">
        <v>0</v>
      </c>
    </row>
    <row r="19" ht="12.75" customHeight="1">
      <c r="C19" s="313" t="n">
        <v>0</v>
      </c>
    </row>
    <row r="20" ht="12.75" customHeight="1">
      <c r="A20" s="173" t="n">
        <v>2040200</v>
      </c>
      <c r="B20" s="174" t="inlineStr">
        <is>
          <t>VOR Te vorderen waarborgsommen kortlopen</t>
        </is>
      </c>
      <c r="C20" s="313" t="n">
        <v>0</v>
      </c>
      <c r="D20" s="314" t="n">
        <v>0</v>
      </c>
      <c r="E20" s="314" t="n">
        <v>5000</v>
      </c>
      <c r="F20" s="314" t="n">
        <v>0</v>
      </c>
      <c r="H20" s="315">
        <f>SUM(C20:G20)</f>
        <v/>
      </c>
    </row>
    <row r="21" ht="12.75" customHeight="1">
      <c r="A21" s="173" t="inlineStr">
        <is>
          <t>2040700</t>
        </is>
      </c>
      <c r="B21" s="174" t="inlineStr">
        <is>
          <t>VOR Vooruitbetaalde servicekosten</t>
        </is>
      </c>
      <c r="C21" s="313" t="n">
        <v>15594</v>
      </c>
      <c r="D21" s="314" t="n">
        <v>0</v>
      </c>
      <c r="E21" s="314" t="n">
        <v>-11776</v>
      </c>
      <c r="F21" s="314" t="n">
        <v>0</v>
      </c>
      <c r="H21" s="315">
        <f>SUM(C21:G21)</f>
        <v/>
      </c>
    </row>
    <row r="22" ht="12.75" customHeight="1">
      <c r="A22" s="173" t="inlineStr">
        <is>
          <t>2040900</t>
        </is>
      </c>
      <c r="B22" s="174" t="inlineStr">
        <is>
          <t>VOR Vooruitbetaalde overige kosten</t>
        </is>
      </c>
      <c r="C22" s="313" t="n">
        <v>0</v>
      </c>
      <c r="D22" s="314" t="n">
        <v>0</v>
      </c>
      <c r="E22" s="314" t="n">
        <v>425</v>
      </c>
      <c r="F22" s="314" t="n">
        <v>0</v>
      </c>
      <c r="G22" s="313">
        <f>I88+I90+I91+I105+I113</f>
        <v/>
      </c>
      <c r="H22" s="315">
        <f>SUM(C22:G22)</f>
        <v/>
      </c>
    </row>
    <row r="23" ht="12.75" customHeight="1">
      <c r="A23" s="174" t="inlineStr">
        <is>
          <t>Totaal overige vorderingen</t>
        </is>
      </c>
      <c r="C23" s="313" t="n">
        <v>0</v>
      </c>
    </row>
    <row r="24" ht="12.75" customHeight="1">
      <c r="C24" s="313" t="n">
        <v>0</v>
      </c>
    </row>
    <row r="25" ht="12.75" customHeight="1">
      <c r="A25" s="173" t="inlineStr">
        <is>
          <t>2300000</t>
        </is>
      </c>
      <c r="B25" s="174" t="inlineStr">
        <is>
          <t>LM Kruisposten</t>
        </is>
      </c>
      <c r="C25" s="313" t="n">
        <v>-3338</v>
      </c>
      <c r="D25" s="314" t="n">
        <v>3338</v>
      </c>
      <c r="E25" s="314" t="n">
        <v>0</v>
      </c>
      <c r="G25" s="313" t="n">
        <v>0</v>
      </c>
      <c r="H25" s="315">
        <f>SUM(C25:G25)</f>
        <v/>
      </c>
    </row>
    <row r="26" ht="12.75" customHeight="1">
      <c r="A26" s="173" t="inlineStr">
        <is>
          <t>2400200</t>
        </is>
      </c>
      <c r="B26" s="174" t="inlineStr">
        <is>
          <t>LM ABN AMRO Bank Disposal NL58 ABNA 0818 9180 39</t>
        </is>
      </c>
      <c r="C26" s="313" t="n">
        <v>80041</v>
      </c>
      <c r="D26" s="314" t="n">
        <v>649658</v>
      </c>
      <c r="E26" s="314" t="n">
        <v>1729271</v>
      </c>
      <c r="F26" s="314" t="n">
        <v>-1031638</v>
      </c>
      <c r="G26" s="313" t="n">
        <v>-1408139</v>
      </c>
      <c r="H26" s="315">
        <f>SUM(C26:G26)</f>
        <v/>
      </c>
    </row>
    <row r="27" ht="12.75" customHeight="1">
      <c r="A27" s="173" t="inlineStr">
        <is>
          <t>2400201</t>
        </is>
      </c>
      <c r="B27" s="174" t="inlineStr">
        <is>
          <t>LM ABN AMRO Bank Deposit NL57 ABNA 0541 6205 68</t>
        </is>
      </c>
      <c r="C27" s="313" t="n">
        <v>759</v>
      </c>
      <c r="D27" s="314" t="n">
        <v>12154</v>
      </c>
      <c r="E27" s="314" t="n">
        <v>74896</v>
      </c>
      <c r="F27" s="314" t="n">
        <v>1058693</v>
      </c>
      <c r="G27" s="313" t="n">
        <v>-1109732</v>
      </c>
      <c r="H27" s="315">
        <f>SUM(C27:G27)</f>
        <v/>
      </c>
    </row>
    <row r="28" ht="12.75" customHeight="1">
      <c r="A28" s="173" t="inlineStr">
        <is>
          <t>2400202</t>
        </is>
      </c>
      <c r="B28" s="174" t="inlineStr">
        <is>
          <t>LM ABN AMRO Bank General NL93 ABNA 0541 6132 27</t>
        </is>
      </c>
      <c r="C28" s="313" t="n">
        <v>6031</v>
      </c>
      <c r="D28" s="314" t="n">
        <v>785758</v>
      </c>
      <c r="E28" s="314" t="n">
        <v>-19584</v>
      </c>
      <c r="F28" s="314" t="n">
        <v>-29065</v>
      </c>
      <c r="G28" s="313" t="n">
        <v>-50664</v>
      </c>
      <c r="H28" s="315">
        <f>SUM(C28:G28)</f>
        <v/>
      </c>
    </row>
    <row r="29" ht="12.75" customHeight="1">
      <c r="A29" s="173" t="inlineStr">
        <is>
          <t>2400203</t>
        </is>
      </c>
      <c r="B29" s="174" t="inlineStr">
        <is>
          <t>LM ABN AMRO Bank Maintres NL04 ABNA 0541 6188 06</t>
        </is>
      </c>
      <c r="C29" s="313" t="n">
        <v>646236</v>
      </c>
      <c r="D29" s="314" t="n">
        <v>-62925</v>
      </c>
      <c r="E29" s="314" t="n">
        <v>66151</v>
      </c>
      <c r="F29" s="314" t="n">
        <v>-46640</v>
      </c>
      <c r="G29" s="313" t="n">
        <v>-159674</v>
      </c>
      <c r="H29" s="315">
        <f>SUM(C29:G29)</f>
        <v/>
      </c>
    </row>
    <row r="30" ht="12.75" customHeight="1">
      <c r="A30" s="173" t="inlineStr">
        <is>
          <t>2400204</t>
        </is>
      </c>
      <c r="B30" s="174" t="inlineStr">
        <is>
          <t>LM ABN AMRO Bank Rent NL46 ABNA 0541 6088 35</t>
        </is>
      </c>
      <c r="C30" s="313" t="n">
        <v>1028304</v>
      </c>
      <c r="D30" s="314" t="n">
        <v>-364896</v>
      </c>
      <c r="E30" s="314" t="n">
        <v>1098220</v>
      </c>
      <c r="F30" s="314" t="n">
        <v>-73423</v>
      </c>
      <c r="G30" s="313" t="n">
        <v>-420964</v>
      </c>
      <c r="H30" s="315">
        <f>SUM(C30:G30)</f>
        <v/>
      </c>
    </row>
    <row r="31" ht="12.75" customHeight="1">
      <c r="A31" s="173" t="inlineStr">
        <is>
          <t>2400205</t>
        </is>
      </c>
      <c r="B31" s="174" t="inlineStr">
        <is>
          <t>LM ABN AMRO Bank SR EXP NL88 ABNA 0541 6205 92</t>
        </is>
      </c>
      <c r="C31" s="313" t="n">
        <v>116539</v>
      </c>
      <c r="D31" s="314" t="n">
        <v>-115700</v>
      </c>
      <c r="E31" s="314" t="n">
        <v>194761</v>
      </c>
      <c r="F31" s="314" t="n">
        <v>114437</v>
      </c>
      <c r="G31" s="313" t="n">
        <v>-265290</v>
      </c>
      <c r="H31" s="315">
        <f>SUM(C31:G31)</f>
        <v/>
      </c>
    </row>
    <row r="32" ht="12.75" customHeight="1">
      <c r="A32" s="174" t="inlineStr">
        <is>
          <t>Totaal Liquide middelen</t>
        </is>
      </c>
      <c r="C32" s="313" t="n">
        <v>0</v>
      </c>
    </row>
    <row r="33" ht="12.75" customHeight="1">
      <c r="C33" s="313" t="n">
        <v>0</v>
      </c>
    </row>
    <row r="34" ht="12.75" customHeight="1">
      <c r="A34" s="173" t="n">
        <v>1000002</v>
      </c>
      <c r="B34" s="174" t="inlineStr">
        <is>
          <t>EV Normale aandelen Saldo</t>
        </is>
      </c>
      <c r="C34" s="313" t="n">
        <v>-1</v>
      </c>
      <c r="D34" s="314" t="n">
        <v>0</v>
      </c>
      <c r="E34" s="314" t="n">
        <v>0</v>
      </c>
      <c r="F34" s="314" t="n">
        <v>0</v>
      </c>
      <c r="H34" s="315">
        <f>SUM(C34:G34)</f>
        <v/>
      </c>
    </row>
    <row r="35" ht="12.75" customHeight="1">
      <c r="A35" s="173" t="n">
        <v>1100000</v>
      </c>
      <c r="B35" s="174" t="inlineStr">
        <is>
          <t>EV Agioreserve Agio aandelen</t>
        </is>
      </c>
      <c r="C35" s="313" t="n">
        <v>-19431219</v>
      </c>
      <c r="D35" s="314" t="n">
        <v>0</v>
      </c>
      <c r="E35" s="314" t="n">
        <v>0</v>
      </c>
      <c r="F35" s="314" t="n">
        <v>100000</v>
      </c>
      <c r="H35" s="315">
        <f>SUM(C35:G35)</f>
        <v/>
      </c>
    </row>
    <row r="36" ht="12.75" customHeight="1">
      <c r="A36" s="173" t="n">
        <v>1160000</v>
      </c>
      <c r="B36" s="174" t="inlineStr">
        <is>
          <t>EV Overige reserve Reserve aandelen</t>
        </is>
      </c>
      <c r="C36" s="313" t="n">
        <v>13633366</v>
      </c>
      <c r="D36" s="314" t="n">
        <v>0</v>
      </c>
      <c r="E36" s="314" t="n">
        <v>0</v>
      </c>
      <c r="F36" s="314" t="n">
        <v>0</v>
      </c>
      <c r="H36" s="315">
        <f>SUM(C36:G36)</f>
        <v/>
      </c>
      <c r="I36" s="315" t="n"/>
    </row>
    <row r="37" ht="12.75" customHeight="1">
      <c r="A37" s="173" t="inlineStr">
        <is>
          <t>1160100</t>
        </is>
      </c>
      <c r="B37" s="174" t="inlineStr">
        <is>
          <t>EV Overige reserve  Dividenduitkeringen aandelen</t>
        </is>
      </c>
      <c r="C37" s="313" t="n">
        <v>535000</v>
      </c>
      <c r="D37" s="314" t="n">
        <v>285500</v>
      </c>
      <c r="E37" s="314" t="n">
        <v>235000</v>
      </c>
      <c r="F37" s="314" t="n">
        <v>1510938</v>
      </c>
      <c r="G37" s="313" t="n">
        <v>1397717</v>
      </c>
      <c r="H37" s="315">
        <f>SUM(C37:G37)</f>
        <v/>
      </c>
    </row>
    <row r="38" ht="12.75" customHeight="1">
      <c r="A38" s="174" t="inlineStr">
        <is>
          <t>Totaal Eigen vermogen</t>
        </is>
      </c>
      <c r="C38" s="313" t="n">
        <v>0</v>
      </c>
    </row>
    <row r="39" ht="12.75" customHeight="1">
      <c r="C39" s="313" t="n">
        <v>0</v>
      </c>
    </row>
    <row r="40" ht="12.75" customHeight="1">
      <c r="A40" s="173" t="n">
        <v>1930001</v>
      </c>
      <c r="B40" s="174" t="inlineStr">
        <is>
          <t>LLS Hoofdsom ABN AMRO Bank NV Senior Facility Agreement</t>
        </is>
      </c>
      <c r="C40" s="313" t="n">
        <v>-130000000</v>
      </c>
      <c r="D40" s="314" t="n">
        <v>0</v>
      </c>
      <c r="E40" s="314" t="n">
        <v>0</v>
      </c>
      <c r="F40" s="314" t="n">
        <v>0</v>
      </c>
      <c r="H40" s="315">
        <f>SUM(C40:G40)</f>
        <v/>
      </c>
    </row>
    <row r="41" ht="12.75" customHeight="1">
      <c r="A41" s="173" t="inlineStr">
        <is>
          <t>1930101</t>
        </is>
      </c>
      <c r="B41" s="174" t="inlineStr">
        <is>
          <t>LLS Cum aflossingen ABN AMRO Bank NV Senior Facility Agreement</t>
        </is>
      </c>
      <c r="C41" s="313" t="n">
        <v>9763205</v>
      </c>
      <c r="D41" s="314" t="n">
        <v>601184</v>
      </c>
      <c r="E41" s="314" t="n">
        <v>601184</v>
      </c>
      <c r="F41" s="314" t="n">
        <v>2258971</v>
      </c>
      <c r="G41" s="313" t="n">
        <v>3569138</v>
      </c>
      <c r="H41" s="315">
        <f>SUM(C41:G41)</f>
        <v/>
      </c>
    </row>
    <row r="42" ht="12.75" customHeight="1">
      <c r="A42" s="173" t="inlineStr">
        <is>
          <t>1930201</t>
        </is>
      </c>
      <c r="B42" s="174" t="inlineStr">
        <is>
          <t>LLS Kortlopend deel ABN AMRO Bank NV Senior Facility Agreement</t>
        </is>
      </c>
      <c r="C42" s="313" t="n">
        <v>0</v>
      </c>
      <c r="D42" s="314" t="n">
        <v>0</v>
      </c>
      <c r="E42" s="314" t="n">
        <v>0</v>
      </c>
      <c r="F42" s="314" t="n">
        <v>0</v>
      </c>
      <c r="H42" s="315">
        <f>SUM(C42:G42)</f>
        <v/>
      </c>
    </row>
    <row r="43" ht="12.75" customHeight="1">
      <c r="A43" s="174" t="inlineStr">
        <is>
          <t>Totaal Langlopende schulden</t>
        </is>
      </c>
      <c r="C43" s="313" t="n">
        <v>0</v>
      </c>
    </row>
    <row r="44" ht="12.75" customHeight="1">
      <c r="C44" s="313" t="n">
        <v>0</v>
      </c>
    </row>
    <row r="45" ht="12.75" customHeight="1">
      <c r="A45" s="173" t="inlineStr">
        <is>
          <t>2730000</t>
        </is>
      </c>
      <c r="B45" s="174" t="inlineStr">
        <is>
          <t>KLS Crediteuren</t>
        </is>
      </c>
      <c r="C45" s="313" t="n">
        <v>-201674</v>
      </c>
      <c r="D45" s="314" t="n">
        <v>28193</v>
      </c>
      <c r="E45" s="314" t="n">
        <v>-55987</v>
      </c>
      <c r="F45" s="314" t="n">
        <v>17250</v>
      </c>
      <c r="G45" s="313" t="n">
        <v>900</v>
      </c>
      <c r="H45" s="315">
        <f>SUM(C45:G45)</f>
        <v/>
      </c>
    </row>
    <row r="46" ht="12.75" customHeight="1">
      <c r="A46" s="173" t="inlineStr">
        <is>
          <t>2730001</t>
        </is>
      </c>
      <c r="B46" s="174" t="inlineStr">
        <is>
          <t>KLS Crediteuren intercompany</t>
        </is>
      </c>
      <c r="C46" s="313" t="n">
        <v>0</v>
      </c>
      <c r="D46" s="314" t="n">
        <v>0</v>
      </c>
      <c r="E46" s="314" t="n">
        <v>0</v>
      </c>
      <c r="F46" s="314" t="n">
        <v>0</v>
      </c>
      <c r="H46" s="315">
        <f>SUM(C46:F46)</f>
        <v/>
      </c>
    </row>
    <row r="47" ht="12.75" customHeight="1">
      <c r="A47" s="174" t="inlineStr">
        <is>
          <t>Totaal Crediteuren</t>
        </is>
      </c>
      <c r="C47" s="313" t="n">
        <v>0</v>
      </c>
    </row>
    <row r="48" ht="12.75" customHeight="1">
      <c r="C48" s="313" t="n">
        <v>0</v>
      </c>
      <c r="H48" s="315">
        <f>SUM(C48:E48)</f>
        <v/>
      </c>
    </row>
    <row r="49" ht="12.75" customHeight="1">
      <c r="A49" s="173" t="inlineStr">
        <is>
          <t>2512100</t>
        </is>
      </c>
      <c r="B49" s="174" t="inlineStr">
        <is>
          <t>BEL Afgedragen/ontvangen BTW</t>
        </is>
      </c>
      <c r="C49" s="313" t="n">
        <v>-3707</v>
      </c>
      <c r="D49" s="314" t="n">
        <v>-19</v>
      </c>
      <c r="E49" s="314" t="n">
        <v>-204</v>
      </c>
      <c r="F49" s="314" t="n">
        <v>17</v>
      </c>
      <c r="G49" s="313" t="n">
        <v>271</v>
      </c>
      <c r="H49" s="315">
        <f>SUM(C49:G49)</f>
        <v/>
      </c>
    </row>
    <row r="50" ht="12.75" customHeight="1">
      <c r="A50" s="173" t="inlineStr">
        <is>
          <t>2530000</t>
        </is>
      </c>
      <c r="B50" s="174" t="inlineStr">
        <is>
          <t>BEL Te betalen vennootschapsbelasting</t>
        </is>
      </c>
      <c r="C50" s="313" t="n">
        <v>-363270</v>
      </c>
      <c r="D50" s="314" t="n">
        <v>-74792</v>
      </c>
      <c r="E50" s="314" t="n">
        <v>438062</v>
      </c>
      <c r="F50" s="314" t="n">
        <v>0</v>
      </c>
      <c r="G50" s="313" t="n">
        <v>0</v>
      </c>
      <c r="H50" s="315">
        <f>SUM(C50:G50)</f>
        <v/>
      </c>
    </row>
    <row r="51" ht="12.75" customHeight="1">
      <c r="A51" s="173" t="inlineStr">
        <is>
          <t>2550000</t>
        </is>
      </c>
      <c r="B51" s="174" t="inlineStr">
        <is>
          <t>BEL Te betalen overige belastingen</t>
        </is>
      </c>
      <c r="C51" s="313" t="n">
        <v>189758</v>
      </c>
      <c r="D51" s="314" t="n">
        <v>-94878</v>
      </c>
      <c r="E51" s="314" t="n">
        <v>-94878</v>
      </c>
      <c r="F51" s="314" t="n">
        <v>0</v>
      </c>
      <c r="G51" s="313" t="n">
        <v>0</v>
      </c>
      <c r="H51" s="315">
        <f>SUM(C51:G51)</f>
        <v/>
      </c>
    </row>
    <row r="52" ht="12.75" customHeight="1">
      <c r="A52" s="174" t="inlineStr">
        <is>
          <t>Totaal Belastingen</t>
        </is>
      </c>
      <c r="C52" s="313" t="n">
        <v>0</v>
      </c>
    </row>
    <row r="53" ht="12.75" customHeight="1">
      <c r="C53" s="313" t="n">
        <v>0</v>
      </c>
    </row>
    <row r="54" ht="12.75" customHeight="1">
      <c r="A54" s="173" t="inlineStr">
        <is>
          <t>2740300</t>
        </is>
      </c>
      <c r="B54" s="174" t="inlineStr">
        <is>
          <t>KLS Te betalen waarborgsommen kortlopend</t>
        </is>
      </c>
      <c r="C54" s="313" t="n">
        <v>-691871</v>
      </c>
      <c r="D54" s="314" t="n">
        <v>-8607</v>
      </c>
      <c r="E54" s="314" t="n">
        <v>-10299</v>
      </c>
      <c r="F54" s="314" t="n">
        <v>10687</v>
      </c>
      <c r="G54" s="313" t="n">
        <v>-8611</v>
      </c>
      <c r="H54" s="315">
        <f>SUM(C54:G54)</f>
        <v/>
      </c>
    </row>
    <row r="55" ht="12.75" customHeight="1">
      <c r="A55" s="173" t="n">
        <v>2740500</v>
      </c>
      <c r="B55" s="174" t="inlineStr">
        <is>
          <t>KLS Te betalen accountants- en administratiekosten</t>
        </is>
      </c>
      <c r="C55" s="313" t="n">
        <v>-22500</v>
      </c>
      <c r="D55" s="314" t="n">
        <v>0</v>
      </c>
      <c r="E55" s="314" t="n">
        <v>0</v>
      </c>
      <c r="F55" s="314" t="n">
        <v>0</v>
      </c>
      <c r="H55" s="315">
        <f>SUM(C55:G55)</f>
        <v/>
      </c>
    </row>
    <row r="56" ht="12.75" customHeight="1">
      <c r="A56" s="173" t="inlineStr">
        <is>
          <t>2740600</t>
        </is>
      </c>
      <c r="B56" s="174" t="inlineStr">
        <is>
          <t>KLS Te betalen rente</t>
        </is>
      </c>
      <c r="C56" s="313" t="n">
        <v>0</v>
      </c>
      <c r="D56" s="314" t="n">
        <v>0</v>
      </c>
      <c r="E56" s="314" t="n">
        <v>0</v>
      </c>
      <c r="F56" s="314" t="n">
        <v>-457533</v>
      </c>
      <c r="G56" s="313" t="n">
        <v>457533</v>
      </c>
      <c r="H56" s="315">
        <f>SUM(C56:G56)</f>
        <v/>
      </c>
    </row>
    <row r="57" ht="12.75" customHeight="1">
      <c r="A57" s="173" t="inlineStr">
        <is>
          <t>2740700</t>
        </is>
      </c>
      <c r="B57" s="174" t="inlineStr">
        <is>
          <t>KLS Te betalen verzekeringen</t>
        </is>
      </c>
      <c r="C57" s="313" t="n">
        <v>31808</v>
      </c>
      <c r="D57" s="314" t="n">
        <v>-15903</v>
      </c>
      <c r="E57" s="314" t="n">
        <v>-15903</v>
      </c>
      <c r="F57" s="314" t="n">
        <v>0</v>
      </c>
      <c r="H57" s="315">
        <f>SUM(C57:G57)</f>
        <v/>
      </c>
    </row>
    <row r="58" ht="12.75" customHeight="1">
      <c r="A58" s="173" t="inlineStr">
        <is>
          <t>2741000</t>
        </is>
      </c>
      <c r="B58" s="174" t="inlineStr">
        <is>
          <t>KLS Te betalen servicekosten</t>
        </is>
      </c>
      <c r="C58" s="313" t="n">
        <v>0</v>
      </c>
      <c r="D58" s="314" t="n">
        <v>0</v>
      </c>
      <c r="E58" s="314" t="n">
        <v>-29200</v>
      </c>
      <c r="F58" s="314" t="n">
        <v>0</v>
      </c>
      <c r="H58" s="315">
        <f>SUM(C58:G58)</f>
        <v/>
      </c>
    </row>
    <row r="59" ht="12.75" customHeight="1">
      <c r="A59" s="173" t="inlineStr">
        <is>
          <t>2741001</t>
        </is>
      </c>
      <c r="B59" s="174" t="inlineStr">
        <is>
          <t>KLS Te betalen exploitatiekosten</t>
        </is>
      </c>
      <c r="C59" s="313" t="n">
        <v>0</v>
      </c>
      <c r="D59" s="314" t="n">
        <v>0</v>
      </c>
      <c r="E59" s="314" t="n">
        <v>-2118</v>
      </c>
      <c r="F59" s="314" t="n">
        <v>0</v>
      </c>
      <c r="H59" s="315">
        <f>SUM(C59:G59)</f>
        <v/>
      </c>
    </row>
    <row r="60" ht="12.75" customHeight="1">
      <c r="A60" s="173" t="inlineStr">
        <is>
          <t>2741002</t>
        </is>
      </c>
      <c r="B60" s="174" t="inlineStr">
        <is>
          <t>KLS Te betalen VVE</t>
        </is>
      </c>
      <c r="C60" s="313" t="n">
        <v>0</v>
      </c>
      <c r="D60" s="314" t="n">
        <v>0</v>
      </c>
      <c r="E60" s="314" t="n">
        <v>-1846</v>
      </c>
      <c r="F60" s="314" t="n">
        <v>0</v>
      </c>
      <c r="H60" s="315">
        <f>SUM(C60:G60)</f>
        <v/>
      </c>
    </row>
    <row r="61" ht="12.75" customHeight="1">
      <c r="A61" s="173" t="inlineStr">
        <is>
          <t>2741004</t>
        </is>
      </c>
      <c r="B61" s="174" t="inlineStr">
        <is>
          <t>KLS Te betalen Hoen</t>
        </is>
      </c>
      <c r="C61" s="313" t="n">
        <v>-79559</v>
      </c>
      <c r="D61" s="314" t="n">
        <v>38680</v>
      </c>
      <c r="E61" s="314" t="n">
        <v>61</v>
      </c>
      <c r="F61" s="314" t="n">
        <v>483</v>
      </c>
      <c r="G61" s="313" t="n">
        <v>119</v>
      </c>
      <c r="H61" s="315">
        <f>SUM(C61:G61)</f>
        <v/>
      </c>
    </row>
    <row r="62" ht="12.75" customHeight="1">
      <c r="A62" s="173" t="inlineStr">
        <is>
          <t>2741005</t>
        </is>
      </c>
      <c r="B62" s="174" t="inlineStr">
        <is>
          <t>KLS Te betalen managementvergoedingen</t>
        </is>
      </c>
      <c r="C62" s="313" t="n">
        <v>0</v>
      </c>
      <c r="D62" s="314" t="n">
        <v>0</v>
      </c>
      <c r="E62" s="314" t="n">
        <v>0</v>
      </c>
      <c r="F62" s="314" t="n">
        <v>0</v>
      </c>
      <c r="H62" s="315">
        <f>SUM(C62:G62)</f>
        <v/>
      </c>
    </row>
    <row r="63" ht="12.75" customHeight="1">
      <c r="A63" s="173" t="inlineStr">
        <is>
          <t>2741200</t>
        </is>
      </c>
      <c r="B63" s="174" t="inlineStr">
        <is>
          <t>KLS Te betalen overige kosten</t>
        </is>
      </c>
      <c r="C63" s="313" t="n">
        <v>0</v>
      </c>
      <c r="D63" s="314" t="n">
        <v>20000</v>
      </c>
      <c r="F63" s="314" t="n">
        <v>0</v>
      </c>
      <c r="G63" s="313" t="n">
        <v>-40000</v>
      </c>
      <c r="H63" s="315">
        <f>SUM(C63:G63)</f>
        <v/>
      </c>
    </row>
    <row r="64" ht="12.75" customHeight="1">
      <c r="A64" s="173" t="inlineStr">
        <is>
          <t>2741900</t>
        </is>
      </c>
      <c r="B64" s="174" t="inlineStr">
        <is>
          <t>KLS Nog uit te zoeken posten MT940</t>
        </is>
      </c>
      <c r="C64" s="313" t="n">
        <v>163</v>
      </c>
      <c r="D64" s="314" t="n">
        <v>0</v>
      </c>
      <c r="E64" s="314" t="n">
        <v>-162</v>
      </c>
      <c r="F64" s="314" t="n">
        <v>851</v>
      </c>
      <c r="G64" s="313" t="n">
        <v>-16811</v>
      </c>
      <c r="H64" s="315">
        <f>SUM(C64:G64)</f>
        <v/>
      </c>
    </row>
    <row r="65" ht="12.75" customHeight="1">
      <c r="A65" s="173" t="inlineStr">
        <is>
          <t>2742200</t>
        </is>
      </c>
      <c r="B65" s="174" t="inlineStr">
        <is>
          <t>KLS Vooruitontvangen bedragen</t>
        </is>
      </c>
      <c r="C65" s="313" t="n">
        <v>-109418</v>
      </c>
      <c r="D65" s="314">
        <f>-20427-5</f>
        <v/>
      </c>
      <c r="E65" s="314" t="n">
        <v>-17605</v>
      </c>
      <c r="F65" s="314" t="n">
        <v>-5561</v>
      </c>
      <c r="G65" s="313" t="n">
        <v>21998</v>
      </c>
      <c r="H65" s="315">
        <f>SUM(C65:G65)</f>
        <v/>
      </c>
      <c r="I65" s="315">
        <f>SUM(H4:H65)-'Management Cijfers - Q4 2025'!AB19</f>
        <v/>
      </c>
    </row>
    <row r="66" ht="12.75" customHeight="1">
      <c r="A66" s="174" t="inlineStr">
        <is>
          <t>Totaal Overige schulden</t>
        </is>
      </c>
      <c r="C66" s="313" t="n">
        <v>0</v>
      </c>
    </row>
    <row r="68" ht="12.75" customHeight="1">
      <c r="G68" s="313">
        <f>G70*4</f>
        <v/>
      </c>
    </row>
    <row r="69" ht="12.75" customHeight="1">
      <c r="A69" s="179" t="inlineStr">
        <is>
          <t>Winst- en verliesrekening (baten zijn positief, kosten negatief)</t>
        </is>
      </c>
      <c r="F69" s="318">
        <f>F72/F70-1</f>
        <v/>
      </c>
      <c r="G69" s="184">
        <f>G72/G70-1</f>
        <v/>
      </c>
    </row>
    <row r="70" ht="12.75" customHeight="1">
      <c r="A70" s="173" t="inlineStr">
        <is>
          <t>8000003</t>
        </is>
      </c>
      <c r="B70" s="174" t="inlineStr">
        <is>
          <t>OPB Netto-omzet Theoretische huuropbrengsten</t>
        </is>
      </c>
      <c r="D70" s="314" t="n">
        <v>-2864512</v>
      </c>
      <c r="E70" s="314" t="n">
        <v>-2858133</v>
      </c>
      <c r="F70" s="314" t="n">
        <v>-2847208</v>
      </c>
      <c r="G70" s="313" t="n">
        <v>-2833196</v>
      </c>
      <c r="H70" s="319">
        <f>SUM(C70:G70)</f>
        <v/>
      </c>
    </row>
    <row r="71" ht="12.75" customHeight="1">
      <c r="A71" s="173" t="inlineStr">
        <is>
          <t>8000004</t>
        </is>
      </c>
      <c r="B71" s="174" t="inlineStr">
        <is>
          <t>OPB Netto-omzet Leegstand huuropbrengsten</t>
        </is>
      </c>
      <c r="D71" s="314" t="n">
        <v>66870</v>
      </c>
      <c r="E71" s="314" t="n">
        <v>63770</v>
      </c>
      <c r="F71" s="314" t="n">
        <v>69125</v>
      </c>
      <c r="G71" s="313" t="n">
        <v>71110</v>
      </c>
      <c r="H71" s="319">
        <f>SUM(C71:G71)</f>
        <v/>
      </c>
    </row>
    <row r="72" ht="12.75" customHeight="1">
      <c r="A72" s="174" t="inlineStr">
        <is>
          <t>Totaal Netto-omzet</t>
        </is>
      </c>
      <c r="D72" s="314">
        <f>SUM(D70:D71)</f>
        <v/>
      </c>
      <c r="E72" s="314">
        <f>SUM(E70:E71)</f>
        <v/>
      </c>
      <c r="F72" s="314">
        <f>SUM(F70:F71)</f>
        <v/>
      </c>
      <c r="G72" s="313">
        <f>SUM(G70:G71)</f>
        <v/>
      </c>
      <c r="H72" s="319">
        <f>SUM(C72:G72)</f>
        <v/>
      </c>
      <c r="I72" s="315" t="n"/>
    </row>
    <row r="73" ht="12.75" customHeight="1">
      <c r="H73" s="319" t="n"/>
    </row>
    <row r="74" ht="12.75" customHeight="1">
      <c r="A74" s="173" t="inlineStr">
        <is>
          <t>8400600</t>
        </is>
      </c>
      <c r="B74" s="174" t="inlineStr">
        <is>
          <t>OPB Overige bedrijfsopbrengsten Totale servicekosten</t>
        </is>
      </c>
      <c r="D74" s="314" t="n">
        <v>-173416</v>
      </c>
      <c r="E74" s="314" t="n">
        <v>-173087</v>
      </c>
      <c r="F74" s="314" t="n">
        <v>-172417</v>
      </c>
      <c r="G74" s="313" t="n">
        <v>-171527</v>
      </c>
      <c r="H74" s="319">
        <f>SUM(C74:G74)</f>
        <v/>
      </c>
    </row>
    <row r="75" ht="12.75" customHeight="1">
      <c r="A75" s="173" t="inlineStr">
        <is>
          <t>8400700</t>
        </is>
      </c>
      <c r="B75" s="174" t="inlineStr">
        <is>
          <t>OPB Overige bedrijfsopbrengsten Servicekosten leegstand</t>
        </is>
      </c>
      <c r="D75" s="314" t="n">
        <v>8357</v>
      </c>
      <c r="E75" s="314" t="n">
        <v>29682</v>
      </c>
      <c r="F75" s="314" t="n">
        <v>10767</v>
      </c>
      <c r="G75" s="313" t="n">
        <v>3357</v>
      </c>
      <c r="H75" s="319">
        <f>SUM(C75:G75)</f>
        <v/>
      </c>
    </row>
    <row r="76" ht="12.75" customHeight="1">
      <c r="A76" s="173" t="inlineStr">
        <is>
          <t>8400800</t>
        </is>
      </c>
      <c r="B76" s="174" t="inlineStr">
        <is>
          <t>OPB Overige bedrijfsopbrengsten Gerealiseerde servicekosten</t>
        </is>
      </c>
      <c r="D76" s="314" t="n">
        <v>162849</v>
      </c>
      <c r="E76" s="314" t="n">
        <v>121812</v>
      </c>
      <c r="F76" s="314" t="n">
        <v>133343</v>
      </c>
      <c r="G76" s="313" t="n">
        <v>284624</v>
      </c>
      <c r="H76" s="319">
        <f>SUM(C76:G76)</f>
        <v/>
      </c>
    </row>
    <row r="77" ht="12.75" customHeight="1">
      <c r="A77" s="174" t="inlineStr">
        <is>
          <t>Totaal Overige bedrijfsopbrengsten</t>
        </is>
      </c>
      <c r="D77" s="314">
        <f>SUM(D74:D76)</f>
        <v/>
      </c>
      <c r="E77" s="314">
        <f>SUM(E74:E76)</f>
        <v/>
      </c>
      <c r="F77" s="314">
        <f>SUM(F74:F76)</f>
        <v/>
      </c>
      <c r="G77" s="313">
        <f>SUM(G74:G76)</f>
        <v/>
      </c>
      <c r="H77" s="319">
        <f>SUM(C77:G77)</f>
        <v/>
      </c>
      <c r="I77" s="315" t="n"/>
    </row>
    <row r="78" ht="12.75" customHeight="1">
      <c r="H78" s="320" t="n"/>
    </row>
    <row r="79" ht="12.75" customHeight="1">
      <c r="A79" s="173" t="inlineStr">
        <is>
          <t>4051400</t>
        </is>
      </c>
      <c r="B79" s="174" t="inlineStr">
        <is>
          <t>KN Diensten door derden</t>
        </is>
      </c>
      <c r="D79" s="314" t="n">
        <v>121669</v>
      </c>
      <c r="E79" s="314" t="n">
        <v>121336</v>
      </c>
      <c r="F79" s="314" t="n">
        <v>120736</v>
      </c>
      <c r="G79" s="313" t="n">
        <v>120105</v>
      </c>
      <c r="H79" s="320">
        <f>SUM(C79:G79)</f>
        <v/>
      </c>
    </row>
    <row r="80" ht="12.75" customHeight="1">
      <c r="A80" s="174" t="inlineStr">
        <is>
          <t>Totaal overige personeelskosten</t>
        </is>
      </c>
      <c r="D80" s="314">
        <f>SUM(D79)</f>
        <v/>
      </c>
      <c r="E80" s="314">
        <f>SUM(E79)</f>
        <v/>
      </c>
      <c r="F80" s="314">
        <f>SUM(F79)</f>
        <v/>
      </c>
      <c r="G80" s="313">
        <f>SUM(G79)</f>
        <v/>
      </c>
      <c r="H80" s="320">
        <f>SUM(C80:G80)</f>
        <v/>
      </c>
      <c r="I80" s="315" t="n"/>
    </row>
    <row r="81" ht="12.75" customHeight="1">
      <c r="H81" s="320" t="n"/>
    </row>
    <row r="82" ht="12.75" customHeight="1">
      <c r="A82" s="173" t="inlineStr">
        <is>
          <t>4730000</t>
        </is>
      </c>
      <c r="B82" s="174" t="inlineStr">
        <is>
          <t>AFKN Afschrijvingskosten Vastgoedbeleggingen</t>
        </is>
      </c>
      <c r="D82" s="314" t="n">
        <v>653662</v>
      </c>
      <c r="E82" s="314" t="n">
        <v>656408</v>
      </c>
      <c r="F82" s="314" t="n">
        <v>642938</v>
      </c>
      <c r="G82" s="321">
        <f>630199+I86</f>
        <v/>
      </c>
      <c r="H82" s="320">
        <f>SUM(C82:G82)</f>
        <v/>
      </c>
    </row>
    <row r="83" ht="12.75" customHeight="1">
      <c r="A83" s="173" t="inlineStr">
        <is>
          <t>4730200</t>
        </is>
      </c>
      <c r="B83" s="174" t="inlineStr">
        <is>
          <t>AFKN Boekresultaat Vastgoedbeleggingen</t>
        </is>
      </c>
      <c r="D83" s="314" t="n">
        <v>-485647</v>
      </c>
      <c r="E83" s="314" t="n">
        <v>-1058583</v>
      </c>
      <c r="F83" s="314" t="n">
        <v>-1206433</v>
      </c>
      <c r="G83" s="313" t="n">
        <v>-531244</v>
      </c>
      <c r="H83" s="320">
        <f>SUM(C83:G83)</f>
        <v/>
      </c>
    </row>
    <row r="84" ht="12.75" customHeight="1">
      <c r="A84" s="174" t="inlineStr">
        <is>
          <t>Totaal Afschrijvingen vastgoedbeleggingen</t>
        </is>
      </c>
      <c r="D84" s="314">
        <f>SUM(D82:D83)</f>
        <v/>
      </c>
      <c r="E84" s="314">
        <f>SUM(E82:E83)</f>
        <v/>
      </c>
      <c r="F84" s="314">
        <f>SUM(F82:F83)</f>
        <v/>
      </c>
      <c r="G84" s="313">
        <f>SUM(G82:G83)</f>
        <v/>
      </c>
      <c r="H84" s="320">
        <f>SUM(C84:G84)</f>
        <v/>
      </c>
      <c r="I84" s="315" t="n"/>
    </row>
    <row r="86" ht="12.75" customHeight="1">
      <c r="A86" s="173" t="inlineStr">
        <is>
          <t>4100400</t>
        </is>
      </c>
      <c r="B86" s="174" t="inlineStr">
        <is>
          <t>KN Onderhoud gebouwen</t>
        </is>
      </c>
      <c r="D86" s="314" t="n">
        <v>473207</v>
      </c>
      <c r="E86" s="314">
        <f>38004+J5</f>
        <v/>
      </c>
      <c r="F86" s="314" t="n">
        <v>491958</v>
      </c>
      <c r="G86" s="313">
        <f>609565-I86</f>
        <v/>
      </c>
      <c r="H86" s="320">
        <f>SUM(C86:G86)</f>
        <v/>
      </c>
      <c r="I86" s="322" t="n">
        <v>153615.32</v>
      </c>
      <c r="J86" s="316" t="inlineStr">
        <is>
          <t>Correctie ketels</t>
        </is>
      </c>
    </row>
    <row r="87" ht="12.75" customHeight="1">
      <c r="A87" s="173" t="inlineStr">
        <is>
          <t>4100410</t>
        </is>
      </c>
      <c r="B87" s="174" t="inlineStr">
        <is>
          <t>Verhuurdersheffing</t>
        </is>
      </c>
      <c r="D87" s="314" t="n">
        <v>526216</v>
      </c>
      <c r="E87" s="314" t="n">
        <v>0</v>
      </c>
      <c r="F87" s="314" t="n">
        <v>0</v>
      </c>
      <c r="H87" s="320">
        <f>SUM(C87:G87)</f>
        <v/>
      </c>
    </row>
    <row r="88" ht="12.75" customHeight="1">
      <c r="A88" s="173" t="inlineStr">
        <is>
          <t>4100900</t>
        </is>
      </c>
      <c r="B88" s="174" t="inlineStr">
        <is>
          <t>KN Onroerende zaakbelasting</t>
        </is>
      </c>
      <c r="D88" s="314" t="n">
        <v>65301</v>
      </c>
      <c r="E88" s="314" t="n">
        <v>65007</v>
      </c>
      <c r="F88" s="314" t="n">
        <v>47171</v>
      </c>
      <c r="G88" s="321">
        <f>267546/4</f>
        <v/>
      </c>
      <c r="H88" s="320">
        <f>SUM(C88:G88)</f>
        <v/>
      </c>
      <c r="I88" s="323">
        <f>G88*3</f>
        <v/>
      </c>
    </row>
    <row r="89" ht="12.75" customHeight="1">
      <c r="A89" s="173" t="inlineStr">
        <is>
          <t>4101000</t>
        </is>
      </c>
      <c r="B89" s="174" t="inlineStr">
        <is>
          <t>KN VvE-kosten</t>
        </is>
      </c>
      <c r="D89" s="314" t="n">
        <v>143177</v>
      </c>
      <c r="E89" s="314" t="n">
        <v>5404</v>
      </c>
      <c r="F89" s="314" t="n">
        <v>96652</v>
      </c>
      <c r="G89" s="313" t="n">
        <v>197933</v>
      </c>
      <c r="H89" s="320">
        <f>SUM(C89:G89)</f>
        <v/>
      </c>
    </row>
    <row r="90" ht="12.75" customHeight="1">
      <c r="A90" s="173" t="inlineStr">
        <is>
          <t>4101010</t>
        </is>
      </c>
      <c r="B90" s="174" t="inlineStr">
        <is>
          <t>Gemeentelijke belastingen</t>
        </is>
      </c>
      <c r="D90" s="314" t="n">
        <v>29292</v>
      </c>
      <c r="E90" s="314" t="n">
        <v>29292</v>
      </c>
      <c r="F90" s="314" t="n">
        <v>39392</v>
      </c>
      <c r="G90" s="321">
        <f>90134/4</f>
        <v/>
      </c>
      <c r="H90" s="320">
        <f>SUM(C90:G90)</f>
        <v/>
      </c>
      <c r="I90" s="323">
        <f>G90*3</f>
        <v/>
      </c>
    </row>
    <row r="91" ht="12.75" customHeight="1">
      <c r="A91" s="173" t="inlineStr">
        <is>
          <t>4101020</t>
        </is>
      </c>
      <c r="B91" s="174" t="inlineStr">
        <is>
          <t>Waterschapsbelasting</t>
        </is>
      </c>
      <c r="D91" s="314" t="n">
        <v>18196</v>
      </c>
      <c r="E91" s="314" t="n">
        <v>1661</v>
      </c>
      <c r="F91" s="314" t="n">
        <v>250</v>
      </c>
      <c r="G91" s="321">
        <f>54928/4</f>
        <v/>
      </c>
      <c r="H91" s="320">
        <f>SUM(C91:G91)</f>
        <v/>
      </c>
      <c r="I91" s="323">
        <f>G91*3</f>
        <v/>
      </c>
    </row>
    <row r="92" ht="12.75" customHeight="1">
      <c r="A92" s="173" t="inlineStr">
        <is>
          <t>4101300</t>
        </is>
      </c>
      <c r="B92" s="174" t="inlineStr">
        <is>
          <t>KN Servicekosten leegstand</t>
        </is>
      </c>
      <c r="D92" s="314" t="n">
        <v>10273</v>
      </c>
      <c r="E92" s="314" t="n">
        <v>18836</v>
      </c>
      <c r="F92" s="314" t="n">
        <v>-799</v>
      </c>
      <c r="G92" s="313" t="n">
        <v>-820</v>
      </c>
      <c r="H92" s="320">
        <f>SUM(C92:G92)</f>
        <v/>
      </c>
    </row>
    <row r="93" ht="12.75" customHeight="1">
      <c r="A93" s="173" t="inlineStr">
        <is>
          <t>4109800</t>
        </is>
      </c>
      <c r="B93" s="174" t="inlineStr">
        <is>
          <t>KN Overige huisvestingskosten</t>
        </is>
      </c>
      <c r="D93" s="314" t="n">
        <v>0</v>
      </c>
      <c r="E93" s="314" t="n">
        <v>2153</v>
      </c>
      <c r="F93" s="314" t="n">
        <v>0</v>
      </c>
      <c r="H93" s="320">
        <f>SUM(C93:G93)</f>
        <v/>
      </c>
      <c r="I93" s="315" t="n"/>
    </row>
    <row r="94" ht="12.75" customHeight="1">
      <c r="A94" s="174" t="inlineStr">
        <is>
          <t>Totaal Huisvestingskosten</t>
        </is>
      </c>
      <c r="D94" s="314">
        <f>SUM(D86:D93)</f>
        <v/>
      </c>
      <c r="E94" s="314">
        <f>SUM(E86:E93)</f>
        <v/>
      </c>
      <c r="F94" s="314">
        <f>SUM(F86:F93)</f>
        <v/>
      </c>
      <c r="G94" s="313">
        <f>SUM(G86:G93)</f>
        <v/>
      </c>
      <c r="H94" s="315">
        <f>SUM(C94:G94)</f>
        <v/>
      </c>
    </row>
    <row r="96" ht="12.75" customHeight="1">
      <c r="A96" s="173" t="inlineStr">
        <is>
          <t>4500400</t>
        </is>
      </c>
      <c r="B96" s="174" t="inlineStr">
        <is>
          <t>KN Representatiekosten</t>
        </is>
      </c>
      <c r="D96" s="314" t="n">
        <v>4200</v>
      </c>
      <c r="E96" s="314" t="n">
        <v>0</v>
      </c>
      <c r="F96" s="314" t="n">
        <v>0</v>
      </c>
      <c r="H96" s="320">
        <f>SUM(C96:G96)</f>
        <v/>
      </c>
    </row>
    <row r="97" ht="12.75" customHeight="1">
      <c r="A97" s="173" t="inlineStr">
        <is>
          <t>4501200</t>
        </is>
      </c>
      <c r="B97" s="174" t="inlineStr">
        <is>
          <t>KN Mutatie voorziening dubieuze debiteuren</t>
        </is>
      </c>
      <c r="D97" s="314" t="n">
        <v>0</v>
      </c>
      <c r="E97" s="314" t="n">
        <v>-8960</v>
      </c>
      <c r="F97" s="314" t="n">
        <v>0</v>
      </c>
      <c r="H97" s="320">
        <f>SUM(C97:G97)</f>
        <v/>
      </c>
    </row>
    <row r="98" ht="12.75" customHeight="1">
      <c r="A98" s="173" t="inlineStr">
        <is>
          <t>4501300</t>
        </is>
      </c>
      <c r="B98" s="174" t="inlineStr">
        <is>
          <t>KN Afboeking dubieuze debiteuren</t>
        </is>
      </c>
      <c r="D98" s="314" t="n">
        <v>2282</v>
      </c>
      <c r="E98" s="314" t="n">
        <v>28608</v>
      </c>
      <c r="F98" s="314" t="n">
        <v>-164</v>
      </c>
      <c r="G98" s="313" t="n">
        <v>1941</v>
      </c>
      <c r="H98" s="320">
        <f>SUM(C98:G98)</f>
        <v/>
      </c>
    </row>
    <row r="99" ht="12.75" customHeight="1">
      <c r="A99" s="174" t="inlineStr">
        <is>
          <t>Totaal Verkoopkosten</t>
        </is>
      </c>
      <c r="D99" s="314">
        <f>SUM(D96:D98)</f>
        <v/>
      </c>
      <c r="E99" s="314">
        <f>SUM(E96:E98)</f>
        <v/>
      </c>
      <c r="F99" s="314">
        <f>SUM(F96:F98)</f>
        <v/>
      </c>
      <c r="G99" s="313">
        <f>SUM(G96:G98)</f>
        <v/>
      </c>
      <c r="H99" s="320">
        <f>SUM(C99:G99)</f>
        <v/>
      </c>
    </row>
    <row r="100" ht="12.75" customHeight="1">
      <c r="H100" s="320" t="n"/>
    </row>
    <row r="101" ht="12.75" customHeight="1">
      <c r="A101" s="173" t="inlineStr">
        <is>
          <t>4300500</t>
        </is>
      </c>
      <c r="B101" s="174" t="inlineStr">
        <is>
          <t>KN Incassokosten</t>
        </is>
      </c>
      <c r="D101" s="314" t="n">
        <v>0</v>
      </c>
      <c r="E101" s="314" t="n">
        <v>-590</v>
      </c>
      <c r="F101" s="314" t="n">
        <v>0</v>
      </c>
      <c r="H101" s="320">
        <f>SUM(C101:G101)</f>
        <v/>
      </c>
    </row>
    <row r="102" ht="12.75" customHeight="1">
      <c r="A102" s="174" t="inlineStr">
        <is>
          <t>Totaal Kantoorkosten</t>
        </is>
      </c>
      <c r="D102" s="314">
        <f>SUM(D101)</f>
        <v/>
      </c>
      <c r="E102" s="314">
        <f>SUM(E101)</f>
        <v/>
      </c>
      <c r="F102" s="314">
        <f>SUM(F101)</f>
        <v/>
      </c>
      <c r="G102" s="313">
        <f>SUM(G101)</f>
        <v/>
      </c>
      <c r="H102" s="320">
        <f>SUM(C102:G102)</f>
        <v/>
      </c>
    </row>
    <row r="104" ht="12.75" customHeight="1">
      <c r="A104" s="173" t="inlineStr">
        <is>
          <t>4310000</t>
        </is>
      </c>
      <c r="B104" s="174" t="inlineStr">
        <is>
          <t>KN Abonnementen en contributies</t>
        </is>
      </c>
      <c r="D104" s="314" t="n">
        <v>0</v>
      </c>
      <c r="E104" s="314" t="n">
        <v>0</v>
      </c>
      <c r="F104" s="314" t="n">
        <v>4406</v>
      </c>
      <c r="H104" s="320">
        <f>SUM(C104:G104)</f>
        <v/>
      </c>
    </row>
    <row r="105" ht="12.75" customHeight="1">
      <c r="A105" s="173" t="inlineStr">
        <is>
          <t>4310400</t>
        </is>
      </c>
      <c r="B105" s="174" t="inlineStr">
        <is>
          <t>KN Assurantiepremie algemeen</t>
        </is>
      </c>
      <c r="D105" s="314" t="n">
        <v>28072</v>
      </c>
      <c r="E105" s="314" t="n">
        <v>13908</v>
      </c>
      <c r="F105" s="314" t="n">
        <v>321</v>
      </c>
      <c r="G105" s="321">
        <f>103920/4</f>
        <v/>
      </c>
      <c r="H105" s="320">
        <f>SUM(C105:G105)</f>
        <v/>
      </c>
      <c r="I105" s="323">
        <f>G105*3</f>
        <v/>
      </c>
    </row>
    <row r="106" ht="12.75" customHeight="1">
      <c r="A106" s="173" t="inlineStr">
        <is>
          <t>4310500</t>
        </is>
      </c>
      <c r="B106" s="174" t="inlineStr">
        <is>
          <t>KN Managementvergoeding</t>
        </is>
      </c>
      <c r="D106" s="314" t="n">
        <v>5445</v>
      </c>
      <c r="E106" s="314" t="n">
        <v>5445</v>
      </c>
      <c r="F106" s="314" t="n">
        <v>5445</v>
      </c>
      <c r="G106" s="313" t="n">
        <v>5445</v>
      </c>
      <c r="H106" s="320">
        <f>SUM(C106:G106)</f>
        <v/>
      </c>
      <c r="I106" s="315" t="n"/>
    </row>
    <row r="107" ht="12.75" customHeight="1">
      <c r="A107" s="173" t="inlineStr">
        <is>
          <t>4310600</t>
        </is>
      </c>
      <c r="B107" s="174" t="inlineStr">
        <is>
          <t>KN Accountantskosten</t>
        </is>
      </c>
      <c r="D107" s="314" t="n">
        <v>16927</v>
      </c>
      <c r="E107" s="314" t="n">
        <v>21556</v>
      </c>
      <c r="F107" s="314" t="n">
        <v>6339</v>
      </c>
      <c r="G107" s="313" t="n">
        <v>44292</v>
      </c>
      <c r="H107" s="320">
        <f>SUM(C107:G107)</f>
        <v/>
      </c>
      <c r="I107" s="315" t="n"/>
    </row>
    <row r="108" ht="12.75" customHeight="1">
      <c r="A108" s="173" t="inlineStr">
        <is>
          <t>4310700</t>
        </is>
      </c>
      <c r="B108" s="174" t="inlineStr">
        <is>
          <t>KN Administratiekosten</t>
        </is>
      </c>
      <c r="D108" s="314" t="n">
        <v>0</v>
      </c>
      <c r="E108" s="314" t="n">
        <v>1491</v>
      </c>
      <c r="F108" s="314" t="n">
        <v>1210</v>
      </c>
      <c r="H108" s="320">
        <f>SUM(C108:G108)</f>
        <v/>
      </c>
    </row>
    <row r="109" ht="12.75" customHeight="1">
      <c r="A109" s="173" t="inlineStr">
        <is>
          <t>4310800</t>
        </is>
      </c>
      <c r="B109" s="174" t="inlineStr">
        <is>
          <t>KN Makelaarskosten</t>
        </is>
      </c>
      <c r="D109" s="314" t="n">
        <v>39079</v>
      </c>
      <c r="E109" s="314" t="n">
        <v>54700</v>
      </c>
      <c r="F109" s="314" t="n">
        <v>66525</v>
      </c>
      <c r="G109" s="313" t="n">
        <v>57342</v>
      </c>
      <c r="H109" s="320">
        <f>SUM(C109:G109)</f>
        <v/>
      </c>
      <c r="I109" s="315" t="n"/>
    </row>
    <row r="110" ht="12.75" customHeight="1">
      <c r="A110" s="173" t="inlineStr">
        <is>
          <t>4311000</t>
        </is>
      </c>
      <c r="B110" s="174" t="inlineStr">
        <is>
          <t>KN Juridische kosten</t>
        </is>
      </c>
      <c r="D110" s="314" t="n">
        <v>37004</v>
      </c>
      <c r="E110" s="314" t="n">
        <v>8809</v>
      </c>
      <c r="F110" s="314" t="n">
        <v>4569</v>
      </c>
      <c r="G110" s="313" t="n">
        <v>3745</v>
      </c>
      <c r="H110" s="320">
        <f>SUM(C110:G110)</f>
        <v/>
      </c>
      <c r="I110" s="315" t="n"/>
    </row>
    <row r="111" ht="12.75" customHeight="1">
      <c r="A111" s="173" t="inlineStr">
        <is>
          <t>4311800</t>
        </is>
      </c>
      <c r="B111" s="174" t="inlineStr">
        <is>
          <t>KN Advieskosten</t>
        </is>
      </c>
      <c r="D111" s="314" t="n">
        <v>0</v>
      </c>
      <c r="E111" s="314" t="n">
        <v>0</v>
      </c>
      <c r="F111" s="314" t="n">
        <v>0</v>
      </c>
      <c r="H111" s="320">
        <f>SUM(C111:G111)</f>
        <v/>
      </c>
    </row>
    <row r="112" ht="12.75" customHeight="1">
      <c r="A112" s="173" t="inlineStr">
        <is>
          <t>4311900</t>
        </is>
      </c>
      <c r="B112" s="174" t="inlineStr">
        <is>
          <t>KN Bankkosten</t>
        </is>
      </c>
      <c r="D112" s="314" t="n">
        <v>1391</v>
      </c>
      <c r="E112" s="314" t="n">
        <v>1317</v>
      </c>
      <c r="F112" s="314" t="n">
        <v>1219</v>
      </c>
      <c r="G112" s="313" t="n">
        <v>1230</v>
      </c>
      <c r="H112" s="320">
        <f>SUM(C112:G112)</f>
        <v/>
      </c>
    </row>
    <row r="113" ht="12.75" customHeight="1">
      <c r="A113" s="173" t="inlineStr">
        <is>
          <t>4312600</t>
        </is>
      </c>
      <c r="B113" s="174" t="inlineStr">
        <is>
          <t>KN Agent Fee facility</t>
        </is>
      </c>
      <c r="D113" s="314" t="n">
        <v>20000</v>
      </c>
      <c r="E113" s="314" t="n">
        <v>0</v>
      </c>
      <c r="F113" s="314" t="n">
        <v>0</v>
      </c>
      <c r="G113" s="321">
        <f>40000/2</f>
        <v/>
      </c>
      <c r="H113" s="320">
        <f>SUM(C113:G113)</f>
        <v/>
      </c>
      <c r="I113" s="322">
        <f>G113</f>
        <v/>
      </c>
    </row>
    <row r="114" ht="12.75" customHeight="1">
      <c r="A114" s="173" t="inlineStr">
        <is>
          <t>4319800</t>
        </is>
      </c>
      <c r="B114" s="174" t="inlineStr">
        <is>
          <t>KN Overige algemene kosten</t>
        </is>
      </c>
      <c r="D114" s="314" t="n">
        <v>1210</v>
      </c>
      <c r="E114" s="317" t="n">
        <v>-2209</v>
      </c>
      <c r="F114" s="324" t="n">
        <v>0</v>
      </c>
      <c r="G114" s="313" t="n">
        <v>28793</v>
      </c>
      <c r="H114" s="320">
        <f>SUM(C114:G114)</f>
        <v/>
      </c>
    </row>
    <row r="115" ht="12.75" customHeight="1">
      <c r="A115" s="174" t="inlineStr">
        <is>
          <t>Totaal Algemene kosten</t>
        </is>
      </c>
      <c r="D115" s="314">
        <f>SUM(D104:D114)+2</f>
        <v/>
      </c>
      <c r="E115" s="314">
        <f>SUM(E104:E114)</f>
        <v/>
      </c>
      <c r="F115" s="314">
        <f>SUM(F104:F114)</f>
        <v/>
      </c>
      <c r="G115" s="313">
        <f>SUM(G104:G114)</f>
        <v/>
      </c>
      <c r="H115" s="315">
        <f>SUM(C115:G115)</f>
        <v/>
      </c>
    </row>
    <row r="117" ht="12.75" customHeight="1">
      <c r="A117" s="173" t="inlineStr">
        <is>
          <t>4623000</t>
        </is>
      </c>
      <c r="B117" s="174" t="inlineStr">
        <is>
          <t>FINBL Rente ABN AMRO Bank NV leningen</t>
        </is>
      </c>
      <c r="D117" s="314" t="n">
        <v>0</v>
      </c>
      <c r="E117" s="314" t="n">
        <v>0</v>
      </c>
      <c r="H117" s="315">
        <f>SUM(C117:F117)</f>
        <v/>
      </c>
    </row>
    <row r="118" ht="12.75" customHeight="1">
      <c r="A118" s="173" t="inlineStr">
        <is>
          <t>4623001</t>
        </is>
      </c>
      <c r="B118" s="174" t="inlineStr">
        <is>
          <t>FINBL Rente ABN AMRO Bank NV Senior Facility Agreement</t>
        </is>
      </c>
      <c r="D118" s="314" t="n">
        <v>486625</v>
      </c>
      <c r="E118" s="314" t="n">
        <v>473890</v>
      </c>
      <c r="F118" s="314" t="n">
        <v>457533</v>
      </c>
      <c r="G118" s="313" t="n">
        <v>450998</v>
      </c>
      <c r="H118" s="320">
        <f>SUM(C118:G118)</f>
        <v/>
      </c>
      <c r="I118" s="315" t="n"/>
    </row>
    <row r="119" ht="12.75" customHeight="1">
      <c r="A119" s="173" t="inlineStr">
        <is>
          <t>4628001</t>
        </is>
      </c>
      <c r="B119" s="174" t="inlineStr">
        <is>
          <t>FINBL Rente LLS QSPESS Limited</t>
        </is>
      </c>
      <c r="D119" s="314" t="n">
        <v>0</v>
      </c>
      <c r="E119" s="314" t="n">
        <v>0</v>
      </c>
      <c r="F119" s="314" t="n">
        <v>0</v>
      </c>
      <c r="G119" s="313" t="n">
        <v>0</v>
      </c>
      <c r="H119" s="320">
        <f>SUM(C119:G119)</f>
        <v/>
      </c>
    </row>
    <row r="120" ht="12.75" customHeight="1">
      <c r="A120" s="173" t="n">
        <v>4630000</v>
      </c>
      <c r="B120" s="174" t="inlineStr">
        <is>
          <t>FINBL Rente belastingen</t>
        </is>
      </c>
      <c r="D120" s="314" t="n">
        <v>0</v>
      </c>
      <c r="E120" s="314" t="n">
        <v>7750</v>
      </c>
      <c r="F120" s="314" t="n">
        <v>0</v>
      </c>
      <c r="G120" s="313" t="n">
        <v>0</v>
      </c>
      <c r="H120" s="320">
        <f>SUM(C120:G120)</f>
        <v/>
      </c>
    </row>
    <row r="121" ht="12.75" customHeight="1">
      <c r="A121" s="173" t="inlineStr">
        <is>
          <t>4643000</t>
        </is>
      </c>
      <c r="B121" s="174" t="inlineStr">
        <is>
          <t>FINBL Overige rentelasten</t>
        </is>
      </c>
      <c r="D121" s="314" t="n">
        <v>111640</v>
      </c>
      <c r="E121" s="314" t="n">
        <v>108560</v>
      </c>
      <c r="F121" s="314" t="n">
        <v>106683</v>
      </c>
      <c r="G121" s="313" t="n">
        <v>105985</v>
      </c>
      <c r="H121" s="320">
        <f>SUM(C121:G121)</f>
        <v/>
      </c>
    </row>
    <row r="122" ht="12.75" customHeight="1">
      <c r="A122" s="173" t="inlineStr">
        <is>
          <t>Totaal Financiële baten en lasten</t>
        </is>
      </c>
      <c r="D122" s="314">
        <f>SUM(D117:D121)</f>
        <v/>
      </c>
      <c r="E122" s="314">
        <f>SUM(E117:E121)</f>
        <v/>
      </c>
      <c r="F122" s="314">
        <f>SUM(F117:F121)</f>
        <v/>
      </c>
      <c r="G122" s="313">
        <f>SUM(G117:G121)</f>
        <v/>
      </c>
      <c r="H122" s="315">
        <f>SUM(C122:G122)</f>
        <v/>
      </c>
    </row>
    <row r="124" ht="12.75" customHeight="1">
      <c r="A124" s="173" t="n">
        <v>9500000</v>
      </c>
      <c r="B124" s="174" t="inlineStr">
        <is>
          <t>VPB Vennootschapsbelasting VPB Huidg jaar</t>
        </is>
      </c>
      <c r="E124" s="314" t="n">
        <v>1827377</v>
      </c>
    </row>
    <row r="125" ht="12.75" customHeight="1">
      <c r="A125" s="173" t="inlineStr">
        <is>
          <t>9510000</t>
        </is>
      </c>
      <c r="B125" s="174" t="inlineStr">
        <is>
          <t>VPB Mutatie belastinglatentie Mutatie actieve latentie</t>
        </is>
      </c>
      <c r="D125" s="314" t="n">
        <v>-153794</v>
      </c>
      <c r="E125" s="314" t="n">
        <v>278091</v>
      </c>
      <c r="F125" s="314" t="n">
        <v>293081</v>
      </c>
      <c r="G125" s="313" t="n">
        <v>-524916</v>
      </c>
      <c r="H125" s="315">
        <f>SUM(C125:G125)</f>
        <v/>
      </c>
      <c r="I125" s="315" t="n"/>
    </row>
    <row r="126" ht="12.75" customHeight="1">
      <c r="A126" s="173" t="n">
        <v>9500100</v>
      </c>
      <c r="B126" s="174" t="inlineStr">
        <is>
          <t>VPB Vennootschapsbelasting VPB voorgaande jaren</t>
        </is>
      </c>
      <c r="D126" s="314" t="n">
        <v>0</v>
      </c>
      <c r="E126" s="314" t="n">
        <v>-154348</v>
      </c>
      <c r="G126" s="313" t="n">
        <v>0</v>
      </c>
      <c r="H126" s="315">
        <f>SUM(C126:G126)</f>
        <v/>
      </c>
    </row>
    <row r="127" ht="12.75" customHeight="1">
      <c r="A127" s="173" t="inlineStr">
        <is>
          <t>Totaal vennootschapsbelasting</t>
        </is>
      </c>
      <c r="D127" s="314">
        <f>SUM(D125:D126)</f>
        <v/>
      </c>
      <c r="E127" s="314">
        <f>SUM(E124:E126)</f>
        <v/>
      </c>
      <c r="F127" s="314">
        <f>SUM(F125:F126)</f>
        <v/>
      </c>
      <c r="G127" s="313">
        <f>SUM(G125:G126)</f>
        <v/>
      </c>
      <c r="H127" s="315">
        <f>SUM(C127:G127)</f>
        <v/>
      </c>
    </row>
    <row r="128" ht="12.75" customHeight="1">
      <c r="H128" s="315">
        <f>SUM(C128:E128)</f>
        <v/>
      </c>
    </row>
    <row r="129" ht="12.75" customHeight="1">
      <c r="A129" s="174" t="inlineStr">
        <is>
          <t>Resultaat na belasting</t>
        </is>
      </c>
      <c r="D129" s="314">
        <f>D72+D77+D80+D84+D94+D99+D102+D115+D122+D127</f>
        <v/>
      </c>
      <c r="E129" s="314">
        <f>E72+E77+E80+E84+E94+E99+E102+E115+E122+E127</f>
        <v/>
      </c>
      <c r="F129" s="314">
        <f>F72+F77+F80+F84+F94+F99+F102+F115+F122+F127</f>
        <v/>
      </c>
      <c r="G129" s="313">
        <f>G72+G77+G80+G84+G94+G99+G102+G115+G122+G127</f>
        <v/>
      </c>
      <c r="H129" s="313">
        <f>H72+H77+H80+H84+H94+H99+H102+H115+H122+H127</f>
        <v/>
      </c>
      <c r="I129" s="315" t="n"/>
      <c r="J129" s="315" t="n"/>
    </row>
    <row r="131" ht="12.75" customHeight="1">
      <c r="C131" s="325" t="n"/>
      <c r="D131" s="316">
        <f>SUM(D4:D66)+D129</f>
        <v/>
      </c>
      <c r="E131" s="316">
        <f>SUM(E4:E66)+E129</f>
        <v/>
      </c>
      <c r="F131" s="316">
        <f>SUM(F4:F66)+F129</f>
        <v/>
      </c>
      <c r="G131" s="325">
        <f>SUM(G4:G66)+G129</f>
        <v/>
      </c>
      <c r="H131" s="316">
        <f>SUM(H4:H66)+H129</f>
        <v/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8"/>
  <sheetViews>
    <sheetView topLeftCell="A3" zoomScale="70" zoomScaleNormal="70" workbookViewId="0">
      <selection activeCell="H50" sqref="H50"/>
    </sheetView>
  </sheetViews>
  <sheetFormatPr baseColWidth="8" defaultRowHeight="14.4"/>
  <cols>
    <col width="20" bestFit="1" customWidth="1" style="114" min="1" max="1"/>
    <col width="66.33203125" bestFit="1" customWidth="1" style="112" min="2" max="2"/>
    <col width="21.33203125" customWidth="1" style="314" min="3" max="5"/>
    <col width="21.33203125" customWidth="1" style="313" min="6" max="7"/>
    <col width="17.33203125" bestFit="1" customWidth="1" style="296" min="8" max="8"/>
    <col width="11.109375" customWidth="1" style="112" min="9" max="9"/>
    <col width="21.33203125" customWidth="1" style="316" min="10" max="10"/>
    <col width="8.88671875" customWidth="1" style="112" min="11" max="256"/>
    <col width="20" bestFit="1" customWidth="1" style="112" min="257" max="257"/>
    <col width="66.33203125" bestFit="1" customWidth="1" style="112" min="258" max="258"/>
    <col width="21.33203125" customWidth="1" style="112" min="259" max="263"/>
    <col width="17.33203125" bestFit="1" customWidth="1" style="112" min="264" max="264"/>
    <col width="11.109375" customWidth="1" style="112" min="265" max="265"/>
    <col width="21.33203125" customWidth="1" style="112" min="266" max="266"/>
    <col width="8.88671875" customWidth="1" style="112" min="267" max="512"/>
    <col width="20" bestFit="1" customWidth="1" style="112" min="513" max="513"/>
    <col width="66.33203125" bestFit="1" customWidth="1" style="112" min="514" max="514"/>
    <col width="21.33203125" customWidth="1" style="112" min="515" max="519"/>
    <col width="17.33203125" bestFit="1" customWidth="1" style="112" min="520" max="520"/>
    <col width="11.109375" customWidth="1" style="112" min="521" max="521"/>
    <col width="21.33203125" customWidth="1" style="112" min="522" max="522"/>
    <col width="8.88671875" customWidth="1" style="112" min="523" max="768"/>
    <col width="20" bestFit="1" customWidth="1" style="112" min="769" max="769"/>
    <col width="66.33203125" bestFit="1" customWidth="1" style="112" min="770" max="770"/>
    <col width="21.33203125" customWidth="1" style="112" min="771" max="775"/>
    <col width="17.33203125" bestFit="1" customWidth="1" style="112" min="776" max="776"/>
    <col width="11.109375" customWidth="1" style="112" min="777" max="777"/>
    <col width="21.33203125" customWidth="1" style="112" min="778" max="778"/>
    <col width="8.88671875" customWidth="1" style="112" min="779" max="1024"/>
    <col width="20" bestFit="1" customWidth="1" style="112" min="1025" max="1025"/>
    <col width="66.33203125" bestFit="1" customWidth="1" style="112" min="1026" max="1026"/>
    <col width="21.33203125" customWidth="1" style="112" min="1027" max="1031"/>
    <col width="17.33203125" bestFit="1" customWidth="1" style="112" min="1032" max="1032"/>
    <col width="11.109375" customWidth="1" style="112" min="1033" max="1033"/>
    <col width="21.33203125" customWidth="1" style="112" min="1034" max="1034"/>
    <col width="8.88671875" customWidth="1" style="112" min="1035" max="1280"/>
    <col width="20" bestFit="1" customWidth="1" style="112" min="1281" max="1281"/>
    <col width="66.33203125" bestFit="1" customWidth="1" style="112" min="1282" max="1282"/>
    <col width="21.33203125" customWidth="1" style="112" min="1283" max="1287"/>
    <col width="17.33203125" bestFit="1" customWidth="1" style="112" min="1288" max="1288"/>
    <col width="11.109375" customWidth="1" style="112" min="1289" max="1289"/>
    <col width="21.33203125" customWidth="1" style="112" min="1290" max="1290"/>
    <col width="8.88671875" customWidth="1" style="112" min="1291" max="1536"/>
    <col width="20" bestFit="1" customWidth="1" style="112" min="1537" max="1537"/>
    <col width="66.33203125" bestFit="1" customWidth="1" style="112" min="1538" max="1538"/>
    <col width="21.33203125" customWidth="1" style="112" min="1539" max="1543"/>
    <col width="17.33203125" bestFit="1" customWidth="1" style="112" min="1544" max="1544"/>
    <col width="11.109375" customWidth="1" style="112" min="1545" max="1545"/>
    <col width="21.33203125" customWidth="1" style="112" min="1546" max="1546"/>
    <col width="8.88671875" customWidth="1" style="112" min="1547" max="1792"/>
    <col width="20" bestFit="1" customWidth="1" style="112" min="1793" max="1793"/>
    <col width="66.33203125" bestFit="1" customWidth="1" style="112" min="1794" max="1794"/>
    <col width="21.33203125" customWidth="1" style="112" min="1795" max="1799"/>
    <col width="17.33203125" bestFit="1" customWidth="1" style="112" min="1800" max="1800"/>
    <col width="11.109375" customWidth="1" style="112" min="1801" max="1801"/>
    <col width="21.33203125" customWidth="1" style="112" min="1802" max="1802"/>
    <col width="8.88671875" customWidth="1" style="112" min="1803" max="2048"/>
    <col width="20" bestFit="1" customWidth="1" style="112" min="2049" max="2049"/>
    <col width="66.33203125" bestFit="1" customWidth="1" style="112" min="2050" max="2050"/>
    <col width="21.33203125" customWidth="1" style="112" min="2051" max="2055"/>
    <col width="17.33203125" bestFit="1" customWidth="1" style="112" min="2056" max="2056"/>
    <col width="11.109375" customWidth="1" style="112" min="2057" max="2057"/>
    <col width="21.33203125" customWidth="1" style="112" min="2058" max="2058"/>
    <col width="8.88671875" customWidth="1" style="112" min="2059" max="2304"/>
    <col width="20" bestFit="1" customWidth="1" style="112" min="2305" max="2305"/>
    <col width="66.33203125" bestFit="1" customWidth="1" style="112" min="2306" max="2306"/>
    <col width="21.33203125" customWidth="1" style="112" min="2307" max="2311"/>
    <col width="17.33203125" bestFit="1" customWidth="1" style="112" min="2312" max="2312"/>
    <col width="11.109375" customWidth="1" style="112" min="2313" max="2313"/>
    <col width="21.33203125" customWidth="1" style="112" min="2314" max="2314"/>
    <col width="8.88671875" customWidth="1" style="112" min="2315" max="2560"/>
    <col width="20" bestFit="1" customWidth="1" style="112" min="2561" max="2561"/>
    <col width="66.33203125" bestFit="1" customWidth="1" style="112" min="2562" max="2562"/>
    <col width="21.33203125" customWidth="1" style="112" min="2563" max="2567"/>
    <col width="17.33203125" bestFit="1" customWidth="1" style="112" min="2568" max="2568"/>
    <col width="11.109375" customWidth="1" style="112" min="2569" max="2569"/>
    <col width="21.33203125" customWidth="1" style="112" min="2570" max="2570"/>
    <col width="8.88671875" customWidth="1" style="112" min="2571" max="2816"/>
    <col width="20" bestFit="1" customWidth="1" style="112" min="2817" max="2817"/>
    <col width="66.33203125" bestFit="1" customWidth="1" style="112" min="2818" max="2818"/>
    <col width="21.33203125" customWidth="1" style="112" min="2819" max="2823"/>
    <col width="17.33203125" bestFit="1" customWidth="1" style="112" min="2824" max="2824"/>
    <col width="11.109375" customWidth="1" style="112" min="2825" max="2825"/>
    <col width="21.33203125" customWidth="1" style="112" min="2826" max="2826"/>
    <col width="8.88671875" customWidth="1" style="112" min="2827" max="3072"/>
    <col width="20" bestFit="1" customWidth="1" style="112" min="3073" max="3073"/>
    <col width="66.33203125" bestFit="1" customWidth="1" style="112" min="3074" max="3074"/>
    <col width="21.33203125" customWidth="1" style="112" min="3075" max="3079"/>
    <col width="17.33203125" bestFit="1" customWidth="1" style="112" min="3080" max="3080"/>
    <col width="11.109375" customWidth="1" style="112" min="3081" max="3081"/>
    <col width="21.33203125" customWidth="1" style="112" min="3082" max="3082"/>
    <col width="8.88671875" customWidth="1" style="112" min="3083" max="3328"/>
    <col width="20" bestFit="1" customWidth="1" style="112" min="3329" max="3329"/>
    <col width="66.33203125" bestFit="1" customWidth="1" style="112" min="3330" max="3330"/>
    <col width="21.33203125" customWidth="1" style="112" min="3331" max="3335"/>
    <col width="17.33203125" bestFit="1" customWidth="1" style="112" min="3336" max="3336"/>
    <col width="11.109375" customWidth="1" style="112" min="3337" max="3337"/>
    <col width="21.33203125" customWidth="1" style="112" min="3338" max="3338"/>
    <col width="8.88671875" customWidth="1" style="112" min="3339" max="3584"/>
    <col width="20" bestFit="1" customWidth="1" style="112" min="3585" max="3585"/>
    <col width="66.33203125" bestFit="1" customWidth="1" style="112" min="3586" max="3586"/>
    <col width="21.33203125" customWidth="1" style="112" min="3587" max="3591"/>
    <col width="17.33203125" bestFit="1" customWidth="1" style="112" min="3592" max="3592"/>
    <col width="11.109375" customWidth="1" style="112" min="3593" max="3593"/>
    <col width="21.33203125" customWidth="1" style="112" min="3594" max="3594"/>
    <col width="8.88671875" customWidth="1" style="112" min="3595" max="3840"/>
    <col width="20" bestFit="1" customWidth="1" style="112" min="3841" max="3841"/>
    <col width="66.33203125" bestFit="1" customWidth="1" style="112" min="3842" max="3842"/>
    <col width="21.33203125" customWidth="1" style="112" min="3843" max="3847"/>
    <col width="17.33203125" bestFit="1" customWidth="1" style="112" min="3848" max="3848"/>
    <col width="11.109375" customWidth="1" style="112" min="3849" max="3849"/>
    <col width="21.33203125" customWidth="1" style="112" min="3850" max="3850"/>
    <col width="8.88671875" customWidth="1" style="112" min="3851" max="4096"/>
    <col width="20" bestFit="1" customWidth="1" style="112" min="4097" max="4097"/>
    <col width="66.33203125" bestFit="1" customWidth="1" style="112" min="4098" max="4098"/>
    <col width="21.33203125" customWidth="1" style="112" min="4099" max="4103"/>
    <col width="17.33203125" bestFit="1" customWidth="1" style="112" min="4104" max="4104"/>
    <col width="11.109375" customWidth="1" style="112" min="4105" max="4105"/>
    <col width="21.33203125" customWidth="1" style="112" min="4106" max="4106"/>
    <col width="8.88671875" customWidth="1" style="112" min="4107" max="4352"/>
    <col width="20" bestFit="1" customWidth="1" style="112" min="4353" max="4353"/>
    <col width="66.33203125" bestFit="1" customWidth="1" style="112" min="4354" max="4354"/>
    <col width="21.33203125" customWidth="1" style="112" min="4355" max="4359"/>
    <col width="17.33203125" bestFit="1" customWidth="1" style="112" min="4360" max="4360"/>
    <col width="11.109375" customWidth="1" style="112" min="4361" max="4361"/>
    <col width="21.33203125" customWidth="1" style="112" min="4362" max="4362"/>
    <col width="8.88671875" customWidth="1" style="112" min="4363" max="4608"/>
    <col width="20" bestFit="1" customWidth="1" style="112" min="4609" max="4609"/>
    <col width="66.33203125" bestFit="1" customWidth="1" style="112" min="4610" max="4610"/>
    <col width="21.33203125" customWidth="1" style="112" min="4611" max="4615"/>
    <col width="17.33203125" bestFit="1" customWidth="1" style="112" min="4616" max="4616"/>
    <col width="11.109375" customWidth="1" style="112" min="4617" max="4617"/>
    <col width="21.33203125" customWidth="1" style="112" min="4618" max="4618"/>
    <col width="8.88671875" customWidth="1" style="112" min="4619" max="4864"/>
    <col width="20" bestFit="1" customWidth="1" style="112" min="4865" max="4865"/>
    <col width="66.33203125" bestFit="1" customWidth="1" style="112" min="4866" max="4866"/>
    <col width="21.33203125" customWidth="1" style="112" min="4867" max="4871"/>
    <col width="17.33203125" bestFit="1" customWidth="1" style="112" min="4872" max="4872"/>
    <col width="11.109375" customWidth="1" style="112" min="4873" max="4873"/>
    <col width="21.33203125" customWidth="1" style="112" min="4874" max="4874"/>
    <col width="8.88671875" customWidth="1" style="112" min="4875" max="5120"/>
    <col width="20" bestFit="1" customWidth="1" style="112" min="5121" max="5121"/>
    <col width="66.33203125" bestFit="1" customWidth="1" style="112" min="5122" max="5122"/>
    <col width="21.33203125" customWidth="1" style="112" min="5123" max="5127"/>
    <col width="17.33203125" bestFit="1" customWidth="1" style="112" min="5128" max="5128"/>
    <col width="11.109375" customWidth="1" style="112" min="5129" max="5129"/>
    <col width="21.33203125" customWidth="1" style="112" min="5130" max="5130"/>
    <col width="8.88671875" customWidth="1" style="112" min="5131" max="5376"/>
    <col width="20" bestFit="1" customWidth="1" style="112" min="5377" max="5377"/>
    <col width="66.33203125" bestFit="1" customWidth="1" style="112" min="5378" max="5378"/>
    <col width="21.33203125" customWidth="1" style="112" min="5379" max="5383"/>
    <col width="17.33203125" bestFit="1" customWidth="1" style="112" min="5384" max="5384"/>
    <col width="11.109375" customWidth="1" style="112" min="5385" max="5385"/>
    <col width="21.33203125" customWidth="1" style="112" min="5386" max="5386"/>
    <col width="8.88671875" customWidth="1" style="112" min="5387" max="5632"/>
    <col width="20" bestFit="1" customWidth="1" style="112" min="5633" max="5633"/>
    <col width="66.33203125" bestFit="1" customWidth="1" style="112" min="5634" max="5634"/>
    <col width="21.33203125" customWidth="1" style="112" min="5635" max="5639"/>
    <col width="17.33203125" bestFit="1" customWidth="1" style="112" min="5640" max="5640"/>
    <col width="11.109375" customWidth="1" style="112" min="5641" max="5641"/>
    <col width="21.33203125" customWidth="1" style="112" min="5642" max="5642"/>
    <col width="8.88671875" customWidth="1" style="112" min="5643" max="5888"/>
    <col width="20" bestFit="1" customWidth="1" style="112" min="5889" max="5889"/>
    <col width="66.33203125" bestFit="1" customWidth="1" style="112" min="5890" max="5890"/>
    <col width="21.33203125" customWidth="1" style="112" min="5891" max="5895"/>
    <col width="17.33203125" bestFit="1" customWidth="1" style="112" min="5896" max="5896"/>
    <col width="11.109375" customWidth="1" style="112" min="5897" max="5897"/>
    <col width="21.33203125" customWidth="1" style="112" min="5898" max="5898"/>
    <col width="8.88671875" customWidth="1" style="112" min="5899" max="6144"/>
    <col width="20" bestFit="1" customWidth="1" style="112" min="6145" max="6145"/>
    <col width="66.33203125" bestFit="1" customWidth="1" style="112" min="6146" max="6146"/>
    <col width="21.33203125" customWidth="1" style="112" min="6147" max="6151"/>
    <col width="17.33203125" bestFit="1" customWidth="1" style="112" min="6152" max="6152"/>
    <col width="11.109375" customWidth="1" style="112" min="6153" max="6153"/>
    <col width="21.33203125" customWidth="1" style="112" min="6154" max="6154"/>
    <col width="8.88671875" customWidth="1" style="112" min="6155" max="6400"/>
    <col width="20" bestFit="1" customWidth="1" style="112" min="6401" max="6401"/>
    <col width="66.33203125" bestFit="1" customWidth="1" style="112" min="6402" max="6402"/>
    <col width="21.33203125" customWidth="1" style="112" min="6403" max="6407"/>
    <col width="17.33203125" bestFit="1" customWidth="1" style="112" min="6408" max="6408"/>
    <col width="11.109375" customWidth="1" style="112" min="6409" max="6409"/>
    <col width="21.33203125" customWidth="1" style="112" min="6410" max="6410"/>
    <col width="8.88671875" customWidth="1" style="112" min="6411" max="6656"/>
    <col width="20" bestFit="1" customWidth="1" style="112" min="6657" max="6657"/>
    <col width="66.33203125" bestFit="1" customWidth="1" style="112" min="6658" max="6658"/>
    <col width="21.33203125" customWidth="1" style="112" min="6659" max="6663"/>
    <col width="17.33203125" bestFit="1" customWidth="1" style="112" min="6664" max="6664"/>
    <col width="11.109375" customWidth="1" style="112" min="6665" max="6665"/>
    <col width="21.33203125" customWidth="1" style="112" min="6666" max="6666"/>
    <col width="8.88671875" customWidth="1" style="112" min="6667" max="6912"/>
    <col width="20" bestFit="1" customWidth="1" style="112" min="6913" max="6913"/>
    <col width="66.33203125" bestFit="1" customWidth="1" style="112" min="6914" max="6914"/>
    <col width="21.33203125" customWidth="1" style="112" min="6915" max="6919"/>
    <col width="17.33203125" bestFit="1" customWidth="1" style="112" min="6920" max="6920"/>
    <col width="11.109375" customWidth="1" style="112" min="6921" max="6921"/>
    <col width="21.33203125" customWidth="1" style="112" min="6922" max="6922"/>
    <col width="8.88671875" customWidth="1" style="112" min="6923" max="7168"/>
    <col width="20" bestFit="1" customWidth="1" style="112" min="7169" max="7169"/>
    <col width="66.33203125" bestFit="1" customWidth="1" style="112" min="7170" max="7170"/>
    <col width="21.33203125" customWidth="1" style="112" min="7171" max="7175"/>
    <col width="17.33203125" bestFit="1" customWidth="1" style="112" min="7176" max="7176"/>
    <col width="11.109375" customWidth="1" style="112" min="7177" max="7177"/>
    <col width="21.33203125" customWidth="1" style="112" min="7178" max="7178"/>
    <col width="8.88671875" customWidth="1" style="112" min="7179" max="7424"/>
    <col width="20" bestFit="1" customWidth="1" style="112" min="7425" max="7425"/>
    <col width="66.33203125" bestFit="1" customWidth="1" style="112" min="7426" max="7426"/>
    <col width="21.33203125" customWidth="1" style="112" min="7427" max="7431"/>
    <col width="17.33203125" bestFit="1" customWidth="1" style="112" min="7432" max="7432"/>
    <col width="11.109375" customWidth="1" style="112" min="7433" max="7433"/>
    <col width="21.33203125" customWidth="1" style="112" min="7434" max="7434"/>
    <col width="8.88671875" customWidth="1" style="112" min="7435" max="7680"/>
    <col width="20" bestFit="1" customWidth="1" style="112" min="7681" max="7681"/>
    <col width="66.33203125" bestFit="1" customWidth="1" style="112" min="7682" max="7682"/>
    <col width="21.33203125" customWidth="1" style="112" min="7683" max="7687"/>
    <col width="17.33203125" bestFit="1" customWidth="1" style="112" min="7688" max="7688"/>
    <col width="11.109375" customWidth="1" style="112" min="7689" max="7689"/>
    <col width="21.33203125" customWidth="1" style="112" min="7690" max="7690"/>
    <col width="8.88671875" customWidth="1" style="112" min="7691" max="7936"/>
    <col width="20" bestFit="1" customWidth="1" style="112" min="7937" max="7937"/>
    <col width="66.33203125" bestFit="1" customWidth="1" style="112" min="7938" max="7938"/>
    <col width="21.33203125" customWidth="1" style="112" min="7939" max="7943"/>
    <col width="17.33203125" bestFit="1" customWidth="1" style="112" min="7944" max="7944"/>
    <col width="11.109375" customWidth="1" style="112" min="7945" max="7945"/>
    <col width="21.33203125" customWidth="1" style="112" min="7946" max="7946"/>
    <col width="8.88671875" customWidth="1" style="112" min="7947" max="8192"/>
    <col width="20" bestFit="1" customWidth="1" style="112" min="8193" max="8193"/>
    <col width="66.33203125" bestFit="1" customWidth="1" style="112" min="8194" max="8194"/>
    <col width="21.33203125" customWidth="1" style="112" min="8195" max="8199"/>
    <col width="17.33203125" bestFit="1" customWidth="1" style="112" min="8200" max="8200"/>
    <col width="11.109375" customWidth="1" style="112" min="8201" max="8201"/>
    <col width="21.33203125" customWidth="1" style="112" min="8202" max="8202"/>
    <col width="8.88671875" customWidth="1" style="112" min="8203" max="8448"/>
    <col width="20" bestFit="1" customWidth="1" style="112" min="8449" max="8449"/>
    <col width="66.33203125" bestFit="1" customWidth="1" style="112" min="8450" max="8450"/>
    <col width="21.33203125" customWidth="1" style="112" min="8451" max="8455"/>
    <col width="17.33203125" bestFit="1" customWidth="1" style="112" min="8456" max="8456"/>
    <col width="11.109375" customWidth="1" style="112" min="8457" max="8457"/>
    <col width="21.33203125" customWidth="1" style="112" min="8458" max="8458"/>
    <col width="8.88671875" customWidth="1" style="112" min="8459" max="8704"/>
    <col width="20" bestFit="1" customWidth="1" style="112" min="8705" max="8705"/>
    <col width="66.33203125" bestFit="1" customWidth="1" style="112" min="8706" max="8706"/>
    <col width="21.33203125" customWidth="1" style="112" min="8707" max="8711"/>
    <col width="17.33203125" bestFit="1" customWidth="1" style="112" min="8712" max="8712"/>
    <col width="11.109375" customWidth="1" style="112" min="8713" max="8713"/>
    <col width="21.33203125" customWidth="1" style="112" min="8714" max="8714"/>
    <col width="8.88671875" customWidth="1" style="112" min="8715" max="8960"/>
    <col width="20" bestFit="1" customWidth="1" style="112" min="8961" max="8961"/>
    <col width="66.33203125" bestFit="1" customWidth="1" style="112" min="8962" max="8962"/>
    <col width="21.33203125" customWidth="1" style="112" min="8963" max="8967"/>
    <col width="17.33203125" bestFit="1" customWidth="1" style="112" min="8968" max="8968"/>
    <col width="11.109375" customWidth="1" style="112" min="8969" max="8969"/>
    <col width="21.33203125" customWidth="1" style="112" min="8970" max="8970"/>
    <col width="8.88671875" customWidth="1" style="112" min="8971" max="9216"/>
    <col width="20" bestFit="1" customWidth="1" style="112" min="9217" max="9217"/>
    <col width="66.33203125" bestFit="1" customWidth="1" style="112" min="9218" max="9218"/>
    <col width="21.33203125" customWidth="1" style="112" min="9219" max="9223"/>
    <col width="17.33203125" bestFit="1" customWidth="1" style="112" min="9224" max="9224"/>
    <col width="11.109375" customWidth="1" style="112" min="9225" max="9225"/>
    <col width="21.33203125" customWidth="1" style="112" min="9226" max="9226"/>
    <col width="8.88671875" customWidth="1" style="112" min="9227" max="9472"/>
    <col width="20" bestFit="1" customWidth="1" style="112" min="9473" max="9473"/>
    <col width="66.33203125" bestFit="1" customWidth="1" style="112" min="9474" max="9474"/>
    <col width="21.33203125" customWidth="1" style="112" min="9475" max="9479"/>
    <col width="17.33203125" bestFit="1" customWidth="1" style="112" min="9480" max="9480"/>
    <col width="11.109375" customWidth="1" style="112" min="9481" max="9481"/>
    <col width="21.33203125" customWidth="1" style="112" min="9482" max="9482"/>
    <col width="8.88671875" customWidth="1" style="112" min="9483" max="9728"/>
    <col width="20" bestFit="1" customWidth="1" style="112" min="9729" max="9729"/>
    <col width="66.33203125" bestFit="1" customWidth="1" style="112" min="9730" max="9730"/>
    <col width="21.33203125" customWidth="1" style="112" min="9731" max="9735"/>
    <col width="17.33203125" bestFit="1" customWidth="1" style="112" min="9736" max="9736"/>
    <col width="11.109375" customWidth="1" style="112" min="9737" max="9737"/>
    <col width="21.33203125" customWidth="1" style="112" min="9738" max="9738"/>
    <col width="8.88671875" customWidth="1" style="112" min="9739" max="9984"/>
    <col width="20" bestFit="1" customWidth="1" style="112" min="9985" max="9985"/>
    <col width="66.33203125" bestFit="1" customWidth="1" style="112" min="9986" max="9986"/>
    <col width="21.33203125" customWidth="1" style="112" min="9987" max="9991"/>
    <col width="17.33203125" bestFit="1" customWidth="1" style="112" min="9992" max="9992"/>
    <col width="11.109375" customWidth="1" style="112" min="9993" max="9993"/>
    <col width="21.33203125" customWidth="1" style="112" min="9994" max="9994"/>
    <col width="8.88671875" customWidth="1" style="112" min="9995" max="10240"/>
    <col width="20" bestFit="1" customWidth="1" style="112" min="10241" max="10241"/>
    <col width="66.33203125" bestFit="1" customWidth="1" style="112" min="10242" max="10242"/>
    <col width="21.33203125" customWidth="1" style="112" min="10243" max="10247"/>
    <col width="17.33203125" bestFit="1" customWidth="1" style="112" min="10248" max="10248"/>
    <col width="11.109375" customWidth="1" style="112" min="10249" max="10249"/>
    <col width="21.33203125" customWidth="1" style="112" min="10250" max="10250"/>
    <col width="8.88671875" customWidth="1" style="112" min="10251" max="10496"/>
    <col width="20" bestFit="1" customWidth="1" style="112" min="10497" max="10497"/>
    <col width="66.33203125" bestFit="1" customWidth="1" style="112" min="10498" max="10498"/>
    <col width="21.33203125" customWidth="1" style="112" min="10499" max="10503"/>
    <col width="17.33203125" bestFit="1" customWidth="1" style="112" min="10504" max="10504"/>
    <col width="11.109375" customWidth="1" style="112" min="10505" max="10505"/>
    <col width="21.33203125" customWidth="1" style="112" min="10506" max="10506"/>
    <col width="8.88671875" customWidth="1" style="112" min="10507" max="10752"/>
    <col width="20" bestFit="1" customWidth="1" style="112" min="10753" max="10753"/>
    <col width="66.33203125" bestFit="1" customWidth="1" style="112" min="10754" max="10754"/>
    <col width="21.33203125" customWidth="1" style="112" min="10755" max="10759"/>
    <col width="17.33203125" bestFit="1" customWidth="1" style="112" min="10760" max="10760"/>
    <col width="11.109375" customWidth="1" style="112" min="10761" max="10761"/>
    <col width="21.33203125" customWidth="1" style="112" min="10762" max="10762"/>
    <col width="8.88671875" customWidth="1" style="112" min="10763" max="11008"/>
    <col width="20" bestFit="1" customWidth="1" style="112" min="11009" max="11009"/>
    <col width="66.33203125" bestFit="1" customWidth="1" style="112" min="11010" max="11010"/>
    <col width="21.33203125" customWidth="1" style="112" min="11011" max="11015"/>
    <col width="17.33203125" bestFit="1" customWidth="1" style="112" min="11016" max="11016"/>
    <col width="11.109375" customWidth="1" style="112" min="11017" max="11017"/>
    <col width="21.33203125" customWidth="1" style="112" min="11018" max="11018"/>
    <col width="8.88671875" customWidth="1" style="112" min="11019" max="11264"/>
    <col width="20" bestFit="1" customWidth="1" style="112" min="11265" max="11265"/>
    <col width="66.33203125" bestFit="1" customWidth="1" style="112" min="11266" max="11266"/>
    <col width="21.33203125" customWidth="1" style="112" min="11267" max="11271"/>
    <col width="17.33203125" bestFit="1" customWidth="1" style="112" min="11272" max="11272"/>
    <col width="11.109375" customWidth="1" style="112" min="11273" max="11273"/>
    <col width="21.33203125" customWidth="1" style="112" min="11274" max="11274"/>
    <col width="8.88671875" customWidth="1" style="112" min="11275" max="11520"/>
    <col width="20" bestFit="1" customWidth="1" style="112" min="11521" max="11521"/>
    <col width="66.33203125" bestFit="1" customWidth="1" style="112" min="11522" max="11522"/>
    <col width="21.33203125" customWidth="1" style="112" min="11523" max="11527"/>
    <col width="17.33203125" bestFit="1" customWidth="1" style="112" min="11528" max="11528"/>
    <col width="11.109375" customWidth="1" style="112" min="11529" max="11529"/>
    <col width="21.33203125" customWidth="1" style="112" min="11530" max="11530"/>
    <col width="8.88671875" customWidth="1" style="112" min="11531" max="11776"/>
    <col width="20" bestFit="1" customWidth="1" style="112" min="11777" max="11777"/>
    <col width="66.33203125" bestFit="1" customWidth="1" style="112" min="11778" max="11778"/>
    <col width="21.33203125" customWidth="1" style="112" min="11779" max="11783"/>
    <col width="17.33203125" bestFit="1" customWidth="1" style="112" min="11784" max="11784"/>
    <col width="11.109375" customWidth="1" style="112" min="11785" max="11785"/>
    <col width="21.33203125" customWidth="1" style="112" min="11786" max="11786"/>
    <col width="8.88671875" customWidth="1" style="112" min="11787" max="12032"/>
    <col width="20" bestFit="1" customWidth="1" style="112" min="12033" max="12033"/>
    <col width="66.33203125" bestFit="1" customWidth="1" style="112" min="12034" max="12034"/>
    <col width="21.33203125" customWidth="1" style="112" min="12035" max="12039"/>
    <col width="17.33203125" bestFit="1" customWidth="1" style="112" min="12040" max="12040"/>
    <col width="11.109375" customWidth="1" style="112" min="12041" max="12041"/>
    <col width="21.33203125" customWidth="1" style="112" min="12042" max="12042"/>
    <col width="8.88671875" customWidth="1" style="112" min="12043" max="12288"/>
    <col width="20" bestFit="1" customWidth="1" style="112" min="12289" max="12289"/>
    <col width="66.33203125" bestFit="1" customWidth="1" style="112" min="12290" max="12290"/>
    <col width="21.33203125" customWidth="1" style="112" min="12291" max="12295"/>
    <col width="17.33203125" bestFit="1" customWidth="1" style="112" min="12296" max="12296"/>
    <col width="11.109375" customWidth="1" style="112" min="12297" max="12297"/>
    <col width="21.33203125" customWidth="1" style="112" min="12298" max="12298"/>
    <col width="8.88671875" customWidth="1" style="112" min="12299" max="12544"/>
    <col width="20" bestFit="1" customWidth="1" style="112" min="12545" max="12545"/>
    <col width="66.33203125" bestFit="1" customWidth="1" style="112" min="12546" max="12546"/>
    <col width="21.33203125" customWidth="1" style="112" min="12547" max="12551"/>
    <col width="17.33203125" bestFit="1" customWidth="1" style="112" min="12552" max="12552"/>
    <col width="11.109375" customWidth="1" style="112" min="12553" max="12553"/>
    <col width="21.33203125" customWidth="1" style="112" min="12554" max="12554"/>
    <col width="8.88671875" customWidth="1" style="112" min="12555" max="12800"/>
    <col width="20" bestFit="1" customWidth="1" style="112" min="12801" max="12801"/>
    <col width="66.33203125" bestFit="1" customWidth="1" style="112" min="12802" max="12802"/>
    <col width="21.33203125" customWidth="1" style="112" min="12803" max="12807"/>
    <col width="17.33203125" bestFit="1" customWidth="1" style="112" min="12808" max="12808"/>
    <col width="11.109375" customWidth="1" style="112" min="12809" max="12809"/>
    <col width="21.33203125" customWidth="1" style="112" min="12810" max="12810"/>
    <col width="8.88671875" customWidth="1" style="112" min="12811" max="13056"/>
    <col width="20" bestFit="1" customWidth="1" style="112" min="13057" max="13057"/>
    <col width="66.33203125" bestFit="1" customWidth="1" style="112" min="13058" max="13058"/>
    <col width="21.33203125" customWidth="1" style="112" min="13059" max="13063"/>
    <col width="17.33203125" bestFit="1" customWidth="1" style="112" min="13064" max="13064"/>
    <col width="11.109375" customWidth="1" style="112" min="13065" max="13065"/>
    <col width="21.33203125" customWidth="1" style="112" min="13066" max="13066"/>
    <col width="8.88671875" customWidth="1" style="112" min="13067" max="13312"/>
    <col width="20" bestFit="1" customWidth="1" style="112" min="13313" max="13313"/>
    <col width="66.33203125" bestFit="1" customWidth="1" style="112" min="13314" max="13314"/>
    <col width="21.33203125" customWidth="1" style="112" min="13315" max="13319"/>
    <col width="17.33203125" bestFit="1" customWidth="1" style="112" min="13320" max="13320"/>
    <col width="11.109375" customWidth="1" style="112" min="13321" max="13321"/>
    <col width="21.33203125" customWidth="1" style="112" min="13322" max="13322"/>
    <col width="8.88671875" customWidth="1" style="112" min="13323" max="13568"/>
    <col width="20" bestFit="1" customWidth="1" style="112" min="13569" max="13569"/>
    <col width="66.33203125" bestFit="1" customWidth="1" style="112" min="13570" max="13570"/>
    <col width="21.33203125" customWidth="1" style="112" min="13571" max="13575"/>
    <col width="17.33203125" bestFit="1" customWidth="1" style="112" min="13576" max="13576"/>
    <col width="11.109375" customWidth="1" style="112" min="13577" max="13577"/>
    <col width="21.33203125" customWidth="1" style="112" min="13578" max="13578"/>
    <col width="8.88671875" customWidth="1" style="112" min="13579" max="13824"/>
    <col width="20" bestFit="1" customWidth="1" style="112" min="13825" max="13825"/>
    <col width="66.33203125" bestFit="1" customWidth="1" style="112" min="13826" max="13826"/>
    <col width="21.33203125" customWidth="1" style="112" min="13827" max="13831"/>
    <col width="17.33203125" bestFit="1" customWidth="1" style="112" min="13832" max="13832"/>
    <col width="11.109375" customWidth="1" style="112" min="13833" max="13833"/>
    <col width="21.33203125" customWidth="1" style="112" min="13834" max="13834"/>
    <col width="8.88671875" customWidth="1" style="112" min="13835" max="14080"/>
    <col width="20" bestFit="1" customWidth="1" style="112" min="14081" max="14081"/>
    <col width="66.33203125" bestFit="1" customWidth="1" style="112" min="14082" max="14082"/>
    <col width="21.33203125" customWidth="1" style="112" min="14083" max="14087"/>
    <col width="17.33203125" bestFit="1" customWidth="1" style="112" min="14088" max="14088"/>
    <col width="11.109375" customWidth="1" style="112" min="14089" max="14089"/>
    <col width="21.33203125" customWidth="1" style="112" min="14090" max="14090"/>
    <col width="8.88671875" customWidth="1" style="112" min="14091" max="14336"/>
    <col width="20" bestFit="1" customWidth="1" style="112" min="14337" max="14337"/>
    <col width="66.33203125" bestFit="1" customWidth="1" style="112" min="14338" max="14338"/>
    <col width="21.33203125" customWidth="1" style="112" min="14339" max="14343"/>
    <col width="17.33203125" bestFit="1" customWidth="1" style="112" min="14344" max="14344"/>
    <col width="11.109375" customWidth="1" style="112" min="14345" max="14345"/>
    <col width="21.33203125" customWidth="1" style="112" min="14346" max="14346"/>
    <col width="8.88671875" customWidth="1" style="112" min="14347" max="14592"/>
    <col width="20" bestFit="1" customWidth="1" style="112" min="14593" max="14593"/>
    <col width="66.33203125" bestFit="1" customWidth="1" style="112" min="14594" max="14594"/>
    <col width="21.33203125" customWidth="1" style="112" min="14595" max="14599"/>
    <col width="17.33203125" bestFit="1" customWidth="1" style="112" min="14600" max="14600"/>
    <col width="11.109375" customWidth="1" style="112" min="14601" max="14601"/>
    <col width="21.33203125" customWidth="1" style="112" min="14602" max="14602"/>
    <col width="8.88671875" customWidth="1" style="112" min="14603" max="14848"/>
    <col width="20" bestFit="1" customWidth="1" style="112" min="14849" max="14849"/>
    <col width="66.33203125" bestFit="1" customWidth="1" style="112" min="14850" max="14850"/>
    <col width="21.33203125" customWidth="1" style="112" min="14851" max="14855"/>
    <col width="17.33203125" bestFit="1" customWidth="1" style="112" min="14856" max="14856"/>
    <col width="11.109375" customWidth="1" style="112" min="14857" max="14857"/>
    <col width="21.33203125" customWidth="1" style="112" min="14858" max="14858"/>
    <col width="8.88671875" customWidth="1" style="112" min="14859" max="15104"/>
    <col width="20" bestFit="1" customWidth="1" style="112" min="15105" max="15105"/>
    <col width="66.33203125" bestFit="1" customWidth="1" style="112" min="15106" max="15106"/>
    <col width="21.33203125" customWidth="1" style="112" min="15107" max="15111"/>
    <col width="17.33203125" bestFit="1" customWidth="1" style="112" min="15112" max="15112"/>
    <col width="11.109375" customWidth="1" style="112" min="15113" max="15113"/>
    <col width="21.33203125" customWidth="1" style="112" min="15114" max="15114"/>
    <col width="8.88671875" customWidth="1" style="112" min="15115" max="15360"/>
    <col width="20" bestFit="1" customWidth="1" style="112" min="15361" max="15361"/>
    <col width="66.33203125" bestFit="1" customWidth="1" style="112" min="15362" max="15362"/>
    <col width="21.33203125" customWidth="1" style="112" min="15363" max="15367"/>
    <col width="17.33203125" bestFit="1" customWidth="1" style="112" min="15368" max="15368"/>
    <col width="11.109375" customWidth="1" style="112" min="15369" max="15369"/>
    <col width="21.33203125" customWidth="1" style="112" min="15370" max="15370"/>
    <col width="8.88671875" customWidth="1" style="112" min="15371" max="15616"/>
    <col width="20" bestFit="1" customWidth="1" style="112" min="15617" max="15617"/>
    <col width="66.33203125" bestFit="1" customWidth="1" style="112" min="15618" max="15618"/>
    <col width="21.33203125" customWidth="1" style="112" min="15619" max="15623"/>
    <col width="17.33203125" bestFit="1" customWidth="1" style="112" min="15624" max="15624"/>
    <col width="11.109375" customWidth="1" style="112" min="15625" max="15625"/>
    <col width="21.33203125" customWidth="1" style="112" min="15626" max="15626"/>
    <col width="8.88671875" customWidth="1" style="112" min="15627" max="15872"/>
    <col width="20" bestFit="1" customWidth="1" style="112" min="15873" max="15873"/>
    <col width="66.33203125" bestFit="1" customWidth="1" style="112" min="15874" max="15874"/>
    <col width="21.33203125" customWidth="1" style="112" min="15875" max="15879"/>
    <col width="17.33203125" bestFit="1" customWidth="1" style="112" min="15880" max="15880"/>
    <col width="11.109375" customWidth="1" style="112" min="15881" max="15881"/>
    <col width="21.33203125" customWidth="1" style="112" min="15882" max="15882"/>
    <col width="8.88671875" customWidth="1" style="112" min="15883" max="16128"/>
    <col width="20" bestFit="1" customWidth="1" style="112" min="16129" max="16129"/>
    <col width="66.33203125" bestFit="1" customWidth="1" style="112" min="16130" max="16130"/>
    <col width="21.33203125" customWidth="1" style="112" min="16131" max="16135"/>
    <col width="17.33203125" bestFit="1" customWidth="1" style="112" min="16136" max="16136"/>
    <col width="11.109375" customWidth="1" style="112" min="16137" max="16137"/>
    <col width="21.33203125" customWidth="1" style="112" min="16138" max="16138"/>
    <col width="8.88671875" customWidth="1" style="112" min="16139" max="16384"/>
  </cols>
  <sheetData>
    <row r="1" ht="12.75" customHeight="1">
      <c r="C1" s="314" t="inlineStr">
        <is>
          <t>Eindbalans 30-09-2019</t>
        </is>
      </c>
      <c r="D1" s="314" t="inlineStr">
        <is>
          <t>Mutaties Q4 2019</t>
        </is>
      </c>
      <c r="E1" s="314" t="inlineStr">
        <is>
          <t>Mutaties Q1 2020</t>
        </is>
      </c>
      <c r="F1" s="313" t="inlineStr">
        <is>
          <t>Mutaties Q2 2020</t>
        </is>
      </c>
      <c r="G1" s="314" t="inlineStr">
        <is>
          <t>Mutaties Q3</t>
        </is>
      </c>
      <c r="H1" s="296" t="inlineStr">
        <is>
          <t>Saldi per 30-09-2020</t>
        </is>
      </c>
    </row>
    <row r="2" ht="12.75" customHeight="1"/>
    <row r="3" ht="12.75" customHeight="1">
      <c r="A3" s="113" t="inlineStr">
        <is>
          <t>Balans</t>
        </is>
      </c>
    </row>
    <row r="4" ht="12.75" customHeight="1">
      <c r="A4" s="114" t="n">
        <v>1600200</v>
      </c>
      <c r="B4" s="112" t="inlineStr">
        <is>
          <t>VG Vastgoedbeleggingen Verkrijgings- of vervaardigingsprijs</t>
        </is>
      </c>
      <c r="C4" s="314" t="n">
        <v>132670468</v>
      </c>
      <c r="D4" s="321" t="n"/>
      <c r="E4" s="314" t="n">
        <v>-3658477</v>
      </c>
      <c r="F4" s="321" t="n">
        <v>153567</v>
      </c>
      <c r="H4" s="296">
        <f>SUM(C4:G4)</f>
        <v/>
      </c>
      <c r="I4" s="115" t="inlineStr">
        <is>
          <t>V</t>
        </is>
      </c>
    </row>
    <row r="5" ht="12.75" customHeight="1">
      <c r="A5" s="114" t="inlineStr">
        <is>
          <t>1600200</t>
        </is>
      </c>
      <c r="B5" s="112" t="inlineStr">
        <is>
          <t>VG Vastgoedbeleggingen Cum afschrijvingen en waardeverm</t>
        </is>
      </c>
      <c r="C5" s="314" t="n">
        <v>-9920585</v>
      </c>
      <c r="D5" s="314" t="n">
        <v>-656408</v>
      </c>
      <c r="E5" s="314" t="n">
        <v>-380013</v>
      </c>
      <c r="F5" s="313">
        <f>-630199</f>
        <v/>
      </c>
      <c r="G5" s="313" t="n">
        <v>-653151</v>
      </c>
      <c r="H5" s="296">
        <f>SUM(C5:G5)</f>
        <v/>
      </c>
      <c r="I5" s="112" t="inlineStr">
        <is>
          <t>V</t>
        </is>
      </c>
    </row>
    <row r="6" ht="12.75" customHeight="1">
      <c r="A6" s="114" t="inlineStr">
        <is>
          <t>1610803</t>
        </is>
      </c>
      <c r="B6" s="112" t="inlineStr">
        <is>
          <t>VG Comm VG in exploitatie Buitengebruikstellingen aanschaffingswaarde</t>
        </is>
      </c>
      <c r="C6" s="314" t="n">
        <v>-2215390</v>
      </c>
      <c r="D6" s="317" t="n">
        <v>-1443087</v>
      </c>
      <c r="E6" s="317" t="n">
        <v>2472387</v>
      </c>
      <c r="F6" s="317" t="n">
        <v>-841866</v>
      </c>
      <c r="G6" s="317" t="n">
        <v>-947310</v>
      </c>
      <c r="H6" s="296">
        <f>SUM(C6:G6)</f>
        <v/>
      </c>
      <c r="I6" s="112" t="inlineStr">
        <is>
          <t>V</t>
        </is>
      </c>
    </row>
    <row r="7" ht="12.75" customHeight="1">
      <c r="A7" s="114" t="inlineStr">
        <is>
          <t>1611003</t>
        </is>
      </c>
      <c r="B7" s="112" t="inlineStr">
        <is>
          <t>VG Comm VG in exploitatie Buitengebruikstellingen cum. afschr. en waardeverm.</t>
        </is>
      </c>
      <c r="C7" s="314" t="n">
        <v>146755</v>
      </c>
      <c r="D7" s="314" t="n">
        <v>116170</v>
      </c>
      <c r="E7" s="314" t="n">
        <v>-162402</v>
      </c>
      <c r="F7" s="313" t="n">
        <v>76100</v>
      </c>
      <c r="G7" s="313" t="n">
        <v>90299</v>
      </c>
      <c r="H7" s="296">
        <f>SUM(C7:G7)</f>
        <v/>
      </c>
      <c r="I7" s="112" t="inlineStr">
        <is>
          <t>V</t>
        </is>
      </c>
    </row>
    <row r="8" ht="12.75" customHeight="1">
      <c r="A8" s="112" t="inlineStr">
        <is>
          <t>Totaal Vastgoedbeleggingen</t>
        </is>
      </c>
      <c r="C8" s="314" t="n">
        <v>0</v>
      </c>
      <c r="I8" s="115" t="n"/>
    </row>
    <row r="9" ht="12.75" customHeight="1">
      <c r="C9" s="314" t="n">
        <v>0</v>
      </c>
    </row>
    <row r="10" ht="12.75" customHeight="1">
      <c r="A10" s="114" t="inlineStr">
        <is>
          <t>1790002</t>
        </is>
      </c>
      <c r="B10" s="112" t="inlineStr">
        <is>
          <t>FVA Latente belastingvordering langlopend</t>
        </is>
      </c>
      <c r="C10" s="314" t="n">
        <v>2860695</v>
      </c>
      <c r="D10" s="314" t="n">
        <v>-278091</v>
      </c>
      <c r="E10" s="314" t="n">
        <v>-293081</v>
      </c>
      <c r="F10" s="313" t="n">
        <v>524916</v>
      </c>
      <c r="G10" s="313" t="n">
        <v>118583</v>
      </c>
      <c r="H10" s="296">
        <f>SUM(C10:G10)</f>
        <v/>
      </c>
      <c r="I10" s="112" t="inlineStr">
        <is>
          <t>V</t>
        </is>
      </c>
    </row>
    <row r="11" ht="12.75" customHeight="1">
      <c r="A11" s="112" t="inlineStr">
        <is>
          <t>Totaal Financiële vaste activa</t>
        </is>
      </c>
      <c r="C11" s="314" t="n">
        <v>0</v>
      </c>
    </row>
    <row r="12" ht="12.75" customHeight="1">
      <c r="C12" s="314" t="n">
        <v>0</v>
      </c>
    </row>
    <row r="13" ht="12.75" customHeight="1">
      <c r="A13" s="114" t="inlineStr">
        <is>
          <t>2000000</t>
        </is>
      </c>
      <c r="B13" s="112" t="inlineStr">
        <is>
          <t>VOR Debiteuren</t>
        </is>
      </c>
      <c r="C13" s="314" t="n">
        <v>249924</v>
      </c>
      <c r="D13" s="314" t="n">
        <v>-177050</v>
      </c>
      <c r="E13" s="314" t="n">
        <v>220477</v>
      </c>
      <c r="F13" s="313" t="n">
        <v>-208231</v>
      </c>
      <c r="G13" s="313" t="n">
        <v>316526</v>
      </c>
      <c r="H13" s="296">
        <f>SUM(C13:G13)</f>
        <v/>
      </c>
      <c r="I13" s="112" t="inlineStr">
        <is>
          <t>V</t>
        </is>
      </c>
    </row>
    <row r="14" ht="12.75" customHeight="1">
      <c r="A14" s="114" t="inlineStr">
        <is>
          <t>2000300</t>
        </is>
      </c>
      <c r="B14" s="112" t="inlineStr">
        <is>
          <t>VOR Voorziening dubieuze debiteuren</t>
        </is>
      </c>
      <c r="C14" s="314" t="n">
        <v>-64501</v>
      </c>
      <c r="D14" s="314" t="n">
        <v>8960</v>
      </c>
      <c r="E14" s="314" t="n">
        <v>0</v>
      </c>
      <c r="H14" s="296">
        <f>SUM(C14:F14)</f>
        <v/>
      </c>
      <c r="I14" s="112" t="inlineStr">
        <is>
          <t>V</t>
        </is>
      </c>
    </row>
    <row r="15" ht="12.75" customHeight="1">
      <c r="A15" s="112" t="inlineStr">
        <is>
          <t>Totaal Debiteuren</t>
        </is>
      </c>
      <c r="C15" s="314" t="n">
        <v>0</v>
      </c>
    </row>
    <row r="16" ht="12.75" customHeight="1">
      <c r="C16" s="314" t="n">
        <v>0</v>
      </c>
    </row>
    <row r="17" ht="12.75" customHeight="1">
      <c r="A17" s="114" t="n">
        <v>2640000</v>
      </c>
      <c r="B17" s="112" t="inlineStr">
        <is>
          <t>RC Kortlopend DMRRP INV - I BV</t>
        </is>
      </c>
      <c r="C17" s="314" t="n">
        <v>110497</v>
      </c>
      <c r="D17" s="314" t="n">
        <v>-2023897</v>
      </c>
      <c r="G17" s="313" t="n">
        <v>1642583</v>
      </c>
      <c r="H17" s="296">
        <f>SUM(C17:G17)</f>
        <v/>
      </c>
      <c r="I17" s="112" t="inlineStr">
        <is>
          <t>V</t>
        </is>
      </c>
    </row>
    <row r="18" ht="12.75" customHeight="1">
      <c r="A18" s="112" t="inlineStr">
        <is>
          <t>Totaal Rekening-courant aandeelhouder</t>
        </is>
      </c>
      <c r="C18" s="314" t="n">
        <v>0</v>
      </c>
    </row>
    <row r="19" ht="12.75" customHeight="1">
      <c r="C19" s="314" t="n">
        <v>0</v>
      </c>
    </row>
    <row r="20" ht="12.75" customHeight="1">
      <c r="A20" s="114" t="n">
        <v>2040200</v>
      </c>
      <c r="B20" s="112" t="inlineStr">
        <is>
          <t>VOR Te vorderen waarborgsommen kortlopen</t>
        </is>
      </c>
      <c r="C20" s="314" t="n">
        <v>0</v>
      </c>
      <c r="D20" s="314" t="n">
        <v>5000</v>
      </c>
      <c r="E20" s="314" t="n">
        <v>0</v>
      </c>
      <c r="H20" s="296">
        <f>SUM(C20:F20)</f>
        <v/>
      </c>
      <c r="I20" s="112" t="inlineStr">
        <is>
          <t>V</t>
        </is>
      </c>
    </row>
    <row r="21" ht="12.75" customHeight="1">
      <c r="A21" s="114" t="inlineStr">
        <is>
          <t>2040700</t>
        </is>
      </c>
      <c r="B21" s="112" t="inlineStr">
        <is>
          <t>VOR Vooruitbetaalde servicekosten</t>
        </is>
      </c>
      <c r="C21" s="314" t="n">
        <v>15594</v>
      </c>
      <c r="D21" s="314" t="n">
        <v>-11776</v>
      </c>
      <c r="E21" s="314" t="n">
        <v>0</v>
      </c>
      <c r="H21" s="296">
        <f>SUM(C21:F21)</f>
        <v/>
      </c>
      <c r="I21" s="112" t="inlineStr">
        <is>
          <t>V</t>
        </is>
      </c>
    </row>
    <row r="22" ht="12.75" customHeight="1">
      <c r="A22" s="114" t="inlineStr">
        <is>
          <t>2040900</t>
        </is>
      </c>
      <c r="B22" s="112" t="inlineStr">
        <is>
          <t>VOR Vooruitbetaalde overige kosten</t>
        </is>
      </c>
      <c r="C22" s="314" t="n">
        <v>0</v>
      </c>
      <c r="D22" s="314" t="n">
        <v>425</v>
      </c>
      <c r="E22" s="321" t="n">
        <v>-65069</v>
      </c>
      <c r="F22" s="321" t="n">
        <v>360152</v>
      </c>
      <c r="G22" s="313" t="n">
        <v>-139615</v>
      </c>
      <c r="H22" s="296">
        <f>SUM(C22:G22)</f>
        <v/>
      </c>
      <c r="I22" s="112" t="inlineStr">
        <is>
          <t>V</t>
        </is>
      </c>
    </row>
    <row r="23" ht="12.75" customHeight="1">
      <c r="A23" s="112" t="inlineStr">
        <is>
          <t>Totaal overige vorderingen</t>
        </is>
      </c>
      <c r="C23" s="314" t="n">
        <v>0</v>
      </c>
    </row>
    <row r="24" ht="12.75" customHeight="1">
      <c r="C24" s="314" t="n">
        <v>0</v>
      </c>
    </row>
    <row r="25" ht="12.75" customHeight="1">
      <c r="A25" s="114" t="inlineStr">
        <is>
          <t>2300000</t>
        </is>
      </c>
      <c r="B25" s="112" t="inlineStr">
        <is>
          <t>LM Kruisposten</t>
        </is>
      </c>
      <c r="C25" s="314" t="n">
        <v>0</v>
      </c>
      <c r="D25" s="314" t="n">
        <v>0</v>
      </c>
      <c r="F25" s="313" t="n">
        <v>0</v>
      </c>
      <c r="H25" s="296">
        <f>SUM(C25:F25)</f>
        <v/>
      </c>
    </row>
    <row r="26" ht="12.75" customHeight="1">
      <c r="A26" s="114" t="inlineStr">
        <is>
          <t>2400200</t>
        </is>
      </c>
      <c r="B26" s="112" t="inlineStr">
        <is>
          <t>LM ABN AMRO Bank Disposal NL58 ABNA 0818 9180 39</t>
        </is>
      </c>
      <c r="C26" s="314" t="n">
        <v>729699</v>
      </c>
      <c r="D26" s="314" t="n">
        <v>1729271</v>
      </c>
      <c r="E26" s="314" t="n">
        <v>-1031638</v>
      </c>
      <c r="F26" s="313" t="n">
        <v>-1408139</v>
      </c>
      <c r="G26" s="313" t="n">
        <v>-18700</v>
      </c>
      <c r="H26" s="296">
        <f>SUM(C26:G26)</f>
        <v/>
      </c>
    </row>
    <row r="27" ht="12.75" customHeight="1">
      <c r="A27" s="114" t="inlineStr">
        <is>
          <t>2400201</t>
        </is>
      </c>
      <c r="B27" s="112" t="inlineStr">
        <is>
          <t>LM ABN AMRO Bank Deposit NL57 ABNA 0541 6205 68</t>
        </is>
      </c>
      <c r="C27" s="314" t="n">
        <v>12913</v>
      </c>
      <c r="D27" s="314" t="n">
        <v>74896</v>
      </c>
      <c r="E27" s="314" t="n">
        <v>1058693</v>
      </c>
      <c r="F27" s="313" t="n">
        <v>-1109732</v>
      </c>
      <c r="G27" s="313" t="n">
        <v>-19</v>
      </c>
      <c r="H27" s="296">
        <f>SUM(C27:G27)</f>
        <v/>
      </c>
    </row>
    <row r="28" ht="12.75" customHeight="1">
      <c r="A28" s="114" t="inlineStr">
        <is>
          <t>2400202</t>
        </is>
      </c>
      <c r="B28" s="112" t="inlineStr">
        <is>
          <t>LM ABN AMRO Bank General NL93 ABNA 0541 6132 27</t>
        </is>
      </c>
      <c r="C28" s="314" t="n">
        <v>791789</v>
      </c>
      <c r="D28" s="314" t="n">
        <v>-19584</v>
      </c>
      <c r="E28" s="314" t="n">
        <v>-29065</v>
      </c>
      <c r="F28" s="313" t="n">
        <v>-50664</v>
      </c>
      <c r="G28" s="313" t="n">
        <v>-417400</v>
      </c>
      <c r="H28" s="296">
        <f>SUM(C28:G28)</f>
        <v/>
      </c>
    </row>
    <row r="29" ht="12.75" customHeight="1">
      <c r="A29" s="114" t="inlineStr">
        <is>
          <t>2400203</t>
        </is>
      </c>
      <c r="B29" s="112" t="inlineStr">
        <is>
          <t>LM ABN AMRO Bank Maintres NL04 ABNA 0541 6188 06</t>
        </is>
      </c>
      <c r="C29" s="314" t="n">
        <v>583311</v>
      </c>
      <c r="D29" s="314" t="n">
        <v>66151</v>
      </c>
      <c r="E29" s="314" t="n">
        <v>-46640</v>
      </c>
      <c r="F29" s="313" t="n">
        <v>-159674</v>
      </c>
      <c r="G29" s="313" t="n">
        <v>145814</v>
      </c>
      <c r="H29" s="296">
        <f>SUM(C29:G29)</f>
        <v/>
      </c>
    </row>
    <row r="30" ht="12.75" customHeight="1">
      <c r="A30" s="114" t="inlineStr">
        <is>
          <t>2400204</t>
        </is>
      </c>
      <c r="B30" s="112" t="inlineStr">
        <is>
          <t>LM ABN AMRO Bank Rent NL46 ABNA 0541 6088 35</t>
        </is>
      </c>
      <c r="C30" s="314" t="n">
        <v>663408</v>
      </c>
      <c r="D30" s="314" t="n">
        <v>1098220</v>
      </c>
      <c r="E30" s="314" t="n">
        <v>-73423</v>
      </c>
      <c r="F30" s="313" t="n">
        <v>-420964</v>
      </c>
      <c r="G30" s="313" t="n">
        <v>-850699</v>
      </c>
      <c r="H30" s="296">
        <f>SUM(C30:G30)</f>
        <v/>
      </c>
    </row>
    <row r="31" ht="12.75" customHeight="1">
      <c r="A31" s="114" t="inlineStr">
        <is>
          <t>2400205</t>
        </is>
      </c>
      <c r="B31" s="112" t="inlineStr">
        <is>
          <t>LM ABN AMRO Bank SR EXP NL88 ABNA 0541 6205 92</t>
        </is>
      </c>
      <c r="C31" s="314" t="n">
        <v>839</v>
      </c>
      <c r="D31" s="314" t="n">
        <v>194761</v>
      </c>
      <c r="E31" s="314" t="n">
        <v>114437</v>
      </c>
      <c r="F31" s="313" t="n">
        <v>-265290</v>
      </c>
      <c r="G31" s="313" t="n">
        <v>133175</v>
      </c>
      <c r="H31" s="296">
        <f>SUM(C31:G31)</f>
        <v/>
      </c>
    </row>
    <row r="32" ht="12.75" customHeight="1">
      <c r="A32" s="112" t="inlineStr">
        <is>
          <t>Totaal Liquide middelen</t>
        </is>
      </c>
      <c r="C32" s="314" t="n">
        <v>0</v>
      </c>
    </row>
    <row r="33" ht="12.75" customHeight="1">
      <c r="C33" s="314" t="n">
        <v>0</v>
      </c>
    </row>
    <row r="34" ht="12.75" customHeight="1">
      <c r="A34" s="114" t="n">
        <v>1000002</v>
      </c>
      <c r="B34" s="112" t="inlineStr">
        <is>
          <t>EV Normale aandelen Saldo</t>
        </is>
      </c>
      <c r="C34" s="314" t="n">
        <v>-1</v>
      </c>
      <c r="D34" s="314" t="n">
        <v>0</v>
      </c>
      <c r="E34" s="314" t="n">
        <v>0</v>
      </c>
      <c r="H34" s="296">
        <f>SUM(C34:F34)</f>
        <v/>
      </c>
      <c r="I34" s="112" t="inlineStr">
        <is>
          <t>V</t>
        </is>
      </c>
    </row>
    <row r="35" ht="12.75" customHeight="1">
      <c r="A35" s="114" t="n">
        <v>1100000</v>
      </c>
      <c r="B35" s="112" t="inlineStr">
        <is>
          <t>EV Agioreserve Agio aandelen</t>
        </is>
      </c>
      <c r="C35" s="314" t="n">
        <v>-19431219</v>
      </c>
      <c r="D35" s="314" t="n">
        <v>0</v>
      </c>
      <c r="E35" s="314" t="n">
        <v>100000</v>
      </c>
      <c r="H35" s="296">
        <f>SUM(C35:F35)</f>
        <v/>
      </c>
      <c r="I35" s="112" t="inlineStr">
        <is>
          <t>V</t>
        </is>
      </c>
    </row>
    <row r="36" ht="12.75" customHeight="1">
      <c r="A36" s="114" t="n">
        <v>1160000</v>
      </c>
      <c r="B36" s="112" t="inlineStr">
        <is>
          <t>EV Overige reserve Reserve aandelen</t>
        </is>
      </c>
      <c r="C36" s="314" t="n">
        <v>12988943</v>
      </c>
      <c r="D36" s="314" t="n">
        <v>0</v>
      </c>
      <c r="E36" s="314" t="n">
        <v>0</v>
      </c>
      <c r="H36" s="296">
        <f>SUM(C36:F36)</f>
        <v/>
      </c>
      <c r="I36" s="296" t="inlineStr">
        <is>
          <t>V</t>
        </is>
      </c>
    </row>
    <row r="37" ht="12.75" customHeight="1">
      <c r="A37" s="114" t="inlineStr">
        <is>
          <t>1160100</t>
        </is>
      </c>
      <c r="B37" s="112" t="inlineStr">
        <is>
          <t>EV Overige reserve  Dividenduitkeringen aandelen</t>
        </is>
      </c>
      <c r="C37" s="314" t="n">
        <v>820500</v>
      </c>
      <c r="D37" s="314" t="n">
        <v>235000</v>
      </c>
      <c r="E37" s="314" t="n">
        <v>1510938</v>
      </c>
      <c r="F37" s="313" t="n">
        <v>1397717</v>
      </c>
      <c r="G37" s="313" t="n">
        <v>207000</v>
      </c>
      <c r="H37" s="296">
        <f>SUM(C37:G37)</f>
        <v/>
      </c>
      <c r="I37" s="112" t="inlineStr">
        <is>
          <t>V</t>
        </is>
      </c>
    </row>
    <row r="38" ht="12.75" customHeight="1">
      <c r="A38" s="112" t="inlineStr">
        <is>
          <t>Totaal Eigen vermogen</t>
        </is>
      </c>
      <c r="C38" s="314" t="n">
        <v>0</v>
      </c>
    </row>
    <row r="39" ht="12.75" customHeight="1">
      <c r="C39" s="314" t="n">
        <v>0</v>
      </c>
    </row>
    <row r="40" ht="12.75" customHeight="1">
      <c r="A40" s="114" t="n">
        <v>1930001</v>
      </c>
      <c r="B40" s="112" t="inlineStr">
        <is>
          <t>LLS Hoofdsom ABN AMRO Bank NV Senior Facility Agreement</t>
        </is>
      </c>
      <c r="C40" s="314" t="n">
        <v>-130000000</v>
      </c>
      <c r="D40" s="314" t="n">
        <v>0</v>
      </c>
      <c r="E40" s="314" t="n">
        <v>0</v>
      </c>
      <c r="H40" s="296">
        <f>SUM(C40:F40)</f>
        <v/>
      </c>
      <c r="I40" s="112" t="inlineStr">
        <is>
          <t>V</t>
        </is>
      </c>
    </row>
    <row r="41" ht="12.75" customHeight="1">
      <c r="A41" s="114" t="inlineStr">
        <is>
          <t>1930101</t>
        </is>
      </c>
      <c r="B41" s="112" t="inlineStr">
        <is>
          <t>LLS Cum aflossingen ABN AMRO Bank NV Senior Facility Agreement</t>
        </is>
      </c>
      <c r="C41" s="314" t="n">
        <v>10364389</v>
      </c>
      <c r="D41" s="314" t="n">
        <v>601184</v>
      </c>
      <c r="E41" s="314" t="n">
        <v>2258971</v>
      </c>
      <c r="F41" s="313" t="n">
        <v>3569138</v>
      </c>
      <c r="G41" s="313" t="n">
        <v>1387184</v>
      </c>
      <c r="H41" s="296">
        <f>SUM(C41:G41)</f>
        <v/>
      </c>
      <c r="I41" s="112" t="inlineStr">
        <is>
          <t>V</t>
        </is>
      </c>
    </row>
    <row r="42" ht="12.75" customHeight="1">
      <c r="A42" s="114" t="inlineStr">
        <is>
          <t>1930201</t>
        </is>
      </c>
      <c r="B42" s="112" t="inlineStr">
        <is>
          <t>LLS Kortlopend deel ABN AMRO Bank NV Senior Facility Agreement</t>
        </is>
      </c>
      <c r="C42" s="314" t="n">
        <v>0</v>
      </c>
      <c r="D42" s="314" t="n">
        <v>0</v>
      </c>
      <c r="E42" s="314" t="n">
        <v>0</v>
      </c>
      <c r="H42" s="296">
        <f>SUM(C42:F42)</f>
        <v/>
      </c>
    </row>
    <row r="43" ht="12.75" customHeight="1">
      <c r="A43" s="112" t="inlineStr">
        <is>
          <t>Totaal Langlopende schulden</t>
        </is>
      </c>
      <c r="C43" s="314" t="n">
        <v>0</v>
      </c>
    </row>
    <row r="44" ht="12.75" customHeight="1">
      <c r="C44" s="314" t="n">
        <v>0</v>
      </c>
    </row>
    <row r="45" ht="12.75" customHeight="1">
      <c r="A45" s="114" t="inlineStr">
        <is>
          <t>2730000</t>
        </is>
      </c>
      <c r="B45" s="112" t="inlineStr">
        <is>
          <t>KLS Crediteuren</t>
        </is>
      </c>
      <c r="C45" s="314" t="n">
        <v>-173481</v>
      </c>
      <c r="D45" s="314" t="n">
        <v>-55987</v>
      </c>
      <c r="E45" s="314" t="n">
        <v>17250</v>
      </c>
      <c r="F45" s="313" t="n">
        <v>900</v>
      </c>
      <c r="G45" s="313" t="n">
        <v>-11928</v>
      </c>
      <c r="H45" s="296">
        <f>SUM(C45:G45)</f>
        <v/>
      </c>
    </row>
    <row r="46" ht="12.75" customHeight="1">
      <c r="A46" s="114" t="inlineStr">
        <is>
          <t>2730001</t>
        </is>
      </c>
      <c r="B46" s="112" t="inlineStr">
        <is>
          <t>KLS Crediteuren intercompany</t>
        </is>
      </c>
      <c r="C46" s="314" t="n">
        <v>0</v>
      </c>
      <c r="D46" s="314" t="n">
        <v>0</v>
      </c>
      <c r="E46" s="314" t="n">
        <v>0</v>
      </c>
      <c r="H46" s="296">
        <f>SUM(C46:E46)</f>
        <v/>
      </c>
    </row>
    <row r="47" ht="12.75" customHeight="1">
      <c r="A47" s="112" t="inlineStr">
        <is>
          <t>Totaal Crediteuren</t>
        </is>
      </c>
      <c r="C47" s="314" t="n">
        <v>0</v>
      </c>
    </row>
    <row r="48" ht="12.75" customHeight="1">
      <c r="C48" s="314" t="n">
        <v>0</v>
      </c>
      <c r="H48" s="296">
        <f>SUM(C48:D48)</f>
        <v/>
      </c>
    </row>
    <row r="49" ht="12.75" customHeight="1">
      <c r="A49" s="114" t="inlineStr">
        <is>
          <t>2512100</t>
        </is>
      </c>
      <c r="B49" s="112" t="inlineStr">
        <is>
          <t>BEL Afgedragen/ontvangen BTW</t>
        </is>
      </c>
      <c r="C49" s="314" t="n">
        <v>-3726</v>
      </c>
      <c r="D49" s="314" t="n">
        <v>-204</v>
      </c>
      <c r="E49" s="314" t="n">
        <v>17</v>
      </c>
      <c r="F49" s="313" t="n">
        <v>271</v>
      </c>
      <c r="G49" s="313" t="n">
        <v>-22</v>
      </c>
      <c r="H49" s="296">
        <f>SUM(C49:G49)</f>
        <v/>
      </c>
      <c r="I49" s="112" t="inlineStr">
        <is>
          <t>V</t>
        </is>
      </c>
    </row>
    <row r="50" ht="12.75" customHeight="1">
      <c r="A50" s="114" t="inlineStr">
        <is>
          <t>2530000</t>
        </is>
      </c>
      <c r="B50" s="112" t="inlineStr">
        <is>
          <t>BEL Te betalen vennootschapsbelasting</t>
        </is>
      </c>
      <c r="C50" s="314" t="n">
        <v>-438062</v>
      </c>
      <c r="D50" s="314" t="n">
        <v>438062</v>
      </c>
      <c r="E50" s="314" t="n">
        <v>0</v>
      </c>
      <c r="F50" s="313" t="n">
        <v>0</v>
      </c>
      <c r="H50" s="296">
        <f>SUM(C50:F50)</f>
        <v/>
      </c>
    </row>
    <row r="51" ht="12.75" customHeight="1">
      <c r="A51" s="114" t="inlineStr">
        <is>
          <t>2550000</t>
        </is>
      </c>
      <c r="B51" s="112" t="inlineStr">
        <is>
          <t>BEL Te betalen overige belastingen</t>
        </is>
      </c>
      <c r="C51" s="314" t="n">
        <v>94880</v>
      </c>
      <c r="D51" s="314" t="n">
        <v>-94878</v>
      </c>
      <c r="E51" s="314" t="n">
        <v>0</v>
      </c>
      <c r="F51" s="313" t="n">
        <v>0</v>
      </c>
      <c r="H51" s="296" t="n">
        <v>4</v>
      </c>
      <c r="I51" s="112" t="inlineStr">
        <is>
          <t>V</t>
        </is>
      </c>
    </row>
    <row r="52" ht="12.75" customHeight="1">
      <c r="A52" s="112" t="inlineStr">
        <is>
          <t>Totaal Belastingen</t>
        </is>
      </c>
      <c r="C52" s="314" t="n">
        <v>0</v>
      </c>
    </row>
    <row r="53" ht="12.75" customHeight="1">
      <c r="C53" s="314" t="n">
        <v>0</v>
      </c>
    </row>
    <row r="54" ht="12.75" customHeight="1">
      <c r="A54" s="114" t="inlineStr">
        <is>
          <t>2740300</t>
        </is>
      </c>
      <c r="B54" s="112" t="inlineStr">
        <is>
          <t>KLS Te betalen waarborgsommen kortlopend</t>
        </is>
      </c>
      <c r="C54" s="314" t="n">
        <v>-700478</v>
      </c>
      <c r="D54" s="314" t="n">
        <v>-10299</v>
      </c>
      <c r="E54" s="314" t="n">
        <v>10687</v>
      </c>
      <c r="F54" s="313" t="n">
        <v>-8611</v>
      </c>
      <c r="G54" s="313" t="n">
        <v>-21291</v>
      </c>
      <c r="H54" s="296">
        <f>SUM(C54:G54)</f>
        <v/>
      </c>
      <c r="I54" s="112" t="inlineStr">
        <is>
          <t>V</t>
        </is>
      </c>
    </row>
    <row r="55" ht="12.75" customHeight="1">
      <c r="A55" s="114" t="n">
        <v>2740500</v>
      </c>
      <c r="B55" s="112" t="inlineStr">
        <is>
          <t>KLS Te betalen accountants- en administratiekosten</t>
        </is>
      </c>
      <c r="C55" s="314" t="n">
        <v>-22500</v>
      </c>
      <c r="D55" s="314" t="n">
        <v>0</v>
      </c>
      <c r="E55" s="314" t="n">
        <v>0</v>
      </c>
      <c r="H55" s="296">
        <f>SUM(C55:F55)</f>
        <v/>
      </c>
    </row>
    <row r="56" ht="12.75" customHeight="1">
      <c r="A56" s="114" t="inlineStr">
        <is>
          <t>2740600</t>
        </is>
      </c>
      <c r="B56" s="112" t="inlineStr">
        <is>
          <t>KLS Te betalen rente</t>
        </is>
      </c>
      <c r="C56" s="314" t="n">
        <v>0</v>
      </c>
      <c r="D56" s="314" t="n">
        <v>0</v>
      </c>
      <c r="E56" s="314" t="n">
        <v>-457533</v>
      </c>
      <c r="F56" s="313" t="n">
        <v>457533</v>
      </c>
      <c r="H56" s="296">
        <f>SUM(C56:F56)</f>
        <v/>
      </c>
    </row>
    <row r="57" ht="12.75" customHeight="1">
      <c r="A57" s="114" t="inlineStr">
        <is>
          <t>2740700</t>
        </is>
      </c>
      <c r="B57" s="112" t="inlineStr">
        <is>
          <t>KLS Te betalen verzekeringen</t>
        </is>
      </c>
      <c r="C57" s="314" t="n">
        <v>15905</v>
      </c>
      <c r="D57" s="314" t="n">
        <v>-15903</v>
      </c>
      <c r="E57" s="314" t="n">
        <v>0</v>
      </c>
      <c r="H57" s="296" t="n">
        <v>0</v>
      </c>
    </row>
    <row r="58" ht="12.75" customHeight="1">
      <c r="A58" s="114" t="inlineStr">
        <is>
          <t>2741000</t>
        </is>
      </c>
      <c r="B58" s="112" t="inlineStr">
        <is>
          <t>KLS Te betalen servicekosten</t>
        </is>
      </c>
      <c r="C58" s="314" t="n">
        <v>0</v>
      </c>
      <c r="D58" s="314" t="n">
        <v>-29200</v>
      </c>
      <c r="E58" s="314" t="n">
        <v>0</v>
      </c>
      <c r="H58" s="296">
        <f>SUM(C58:F58)</f>
        <v/>
      </c>
    </row>
    <row r="59" ht="12.75" customHeight="1">
      <c r="A59" s="114" t="inlineStr">
        <is>
          <t>2741001</t>
        </is>
      </c>
      <c r="B59" s="112" t="inlineStr">
        <is>
          <t>KLS Te betalen exploitatiekosten</t>
        </is>
      </c>
      <c r="C59" s="314" t="n">
        <v>0</v>
      </c>
      <c r="D59" s="314" t="n">
        <v>-2118</v>
      </c>
      <c r="E59" s="314" t="n">
        <v>0</v>
      </c>
      <c r="H59" s="296">
        <f>SUM(C59:F59)</f>
        <v/>
      </c>
    </row>
    <row r="60" ht="12.75" customHeight="1">
      <c r="A60" s="114" t="inlineStr">
        <is>
          <t>2741002</t>
        </is>
      </c>
      <c r="B60" s="112" t="inlineStr">
        <is>
          <t>KLS Te betalen VVE</t>
        </is>
      </c>
      <c r="C60" s="314" t="n">
        <v>0</v>
      </c>
      <c r="D60" s="314" t="n">
        <v>-1846</v>
      </c>
      <c r="E60" s="314" t="n">
        <v>0</v>
      </c>
      <c r="H60" s="296">
        <f>SUM(C60:F60)</f>
        <v/>
      </c>
    </row>
    <row r="61" ht="12.75" customHeight="1">
      <c r="A61" s="114" t="inlineStr">
        <is>
          <t>2741004</t>
        </is>
      </c>
      <c r="B61" s="112" t="inlineStr">
        <is>
          <t>KLS Te betalen Hoen</t>
        </is>
      </c>
      <c r="C61" s="314" t="n">
        <v>-40879</v>
      </c>
      <c r="D61" s="314" t="n">
        <v>61</v>
      </c>
      <c r="E61" s="314" t="n">
        <v>483</v>
      </c>
      <c r="F61" s="313" t="n">
        <v>119</v>
      </c>
      <c r="G61" s="313" t="n">
        <v>-40364</v>
      </c>
      <c r="H61" s="296">
        <f>SUM(C61:G61)</f>
        <v/>
      </c>
    </row>
    <row r="62" ht="12.6" customHeight="1">
      <c r="A62" s="114" t="inlineStr">
        <is>
          <t>2741005</t>
        </is>
      </c>
      <c r="B62" s="112" t="inlineStr">
        <is>
          <t>KLS Te betalen managementvergoedingen</t>
        </is>
      </c>
      <c r="C62" s="314" t="n">
        <v>0</v>
      </c>
      <c r="D62" s="314" t="n">
        <v>0</v>
      </c>
      <c r="E62" s="314" t="n">
        <v>0</v>
      </c>
      <c r="H62" s="296">
        <f>SUM(C62:F62)</f>
        <v/>
      </c>
    </row>
    <row r="63" ht="12.75" customHeight="1">
      <c r="A63" s="114" t="inlineStr">
        <is>
          <t>2741200</t>
        </is>
      </c>
      <c r="B63" s="112" t="inlineStr">
        <is>
          <t>KLS Te betalen overige kosten</t>
        </is>
      </c>
      <c r="C63" s="314" t="n">
        <v>20000</v>
      </c>
      <c r="E63" s="321" t="n">
        <v>0</v>
      </c>
      <c r="F63" s="321" t="n">
        <v>-20000</v>
      </c>
      <c r="G63" s="313" t="n">
        <v>20000</v>
      </c>
      <c r="H63" s="296">
        <f>SUM(C63:G63)</f>
        <v/>
      </c>
    </row>
    <row r="64" ht="12.75" customHeight="1">
      <c r="A64" s="114" t="inlineStr">
        <is>
          <t>2741900</t>
        </is>
      </c>
      <c r="B64" s="112" t="inlineStr">
        <is>
          <t>KLS Nog uit te zoeken posten MT940</t>
        </is>
      </c>
      <c r="C64" s="314" t="n">
        <v>163</v>
      </c>
      <c r="D64" s="314" t="n">
        <v>-162</v>
      </c>
      <c r="E64" s="314" t="n">
        <v>851</v>
      </c>
      <c r="F64" s="313" t="n">
        <v>-16811</v>
      </c>
      <c r="G64" s="313" t="n">
        <v>15046</v>
      </c>
      <c r="H64" s="296">
        <f>SUM(C64:G64)</f>
        <v/>
      </c>
    </row>
    <row r="65" ht="12.75" customHeight="1">
      <c r="A65" s="114" t="inlineStr">
        <is>
          <t>2742200</t>
        </is>
      </c>
      <c r="B65" s="112" t="inlineStr">
        <is>
          <t>KLS Vooruitontvangen bedragen</t>
        </is>
      </c>
      <c r="C65" s="314" t="n">
        <v>-129850</v>
      </c>
      <c r="D65" s="314" t="n">
        <v>-17605</v>
      </c>
      <c r="E65" s="314" t="n">
        <v>-5561</v>
      </c>
      <c r="F65" s="313" t="n">
        <v>21998</v>
      </c>
      <c r="G65" s="313" t="n">
        <v>-5661</v>
      </c>
      <c r="H65" s="296">
        <f>SUM(C65:G65)</f>
        <v/>
      </c>
      <c r="I65" s="112" t="inlineStr">
        <is>
          <t>V</t>
        </is>
      </c>
    </row>
    <row r="66" ht="12.75" customHeight="1">
      <c r="A66" s="112" t="inlineStr">
        <is>
          <t>Totaal Overige schulden</t>
        </is>
      </c>
      <c r="C66" s="314" t="n">
        <v>0</v>
      </c>
    </row>
    <row r="67" ht="12.75" customHeight="1"/>
    <row r="68" ht="12.75" customHeight="1">
      <c r="E68" s="313">
        <f>E70*4</f>
        <v/>
      </c>
      <c r="F68" s="313">
        <f>F70*4</f>
        <v/>
      </c>
      <c r="G68" s="313">
        <f>G70*4</f>
        <v/>
      </c>
      <c r="H68" s="296">
        <f>-11610000/4</f>
        <v/>
      </c>
    </row>
    <row r="69" ht="12.75" customHeight="1">
      <c r="A69" s="113" t="inlineStr">
        <is>
          <t>Winst- en verliesrekening (baten zijn positief, kosten negatief)</t>
        </is>
      </c>
    </row>
    <row r="70" ht="12.75" customHeight="1">
      <c r="A70" s="114" t="inlineStr">
        <is>
          <t>8000003</t>
        </is>
      </c>
      <c r="B70" s="112" t="inlineStr">
        <is>
          <t>OPB Netto-omzet Theoretische huuropbrengsten</t>
        </is>
      </c>
      <c r="D70" s="314" t="n">
        <v>-2858133</v>
      </c>
      <c r="E70" s="314" t="n">
        <v>-2847208</v>
      </c>
      <c r="F70" s="313" t="n">
        <v>-2833196</v>
      </c>
      <c r="G70" s="313" t="n">
        <v>-2826464</v>
      </c>
      <c r="H70" s="296">
        <f>SUM(C70:G70)</f>
        <v/>
      </c>
    </row>
    <row r="71" ht="12.75" customHeight="1">
      <c r="A71" s="114" t="inlineStr">
        <is>
          <t>8000004</t>
        </is>
      </c>
      <c r="B71" s="112" t="inlineStr">
        <is>
          <t>OPB Netto-omzet Leegstand huuropbrengsten</t>
        </is>
      </c>
      <c r="D71" s="314" t="n">
        <v>63770</v>
      </c>
      <c r="E71" s="314" t="n">
        <v>69125</v>
      </c>
      <c r="F71" s="313" t="n">
        <v>71110</v>
      </c>
      <c r="G71" s="313" t="n">
        <v>63061</v>
      </c>
      <c r="H71" s="296">
        <f>SUM(C71:G71)</f>
        <v/>
      </c>
    </row>
    <row r="72" ht="12.75" customHeight="1">
      <c r="A72" s="112" t="inlineStr">
        <is>
          <t>Totaal Netto-omzet</t>
        </is>
      </c>
      <c r="D72" s="314">
        <f>SUM(D70:D71)</f>
        <v/>
      </c>
      <c r="E72" s="314">
        <f>SUM(E70:E71)</f>
        <v/>
      </c>
      <c r="F72" s="313">
        <f>SUM(F70:F71)</f>
        <v/>
      </c>
      <c r="G72" s="313">
        <f>SUM(G70:G71)</f>
        <v/>
      </c>
      <c r="H72" s="313">
        <f>SUM(H70:H71)</f>
        <v/>
      </c>
    </row>
    <row r="73" ht="12.75" customHeight="1">
      <c r="E73" s="203">
        <f>1-(E72/E70)</f>
        <v/>
      </c>
    </row>
    <row r="74" ht="12.75" customHeight="1">
      <c r="A74" s="114" t="inlineStr">
        <is>
          <t>8400600</t>
        </is>
      </c>
      <c r="B74" s="112" t="inlineStr">
        <is>
          <t>OPB Overige bedrijfsopbrengsten Totale servicekosten</t>
        </is>
      </c>
      <c r="D74" s="314" t="n">
        <v>-173087</v>
      </c>
      <c r="E74" s="314" t="n">
        <v>-172417</v>
      </c>
      <c r="F74" s="313" t="n">
        <v>-171527</v>
      </c>
      <c r="G74" s="313" t="n">
        <v>-172398</v>
      </c>
      <c r="H74" s="296">
        <f>SUM(C74:G74)</f>
        <v/>
      </c>
    </row>
    <row r="75" ht="12.75" customHeight="1">
      <c r="A75" s="114" t="inlineStr">
        <is>
          <t>8400700</t>
        </is>
      </c>
      <c r="B75" s="112" t="inlineStr">
        <is>
          <t>OPB Overige bedrijfsopbrengsten Servicekosten leegstand</t>
        </is>
      </c>
      <c r="D75" s="314" t="n">
        <v>29682</v>
      </c>
      <c r="E75" s="314" t="n">
        <v>10767</v>
      </c>
      <c r="F75" s="313" t="n">
        <v>3357</v>
      </c>
      <c r="G75" s="313" t="n">
        <v>7281</v>
      </c>
      <c r="H75" s="296">
        <f>SUM(C75:G75)</f>
        <v/>
      </c>
    </row>
    <row r="76" ht="12.75" customHeight="1">
      <c r="A76" s="114" t="inlineStr">
        <is>
          <t>8400800</t>
        </is>
      </c>
      <c r="B76" s="112" t="inlineStr">
        <is>
          <t>OPB Overige bedrijfsopbrengsten Gerealiseerde servicekosten</t>
        </is>
      </c>
      <c r="D76" s="314" t="n">
        <v>121812</v>
      </c>
      <c r="E76" s="314" t="n">
        <v>133343</v>
      </c>
      <c r="F76" s="313" t="n">
        <v>284624</v>
      </c>
      <c r="G76" s="313" t="n">
        <v>127725</v>
      </c>
      <c r="H76" s="296">
        <f>SUM(C76:G76)</f>
        <v/>
      </c>
    </row>
    <row r="77" ht="12.75" customHeight="1">
      <c r="A77" s="112" t="inlineStr">
        <is>
          <t>Totaal Overige bedrijfsopbrengsten</t>
        </is>
      </c>
      <c r="D77" s="314">
        <f>SUM(D74:D76)</f>
        <v/>
      </c>
      <c r="E77" s="314">
        <f>SUM(E74:E76)</f>
        <v/>
      </c>
      <c r="F77" s="313">
        <f>SUM(F74:F76)</f>
        <v/>
      </c>
      <c r="G77" s="313">
        <f>SUM(G74:G76)</f>
        <v/>
      </c>
      <c r="H77" s="313">
        <f>SUM(H74:H76)</f>
        <v/>
      </c>
    </row>
    <row r="78" ht="12.75" customHeight="1"/>
    <row r="79" ht="12.75" customHeight="1">
      <c r="A79" s="114" t="inlineStr">
        <is>
          <t>4051400</t>
        </is>
      </c>
      <c r="B79" s="112" t="inlineStr">
        <is>
          <t>KN Diensten door derden</t>
        </is>
      </c>
      <c r="D79" s="314" t="n">
        <v>121336</v>
      </c>
      <c r="E79" s="314" t="n">
        <v>120736</v>
      </c>
      <c r="F79" s="313" t="n">
        <v>120105</v>
      </c>
      <c r="G79" s="313" t="n">
        <v>119839</v>
      </c>
      <c r="H79" s="296">
        <f>SUM(C79:G79)</f>
        <v/>
      </c>
    </row>
    <row r="80" ht="12.75" customHeight="1">
      <c r="A80" s="112" t="inlineStr">
        <is>
          <t>Totaal overige personeelskosten</t>
        </is>
      </c>
      <c r="D80" s="314">
        <f>SUM(D79)</f>
        <v/>
      </c>
      <c r="E80" s="314">
        <f>SUM(E79)</f>
        <v/>
      </c>
      <c r="F80" s="313">
        <f>SUM(F79)</f>
        <v/>
      </c>
      <c r="G80" s="313">
        <f>SUM(G79)</f>
        <v/>
      </c>
      <c r="H80" s="313">
        <f>SUM(H79)</f>
        <v/>
      </c>
    </row>
    <row r="81" ht="12.75" customHeight="1"/>
    <row r="82" ht="12.75" customHeight="1">
      <c r="A82" s="114" t="inlineStr">
        <is>
          <t>4730000</t>
        </is>
      </c>
      <c r="B82" s="112" t="inlineStr">
        <is>
          <t>AFKN Afschrijvingskosten Vastgoedbeleggingen</t>
        </is>
      </c>
      <c r="D82" s="314" t="n">
        <v>656408</v>
      </c>
      <c r="E82" s="314" t="n">
        <v>642938</v>
      </c>
      <c r="F82" s="313">
        <f>630199</f>
        <v/>
      </c>
      <c r="G82" s="313" t="n">
        <v>653151</v>
      </c>
      <c r="H82" s="296">
        <f>SUM(C82:G82)</f>
        <v/>
      </c>
    </row>
    <row r="83" ht="12.75" customHeight="1">
      <c r="A83" s="114" t="inlineStr">
        <is>
          <t>4730200</t>
        </is>
      </c>
      <c r="B83" s="112" t="inlineStr">
        <is>
          <t>AFKN Boekresultaat Vastgoedbeleggingen</t>
        </is>
      </c>
      <c r="D83" s="314" t="n">
        <v>-1058583</v>
      </c>
      <c r="E83" s="314" t="n">
        <v>-1206433</v>
      </c>
      <c r="F83" s="313" t="n">
        <v>-531244</v>
      </c>
      <c r="G83" s="313" t="n">
        <v>-636242</v>
      </c>
      <c r="H83" s="296">
        <f>SUM(C83:G83)</f>
        <v/>
      </c>
    </row>
    <row r="84" ht="12.75" customHeight="1">
      <c r="A84" s="112" t="inlineStr">
        <is>
          <t>Totaal Afschrijvingen vastgoedbeleggingen</t>
        </is>
      </c>
      <c r="D84" s="314">
        <f>SUM(D82:D83)</f>
        <v/>
      </c>
      <c r="E84" s="314">
        <f>SUM(E82:E83)</f>
        <v/>
      </c>
      <c r="F84" s="313">
        <f>SUM(F82:F83)</f>
        <v/>
      </c>
      <c r="G84" s="313">
        <f>SUM(G82:G83)</f>
        <v/>
      </c>
      <c r="H84" s="313">
        <f>SUM(H82:H83)</f>
        <v/>
      </c>
    </row>
    <row r="85" ht="12.75" customHeight="1"/>
    <row r="86" ht="12.75" customHeight="1">
      <c r="A86" s="114" t="inlineStr">
        <is>
          <t>4100400</t>
        </is>
      </c>
      <c r="B86" s="112" t="inlineStr">
        <is>
          <t>KN Onderhoud gebouwen</t>
        </is>
      </c>
      <c r="D86" s="321">
        <f>38004+540977</f>
        <v/>
      </c>
      <c r="E86" s="314" t="n">
        <v>491958</v>
      </c>
      <c r="F86" s="321">
        <f>455997</f>
        <v/>
      </c>
      <c r="G86" s="313" t="n">
        <v>204327</v>
      </c>
      <c r="H86" s="296">
        <f>SUM(C86:G86)</f>
        <v/>
      </c>
    </row>
    <row r="87" ht="12.75" customHeight="1">
      <c r="A87" s="114" t="inlineStr">
        <is>
          <t>4100410</t>
        </is>
      </c>
      <c r="B87" s="112" t="inlineStr">
        <is>
          <t>Verhuurdersheffing</t>
        </is>
      </c>
      <c r="D87" s="314" t="n">
        <v>0</v>
      </c>
      <c r="E87" s="313" t="n"/>
      <c r="G87" s="313" t="n">
        <v>531958</v>
      </c>
      <c r="H87" s="296">
        <f>SUM(C87:G87)</f>
        <v/>
      </c>
    </row>
    <row r="88" ht="12.75" customHeight="1">
      <c r="A88" s="114" t="inlineStr">
        <is>
          <t>4100900</t>
        </is>
      </c>
      <c r="B88" s="112" t="inlineStr">
        <is>
          <t>KN Onroerende zaakbelasting</t>
        </is>
      </c>
      <c r="D88" s="314" t="n">
        <v>65007</v>
      </c>
      <c r="E88" s="321" t="n">
        <v>75792</v>
      </c>
      <c r="F88" s="321" t="n">
        <v>79670</v>
      </c>
      <c r="G88" s="313" t="n">
        <v>78467</v>
      </c>
      <c r="H88" s="296">
        <f>SUM(C88:G88)</f>
        <v/>
      </c>
    </row>
    <row r="89" ht="12.75" customHeight="1">
      <c r="A89" s="114" t="inlineStr">
        <is>
          <t>4101000</t>
        </is>
      </c>
      <c r="B89" s="112" t="inlineStr">
        <is>
          <t>KN VvE-kosten</t>
        </is>
      </c>
      <c r="D89" s="314" t="n">
        <v>5404</v>
      </c>
      <c r="E89" s="314" t="n">
        <v>96652</v>
      </c>
      <c r="F89" s="313" t="n">
        <v>197933</v>
      </c>
      <c r="G89" s="313" t="n">
        <v>136830</v>
      </c>
      <c r="H89" s="296">
        <f>SUM(C89:G89)</f>
        <v/>
      </c>
    </row>
    <row r="90" ht="12.75" customHeight="1">
      <c r="A90" s="114" t="inlineStr">
        <is>
          <t>4101010</t>
        </is>
      </c>
      <c r="B90" s="112" t="inlineStr">
        <is>
          <t>Gemeentelijke belastingen</t>
        </is>
      </c>
      <c r="D90" s="314" t="n">
        <v>29292</v>
      </c>
      <c r="E90" s="321" t="n">
        <v>32166</v>
      </c>
      <c r="F90" s="321" t="n">
        <v>33030</v>
      </c>
      <c r="G90" s="313" t="n">
        <v>32166</v>
      </c>
      <c r="H90" s="296">
        <f>SUM(C90:G90)</f>
        <v/>
      </c>
    </row>
    <row r="91" ht="12.75" customHeight="1">
      <c r="A91" s="114" t="inlineStr">
        <is>
          <t>4101020</t>
        </is>
      </c>
      <c r="B91" s="112" t="inlineStr">
        <is>
          <t>Waterschapsbelasting</t>
        </is>
      </c>
      <c r="D91" s="314" t="n">
        <v>1661</v>
      </c>
      <c r="E91" s="321" t="n">
        <v>17945</v>
      </c>
      <c r="F91" s="321" t="n">
        <v>17695</v>
      </c>
      <c r="G91" s="313" t="n">
        <v>19123</v>
      </c>
      <c r="H91" s="296">
        <f>SUM(C91:G91)</f>
        <v/>
      </c>
    </row>
    <row r="92" ht="12.75" customHeight="1">
      <c r="A92" s="114" t="inlineStr">
        <is>
          <t>4101300</t>
        </is>
      </c>
      <c r="B92" s="112" t="inlineStr">
        <is>
          <t>KN Servicekosten leegstand</t>
        </is>
      </c>
      <c r="D92" s="314" t="n">
        <v>18836</v>
      </c>
      <c r="E92" s="314" t="n">
        <v>-801</v>
      </c>
      <c r="F92" s="313" t="n">
        <v>-820</v>
      </c>
      <c r="G92" s="313" t="n">
        <v>45430</v>
      </c>
      <c r="H92" s="296">
        <f>SUM(C92:G92)</f>
        <v/>
      </c>
    </row>
    <row r="93" ht="12.75" customHeight="1">
      <c r="A93" s="114" t="inlineStr">
        <is>
          <t>4109800</t>
        </is>
      </c>
      <c r="B93" s="112" t="inlineStr">
        <is>
          <t>KN Overige huisvestingskosten</t>
        </is>
      </c>
      <c r="D93" s="314" t="n">
        <v>2153</v>
      </c>
      <c r="E93" s="314" t="n">
        <v>0</v>
      </c>
      <c r="H93" s="296">
        <f>SUM(C93:F93)</f>
        <v/>
      </c>
    </row>
    <row r="94" ht="12.75" customHeight="1">
      <c r="A94" s="112" t="inlineStr">
        <is>
          <t>Totaal Huisvestingskosten</t>
        </is>
      </c>
      <c r="D94" s="314">
        <f>SUM(D86:D93)</f>
        <v/>
      </c>
      <c r="E94" s="314">
        <f>SUM(E86:E93)</f>
        <v/>
      </c>
      <c r="F94" s="313">
        <f>SUM(F86:F93)</f>
        <v/>
      </c>
      <c r="G94" s="313">
        <f>SUM(G86:G93)</f>
        <v/>
      </c>
      <c r="H94" s="313">
        <f>SUM(H86:H93)</f>
        <v/>
      </c>
    </row>
    <row r="95" ht="12.75" customHeight="1"/>
    <row r="96" ht="12.75" customHeight="1">
      <c r="A96" s="114" t="inlineStr">
        <is>
          <t>4500400</t>
        </is>
      </c>
      <c r="B96" s="112" t="inlineStr">
        <is>
          <t>KN Representatiekosten</t>
        </is>
      </c>
      <c r="D96" s="314" t="n">
        <v>0</v>
      </c>
      <c r="E96" s="314" t="n">
        <v>0</v>
      </c>
      <c r="H96" s="296">
        <f>SUM(C96:F96)</f>
        <v/>
      </c>
    </row>
    <row r="97" ht="12.75" customHeight="1">
      <c r="A97" s="114" t="inlineStr">
        <is>
          <t>4501200</t>
        </is>
      </c>
      <c r="B97" s="112" t="inlineStr">
        <is>
          <t>KN Mutatie voorziening dubieuze debiteuren</t>
        </is>
      </c>
      <c r="D97" s="314" t="n">
        <v>-8960</v>
      </c>
      <c r="E97" s="314" t="n">
        <v>0</v>
      </c>
      <c r="H97" s="296">
        <f>SUM(C97:G97)</f>
        <v/>
      </c>
    </row>
    <row r="98" ht="12.75" customHeight="1">
      <c r="A98" s="114" t="inlineStr">
        <is>
          <t>4501300</t>
        </is>
      </c>
      <c r="B98" s="112" t="inlineStr">
        <is>
          <t>KN Afboeking dubieuze debiteuren</t>
        </is>
      </c>
      <c r="D98" s="314" t="n">
        <v>28608</v>
      </c>
      <c r="E98" s="314" t="n">
        <v>-164</v>
      </c>
      <c r="F98" s="313" t="n">
        <v>1941</v>
      </c>
      <c r="G98" s="313" t="n">
        <v>4198</v>
      </c>
      <c r="H98" s="296">
        <f>SUM(C98:G98)</f>
        <v/>
      </c>
    </row>
    <row r="99" ht="12.75" customHeight="1">
      <c r="A99" s="112" t="inlineStr">
        <is>
          <t>Totaal Verkoopkosten</t>
        </is>
      </c>
      <c r="D99" s="314">
        <f>SUM(D96:D98)</f>
        <v/>
      </c>
      <c r="E99" s="314">
        <f>SUM(E96:E98)</f>
        <v/>
      </c>
      <c r="F99" s="313">
        <f>SUM(F96:F98)</f>
        <v/>
      </c>
      <c r="G99" s="313">
        <f>SUM(G96:G98)</f>
        <v/>
      </c>
      <c r="H99" s="313">
        <f>SUM(H96:H98)</f>
        <v/>
      </c>
    </row>
    <row r="100" ht="12.75" customHeight="1"/>
    <row r="101" ht="12.75" customHeight="1">
      <c r="A101" s="114" t="inlineStr">
        <is>
          <t>4300500</t>
        </is>
      </c>
      <c r="B101" s="112" t="inlineStr">
        <is>
          <t>KN Incassokosten</t>
        </is>
      </c>
      <c r="D101" s="314" t="n">
        <v>-590</v>
      </c>
      <c r="E101" s="314" t="n">
        <v>0</v>
      </c>
      <c r="G101" s="313" t="n">
        <v>950</v>
      </c>
      <c r="H101" s="296">
        <f>SUM(C101:G101)</f>
        <v/>
      </c>
    </row>
    <row r="102" ht="12.75" customHeight="1">
      <c r="A102" s="112" t="inlineStr">
        <is>
          <t>Totaal Kantoorkosten</t>
        </is>
      </c>
      <c r="D102" s="314">
        <f>SUM(D101)</f>
        <v/>
      </c>
      <c r="E102" s="314">
        <f>SUM(E101)</f>
        <v/>
      </c>
      <c r="F102" s="313">
        <f>SUM(F101)</f>
        <v/>
      </c>
      <c r="G102" s="313">
        <f>SUM(G101)</f>
        <v/>
      </c>
      <c r="H102" s="313">
        <f>SUM(H101)</f>
        <v/>
      </c>
    </row>
    <row r="103" ht="12.75" customHeight="1"/>
    <row r="104" ht="12.75" customHeight="1">
      <c r="A104" s="114" t="inlineStr">
        <is>
          <t>4310000</t>
        </is>
      </c>
      <c r="B104" s="112" t="inlineStr">
        <is>
          <t>KN Abonnementen en contributies</t>
        </is>
      </c>
      <c r="D104" s="314" t="n">
        <v>0</v>
      </c>
      <c r="E104" s="314" t="n">
        <v>4406</v>
      </c>
      <c r="H104" s="296">
        <f>SUM(C104:F104)</f>
        <v/>
      </c>
    </row>
    <row r="105" ht="12.75" customHeight="1">
      <c r="A105" s="114" t="inlineStr">
        <is>
          <t>4310400</t>
        </is>
      </c>
      <c r="B105" s="112" t="inlineStr">
        <is>
          <t>KN Assurantiepremie algemeen</t>
        </is>
      </c>
      <c r="D105" s="314" t="n">
        <v>13908</v>
      </c>
      <c r="E105" s="321" t="n">
        <v>26301</v>
      </c>
      <c r="F105" s="321" t="n">
        <v>25980</v>
      </c>
      <c r="G105" s="313" t="n">
        <v>25980</v>
      </c>
      <c r="H105" s="296">
        <f>SUM(C105:G105)</f>
        <v/>
      </c>
    </row>
    <row r="106" ht="12.75" customHeight="1">
      <c r="A106" s="114" t="inlineStr">
        <is>
          <t>4310500</t>
        </is>
      </c>
      <c r="B106" s="112" t="inlineStr">
        <is>
          <t>KN Managementvergoeding</t>
        </is>
      </c>
      <c r="D106" s="314" t="n">
        <v>5445</v>
      </c>
      <c r="E106" s="314" t="n">
        <v>5445</v>
      </c>
      <c r="F106" s="313" t="n">
        <v>5445</v>
      </c>
      <c r="G106" s="313" t="n">
        <v>5445</v>
      </c>
      <c r="H106" s="296">
        <f>SUM(C106:G106)</f>
        <v/>
      </c>
    </row>
    <row r="107" ht="12.75" customHeight="1">
      <c r="A107" s="114" t="inlineStr">
        <is>
          <t>4310600</t>
        </is>
      </c>
      <c r="B107" s="112" t="inlineStr">
        <is>
          <t>KN Accountantskosten</t>
        </is>
      </c>
      <c r="D107" s="314" t="n">
        <v>21556</v>
      </c>
      <c r="E107" s="314" t="n">
        <v>6339</v>
      </c>
      <c r="F107" s="313" t="n">
        <v>44292</v>
      </c>
      <c r="G107" s="313" t="n">
        <v>24945</v>
      </c>
      <c r="H107" s="296">
        <f>SUM(C107:G107)</f>
        <v/>
      </c>
    </row>
    <row r="108" ht="12.75" customHeight="1">
      <c r="A108" s="114" t="inlineStr">
        <is>
          <t>4310700</t>
        </is>
      </c>
      <c r="B108" s="112" t="inlineStr">
        <is>
          <t>KN Administratiekosten</t>
        </is>
      </c>
      <c r="D108" s="314" t="n">
        <v>1491</v>
      </c>
      <c r="E108" s="314" t="n">
        <v>1210</v>
      </c>
      <c r="G108" s="313" t="n">
        <v>2420</v>
      </c>
      <c r="H108" s="296">
        <f>SUM(C108:G108)</f>
        <v/>
      </c>
    </row>
    <row r="109" ht="12.75" customHeight="1">
      <c r="A109" s="114" t="inlineStr">
        <is>
          <t>4310800</t>
        </is>
      </c>
      <c r="B109" s="112" t="inlineStr">
        <is>
          <t>KN Makelaarskosten</t>
        </is>
      </c>
      <c r="D109" s="314" t="n">
        <v>54700</v>
      </c>
      <c r="E109" s="314" t="n">
        <v>66525</v>
      </c>
      <c r="F109" s="313" t="n">
        <v>57342</v>
      </c>
      <c r="G109" s="313" t="n">
        <v>61064</v>
      </c>
      <c r="H109" s="296">
        <f>SUM(C109:G109)</f>
        <v/>
      </c>
    </row>
    <row r="110" ht="12.75" customHeight="1">
      <c r="A110" s="114" t="inlineStr">
        <is>
          <t>4311000</t>
        </is>
      </c>
      <c r="B110" s="112" t="inlineStr">
        <is>
          <t>KN Juridische kosten</t>
        </is>
      </c>
      <c r="D110" s="314" t="n">
        <v>8809</v>
      </c>
      <c r="E110" s="314" t="n">
        <v>4570</v>
      </c>
      <c r="F110" s="313" t="n">
        <v>3745</v>
      </c>
      <c r="G110" s="313" t="n">
        <v>-2123</v>
      </c>
      <c r="H110" s="296">
        <f>SUM(C110:G110)</f>
        <v/>
      </c>
    </row>
    <row r="111" ht="12.75" customHeight="1">
      <c r="A111" s="114" t="inlineStr">
        <is>
          <t>4311800</t>
        </is>
      </c>
      <c r="B111" s="112" t="inlineStr">
        <is>
          <t>KN Advieskosten</t>
        </is>
      </c>
      <c r="D111" s="314" t="n">
        <v>0</v>
      </c>
      <c r="E111" s="314" t="n">
        <v>0</v>
      </c>
      <c r="H111" s="296">
        <f>SUM(C111:F111)</f>
        <v/>
      </c>
    </row>
    <row r="112" ht="12.75" customHeight="1">
      <c r="A112" s="114" t="inlineStr">
        <is>
          <t>4311900</t>
        </is>
      </c>
      <c r="B112" s="112" t="inlineStr">
        <is>
          <t>KN Bankkosten</t>
        </is>
      </c>
      <c r="D112" s="314" t="n">
        <v>1317</v>
      </c>
      <c r="E112" s="314" t="n">
        <v>1219</v>
      </c>
      <c r="F112" s="313" t="n">
        <v>1232</v>
      </c>
      <c r="G112" s="313" t="n">
        <v>1227</v>
      </c>
      <c r="H112" s="296">
        <f>SUM(C112:G112)</f>
        <v/>
      </c>
    </row>
    <row r="113" ht="12.75" customHeight="1">
      <c r="A113" s="114" t="inlineStr">
        <is>
          <t>4312600</t>
        </is>
      </c>
      <c r="B113" s="112" t="inlineStr">
        <is>
          <t>KN Agent Fee facility</t>
        </is>
      </c>
      <c r="D113" s="314" t="n">
        <v>0</v>
      </c>
      <c r="E113" s="313" t="n">
        <v>0</v>
      </c>
      <c r="F113" s="313" t="n">
        <v>20000</v>
      </c>
      <c r="G113" s="321" t="n">
        <v>20000</v>
      </c>
      <c r="H113" s="296">
        <f>SUM(C113:G113)</f>
        <v/>
      </c>
    </row>
    <row r="114" ht="12.75" customHeight="1">
      <c r="A114" s="114" t="inlineStr">
        <is>
          <t>4319800</t>
        </is>
      </c>
      <c r="B114" s="112" t="inlineStr">
        <is>
          <t>KN Overige algemene kosten</t>
        </is>
      </c>
      <c r="D114" s="317" t="n">
        <v>-2209</v>
      </c>
      <c r="E114" s="313" t="n">
        <v>0</v>
      </c>
      <c r="F114" s="313" t="n">
        <v>28793</v>
      </c>
      <c r="G114" s="313" t="n">
        <v>477</v>
      </c>
      <c r="H114" s="296">
        <f>SUM(C114:G114)</f>
        <v/>
      </c>
    </row>
    <row r="115" ht="12.75" customHeight="1">
      <c r="A115" s="112" t="inlineStr">
        <is>
          <t>Totaal Algemene kosten</t>
        </is>
      </c>
      <c r="D115" s="314">
        <f>SUM(D104:D114)</f>
        <v/>
      </c>
      <c r="E115" s="314">
        <f>SUM(E104:E114)</f>
        <v/>
      </c>
      <c r="F115" s="313">
        <f>SUM(F104:F114)</f>
        <v/>
      </c>
      <c r="G115" s="313">
        <f>SUM(G104:G114)</f>
        <v/>
      </c>
      <c r="H115" s="313">
        <f>SUM(H104:H114)</f>
        <v/>
      </c>
    </row>
    <row r="116" ht="12.75" customHeight="1"/>
    <row r="117" ht="12.75" customHeight="1">
      <c r="A117" s="114" t="inlineStr">
        <is>
          <t>4623000</t>
        </is>
      </c>
      <c r="B117" s="112" t="inlineStr">
        <is>
          <t>FINBL Rente ABN AMRO Bank NV leningen</t>
        </is>
      </c>
      <c r="D117" s="314" t="n">
        <v>0</v>
      </c>
      <c r="H117" s="296">
        <f>SUM(C117:E117)</f>
        <v/>
      </c>
    </row>
    <row r="118" ht="12.75" customHeight="1">
      <c r="A118" s="114" t="inlineStr">
        <is>
          <t>4623001</t>
        </is>
      </c>
      <c r="B118" s="112" t="inlineStr">
        <is>
          <t>FINBL Rente ABN AMRO Bank NV Senior Facility Agreement</t>
        </is>
      </c>
      <c r="D118" s="314" t="n">
        <v>473890</v>
      </c>
      <c r="E118" s="314" t="n">
        <v>457533</v>
      </c>
      <c r="F118" s="313" t="n">
        <v>450998</v>
      </c>
      <c r="G118" s="313" t="n">
        <v>448423</v>
      </c>
      <c r="H118" s="296">
        <f>SUM(C118:G118)</f>
        <v/>
      </c>
    </row>
    <row r="119" ht="12.75" customHeight="1">
      <c r="A119" s="114" t="inlineStr">
        <is>
          <t>4628001</t>
        </is>
      </c>
      <c r="B119" s="112" t="inlineStr">
        <is>
          <t>FINBL Rente LLS QSPESS Limited</t>
        </is>
      </c>
      <c r="D119" s="314" t="n">
        <v>0</v>
      </c>
      <c r="E119" s="314" t="n">
        <v>0</v>
      </c>
      <c r="F119" s="313" t="n">
        <v>0</v>
      </c>
      <c r="H119" s="296">
        <f>SUM(C119:F119)</f>
        <v/>
      </c>
    </row>
    <row r="120" ht="12.75" customHeight="1">
      <c r="A120" s="114" t="n">
        <v>4630000</v>
      </c>
      <c r="B120" s="112" t="inlineStr">
        <is>
          <t>FINBL Rente belastingen</t>
        </is>
      </c>
      <c r="D120" s="314" t="n">
        <v>7750</v>
      </c>
      <c r="E120" s="314" t="n">
        <v>0</v>
      </c>
      <c r="F120" s="313" t="n">
        <v>0</v>
      </c>
      <c r="G120" s="313" t="n">
        <v>8219</v>
      </c>
      <c r="H120" s="296">
        <f>SUM(C120:G120)</f>
        <v/>
      </c>
    </row>
    <row r="121" ht="12.75" customHeight="1">
      <c r="A121" s="114" t="inlineStr">
        <is>
          <t>4643000</t>
        </is>
      </c>
      <c r="B121" s="112" t="inlineStr">
        <is>
          <t>FINBL Overige rentelasten</t>
        </is>
      </c>
      <c r="D121" s="314" t="n">
        <v>108560</v>
      </c>
      <c r="E121" s="314" t="n">
        <v>106683</v>
      </c>
      <c r="F121" s="313" t="n">
        <v>105985</v>
      </c>
      <c r="G121" s="313" t="n">
        <v>106445</v>
      </c>
      <c r="H121" s="296">
        <f>SUM(C121:G121)</f>
        <v/>
      </c>
    </row>
    <row r="122" ht="12.75" customHeight="1">
      <c r="A122" s="114" t="n">
        <v>4642000</v>
      </c>
      <c r="B122" s="112" t="inlineStr">
        <is>
          <t>FINBL overige rentebaten</t>
        </is>
      </c>
      <c r="G122" s="313" t="n">
        <v>3012</v>
      </c>
      <c r="H122" s="296">
        <f>SUM(C122:G122)</f>
        <v/>
      </c>
    </row>
    <row r="123" ht="12.75" customHeight="1">
      <c r="A123" s="114" t="inlineStr">
        <is>
          <t>Totaal Financiële baten en lasten</t>
        </is>
      </c>
      <c r="D123" s="314">
        <f>SUM(D117:D121)</f>
        <v/>
      </c>
      <c r="E123" s="314">
        <f>SUM(E117:E121)</f>
        <v/>
      </c>
      <c r="F123" s="313">
        <f>SUM(F117:F121)</f>
        <v/>
      </c>
      <c r="G123" s="313">
        <f>SUM(G117:G122)</f>
        <v/>
      </c>
      <c r="H123" s="313">
        <f>SUM(H117:H122)</f>
        <v/>
      </c>
    </row>
    <row r="124" ht="12.75" customHeight="1"/>
    <row r="125" ht="12.75" customHeight="1">
      <c r="A125" s="114" t="n">
        <v>9500000</v>
      </c>
      <c r="B125" s="112" t="inlineStr">
        <is>
          <t>VPB Vennootschapsbelasting VPB Huidg jaar</t>
        </is>
      </c>
      <c r="D125" s="314" t="n">
        <v>1827377</v>
      </c>
      <c r="H125" s="296">
        <f>SUM(C125:G125)</f>
        <v/>
      </c>
    </row>
    <row r="126" ht="12.75" customHeight="1">
      <c r="A126" s="114" t="inlineStr">
        <is>
          <t>9510000</t>
        </is>
      </c>
      <c r="B126" s="112" t="inlineStr">
        <is>
          <t>VPB Mutatie belastinglatentie Mutatie actieve latentie</t>
        </is>
      </c>
      <c r="D126" s="314" t="n">
        <v>278091</v>
      </c>
      <c r="E126" s="314" t="n">
        <v>293081</v>
      </c>
      <c r="F126" s="313" t="n">
        <v>-524916</v>
      </c>
      <c r="G126" s="313" t="n">
        <v>-118583</v>
      </c>
      <c r="H126" s="296">
        <f>SUM(C126:G126)</f>
        <v/>
      </c>
    </row>
    <row r="127" ht="12.75" customHeight="1">
      <c r="A127" s="114" t="n">
        <v>9500100</v>
      </c>
      <c r="B127" s="112" t="inlineStr">
        <is>
          <t>VPB Vennootschapsbelasting VPB voorgaande jaren</t>
        </is>
      </c>
      <c r="D127" s="314" t="n">
        <v>-154348</v>
      </c>
      <c r="F127" s="313" t="n">
        <v>0</v>
      </c>
      <c r="G127" s="313" t="n">
        <v>53597</v>
      </c>
      <c r="H127" s="296">
        <f>SUM(C127:G127)</f>
        <v/>
      </c>
    </row>
    <row r="128" ht="12.75" customHeight="1">
      <c r="A128" s="114" t="inlineStr">
        <is>
          <t>Totaal vennootschapsbelasting</t>
        </is>
      </c>
      <c r="D128" s="314">
        <f>SUM(D125:D127)</f>
        <v/>
      </c>
      <c r="E128" s="314">
        <f>SUM(E125:E127)</f>
        <v/>
      </c>
      <c r="F128" s="314">
        <f>SUM(F125:F127)</f>
        <v/>
      </c>
      <c r="G128" s="314">
        <f>SUM(G125:G127)</f>
        <v/>
      </c>
      <c r="H128" s="314">
        <f>SUM(H125:H127)</f>
        <v/>
      </c>
    </row>
    <row r="129" ht="12.75" customHeight="1"/>
    <row r="130" ht="12.75" customHeight="1">
      <c r="A130" s="112" t="inlineStr">
        <is>
          <t>Resultaat na belasting</t>
        </is>
      </c>
      <c r="D130" s="314">
        <f>D72+D77+D80+D84+D94+D99+D102+D115+D123+D128</f>
        <v/>
      </c>
      <c r="E130" s="314">
        <f>E72+E77+E80+E84+E94+E99+E102+E115+E123+E128</f>
        <v/>
      </c>
      <c r="F130" s="313">
        <f>F72+F77+F80+F84+F94+F99+F102+F115+F123+F128</f>
        <v/>
      </c>
      <c r="G130" s="313">
        <f>G72+G77+G80+G84+G94+G99+G102+G115+G123+G128</f>
        <v/>
      </c>
      <c r="H130" s="313">
        <f>H72+H77+H80+H84+H94+H99+H102+H115+H123+H128</f>
        <v/>
      </c>
    </row>
    <row r="131" ht="12.75" customHeight="1"/>
    <row r="132" ht="12.75" customHeight="1">
      <c r="C132" s="316" t="n"/>
      <c r="D132" s="316">
        <f>SUM(D4:D66)+D130</f>
        <v/>
      </c>
      <c r="E132" s="316">
        <f>SUM(E4:E66)+E130</f>
        <v/>
      </c>
      <c r="F132" s="325">
        <f>SUM(F4:F66)+F130</f>
        <v/>
      </c>
      <c r="G132" s="325">
        <f>SUM(G4:G66)+G130</f>
        <v/>
      </c>
      <c r="H132" s="316">
        <f>SUM(H4:H66)+H130</f>
        <v/>
      </c>
    </row>
    <row r="133" ht="12.75" customHeight="1"/>
    <row r="134" ht="12.75" customHeight="1">
      <c r="H134" s="296">
        <f>3974568+271041</f>
        <v/>
      </c>
      <c r="I134" s="112" t="inlineStr">
        <is>
          <t>Resultaat Twinfield</t>
        </is>
      </c>
    </row>
    <row r="135" ht="12.75" customHeight="1">
      <c r="H135" s="296">
        <f>-H130</f>
        <v/>
      </c>
      <c r="I135" s="112" t="inlineStr">
        <is>
          <t>Resultaat Rapportage</t>
        </is>
      </c>
    </row>
    <row r="136" ht="12.75" customHeight="1">
      <c r="H136" s="326">
        <f>H134-H135</f>
        <v/>
      </c>
      <c r="I136" s="112" t="inlineStr">
        <is>
          <t>Verschil</t>
        </is>
      </c>
    </row>
    <row r="137" ht="12.75" customHeight="1">
      <c r="H137" s="296" t="n">
        <v>540977</v>
      </c>
      <c r="I137" s="112" t="inlineStr">
        <is>
          <t>Corr activeren OH 2019</t>
        </is>
      </c>
    </row>
    <row r="138" ht="12.75" customHeight="1">
      <c r="H138" s="326">
        <f>H136-H137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8"/>
  <sheetViews>
    <sheetView zoomScale="70" zoomScaleNormal="70" workbookViewId="0">
      <selection activeCell="G85" sqref="G85"/>
    </sheetView>
  </sheetViews>
  <sheetFormatPr baseColWidth="8" defaultRowHeight="14.4"/>
  <cols>
    <col width="20" bestFit="1" customWidth="1" style="114" min="1" max="1"/>
    <col width="66.33203125" bestFit="1" customWidth="1" style="112" min="2" max="2"/>
    <col width="21.33203125" customWidth="1" style="314" min="3" max="4"/>
    <col width="21.33203125" customWidth="1" style="313" min="5" max="7"/>
    <col width="17.33203125" bestFit="1" customWidth="1" style="296" min="8" max="8"/>
    <col width="11.109375" customWidth="1" style="112" min="9" max="9"/>
    <col width="21.33203125" customWidth="1" style="316" min="10" max="10"/>
    <col width="8.88671875" customWidth="1" style="112" min="11" max="256"/>
    <col width="20" bestFit="1" customWidth="1" style="112" min="257" max="257"/>
    <col width="66.33203125" bestFit="1" customWidth="1" style="112" min="258" max="258"/>
    <col width="21.33203125" customWidth="1" style="112" min="259" max="263"/>
    <col width="17.33203125" bestFit="1" customWidth="1" style="112" min="264" max="264"/>
    <col width="11.109375" customWidth="1" style="112" min="265" max="265"/>
    <col width="21.33203125" customWidth="1" style="112" min="266" max="266"/>
    <col width="8.88671875" customWidth="1" style="112" min="267" max="512"/>
    <col width="20" bestFit="1" customWidth="1" style="112" min="513" max="513"/>
    <col width="66.33203125" bestFit="1" customWidth="1" style="112" min="514" max="514"/>
    <col width="21.33203125" customWidth="1" style="112" min="515" max="519"/>
    <col width="17.33203125" bestFit="1" customWidth="1" style="112" min="520" max="520"/>
    <col width="11.109375" customWidth="1" style="112" min="521" max="521"/>
    <col width="21.33203125" customWidth="1" style="112" min="522" max="522"/>
    <col width="8.88671875" customWidth="1" style="112" min="523" max="768"/>
    <col width="20" bestFit="1" customWidth="1" style="112" min="769" max="769"/>
    <col width="66.33203125" bestFit="1" customWidth="1" style="112" min="770" max="770"/>
    <col width="21.33203125" customWidth="1" style="112" min="771" max="775"/>
    <col width="17.33203125" bestFit="1" customWidth="1" style="112" min="776" max="776"/>
    <col width="11.109375" customWidth="1" style="112" min="777" max="777"/>
    <col width="21.33203125" customWidth="1" style="112" min="778" max="778"/>
    <col width="8.88671875" customWidth="1" style="112" min="779" max="1024"/>
    <col width="20" bestFit="1" customWidth="1" style="112" min="1025" max="1025"/>
    <col width="66.33203125" bestFit="1" customWidth="1" style="112" min="1026" max="1026"/>
    <col width="21.33203125" customWidth="1" style="112" min="1027" max="1031"/>
    <col width="17.33203125" bestFit="1" customWidth="1" style="112" min="1032" max="1032"/>
    <col width="11.109375" customWidth="1" style="112" min="1033" max="1033"/>
    <col width="21.33203125" customWidth="1" style="112" min="1034" max="1034"/>
    <col width="8.88671875" customWidth="1" style="112" min="1035" max="1280"/>
    <col width="20" bestFit="1" customWidth="1" style="112" min="1281" max="1281"/>
    <col width="66.33203125" bestFit="1" customWidth="1" style="112" min="1282" max="1282"/>
    <col width="21.33203125" customWidth="1" style="112" min="1283" max="1287"/>
    <col width="17.33203125" bestFit="1" customWidth="1" style="112" min="1288" max="1288"/>
    <col width="11.109375" customWidth="1" style="112" min="1289" max="1289"/>
    <col width="21.33203125" customWidth="1" style="112" min="1290" max="1290"/>
    <col width="8.88671875" customWidth="1" style="112" min="1291" max="1536"/>
    <col width="20" bestFit="1" customWidth="1" style="112" min="1537" max="1537"/>
    <col width="66.33203125" bestFit="1" customWidth="1" style="112" min="1538" max="1538"/>
    <col width="21.33203125" customWidth="1" style="112" min="1539" max="1543"/>
    <col width="17.33203125" bestFit="1" customWidth="1" style="112" min="1544" max="1544"/>
    <col width="11.109375" customWidth="1" style="112" min="1545" max="1545"/>
    <col width="21.33203125" customWidth="1" style="112" min="1546" max="1546"/>
    <col width="8.88671875" customWidth="1" style="112" min="1547" max="1792"/>
    <col width="20" bestFit="1" customWidth="1" style="112" min="1793" max="1793"/>
    <col width="66.33203125" bestFit="1" customWidth="1" style="112" min="1794" max="1794"/>
    <col width="21.33203125" customWidth="1" style="112" min="1795" max="1799"/>
    <col width="17.33203125" bestFit="1" customWidth="1" style="112" min="1800" max="1800"/>
    <col width="11.109375" customWidth="1" style="112" min="1801" max="1801"/>
    <col width="21.33203125" customWidth="1" style="112" min="1802" max="1802"/>
    <col width="8.88671875" customWidth="1" style="112" min="1803" max="2048"/>
    <col width="20" bestFit="1" customWidth="1" style="112" min="2049" max="2049"/>
    <col width="66.33203125" bestFit="1" customWidth="1" style="112" min="2050" max="2050"/>
    <col width="21.33203125" customWidth="1" style="112" min="2051" max="2055"/>
    <col width="17.33203125" bestFit="1" customWidth="1" style="112" min="2056" max="2056"/>
    <col width="11.109375" customWidth="1" style="112" min="2057" max="2057"/>
    <col width="21.33203125" customWidth="1" style="112" min="2058" max="2058"/>
    <col width="8.88671875" customWidth="1" style="112" min="2059" max="2304"/>
    <col width="20" bestFit="1" customWidth="1" style="112" min="2305" max="2305"/>
    <col width="66.33203125" bestFit="1" customWidth="1" style="112" min="2306" max="2306"/>
    <col width="21.33203125" customWidth="1" style="112" min="2307" max="2311"/>
    <col width="17.33203125" bestFit="1" customWidth="1" style="112" min="2312" max="2312"/>
    <col width="11.109375" customWidth="1" style="112" min="2313" max="2313"/>
    <col width="21.33203125" customWidth="1" style="112" min="2314" max="2314"/>
    <col width="8.88671875" customWidth="1" style="112" min="2315" max="2560"/>
    <col width="20" bestFit="1" customWidth="1" style="112" min="2561" max="2561"/>
    <col width="66.33203125" bestFit="1" customWidth="1" style="112" min="2562" max="2562"/>
    <col width="21.33203125" customWidth="1" style="112" min="2563" max="2567"/>
    <col width="17.33203125" bestFit="1" customWidth="1" style="112" min="2568" max="2568"/>
    <col width="11.109375" customWidth="1" style="112" min="2569" max="2569"/>
    <col width="21.33203125" customWidth="1" style="112" min="2570" max="2570"/>
    <col width="8.88671875" customWidth="1" style="112" min="2571" max="2816"/>
    <col width="20" bestFit="1" customWidth="1" style="112" min="2817" max="2817"/>
    <col width="66.33203125" bestFit="1" customWidth="1" style="112" min="2818" max="2818"/>
    <col width="21.33203125" customWidth="1" style="112" min="2819" max="2823"/>
    <col width="17.33203125" bestFit="1" customWidth="1" style="112" min="2824" max="2824"/>
    <col width="11.109375" customWidth="1" style="112" min="2825" max="2825"/>
    <col width="21.33203125" customWidth="1" style="112" min="2826" max="2826"/>
    <col width="8.88671875" customWidth="1" style="112" min="2827" max="3072"/>
    <col width="20" bestFit="1" customWidth="1" style="112" min="3073" max="3073"/>
    <col width="66.33203125" bestFit="1" customWidth="1" style="112" min="3074" max="3074"/>
    <col width="21.33203125" customWidth="1" style="112" min="3075" max="3079"/>
    <col width="17.33203125" bestFit="1" customWidth="1" style="112" min="3080" max="3080"/>
    <col width="11.109375" customWidth="1" style="112" min="3081" max="3081"/>
    <col width="21.33203125" customWidth="1" style="112" min="3082" max="3082"/>
    <col width="8.88671875" customWidth="1" style="112" min="3083" max="3328"/>
    <col width="20" bestFit="1" customWidth="1" style="112" min="3329" max="3329"/>
    <col width="66.33203125" bestFit="1" customWidth="1" style="112" min="3330" max="3330"/>
    <col width="21.33203125" customWidth="1" style="112" min="3331" max="3335"/>
    <col width="17.33203125" bestFit="1" customWidth="1" style="112" min="3336" max="3336"/>
    <col width="11.109375" customWidth="1" style="112" min="3337" max="3337"/>
    <col width="21.33203125" customWidth="1" style="112" min="3338" max="3338"/>
    <col width="8.88671875" customWidth="1" style="112" min="3339" max="3584"/>
    <col width="20" bestFit="1" customWidth="1" style="112" min="3585" max="3585"/>
    <col width="66.33203125" bestFit="1" customWidth="1" style="112" min="3586" max="3586"/>
    <col width="21.33203125" customWidth="1" style="112" min="3587" max="3591"/>
    <col width="17.33203125" bestFit="1" customWidth="1" style="112" min="3592" max="3592"/>
    <col width="11.109375" customWidth="1" style="112" min="3593" max="3593"/>
    <col width="21.33203125" customWidth="1" style="112" min="3594" max="3594"/>
    <col width="8.88671875" customWidth="1" style="112" min="3595" max="3840"/>
    <col width="20" bestFit="1" customWidth="1" style="112" min="3841" max="3841"/>
    <col width="66.33203125" bestFit="1" customWidth="1" style="112" min="3842" max="3842"/>
    <col width="21.33203125" customWidth="1" style="112" min="3843" max="3847"/>
    <col width="17.33203125" bestFit="1" customWidth="1" style="112" min="3848" max="3848"/>
    <col width="11.109375" customWidth="1" style="112" min="3849" max="3849"/>
    <col width="21.33203125" customWidth="1" style="112" min="3850" max="3850"/>
    <col width="8.88671875" customWidth="1" style="112" min="3851" max="4096"/>
    <col width="20" bestFit="1" customWidth="1" style="112" min="4097" max="4097"/>
    <col width="66.33203125" bestFit="1" customWidth="1" style="112" min="4098" max="4098"/>
    <col width="21.33203125" customWidth="1" style="112" min="4099" max="4103"/>
    <col width="17.33203125" bestFit="1" customWidth="1" style="112" min="4104" max="4104"/>
    <col width="11.109375" customWidth="1" style="112" min="4105" max="4105"/>
    <col width="21.33203125" customWidth="1" style="112" min="4106" max="4106"/>
    <col width="8.88671875" customWidth="1" style="112" min="4107" max="4352"/>
    <col width="20" bestFit="1" customWidth="1" style="112" min="4353" max="4353"/>
    <col width="66.33203125" bestFit="1" customWidth="1" style="112" min="4354" max="4354"/>
    <col width="21.33203125" customWidth="1" style="112" min="4355" max="4359"/>
    <col width="17.33203125" bestFit="1" customWidth="1" style="112" min="4360" max="4360"/>
    <col width="11.109375" customWidth="1" style="112" min="4361" max="4361"/>
    <col width="21.33203125" customWidth="1" style="112" min="4362" max="4362"/>
    <col width="8.88671875" customWidth="1" style="112" min="4363" max="4608"/>
    <col width="20" bestFit="1" customWidth="1" style="112" min="4609" max="4609"/>
    <col width="66.33203125" bestFit="1" customWidth="1" style="112" min="4610" max="4610"/>
    <col width="21.33203125" customWidth="1" style="112" min="4611" max="4615"/>
    <col width="17.33203125" bestFit="1" customWidth="1" style="112" min="4616" max="4616"/>
    <col width="11.109375" customWidth="1" style="112" min="4617" max="4617"/>
    <col width="21.33203125" customWidth="1" style="112" min="4618" max="4618"/>
    <col width="8.88671875" customWidth="1" style="112" min="4619" max="4864"/>
    <col width="20" bestFit="1" customWidth="1" style="112" min="4865" max="4865"/>
    <col width="66.33203125" bestFit="1" customWidth="1" style="112" min="4866" max="4866"/>
    <col width="21.33203125" customWidth="1" style="112" min="4867" max="4871"/>
    <col width="17.33203125" bestFit="1" customWidth="1" style="112" min="4872" max="4872"/>
    <col width="11.109375" customWidth="1" style="112" min="4873" max="4873"/>
    <col width="21.33203125" customWidth="1" style="112" min="4874" max="4874"/>
    <col width="8.88671875" customWidth="1" style="112" min="4875" max="5120"/>
    <col width="20" bestFit="1" customWidth="1" style="112" min="5121" max="5121"/>
    <col width="66.33203125" bestFit="1" customWidth="1" style="112" min="5122" max="5122"/>
    <col width="21.33203125" customWidth="1" style="112" min="5123" max="5127"/>
    <col width="17.33203125" bestFit="1" customWidth="1" style="112" min="5128" max="5128"/>
    <col width="11.109375" customWidth="1" style="112" min="5129" max="5129"/>
    <col width="21.33203125" customWidth="1" style="112" min="5130" max="5130"/>
    <col width="8.88671875" customWidth="1" style="112" min="5131" max="5376"/>
    <col width="20" bestFit="1" customWidth="1" style="112" min="5377" max="5377"/>
    <col width="66.33203125" bestFit="1" customWidth="1" style="112" min="5378" max="5378"/>
    <col width="21.33203125" customWidth="1" style="112" min="5379" max="5383"/>
    <col width="17.33203125" bestFit="1" customWidth="1" style="112" min="5384" max="5384"/>
    <col width="11.109375" customWidth="1" style="112" min="5385" max="5385"/>
    <col width="21.33203125" customWidth="1" style="112" min="5386" max="5386"/>
    <col width="8.88671875" customWidth="1" style="112" min="5387" max="5632"/>
    <col width="20" bestFit="1" customWidth="1" style="112" min="5633" max="5633"/>
    <col width="66.33203125" bestFit="1" customWidth="1" style="112" min="5634" max="5634"/>
    <col width="21.33203125" customWidth="1" style="112" min="5635" max="5639"/>
    <col width="17.33203125" bestFit="1" customWidth="1" style="112" min="5640" max="5640"/>
    <col width="11.109375" customWidth="1" style="112" min="5641" max="5641"/>
    <col width="21.33203125" customWidth="1" style="112" min="5642" max="5642"/>
    <col width="8.88671875" customWidth="1" style="112" min="5643" max="5888"/>
    <col width="20" bestFit="1" customWidth="1" style="112" min="5889" max="5889"/>
    <col width="66.33203125" bestFit="1" customWidth="1" style="112" min="5890" max="5890"/>
    <col width="21.33203125" customWidth="1" style="112" min="5891" max="5895"/>
    <col width="17.33203125" bestFit="1" customWidth="1" style="112" min="5896" max="5896"/>
    <col width="11.109375" customWidth="1" style="112" min="5897" max="5897"/>
    <col width="21.33203125" customWidth="1" style="112" min="5898" max="5898"/>
    <col width="8.88671875" customWidth="1" style="112" min="5899" max="6144"/>
    <col width="20" bestFit="1" customWidth="1" style="112" min="6145" max="6145"/>
    <col width="66.33203125" bestFit="1" customWidth="1" style="112" min="6146" max="6146"/>
    <col width="21.33203125" customWidth="1" style="112" min="6147" max="6151"/>
    <col width="17.33203125" bestFit="1" customWidth="1" style="112" min="6152" max="6152"/>
    <col width="11.109375" customWidth="1" style="112" min="6153" max="6153"/>
    <col width="21.33203125" customWidth="1" style="112" min="6154" max="6154"/>
    <col width="8.88671875" customWidth="1" style="112" min="6155" max="6400"/>
    <col width="20" bestFit="1" customWidth="1" style="112" min="6401" max="6401"/>
    <col width="66.33203125" bestFit="1" customWidth="1" style="112" min="6402" max="6402"/>
    <col width="21.33203125" customWidth="1" style="112" min="6403" max="6407"/>
    <col width="17.33203125" bestFit="1" customWidth="1" style="112" min="6408" max="6408"/>
    <col width="11.109375" customWidth="1" style="112" min="6409" max="6409"/>
    <col width="21.33203125" customWidth="1" style="112" min="6410" max="6410"/>
    <col width="8.88671875" customWidth="1" style="112" min="6411" max="6656"/>
    <col width="20" bestFit="1" customWidth="1" style="112" min="6657" max="6657"/>
    <col width="66.33203125" bestFit="1" customWidth="1" style="112" min="6658" max="6658"/>
    <col width="21.33203125" customWidth="1" style="112" min="6659" max="6663"/>
    <col width="17.33203125" bestFit="1" customWidth="1" style="112" min="6664" max="6664"/>
    <col width="11.109375" customWidth="1" style="112" min="6665" max="6665"/>
    <col width="21.33203125" customWidth="1" style="112" min="6666" max="6666"/>
    <col width="8.88671875" customWidth="1" style="112" min="6667" max="6912"/>
    <col width="20" bestFit="1" customWidth="1" style="112" min="6913" max="6913"/>
    <col width="66.33203125" bestFit="1" customWidth="1" style="112" min="6914" max="6914"/>
    <col width="21.33203125" customWidth="1" style="112" min="6915" max="6919"/>
    <col width="17.33203125" bestFit="1" customWidth="1" style="112" min="6920" max="6920"/>
    <col width="11.109375" customWidth="1" style="112" min="6921" max="6921"/>
    <col width="21.33203125" customWidth="1" style="112" min="6922" max="6922"/>
    <col width="8.88671875" customWidth="1" style="112" min="6923" max="7168"/>
    <col width="20" bestFit="1" customWidth="1" style="112" min="7169" max="7169"/>
    <col width="66.33203125" bestFit="1" customWidth="1" style="112" min="7170" max="7170"/>
    <col width="21.33203125" customWidth="1" style="112" min="7171" max="7175"/>
    <col width="17.33203125" bestFit="1" customWidth="1" style="112" min="7176" max="7176"/>
    <col width="11.109375" customWidth="1" style="112" min="7177" max="7177"/>
    <col width="21.33203125" customWidth="1" style="112" min="7178" max="7178"/>
    <col width="8.88671875" customWidth="1" style="112" min="7179" max="7424"/>
    <col width="20" bestFit="1" customWidth="1" style="112" min="7425" max="7425"/>
    <col width="66.33203125" bestFit="1" customWidth="1" style="112" min="7426" max="7426"/>
    <col width="21.33203125" customWidth="1" style="112" min="7427" max="7431"/>
    <col width="17.33203125" bestFit="1" customWidth="1" style="112" min="7432" max="7432"/>
    <col width="11.109375" customWidth="1" style="112" min="7433" max="7433"/>
    <col width="21.33203125" customWidth="1" style="112" min="7434" max="7434"/>
    <col width="8.88671875" customWidth="1" style="112" min="7435" max="7680"/>
    <col width="20" bestFit="1" customWidth="1" style="112" min="7681" max="7681"/>
    <col width="66.33203125" bestFit="1" customWidth="1" style="112" min="7682" max="7682"/>
    <col width="21.33203125" customWidth="1" style="112" min="7683" max="7687"/>
    <col width="17.33203125" bestFit="1" customWidth="1" style="112" min="7688" max="7688"/>
    <col width="11.109375" customWidth="1" style="112" min="7689" max="7689"/>
    <col width="21.33203125" customWidth="1" style="112" min="7690" max="7690"/>
    <col width="8.88671875" customWidth="1" style="112" min="7691" max="7936"/>
    <col width="20" bestFit="1" customWidth="1" style="112" min="7937" max="7937"/>
    <col width="66.33203125" bestFit="1" customWidth="1" style="112" min="7938" max="7938"/>
    <col width="21.33203125" customWidth="1" style="112" min="7939" max="7943"/>
    <col width="17.33203125" bestFit="1" customWidth="1" style="112" min="7944" max="7944"/>
    <col width="11.109375" customWidth="1" style="112" min="7945" max="7945"/>
    <col width="21.33203125" customWidth="1" style="112" min="7946" max="7946"/>
    <col width="8.88671875" customWidth="1" style="112" min="7947" max="8192"/>
    <col width="20" bestFit="1" customWidth="1" style="112" min="8193" max="8193"/>
    <col width="66.33203125" bestFit="1" customWidth="1" style="112" min="8194" max="8194"/>
    <col width="21.33203125" customWidth="1" style="112" min="8195" max="8199"/>
    <col width="17.33203125" bestFit="1" customWidth="1" style="112" min="8200" max="8200"/>
    <col width="11.109375" customWidth="1" style="112" min="8201" max="8201"/>
    <col width="21.33203125" customWidth="1" style="112" min="8202" max="8202"/>
    <col width="8.88671875" customWidth="1" style="112" min="8203" max="8448"/>
    <col width="20" bestFit="1" customWidth="1" style="112" min="8449" max="8449"/>
    <col width="66.33203125" bestFit="1" customWidth="1" style="112" min="8450" max="8450"/>
    <col width="21.33203125" customWidth="1" style="112" min="8451" max="8455"/>
    <col width="17.33203125" bestFit="1" customWidth="1" style="112" min="8456" max="8456"/>
    <col width="11.109375" customWidth="1" style="112" min="8457" max="8457"/>
    <col width="21.33203125" customWidth="1" style="112" min="8458" max="8458"/>
    <col width="8.88671875" customWidth="1" style="112" min="8459" max="8704"/>
    <col width="20" bestFit="1" customWidth="1" style="112" min="8705" max="8705"/>
    <col width="66.33203125" bestFit="1" customWidth="1" style="112" min="8706" max="8706"/>
    <col width="21.33203125" customWidth="1" style="112" min="8707" max="8711"/>
    <col width="17.33203125" bestFit="1" customWidth="1" style="112" min="8712" max="8712"/>
    <col width="11.109375" customWidth="1" style="112" min="8713" max="8713"/>
    <col width="21.33203125" customWidth="1" style="112" min="8714" max="8714"/>
    <col width="8.88671875" customWidth="1" style="112" min="8715" max="8960"/>
    <col width="20" bestFit="1" customWidth="1" style="112" min="8961" max="8961"/>
    <col width="66.33203125" bestFit="1" customWidth="1" style="112" min="8962" max="8962"/>
    <col width="21.33203125" customWidth="1" style="112" min="8963" max="8967"/>
    <col width="17.33203125" bestFit="1" customWidth="1" style="112" min="8968" max="8968"/>
    <col width="11.109375" customWidth="1" style="112" min="8969" max="8969"/>
    <col width="21.33203125" customWidth="1" style="112" min="8970" max="8970"/>
    <col width="8.88671875" customWidth="1" style="112" min="8971" max="9216"/>
    <col width="20" bestFit="1" customWidth="1" style="112" min="9217" max="9217"/>
    <col width="66.33203125" bestFit="1" customWidth="1" style="112" min="9218" max="9218"/>
    <col width="21.33203125" customWidth="1" style="112" min="9219" max="9223"/>
    <col width="17.33203125" bestFit="1" customWidth="1" style="112" min="9224" max="9224"/>
    <col width="11.109375" customWidth="1" style="112" min="9225" max="9225"/>
    <col width="21.33203125" customWidth="1" style="112" min="9226" max="9226"/>
    <col width="8.88671875" customWidth="1" style="112" min="9227" max="9472"/>
    <col width="20" bestFit="1" customWidth="1" style="112" min="9473" max="9473"/>
    <col width="66.33203125" bestFit="1" customWidth="1" style="112" min="9474" max="9474"/>
    <col width="21.33203125" customWidth="1" style="112" min="9475" max="9479"/>
    <col width="17.33203125" bestFit="1" customWidth="1" style="112" min="9480" max="9480"/>
    <col width="11.109375" customWidth="1" style="112" min="9481" max="9481"/>
    <col width="21.33203125" customWidth="1" style="112" min="9482" max="9482"/>
    <col width="8.88671875" customWidth="1" style="112" min="9483" max="9728"/>
    <col width="20" bestFit="1" customWidth="1" style="112" min="9729" max="9729"/>
    <col width="66.33203125" bestFit="1" customWidth="1" style="112" min="9730" max="9730"/>
    <col width="21.33203125" customWidth="1" style="112" min="9731" max="9735"/>
    <col width="17.33203125" bestFit="1" customWidth="1" style="112" min="9736" max="9736"/>
    <col width="11.109375" customWidth="1" style="112" min="9737" max="9737"/>
    <col width="21.33203125" customWidth="1" style="112" min="9738" max="9738"/>
    <col width="8.88671875" customWidth="1" style="112" min="9739" max="9984"/>
    <col width="20" bestFit="1" customWidth="1" style="112" min="9985" max="9985"/>
    <col width="66.33203125" bestFit="1" customWidth="1" style="112" min="9986" max="9986"/>
    <col width="21.33203125" customWidth="1" style="112" min="9987" max="9991"/>
    <col width="17.33203125" bestFit="1" customWidth="1" style="112" min="9992" max="9992"/>
    <col width="11.109375" customWidth="1" style="112" min="9993" max="9993"/>
    <col width="21.33203125" customWidth="1" style="112" min="9994" max="9994"/>
    <col width="8.88671875" customWidth="1" style="112" min="9995" max="10240"/>
    <col width="20" bestFit="1" customWidth="1" style="112" min="10241" max="10241"/>
    <col width="66.33203125" bestFit="1" customWidth="1" style="112" min="10242" max="10242"/>
    <col width="21.33203125" customWidth="1" style="112" min="10243" max="10247"/>
    <col width="17.33203125" bestFit="1" customWidth="1" style="112" min="10248" max="10248"/>
    <col width="11.109375" customWidth="1" style="112" min="10249" max="10249"/>
    <col width="21.33203125" customWidth="1" style="112" min="10250" max="10250"/>
    <col width="8.88671875" customWidth="1" style="112" min="10251" max="10496"/>
    <col width="20" bestFit="1" customWidth="1" style="112" min="10497" max="10497"/>
    <col width="66.33203125" bestFit="1" customWidth="1" style="112" min="10498" max="10498"/>
    <col width="21.33203125" customWidth="1" style="112" min="10499" max="10503"/>
    <col width="17.33203125" bestFit="1" customWidth="1" style="112" min="10504" max="10504"/>
    <col width="11.109375" customWidth="1" style="112" min="10505" max="10505"/>
    <col width="21.33203125" customWidth="1" style="112" min="10506" max="10506"/>
    <col width="8.88671875" customWidth="1" style="112" min="10507" max="10752"/>
    <col width="20" bestFit="1" customWidth="1" style="112" min="10753" max="10753"/>
    <col width="66.33203125" bestFit="1" customWidth="1" style="112" min="10754" max="10754"/>
    <col width="21.33203125" customWidth="1" style="112" min="10755" max="10759"/>
    <col width="17.33203125" bestFit="1" customWidth="1" style="112" min="10760" max="10760"/>
    <col width="11.109375" customWidth="1" style="112" min="10761" max="10761"/>
    <col width="21.33203125" customWidth="1" style="112" min="10762" max="10762"/>
    <col width="8.88671875" customWidth="1" style="112" min="10763" max="11008"/>
    <col width="20" bestFit="1" customWidth="1" style="112" min="11009" max="11009"/>
    <col width="66.33203125" bestFit="1" customWidth="1" style="112" min="11010" max="11010"/>
    <col width="21.33203125" customWidth="1" style="112" min="11011" max="11015"/>
    <col width="17.33203125" bestFit="1" customWidth="1" style="112" min="11016" max="11016"/>
    <col width="11.109375" customWidth="1" style="112" min="11017" max="11017"/>
    <col width="21.33203125" customWidth="1" style="112" min="11018" max="11018"/>
    <col width="8.88671875" customWidth="1" style="112" min="11019" max="11264"/>
    <col width="20" bestFit="1" customWidth="1" style="112" min="11265" max="11265"/>
    <col width="66.33203125" bestFit="1" customWidth="1" style="112" min="11266" max="11266"/>
    <col width="21.33203125" customWidth="1" style="112" min="11267" max="11271"/>
    <col width="17.33203125" bestFit="1" customWidth="1" style="112" min="11272" max="11272"/>
    <col width="11.109375" customWidth="1" style="112" min="11273" max="11273"/>
    <col width="21.33203125" customWidth="1" style="112" min="11274" max="11274"/>
    <col width="8.88671875" customWidth="1" style="112" min="11275" max="11520"/>
    <col width="20" bestFit="1" customWidth="1" style="112" min="11521" max="11521"/>
    <col width="66.33203125" bestFit="1" customWidth="1" style="112" min="11522" max="11522"/>
    <col width="21.33203125" customWidth="1" style="112" min="11523" max="11527"/>
    <col width="17.33203125" bestFit="1" customWidth="1" style="112" min="11528" max="11528"/>
    <col width="11.109375" customWidth="1" style="112" min="11529" max="11529"/>
    <col width="21.33203125" customWidth="1" style="112" min="11530" max="11530"/>
    <col width="8.88671875" customWidth="1" style="112" min="11531" max="11776"/>
    <col width="20" bestFit="1" customWidth="1" style="112" min="11777" max="11777"/>
    <col width="66.33203125" bestFit="1" customWidth="1" style="112" min="11778" max="11778"/>
    <col width="21.33203125" customWidth="1" style="112" min="11779" max="11783"/>
    <col width="17.33203125" bestFit="1" customWidth="1" style="112" min="11784" max="11784"/>
    <col width="11.109375" customWidth="1" style="112" min="11785" max="11785"/>
    <col width="21.33203125" customWidth="1" style="112" min="11786" max="11786"/>
    <col width="8.88671875" customWidth="1" style="112" min="11787" max="12032"/>
    <col width="20" bestFit="1" customWidth="1" style="112" min="12033" max="12033"/>
    <col width="66.33203125" bestFit="1" customWidth="1" style="112" min="12034" max="12034"/>
    <col width="21.33203125" customWidth="1" style="112" min="12035" max="12039"/>
    <col width="17.33203125" bestFit="1" customWidth="1" style="112" min="12040" max="12040"/>
    <col width="11.109375" customWidth="1" style="112" min="12041" max="12041"/>
    <col width="21.33203125" customWidth="1" style="112" min="12042" max="12042"/>
    <col width="8.88671875" customWidth="1" style="112" min="12043" max="12288"/>
    <col width="20" bestFit="1" customWidth="1" style="112" min="12289" max="12289"/>
    <col width="66.33203125" bestFit="1" customWidth="1" style="112" min="12290" max="12290"/>
    <col width="21.33203125" customWidth="1" style="112" min="12291" max="12295"/>
    <col width="17.33203125" bestFit="1" customWidth="1" style="112" min="12296" max="12296"/>
    <col width="11.109375" customWidth="1" style="112" min="12297" max="12297"/>
    <col width="21.33203125" customWidth="1" style="112" min="12298" max="12298"/>
    <col width="8.88671875" customWidth="1" style="112" min="12299" max="12544"/>
    <col width="20" bestFit="1" customWidth="1" style="112" min="12545" max="12545"/>
    <col width="66.33203125" bestFit="1" customWidth="1" style="112" min="12546" max="12546"/>
    <col width="21.33203125" customWidth="1" style="112" min="12547" max="12551"/>
    <col width="17.33203125" bestFit="1" customWidth="1" style="112" min="12552" max="12552"/>
    <col width="11.109375" customWidth="1" style="112" min="12553" max="12553"/>
    <col width="21.33203125" customWidth="1" style="112" min="12554" max="12554"/>
    <col width="8.88671875" customWidth="1" style="112" min="12555" max="12800"/>
    <col width="20" bestFit="1" customWidth="1" style="112" min="12801" max="12801"/>
    <col width="66.33203125" bestFit="1" customWidth="1" style="112" min="12802" max="12802"/>
    <col width="21.33203125" customWidth="1" style="112" min="12803" max="12807"/>
    <col width="17.33203125" bestFit="1" customWidth="1" style="112" min="12808" max="12808"/>
    <col width="11.109375" customWidth="1" style="112" min="12809" max="12809"/>
    <col width="21.33203125" customWidth="1" style="112" min="12810" max="12810"/>
    <col width="8.88671875" customWidth="1" style="112" min="12811" max="13056"/>
    <col width="20" bestFit="1" customWidth="1" style="112" min="13057" max="13057"/>
    <col width="66.33203125" bestFit="1" customWidth="1" style="112" min="13058" max="13058"/>
    <col width="21.33203125" customWidth="1" style="112" min="13059" max="13063"/>
    <col width="17.33203125" bestFit="1" customWidth="1" style="112" min="13064" max="13064"/>
    <col width="11.109375" customWidth="1" style="112" min="13065" max="13065"/>
    <col width="21.33203125" customWidth="1" style="112" min="13066" max="13066"/>
    <col width="8.88671875" customWidth="1" style="112" min="13067" max="13312"/>
    <col width="20" bestFit="1" customWidth="1" style="112" min="13313" max="13313"/>
    <col width="66.33203125" bestFit="1" customWidth="1" style="112" min="13314" max="13314"/>
    <col width="21.33203125" customWidth="1" style="112" min="13315" max="13319"/>
    <col width="17.33203125" bestFit="1" customWidth="1" style="112" min="13320" max="13320"/>
    <col width="11.109375" customWidth="1" style="112" min="13321" max="13321"/>
    <col width="21.33203125" customWidth="1" style="112" min="13322" max="13322"/>
    <col width="8.88671875" customWidth="1" style="112" min="13323" max="13568"/>
    <col width="20" bestFit="1" customWidth="1" style="112" min="13569" max="13569"/>
    <col width="66.33203125" bestFit="1" customWidth="1" style="112" min="13570" max="13570"/>
    <col width="21.33203125" customWidth="1" style="112" min="13571" max="13575"/>
    <col width="17.33203125" bestFit="1" customWidth="1" style="112" min="13576" max="13576"/>
    <col width="11.109375" customWidth="1" style="112" min="13577" max="13577"/>
    <col width="21.33203125" customWidth="1" style="112" min="13578" max="13578"/>
    <col width="8.88671875" customWidth="1" style="112" min="13579" max="13824"/>
    <col width="20" bestFit="1" customWidth="1" style="112" min="13825" max="13825"/>
    <col width="66.33203125" bestFit="1" customWidth="1" style="112" min="13826" max="13826"/>
    <col width="21.33203125" customWidth="1" style="112" min="13827" max="13831"/>
    <col width="17.33203125" bestFit="1" customWidth="1" style="112" min="13832" max="13832"/>
    <col width="11.109375" customWidth="1" style="112" min="13833" max="13833"/>
    <col width="21.33203125" customWidth="1" style="112" min="13834" max="13834"/>
    <col width="8.88671875" customWidth="1" style="112" min="13835" max="14080"/>
    <col width="20" bestFit="1" customWidth="1" style="112" min="14081" max="14081"/>
    <col width="66.33203125" bestFit="1" customWidth="1" style="112" min="14082" max="14082"/>
    <col width="21.33203125" customWidth="1" style="112" min="14083" max="14087"/>
    <col width="17.33203125" bestFit="1" customWidth="1" style="112" min="14088" max="14088"/>
    <col width="11.109375" customWidth="1" style="112" min="14089" max="14089"/>
    <col width="21.33203125" customWidth="1" style="112" min="14090" max="14090"/>
    <col width="8.88671875" customWidth="1" style="112" min="14091" max="14336"/>
    <col width="20" bestFit="1" customWidth="1" style="112" min="14337" max="14337"/>
    <col width="66.33203125" bestFit="1" customWidth="1" style="112" min="14338" max="14338"/>
    <col width="21.33203125" customWidth="1" style="112" min="14339" max="14343"/>
    <col width="17.33203125" bestFit="1" customWidth="1" style="112" min="14344" max="14344"/>
    <col width="11.109375" customWidth="1" style="112" min="14345" max="14345"/>
    <col width="21.33203125" customWidth="1" style="112" min="14346" max="14346"/>
    <col width="8.88671875" customWidth="1" style="112" min="14347" max="14592"/>
    <col width="20" bestFit="1" customWidth="1" style="112" min="14593" max="14593"/>
    <col width="66.33203125" bestFit="1" customWidth="1" style="112" min="14594" max="14594"/>
    <col width="21.33203125" customWidth="1" style="112" min="14595" max="14599"/>
    <col width="17.33203125" bestFit="1" customWidth="1" style="112" min="14600" max="14600"/>
    <col width="11.109375" customWidth="1" style="112" min="14601" max="14601"/>
    <col width="21.33203125" customWidth="1" style="112" min="14602" max="14602"/>
    <col width="8.88671875" customWidth="1" style="112" min="14603" max="14848"/>
    <col width="20" bestFit="1" customWidth="1" style="112" min="14849" max="14849"/>
    <col width="66.33203125" bestFit="1" customWidth="1" style="112" min="14850" max="14850"/>
    <col width="21.33203125" customWidth="1" style="112" min="14851" max="14855"/>
    <col width="17.33203125" bestFit="1" customWidth="1" style="112" min="14856" max="14856"/>
    <col width="11.109375" customWidth="1" style="112" min="14857" max="14857"/>
    <col width="21.33203125" customWidth="1" style="112" min="14858" max="14858"/>
    <col width="8.88671875" customWidth="1" style="112" min="14859" max="15104"/>
    <col width="20" bestFit="1" customWidth="1" style="112" min="15105" max="15105"/>
    <col width="66.33203125" bestFit="1" customWidth="1" style="112" min="15106" max="15106"/>
    <col width="21.33203125" customWidth="1" style="112" min="15107" max="15111"/>
    <col width="17.33203125" bestFit="1" customWidth="1" style="112" min="15112" max="15112"/>
    <col width="11.109375" customWidth="1" style="112" min="15113" max="15113"/>
    <col width="21.33203125" customWidth="1" style="112" min="15114" max="15114"/>
    <col width="8.88671875" customWidth="1" style="112" min="15115" max="15360"/>
    <col width="20" bestFit="1" customWidth="1" style="112" min="15361" max="15361"/>
    <col width="66.33203125" bestFit="1" customWidth="1" style="112" min="15362" max="15362"/>
    <col width="21.33203125" customWidth="1" style="112" min="15363" max="15367"/>
    <col width="17.33203125" bestFit="1" customWidth="1" style="112" min="15368" max="15368"/>
    <col width="11.109375" customWidth="1" style="112" min="15369" max="15369"/>
    <col width="21.33203125" customWidth="1" style="112" min="15370" max="15370"/>
    <col width="8.88671875" customWidth="1" style="112" min="15371" max="15616"/>
    <col width="20" bestFit="1" customWidth="1" style="112" min="15617" max="15617"/>
    <col width="66.33203125" bestFit="1" customWidth="1" style="112" min="15618" max="15618"/>
    <col width="21.33203125" customWidth="1" style="112" min="15619" max="15623"/>
    <col width="17.33203125" bestFit="1" customWidth="1" style="112" min="15624" max="15624"/>
    <col width="11.109375" customWidth="1" style="112" min="15625" max="15625"/>
    <col width="21.33203125" customWidth="1" style="112" min="15626" max="15626"/>
    <col width="8.88671875" customWidth="1" style="112" min="15627" max="15872"/>
    <col width="20" bestFit="1" customWidth="1" style="112" min="15873" max="15873"/>
    <col width="66.33203125" bestFit="1" customWidth="1" style="112" min="15874" max="15874"/>
    <col width="21.33203125" customWidth="1" style="112" min="15875" max="15879"/>
    <col width="17.33203125" bestFit="1" customWidth="1" style="112" min="15880" max="15880"/>
    <col width="11.109375" customWidth="1" style="112" min="15881" max="15881"/>
    <col width="21.33203125" customWidth="1" style="112" min="15882" max="15882"/>
    <col width="8.88671875" customWidth="1" style="112" min="15883" max="16128"/>
    <col width="20" bestFit="1" customWidth="1" style="112" min="16129" max="16129"/>
    <col width="66.33203125" bestFit="1" customWidth="1" style="112" min="16130" max="16130"/>
    <col width="21.33203125" customWidth="1" style="112" min="16131" max="16135"/>
    <col width="17.33203125" bestFit="1" customWidth="1" style="112" min="16136" max="16136"/>
    <col width="11.109375" customWidth="1" style="112" min="16137" max="16137"/>
    <col width="21.33203125" customWidth="1" style="112" min="16138" max="16138"/>
    <col width="8.88671875" customWidth="1" style="112" min="16139" max="16384"/>
  </cols>
  <sheetData>
    <row r="1" ht="12.75" customHeight="1">
      <c r="C1" s="314" t="inlineStr">
        <is>
          <t>Eindbalans 31-12-2019</t>
        </is>
      </c>
      <c r="D1" s="314" t="inlineStr">
        <is>
          <t>Mutaties Q1 2020</t>
        </is>
      </c>
      <c r="E1" s="313" t="inlineStr">
        <is>
          <t>Mutaties Q2 2020</t>
        </is>
      </c>
      <c r="F1" s="314" t="inlineStr">
        <is>
          <t>Mutaties Q3</t>
        </is>
      </c>
      <c r="G1" s="314" t="inlineStr">
        <is>
          <t>Mutaties Q4</t>
        </is>
      </c>
      <c r="H1" s="296" t="inlineStr">
        <is>
          <t>Saldi per 31-12-2020</t>
        </is>
      </c>
    </row>
    <row r="2" ht="12.75" customHeight="1"/>
    <row r="3" ht="12.75" customHeight="1">
      <c r="A3" s="113" t="inlineStr">
        <is>
          <t>Balans</t>
        </is>
      </c>
      <c r="D3" s="314" t="n"/>
    </row>
    <row r="4" ht="12.75" customHeight="1">
      <c r="A4" s="114" t="n">
        <v>1600200</v>
      </c>
      <c r="B4" s="112" t="inlineStr">
        <is>
          <t>VG Vastgoedbeleggingen Verkrijgings- of vervaardigingsprijs</t>
        </is>
      </c>
      <c r="C4" s="313" t="n">
        <v>133211445</v>
      </c>
      <c r="D4" s="314" t="n">
        <v>-3658477</v>
      </c>
      <c r="E4" s="313" t="n">
        <v>153567</v>
      </c>
      <c r="G4" s="313" t="n">
        <v>74328</v>
      </c>
      <c r="H4" s="296">
        <f>SUM(C4:G4)</f>
        <v/>
      </c>
      <c r="I4" s="115" t="n"/>
    </row>
    <row r="5" ht="12.75" customHeight="1">
      <c r="A5" s="114" t="inlineStr">
        <is>
          <t>1600200</t>
        </is>
      </c>
      <c r="B5" s="112" t="inlineStr">
        <is>
          <t>VG Vastgoedbeleggingen Cum afschrijvingen en waardeverm</t>
        </is>
      </c>
      <c r="C5" s="314" t="n">
        <v>-10576993</v>
      </c>
      <c r="D5" s="314" t="n">
        <v>-380013</v>
      </c>
      <c r="E5" s="313">
        <f>-630199</f>
        <v/>
      </c>
      <c r="F5" s="313" t="n">
        <v>-653151</v>
      </c>
      <c r="G5" s="313" t="n">
        <v>-654632</v>
      </c>
      <c r="H5" s="296">
        <f>SUM(C5:G5)</f>
        <v/>
      </c>
    </row>
    <row r="6" ht="12.75" customHeight="1">
      <c r="A6" s="114" t="inlineStr">
        <is>
          <t>1610803</t>
        </is>
      </c>
      <c r="B6" s="112" t="inlineStr">
        <is>
          <t>VG Comm VG in exploitatie Buitengebruikstellingen aanschaffingswaarde</t>
        </is>
      </c>
      <c r="C6" s="317" t="n">
        <v>-3658477</v>
      </c>
      <c r="D6" s="317" t="n">
        <v>2472387</v>
      </c>
      <c r="E6" s="317" t="n">
        <v>-841866</v>
      </c>
      <c r="F6" s="317" t="n">
        <v>-947310</v>
      </c>
      <c r="G6" s="317" t="n">
        <v>-1073484</v>
      </c>
      <c r="H6" s="296">
        <f>SUM(C6:G6)</f>
        <v/>
      </c>
    </row>
    <row r="7" ht="12.75" customHeight="1">
      <c r="A7" s="114" t="inlineStr">
        <is>
          <t>1611003</t>
        </is>
      </c>
      <c r="B7" s="112" t="inlineStr">
        <is>
          <t>VG Comm VG in exploitatie Buitengebruikstellingen cum. afschr. en waardeverm.</t>
        </is>
      </c>
      <c r="C7" s="314" t="n">
        <v>262925</v>
      </c>
      <c r="D7" s="314" t="n">
        <v>-162402</v>
      </c>
      <c r="E7" s="313" t="n">
        <v>76100</v>
      </c>
      <c r="F7" s="313" t="n">
        <v>90299</v>
      </c>
      <c r="G7" s="313" t="n">
        <v>110448</v>
      </c>
      <c r="H7" s="296">
        <f>SUM(C7:G7)</f>
        <v/>
      </c>
    </row>
    <row r="8" ht="12.75" customHeight="1">
      <c r="A8" s="112" t="inlineStr">
        <is>
          <t>Totaal Vastgoedbeleggingen</t>
        </is>
      </c>
      <c r="D8" s="314" t="n"/>
      <c r="I8" s="115" t="n"/>
    </row>
    <row r="9" ht="12.75" customHeight="1">
      <c r="D9" s="314" t="n"/>
    </row>
    <row r="10" ht="12.75" customHeight="1">
      <c r="A10" s="114" t="inlineStr">
        <is>
          <t>1790002</t>
        </is>
      </c>
      <c r="B10" s="112" t="inlineStr">
        <is>
          <t>FVA Latente belastingvordering langlopend</t>
        </is>
      </c>
      <c r="C10" s="314" t="n">
        <v>2582604</v>
      </c>
      <c r="D10" s="314" t="n">
        <v>-293081</v>
      </c>
      <c r="E10" s="313" t="n">
        <v>524916</v>
      </c>
      <c r="F10" s="313" t="n">
        <v>118583</v>
      </c>
      <c r="G10" s="313" t="n">
        <v>576960</v>
      </c>
      <c r="H10" s="296">
        <f>SUM(C10:G10)</f>
        <v/>
      </c>
    </row>
    <row r="11" ht="12.75" customHeight="1">
      <c r="A11" s="112" t="inlineStr">
        <is>
          <t>Totaal Financiële vaste activa</t>
        </is>
      </c>
      <c r="D11" s="314" t="n"/>
    </row>
    <row r="12" ht="12.75" customHeight="1">
      <c r="D12" s="314" t="n"/>
    </row>
    <row r="13" ht="12.75" customHeight="1">
      <c r="A13" s="114" t="inlineStr">
        <is>
          <t>2000000</t>
        </is>
      </c>
      <c r="B13" s="112" t="inlineStr">
        <is>
          <t>VOR Debiteuren</t>
        </is>
      </c>
      <c r="C13" s="314" t="n">
        <v>72874</v>
      </c>
      <c r="D13" s="314" t="n">
        <v>220477</v>
      </c>
      <c r="E13" s="313" t="n">
        <v>-208231</v>
      </c>
      <c r="F13" s="313" t="n">
        <v>316526</v>
      </c>
      <c r="G13" s="313" t="n">
        <v>-108369</v>
      </c>
      <c r="H13" s="296">
        <f>SUM(C13:G13)</f>
        <v/>
      </c>
    </row>
    <row r="14" ht="12.75" customHeight="1">
      <c r="A14" s="114" t="inlineStr">
        <is>
          <t>2000300</t>
        </is>
      </c>
      <c r="B14" s="112" t="inlineStr">
        <is>
          <t>VOR Voorziening dubieuze debiteuren</t>
        </is>
      </c>
      <c r="C14" s="314" t="n">
        <v>-55541</v>
      </c>
      <c r="D14" s="314" t="n">
        <v>0</v>
      </c>
      <c r="G14" s="313" t="n">
        <v>0</v>
      </c>
      <c r="H14" s="296">
        <f>SUM(C14:G14)</f>
        <v/>
      </c>
    </row>
    <row r="15" ht="12.75" customHeight="1">
      <c r="A15" s="112" t="inlineStr">
        <is>
          <t>Totaal Debiteuren</t>
        </is>
      </c>
      <c r="D15" s="314" t="n"/>
    </row>
    <row r="16" ht="12.75" customHeight="1">
      <c r="D16" s="314" t="n"/>
    </row>
    <row r="17" ht="12.75" customHeight="1">
      <c r="A17" s="114" t="n">
        <v>2640000</v>
      </c>
      <c r="B17" s="112" t="inlineStr">
        <is>
          <t>RC Kortlopend DMRRP INV - I BV</t>
        </is>
      </c>
      <c r="C17" s="314" t="n">
        <v>-1913400</v>
      </c>
      <c r="D17" s="314" t="n"/>
      <c r="F17" s="313" t="n">
        <v>1642583</v>
      </c>
      <c r="G17" s="313" t="n">
        <v>1116604</v>
      </c>
      <c r="H17" s="296">
        <f>SUM(C17:G17)</f>
        <v/>
      </c>
    </row>
    <row r="18" ht="12.75" customHeight="1">
      <c r="A18" s="112" t="inlineStr">
        <is>
          <t>Totaal Rekening-courant aandeelhouder</t>
        </is>
      </c>
      <c r="D18" s="314" t="n"/>
    </row>
    <row r="19" ht="12.75" customHeight="1">
      <c r="D19" s="314" t="n"/>
    </row>
    <row r="20" ht="12.75" customHeight="1">
      <c r="A20" s="114" t="n">
        <v>2040200</v>
      </c>
      <c r="B20" s="112" t="inlineStr">
        <is>
          <t>VOR Te vorderen waarborgsommen kortlopen</t>
        </is>
      </c>
      <c r="C20" s="314" t="n">
        <v>5000</v>
      </c>
      <c r="D20" s="314" t="n">
        <v>0</v>
      </c>
      <c r="H20" s="296">
        <f>SUM(C20:G20)</f>
        <v/>
      </c>
    </row>
    <row r="21" ht="12.75" customHeight="1">
      <c r="A21" s="114" t="inlineStr">
        <is>
          <t>2040700</t>
        </is>
      </c>
      <c r="B21" s="112" t="inlineStr">
        <is>
          <t>VOR Vooruitbetaalde servicekosten</t>
        </is>
      </c>
      <c r="C21" s="314" t="n">
        <v>3818</v>
      </c>
      <c r="D21" s="314" t="n">
        <v>0</v>
      </c>
      <c r="H21" s="296">
        <f>SUM(C21:G21)</f>
        <v/>
      </c>
    </row>
    <row r="22" ht="12.75" customHeight="1">
      <c r="A22" s="114" t="inlineStr">
        <is>
          <t>2040900</t>
        </is>
      </c>
      <c r="B22" s="112" t="inlineStr">
        <is>
          <t>VOR Vooruitbetaalde overige kosten</t>
        </is>
      </c>
      <c r="C22" s="314" t="n">
        <v>425</v>
      </c>
      <c r="D22" s="313" t="n">
        <v>-65069</v>
      </c>
      <c r="E22" s="313" t="n">
        <v>360152</v>
      </c>
      <c r="F22" s="313" t="n">
        <v>-139615</v>
      </c>
      <c r="G22" s="313" t="n">
        <v>-155468</v>
      </c>
      <c r="H22" s="296">
        <f>SUM(C22:G22)</f>
        <v/>
      </c>
    </row>
    <row r="23" ht="12.75" customHeight="1">
      <c r="A23" s="112" t="inlineStr">
        <is>
          <t>Totaal overige vorderingen</t>
        </is>
      </c>
      <c r="D23" s="314" t="n"/>
    </row>
    <row r="24" ht="12.75" customHeight="1">
      <c r="D24" s="314" t="n"/>
    </row>
    <row r="25" ht="12.75" customHeight="1">
      <c r="A25" s="114" t="inlineStr">
        <is>
          <t>2300000</t>
        </is>
      </c>
      <c r="B25" s="112" t="inlineStr">
        <is>
          <t>LM Kruisposten</t>
        </is>
      </c>
      <c r="C25" s="314" t="n">
        <v>0</v>
      </c>
      <c r="D25" s="314" t="n"/>
      <c r="E25" s="313" t="n">
        <v>0</v>
      </c>
      <c r="H25" s="296">
        <f>SUM(C25:G25)</f>
        <v/>
      </c>
    </row>
    <row r="26" ht="12.75" customHeight="1">
      <c r="A26" s="114" t="inlineStr">
        <is>
          <t>2400200</t>
        </is>
      </c>
      <c r="B26" s="112" t="inlineStr">
        <is>
          <t>LM ABN AMRO Bank Disposal NL58 ABNA 0818 9180 39</t>
        </is>
      </c>
      <c r="C26" s="314" t="n">
        <v>2458970</v>
      </c>
      <c r="D26" s="314" t="n">
        <v>-1031638</v>
      </c>
      <c r="E26" s="313" t="n">
        <v>-1408139</v>
      </c>
      <c r="F26" s="313" t="n">
        <v>-18700</v>
      </c>
      <c r="G26" s="313" t="n">
        <v>-482</v>
      </c>
      <c r="H26" s="296">
        <f>SUM(C26:G26)</f>
        <v/>
      </c>
    </row>
    <row r="27" ht="12.75" customHeight="1">
      <c r="A27" s="114" t="inlineStr">
        <is>
          <t>2400201</t>
        </is>
      </c>
      <c r="B27" s="112" t="inlineStr">
        <is>
          <t>LM ABN AMRO Bank Deposit NL57 ABNA 0541 6205 68</t>
        </is>
      </c>
      <c r="C27" s="314" t="n">
        <v>87809</v>
      </c>
      <c r="D27" s="314" t="n">
        <v>1058693</v>
      </c>
      <c r="E27" s="313" t="n">
        <v>-1109732</v>
      </c>
      <c r="F27" s="313" t="n">
        <v>-19</v>
      </c>
      <c r="G27" s="313" t="n">
        <v>-19</v>
      </c>
      <c r="H27" s="296">
        <f>SUM(C27:G27)</f>
        <v/>
      </c>
    </row>
    <row r="28" ht="12.75" customHeight="1">
      <c r="A28" s="114" t="inlineStr">
        <is>
          <t>2400202</t>
        </is>
      </c>
      <c r="B28" s="112" t="inlineStr">
        <is>
          <t>LM ABN AMRO Bank General NL93 ABNA 0541 6132 27</t>
        </is>
      </c>
      <c r="C28" s="314" t="n">
        <v>772205</v>
      </c>
      <c r="D28" s="314" t="n">
        <v>-29065</v>
      </c>
      <c r="E28" s="313" t="n">
        <v>-50664</v>
      </c>
      <c r="F28" s="313" t="n">
        <v>-417400</v>
      </c>
      <c r="G28" s="313" t="n">
        <v>-13600</v>
      </c>
      <c r="H28" s="296">
        <f>SUM(C28:G28)</f>
        <v/>
      </c>
    </row>
    <row r="29" ht="12.75" customHeight="1">
      <c r="A29" s="114" t="inlineStr">
        <is>
          <t>2400203</t>
        </is>
      </c>
      <c r="B29" s="112" t="inlineStr">
        <is>
          <t>LM ABN AMRO Bank Maintres NL04 ABNA 0541 6188 06</t>
        </is>
      </c>
      <c r="C29" s="314" t="n">
        <v>649462</v>
      </c>
      <c r="D29" s="314" t="n">
        <v>-46640</v>
      </c>
      <c r="E29" s="313" t="n">
        <v>-159674</v>
      </c>
      <c r="F29" s="313" t="n">
        <v>145814</v>
      </c>
      <c r="G29" s="313" t="n">
        <v>-495089</v>
      </c>
      <c r="H29" s="296">
        <f>SUM(C29:G29)</f>
        <v/>
      </c>
    </row>
    <row r="30" ht="12.75" customHeight="1">
      <c r="A30" s="114" t="inlineStr">
        <is>
          <t>2400204</t>
        </is>
      </c>
      <c r="B30" s="112" t="inlineStr">
        <is>
          <t>LM ABN AMRO Bank Rent NL46 ABNA 0541 6088 35</t>
        </is>
      </c>
      <c r="C30" s="314" t="n">
        <v>1761630</v>
      </c>
      <c r="D30" s="314" t="n">
        <v>-73423</v>
      </c>
      <c r="E30" s="313" t="n">
        <v>-420964</v>
      </c>
      <c r="F30" s="313" t="n">
        <v>-850699</v>
      </c>
      <c r="G30" s="313" t="n">
        <v>550068</v>
      </c>
      <c r="H30" s="296">
        <f>SUM(C30:G30)</f>
        <v/>
      </c>
    </row>
    <row r="31" ht="12.75" customHeight="1">
      <c r="A31" s="114" t="inlineStr">
        <is>
          <t>2400205</t>
        </is>
      </c>
      <c r="B31" s="112" t="inlineStr">
        <is>
          <t>LM ABN AMRO Bank SR EXP NL88 ABNA 0541 6205 92</t>
        </is>
      </c>
      <c r="C31" s="314" t="n">
        <v>195600</v>
      </c>
      <c r="D31" s="314" t="n">
        <v>114437</v>
      </c>
      <c r="E31" s="313" t="n">
        <v>-265290</v>
      </c>
      <c r="F31" s="313" t="n">
        <v>133175</v>
      </c>
      <c r="G31" s="313" t="n">
        <v>-24647</v>
      </c>
      <c r="H31" s="296">
        <f>SUM(C31:G31)</f>
        <v/>
      </c>
    </row>
    <row r="32" ht="12.75" customHeight="1">
      <c r="A32" s="112" t="inlineStr">
        <is>
          <t>Totaal Liquide middelen</t>
        </is>
      </c>
    </row>
    <row r="33" ht="12.75" customHeight="1"/>
    <row r="34" ht="12.75" customHeight="1">
      <c r="A34" s="114" t="n">
        <v>1000002</v>
      </c>
      <c r="B34" s="112" t="inlineStr">
        <is>
          <t>EV Normale aandelen Saldo</t>
        </is>
      </c>
      <c r="C34" s="314" t="n">
        <v>-1</v>
      </c>
      <c r="D34" s="314" t="n">
        <v>0</v>
      </c>
      <c r="G34" s="313" t="n">
        <v>0</v>
      </c>
      <c r="H34" s="296">
        <f>SUM(C34:G34)</f>
        <v/>
      </c>
    </row>
    <row r="35" ht="12.75" customHeight="1">
      <c r="A35" s="114" t="n">
        <v>1100000</v>
      </c>
      <c r="B35" s="112" t="inlineStr">
        <is>
          <t>EV Agioreserve Agio aandelen</t>
        </is>
      </c>
      <c r="C35" s="314" t="n">
        <v>-19431219</v>
      </c>
      <c r="D35" s="314" t="n">
        <v>100000</v>
      </c>
      <c r="G35" s="313" t="n">
        <v>0</v>
      </c>
      <c r="H35" s="296">
        <f>SUM(C35:G35)</f>
        <v/>
      </c>
    </row>
    <row r="36" ht="12.75" customHeight="1">
      <c r="A36" s="114" t="n">
        <v>1160000</v>
      </c>
      <c r="B36" s="112" t="inlineStr">
        <is>
          <t>EV Overige reserve Reserve aandelen</t>
        </is>
      </c>
      <c r="C36" s="314" t="n">
        <v>12717900</v>
      </c>
      <c r="D36" s="314" t="n">
        <v>0</v>
      </c>
      <c r="G36" s="313" t="n">
        <v>0</v>
      </c>
      <c r="H36" s="296">
        <f>SUM(C36:G36)</f>
        <v/>
      </c>
      <c r="I36" s="296" t="n"/>
    </row>
    <row r="37" ht="12.75" customHeight="1">
      <c r="A37" s="114" t="inlineStr">
        <is>
          <t>1160100</t>
        </is>
      </c>
      <c r="B37" s="112" t="inlineStr">
        <is>
          <t>EV Overige reserve  Dividenduitkeringen aandelen</t>
        </is>
      </c>
      <c r="C37" s="314" t="n">
        <v>1055500</v>
      </c>
      <c r="D37" s="314" t="n">
        <v>1510938</v>
      </c>
      <c r="E37" s="313" t="n">
        <v>1397717</v>
      </c>
      <c r="F37" s="313" t="n">
        <v>207000</v>
      </c>
      <c r="G37" s="313" t="n">
        <v>0</v>
      </c>
      <c r="H37" s="296">
        <f>SUM(C37:G37)</f>
        <v/>
      </c>
    </row>
    <row r="38" ht="12.75" customHeight="1">
      <c r="A38" s="112" t="inlineStr">
        <is>
          <t>Totaal Eigen vermogen</t>
        </is>
      </c>
    </row>
    <row r="39" ht="12.75" customHeight="1"/>
    <row r="40" ht="12.75" customHeight="1">
      <c r="A40" s="114" t="n">
        <v>1930001</v>
      </c>
      <c r="B40" s="112" t="inlineStr">
        <is>
          <t>LLS Hoofdsom ABN AMRO Bank NV Senior Facility Agreement</t>
        </is>
      </c>
      <c r="C40" s="314" t="n">
        <v>-130000000</v>
      </c>
      <c r="D40" s="314" t="n">
        <v>0</v>
      </c>
      <c r="E40" s="313" t="n">
        <v>0</v>
      </c>
      <c r="F40" s="313" t="n">
        <v>0</v>
      </c>
      <c r="G40" s="313" t="n">
        <v>0</v>
      </c>
      <c r="H40" s="296">
        <f>SUM(C40:G40)</f>
        <v/>
      </c>
    </row>
    <row r="41" ht="12.75" customHeight="1">
      <c r="A41" s="114" t="inlineStr">
        <is>
          <t>1930101</t>
        </is>
      </c>
      <c r="B41" s="112" t="inlineStr">
        <is>
          <t>LLS Cum aflossingen ABN AMRO Bank NV Senior Facility Agreement</t>
        </is>
      </c>
      <c r="C41" s="314" t="n">
        <v>10965573</v>
      </c>
      <c r="D41" s="314" t="n">
        <v>2258971</v>
      </c>
      <c r="E41" s="313" t="n">
        <v>3569138</v>
      </c>
      <c r="F41" s="313" t="n">
        <v>1387184</v>
      </c>
      <c r="G41" s="313" t="n">
        <v>1984184</v>
      </c>
      <c r="H41" s="296">
        <f>SUM(C41:G41)</f>
        <v/>
      </c>
    </row>
    <row r="42" ht="12.75" customHeight="1">
      <c r="A42" s="112" t="inlineStr">
        <is>
          <t>Totaal Langlopende schulden</t>
        </is>
      </c>
    </row>
    <row r="43" ht="12.75" customHeight="1"/>
    <row r="44" ht="12.75" customHeight="1">
      <c r="A44" s="114" t="inlineStr">
        <is>
          <t>2730000</t>
        </is>
      </c>
      <c r="B44" s="112" t="inlineStr">
        <is>
          <t>KLS Crediteuren</t>
        </is>
      </c>
      <c r="C44" s="314" t="n">
        <v>-229468</v>
      </c>
      <c r="D44" s="314" t="n">
        <v>17250</v>
      </c>
      <c r="E44" s="313" t="n">
        <v>900</v>
      </c>
      <c r="F44" s="313" t="n">
        <v>-11928</v>
      </c>
      <c r="G44" s="313" t="n">
        <v>0</v>
      </c>
      <c r="H44" s="296">
        <f>SUM(C44:G44)</f>
        <v/>
      </c>
    </row>
    <row r="45" ht="12.75" customHeight="1">
      <c r="A45" s="114" t="inlineStr">
        <is>
          <t>2730001</t>
        </is>
      </c>
      <c r="B45" s="112" t="inlineStr">
        <is>
          <t>KLS Crediteuren intercompany</t>
        </is>
      </c>
      <c r="C45" s="314" t="n">
        <v>0</v>
      </c>
      <c r="D45" s="314" t="n">
        <v>0</v>
      </c>
      <c r="E45" s="313" t="n">
        <v>0</v>
      </c>
      <c r="F45" s="313" t="n">
        <v>0</v>
      </c>
      <c r="G45" s="313" t="n">
        <v>0</v>
      </c>
      <c r="H45" s="296">
        <f>SUM(C45:G45)</f>
        <v/>
      </c>
    </row>
    <row r="46" ht="12.75" customHeight="1">
      <c r="A46" s="112" t="inlineStr">
        <is>
          <t>Totaal Crediteuren</t>
        </is>
      </c>
    </row>
    <row r="47" ht="12.75" customHeight="1"/>
    <row r="48" ht="12.75" customHeight="1">
      <c r="A48" s="114" t="inlineStr">
        <is>
          <t>2512100</t>
        </is>
      </c>
      <c r="B48" s="112" t="inlineStr">
        <is>
          <t>BEL Afgedragen/ontvangen BTW</t>
        </is>
      </c>
      <c r="C48" s="314" t="n">
        <v>-3930</v>
      </c>
      <c r="D48" s="314" t="n">
        <v>17</v>
      </c>
      <c r="E48" s="313" t="n">
        <v>271</v>
      </c>
      <c r="F48" s="313" t="n">
        <v>-22</v>
      </c>
      <c r="G48" s="313" t="n">
        <v>2114</v>
      </c>
      <c r="H48" s="296">
        <f>SUM(C48:G48)</f>
        <v/>
      </c>
    </row>
    <row r="49" ht="12.75" customHeight="1">
      <c r="A49" s="114" t="inlineStr">
        <is>
          <t>2530000</t>
        </is>
      </c>
      <c r="B49" s="112" t="inlineStr">
        <is>
          <t>BEL Te betalen vennootschapsbelasting</t>
        </is>
      </c>
      <c r="C49" s="314" t="n">
        <v>0</v>
      </c>
      <c r="D49" s="314" t="n">
        <v>0</v>
      </c>
      <c r="E49" s="313" t="n">
        <v>0</v>
      </c>
      <c r="F49" s="313" t="n">
        <v>0</v>
      </c>
      <c r="G49" s="313" t="n">
        <v>0</v>
      </c>
      <c r="H49" s="296">
        <f>SUM(C49:G49)</f>
        <v/>
      </c>
    </row>
    <row r="50" ht="12.75" customHeight="1">
      <c r="A50" s="114" t="inlineStr">
        <is>
          <t>2550000</t>
        </is>
      </c>
      <c r="B50" s="112" t="inlineStr">
        <is>
          <t>BEL Te betalen overige belastingen</t>
        </is>
      </c>
      <c r="C50" s="314" t="n">
        <v>0</v>
      </c>
      <c r="D50" s="314" t="n">
        <v>0</v>
      </c>
      <c r="E50" s="313" t="n">
        <v>0</v>
      </c>
      <c r="F50" s="313" t="n">
        <v>0</v>
      </c>
      <c r="G50" s="313" t="n">
        <v>0</v>
      </c>
      <c r="H50" s="296">
        <f>SUM(C50:G50)</f>
        <v/>
      </c>
    </row>
    <row r="51" ht="12.75" customHeight="1">
      <c r="A51" s="112" t="inlineStr">
        <is>
          <t>Totaal Belastingen</t>
        </is>
      </c>
    </row>
    <row r="52" ht="12.75" customHeight="1"/>
    <row r="53" ht="12.75" customHeight="1">
      <c r="A53" s="114" t="inlineStr">
        <is>
          <t>2740300</t>
        </is>
      </c>
      <c r="B53" s="112" t="inlineStr">
        <is>
          <t>KLS Te betalen waarborgsommen kortlopend</t>
        </is>
      </c>
      <c r="C53" s="314" t="n">
        <v>-710777</v>
      </c>
      <c r="D53" s="314" t="n">
        <v>10687</v>
      </c>
      <c r="E53" s="313" t="n">
        <v>-8611</v>
      </c>
      <c r="F53" s="313" t="n">
        <v>-21291</v>
      </c>
      <c r="G53" s="313" t="n">
        <v>-37329</v>
      </c>
      <c r="H53" s="296">
        <f>SUM(C53:G53)</f>
        <v/>
      </c>
    </row>
    <row r="54" ht="12.75" customHeight="1">
      <c r="A54" s="114" t="n">
        <v>2740500</v>
      </c>
      <c r="B54" s="112" t="inlineStr">
        <is>
          <t>KLS Te betalen accountants- en administratiekosten</t>
        </is>
      </c>
      <c r="C54" s="314" t="n">
        <v>-22500</v>
      </c>
      <c r="D54" s="314" t="n">
        <v>0</v>
      </c>
      <c r="G54" s="313" t="n">
        <v>0</v>
      </c>
      <c r="H54" s="296">
        <f>SUM(C54:G54)</f>
        <v/>
      </c>
    </row>
    <row r="55" ht="12.75" customHeight="1">
      <c r="A55" s="114" t="inlineStr">
        <is>
          <t>2740600</t>
        </is>
      </c>
      <c r="B55" s="112" t="inlineStr">
        <is>
          <t>KLS Te betalen rente</t>
        </is>
      </c>
      <c r="C55" s="314" t="n">
        <v>0</v>
      </c>
      <c r="D55" s="314" t="n">
        <v>-457533</v>
      </c>
      <c r="E55" s="313" t="n">
        <v>457533</v>
      </c>
      <c r="G55" s="313" t="n">
        <v>0</v>
      </c>
      <c r="H55" s="296">
        <f>SUM(C55:G55)</f>
        <v/>
      </c>
    </row>
    <row r="56" ht="12.75" customHeight="1">
      <c r="A56" s="114" t="inlineStr">
        <is>
          <t>2740700</t>
        </is>
      </c>
      <c r="B56" s="112" t="inlineStr">
        <is>
          <t>KLS Te betalen verzekeringen</t>
        </is>
      </c>
      <c r="C56" s="314" t="n">
        <v>2</v>
      </c>
      <c r="D56" s="314" t="n">
        <v>0</v>
      </c>
      <c r="G56" s="313" t="n">
        <v>-2</v>
      </c>
      <c r="H56" s="296">
        <f>SUM(C56:G56)</f>
        <v/>
      </c>
    </row>
    <row r="57" ht="12.75" customHeight="1">
      <c r="A57" s="114" t="inlineStr">
        <is>
          <t>2741000</t>
        </is>
      </c>
      <c r="B57" s="112" t="inlineStr">
        <is>
          <t>KLS Te betalen servicekosten</t>
        </is>
      </c>
      <c r="C57" s="314" t="n">
        <v>-29200</v>
      </c>
      <c r="D57" s="314" t="n">
        <v>0</v>
      </c>
      <c r="G57" s="313" t="n">
        <v>0</v>
      </c>
      <c r="H57" s="296">
        <f>SUM(C57:G57)</f>
        <v/>
      </c>
    </row>
    <row r="58" ht="12.75" customHeight="1">
      <c r="A58" s="114" t="inlineStr">
        <is>
          <t>2741001</t>
        </is>
      </c>
      <c r="B58" s="112" t="inlineStr">
        <is>
          <t>KLS Te betalen exploitatiekosten</t>
        </is>
      </c>
      <c r="C58" s="314" t="n">
        <v>-2118</v>
      </c>
      <c r="D58" s="314" t="n">
        <v>0</v>
      </c>
      <c r="G58" s="313" t="n">
        <v>0</v>
      </c>
      <c r="H58" s="296">
        <f>SUM(C58:G58)</f>
        <v/>
      </c>
    </row>
    <row r="59" ht="12.75" customHeight="1">
      <c r="A59" s="114" t="inlineStr">
        <is>
          <t>2741002</t>
        </is>
      </c>
      <c r="B59" s="112" t="inlineStr">
        <is>
          <t>KLS Te betalen VVE</t>
        </is>
      </c>
      <c r="C59" s="314" t="n">
        <v>-1846</v>
      </c>
      <c r="D59" s="314" t="n">
        <v>0</v>
      </c>
      <c r="G59" s="313" t="n">
        <v>0</v>
      </c>
      <c r="H59" s="296">
        <f>SUM(C59:G59)</f>
        <v/>
      </c>
    </row>
    <row r="60" ht="12.75" customHeight="1">
      <c r="A60" s="114" t="inlineStr">
        <is>
          <t>2741004</t>
        </is>
      </c>
      <c r="B60" s="112" t="inlineStr">
        <is>
          <t>KLS Te betalen Hoen</t>
        </is>
      </c>
      <c r="C60" s="314" t="n">
        <v>-40818</v>
      </c>
      <c r="D60" s="314" t="n">
        <v>483</v>
      </c>
      <c r="E60" s="313" t="n">
        <v>119</v>
      </c>
      <c r="F60" s="313" t="n">
        <v>-40364</v>
      </c>
      <c r="G60" s="313" t="n">
        <v>41453</v>
      </c>
      <c r="H60" s="296">
        <f>SUM(C60:G60)</f>
        <v/>
      </c>
    </row>
    <row r="61" ht="12.75" customHeight="1">
      <c r="A61" s="114" t="inlineStr">
        <is>
          <t>2741005</t>
        </is>
      </c>
      <c r="B61" s="112" t="inlineStr">
        <is>
          <t>KLS Te betalen managementvergoedingen</t>
        </is>
      </c>
      <c r="C61" s="314" t="n">
        <v>0</v>
      </c>
      <c r="D61" s="314" t="n">
        <v>0</v>
      </c>
      <c r="E61" s="313" t="n">
        <v>0</v>
      </c>
      <c r="F61" s="313" t="n">
        <v>0</v>
      </c>
      <c r="G61" s="313" t="n">
        <v>-2445</v>
      </c>
      <c r="H61" s="296">
        <f>SUM(C61:G61)</f>
        <v/>
      </c>
    </row>
    <row r="62" ht="12.75" customHeight="1">
      <c r="A62" s="114" t="inlineStr">
        <is>
          <t>2741200</t>
        </is>
      </c>
      <c r="B62" s="112" t="inlineStr">
        <is>
          <t>KLS Te betalen overige kosten</t>
        </is>
      </c>
      <c r="C62" s="314" t="n">
        <v>20000</v>
      </c>
      <c r="D62" s="313" t="n">
        <v>0</v>
      </c>
      <c r="E62" s="313" t="n">
        <v>-20000</v>
      </c>
      <c r="F62" s="313" t="n">
        <v>20000</v>
      </c>
      <c r="G62" s="313" t="n">
        <v>0</v>
      </c>
      <c r="H62" s="296">
        <f>SUM(C62:G62)</f>
        <v/>
      </c>
    </row>
    <row r="63" ht="12.75" customHeight="1">
      <c r="A63" s="114" t="inlineStr">
        <is>
          <t>2741900</t>
        </is>
      </c>
      <c r="B63" s="112" t="inlineStr">
        <is>
          <t>KLS Nog uit te zoeken posten MT940</t>
        </is>
      </c>
      <c r="C63" s="314" t="n">
        <v>1</v>
      </c>
      <c r="D63" s="314" t="n">
        <v>851</v>
      </c>
      <c r="E63" s="313" t="n">
        <v>-16811</v>
      </c>
      <c r="F63" s="313" t="n">
        <v>15046</v>
      </c>
      <c r="G63" s="313" t="n">
        <v>913</v>
      </c>
      <c r="H63" s="296">
        <f>SUM(C63:G63)</f>
        <v/>
      </c>
    </row>
    <row r="64" ht="12.75" customHeight="1">
      <c r="A64" s="114" t="inlineStr">
        <is>
          <t>2742200</t>
        </is>
      </c>
      <c r="B64" s="112" t="inlineStr">
        <is>
          <t>KLS Vooruitontvangen bedragen</t>
        </is>
      </c>
      <c r="C64" s="314" t="n">
        <v>-147455</v>
      </c>
      <c r="D64" s="314" t="n">
        <v>-5561</v>
      </c>
      <c r="E64" s="313" t="n">
        <v>21998</v>
      </c>
      <c r="F64" s="313" t="n">
        <v>-5661</v>
      </c>
      <c r="G64" s="313" t="n">
        <v>-9926</v>
      </c>
      <c r="H64" s="296">
        <f>SUM(C64:G64)</f>
        <v/>
      </c>
      <c r="I64" s="296">
        <f>SUM(H4:H64)</f>
        <v/>
      </c>
    </row>
    <row r="65" ht="12.75" customHeight="1">
      <c r="A65" s="112" t="inlineStr">
        <is>
          <t>Totaal Overige schulden</t>
        </is>
      </c>
      <c r="D65" s="314" t="n"/>
    </row>
    <row r="66" ht="12.75" customHeight="1"/>
    <row r="67" ht="12.75" customHeight="1"/>
    <row r="68" ht="12.75" customHeight="1">
      <c r="A68" s="113" t="inlineStr">
        <is>
          <t>Winst- en verliesrekening (baten zijn positief, kosten negatief)</t>
        </is>
      </c>
    </row>
    <row r="69" ht="12.75" customHeight="1">
      <c r="A69" s="114" t="inlineStr">
        <is>
          <t>8000003</t>
        </is>
      </c>
      <c r="B69" s="112" t="inlineStr">
        <is>
          <t>OPB Netto-omzet Theoretische huuropbrengsten</t>
        </is>
      </c>
      <c r="D69" s="314" t="n">
        <v>-2847208</v>
      </c>
      <c r="E69" s="313" t="n">
        <v>-2833196</v>
      </c>
      <c r="F69" s="313" t="n">
        <v>-2826464</v>
      </c>
      <c r="G69" s="313" t="n">
        <v>-2904099</v>
      </c>
      <c r="H69" s="296">
        <f>SUM(C69:G69)</f>
        <v/>
      </c>
    </row>
    <row r="70" ht="12.75" customHeight="1">
      <c r="A70" s="114" t="inlineStr">
        <is>
          <t>8000004</t>
        </is>
      </c>
      <c r="B70" s="112" t="inlineStr">
        <is>
          <t>OPB Netto-omzet Leegstand huuropbrengsten</t>
        </is>
      </c>
      <c r="D70" s="314" t="n">
        <v>69125</v>
      </c>
      <c r="E70" s="313" t="n">
        <v>71110</v>
      </c>
      <c r="F70" s="313" t="n">
        <v>63061</v>
      </c>
      <c r="G70" s="313" t="n">
        <v>64143</v>
      </c>
      <c r="H70" s="296">
        <f>SUM(C70:G70)</f>
        <v/>
      </c>
    </row>
    <row r="71" ht="12.75" customHeight="1">
      <c r="A71" s="112" t="inlineStr">
        <is>
          <t>Totaal Netto-omzet</t>
        </is>
      </c>
      <c r="D71" s="314">
        <f>SUM(D69:D70)</f>
        <v/>
      </c>
      <c r="E71" s="313">
        <f>SUM(E69:E70)</f>
        <v/>
      </c>
      <c r="F71" s="313">
        <f>SUM(F69:F70)</f>
        <v/>
      </c>
      <c r="G71" s="313">
        <f>SUM(G69:G70)</f>
        <v/>
      </c>
      <c r="H71" s="313">
        <f>SUM(H69:H70)</f>
        <v/>
      </c>
    </row>
    <row r="72" ht="12.75" customHeight="1"/>
    <row r="73" ht="12.75" customHeight="1">
      <c r="A73" s="114" t="inlineStr">
        <is>
          <t>8400600</t>
        </is>
      </c>
      <c r="B73" s="112" t="inlineStr">
        <is>
          <t>OPB Overige bedrijfsopbrengsten Totale servicekosten</t>
        </is>
      </c>
      <c r="D73" s="314" t="n">
        <v>-172417</v>
      </c>
      <c r="E73" s="313" t="n">
        <v>-171527</v>
      </c>
      <c r="F73" s="313" t="n">
        <v>-172398</v>
      </c>
      <c r="G73" s="313" t="n">
        <v>-170326</v>
      </c>
      <c r="H73" s="296">
        <f>SUM(C73:G73)</f>
        <v/>
      </c>
    </row>
    <row r="74" ht="12.75" customHeight="1">
      <c r="A74" s="114" t="inlineStr">
        <is>
          <t>8400700</t>
        </is>
      </c>
      <c r="B74" s="112" t="inlineStr">
        <is>
          <t>OPB Overige bedrijfsopbrengsten Servicekosten leegstand</t>
        </is>
      </c>
      <c r="D74" s="314" t="n">
        <v>10767</v>
      </c>
      <c r="E74" s="313" t="n">
        <v>3357</v>
      </c>
      <c r="F74" s="313" t="n">
        <v>7281</v>
      </c>
      <c r="G74" s="313" t="n">
        <v>6641</v>
      </c>
      <c r="H74" s="296">
        <f>SUM(C74:G74)</f>
        <v/>
      </c>
    </row>
    <row r="75" ht="12.75" customHeight="1">
      <c r="A75" s="114" t="inlineStr">
        <is>
          <t>8400800</t>
        </is>
      </c>
      <c r="B75" s="112" t="inlineStr">
        <is>
          <t>OPB Overige bedrijfsopbrengsten Gerealiseerde servicekosten</t>
        </is>
      </c>
      <c r="D75" s="314" t="n">
        <v>133343</v>
      </c>
      <c r="E75" s="313" t="n">
        <v>284624</v>
      </c>
      <c r="F75" s="313" t="n">
        <v>127725</v>
      </c>
      <c r="G75" s="313" t="n">
        <v>171365</v>
      </c>
      <c r="H75" s="296">
        <f>SUM(C75:G75)</f>
        <v/>
      </c>
    </row>
    <row r="76" ht="12.75" customHeight="1">
      <c r="A76" s="112" t="inlineStr">
        <is>
          <t>Totaal Overige bedrijfsopbrengsten</t>
        </is>
      </c>
      <c r="D76" s="314">
        <f>SUM(D73:D75)</f>
        <v/>
      </c>
      <c r="E76" s="313">
        <f>SUM(E73:E75)</f>
        <v/>
      </c>
      <c r="F76" s="313">
        <f>SUM(F73:F75)</f>
        <v/>
      </c>
      <c r="G76" s="313">
        <f>SUM(G73:G75)</f>
        <v/>
      </c>
      <c r="H76" s="313">
        <f>SUM(H73:H75)</f>
        <v/>
      </c>
    </row>
    <row r="77" ht="12.75" customHeight="1"/>
    <row r="78" ht="12.75" customHeight="1">
      <c r="A78" s="114" t="inlineStr">
        <is>
          <t>4051400</t>
        </is>
      </c>
      <c r="B78" s="112" t="inlineStr">
        <is>
          <t>KN Diensten door derden</t>
        </is>
      </c>
      <c r="D78" s="314" t="n">
        <v>120736</v>
      </c>
      <c r="E78" s="313" t="n">
        <v>120105</v>
      </c>
      <c r="F78" s="313" t="n">
        <v>119839</v>
      </c>
      <c r="G78" s="313" t="n">
        <v>123182</v>
      </c>
      <c r="H78" s="296">
        <f>SUM(C78:G78)</f>
        <v/>
      </c>
    </row>
    <row r="79" ht="12.75" customHeight="1">
      <c r="A79" s="112" t="inlineStr">
        <is>
          <t>Totaal overige personeelskosten</t>
        </is>
      </c>
      <c r="D79" s="314">
        <f>SUM(D78)</f>
        <v/>
      </c>
      <c r="E79" s="313">
        <f>SUM(E78)</f>
        <v/>
      </c>
      <c r="F79" s="313">
        <f>SUM(F78)</f>
        <v/>
      </c>
      <c r="G79" s="313">
        <f>SUM(G78)</f>
        <v/>
      </c>
      <c r="H79" s="313">
        <f>SUM(H78)</f>
        <v/>
      </c>
    </row>
    <row r="80" ht="12.75" customHeight="1"/>
    <row r="81" ht="12.75" customHeight="1">
      <c r="A81" s="114" t="inlineStr">
        <is>
          <t>4730000</t>
        </is>
      </c>
      <c r="B81" s="112" t="inlineStr">
        <is>
          <t>AFKN Afschrijvingskosten Vastgoedbeleggingen</t>
        </is>
      </c>
      <c r="D81" s="314" t="n">
        <v>642938</v>
      </c>
      <c r="E81" s="313">
        <f>630199</f>
        <v/>
      </c>
      <c r="F81" s="313" t="n">
        <v>653151</v>
      </c>
      <c r="G81" s="313" t="n">
        <v>654632</v>
      </c>
      <c r="H81" s="296">
        <f>SUM(C81:G81)</f>
        <v/>
      </c>
    </row>
    <row r="82" ht="12.75" customHeight="1">
      <c r="A82" s="114" t="inlineStr">
        <is>
          <t>4730200</t>
        </is>
      </c>
      <c r="B82" s="112" t="inlineStr">
        <is>
          <t>AFKN Boekresultaat Vastgoedbeleggingen</t>
        </is>
      </c>
      <c r="D82" s="314" t="n">
        <v>-1206433</v>
      </c>
      <c r="E82" s="313" t="n">
        <v>-531244</v>
      </c>
      <c r="F82" s="313" t="n">
        <v>-636242</v>
      </c>
      <c r="G82" s="313" t="n">
        <v>-812075</v>
      </c>
      <c r="H82" s="296">
        <f>SUM(C82:G82)</f>
        <v/>
      </c>
    </row>
    <row r="83" ht="12.75" customHeight="1">
      <c r="A83" s="112" t="n"/>
      <c r="D83" s="314">
        <f>SUM(D81:D82)</f>
        <v/>
      </c>
      <c r="E83" s="313">
        <f>SUM(E81:E82)</f>
        <v/>
      </c>
      <c r="F83" s="313">
        <f>SUM(F81:F82)</f>
        <v/>
      </c>
      <c r="G83" s="313">
        <f>SUM(G81:G82)</f>
        <v/>
      </c>
      <c r="H83" s="313">
        <f>SUM(H81:H82)</f>
        <v/>
      </c>
    </row>
    <row r="84" ht="12.75" customHeight="1">
      <c r="D84" s="314" t="n"/>
    </row>
    <row r="85" ht="12.75" customHeight="1">
      <c r="A85" s="114" t="inlineStr">
        <is>
          <t>4100400</t>
        </is>
      </c>
      <c r="B85" s="112" t="inlineStr">
        <is>
          <t>KN Onderhoud gebouwen</t>
        </is>
      </c>
      <c r="C85" s="313" t="n"/>
      <c r="D85" s="314" t="n">
        <v>491958</v>
      </c>
      <c r="E85" s="313">
        <f>455997</f>
        <v/>
      </c>
      <c r="F85" s="313" t="n">
        <v>204327</v>
      </c>
      <c r="G85" s="313" t="n">
        <v>637420</v>
      </c>
      <c r="H85" s="296">
        <f>SUM(C85:G85)</f>
        <v/>
      </c>
    </row>
    <row r="86" ht="12.75" customHeight="1">
      <c r="A86" s="114" t="inlineStr">
        <is>
          <t>4100410</t>
        </is>
      </c>
      <c r="B86" s="112" t="inlineStr">
        <is>
          <t>Verhuurdersheffing</t>
        </is>
      </c>
      <c r="D86" s="313" t="n">
        <v>0</v>
      </c>
      <c r="E86" s="313" t="n">
        <v>0</v>
      </c>
      <c r="F86" s="313" t="n">
        <v>531958</v>
      </c>
      <c r="G86" s="313" t="n">
        <v>2047</v>
      </c>
      <c r="H86" s="296">
        <f>SUM(C86:G86)</f>
        <v/>
      </c>
    </row>
    <row r="87" ht="12.75" customHeight="1">
      <c r="A87" s="114" t="inlineStr">
        <is>
          <t>4100900</t>
        </is>
      </c>
      <c r="B87" s="112" t="inlineStr">
        <is>
          <t>KN Onroerende zaakbelasting</t>
        </is>
      </c>
      <c r="D87" s="313" t="n">
        <v>75792</v>
      </c>
      <c r="E87" s="313" t="n">
        <v>79670</v>
      </c>
      <c r="F87" s="313" t="n">
        <v>78467</v>
      </c>
      <c r="G87" s="313" t="n">
        <v>79424</v>
      </c>
      <c r="H87" s="296">
        <f>SUM(C87:G87)</f>
        <v/>
      </c>
    </row>
    <row r="88" ht="12.75" customHeight="1">
      <c r="A88" s="114" t="inlineStr">
        <is>
          <t>4101000</t>
        </is>
      </c>
      <c r="B88" s="112" t="inlineStr">
        <is>
          <t>KN VvE-kosten</t>
        </is>
      </c>
      <c r="D88" s="314" t="n">
        <v>96652</v>
      </c>
      <c r="E88" s="313" t="n">
        <v>197933</v>
      </c>
      <c r="F88" s="313" t="n">
        <v>136830</v>
      </c>
      <c r="G88" s="313" t="n">
        <v>153831</v>
      </c>
      <c r="H88" s="296">
        <f>SUM(C88:G88)</f>
        <v/>
      </c>
    </row>
    <row r="89" ht="12.75" customHeight="1">
      <c r="A89" s="114" t="inlineStr">
        <is>
          <t>4101010</t>
        </is>
      </c>
      <c r="B89" s="112" t="inlineStr">
        <is>
          <t>Gemeentelijke belastingen</t>
        </is>
      </c>
      <c r="D89" s="313" t="n">
        <v>32166</v>
      </c>
      <c r="E89" s="313" t="n">
        <v>33030</v>
      </c>
      <c r="F89" s="313" t="n">
        <v>32166</v>
      </c>
      <c r="G89" s="313" t="n">
        <v>32352</v>
      </c>
      <c r="H89" s="296">
        <f>SUM(C89:G89)</f>
        <v/>
      </c>
    </row>
    <row r="90" ht="12.75" customHeight="1">
      <c r="A90" s="114" t="inlineStr">
        <is>
          <t>4101020</t>
        </is>
      </c>
      <c r="B90" s="112" t="inlineStr">
        <is>
          <t>Waterschapsbelasting</t>
        </is>
      </c>
      <c r="D90" s="313" t="n">
        <v>17945</v>
      </c>
      <c r="E90" s="313" t="n">
        <v>17695</v>
      </c>
      <c r="F90" s="313" t="n">
        <v>19123</v>
      </c>
      <c r="G90" s="313" t="n">
        <v>20143</v>
      </c>
      <c r="H90" s="296">
        <f>SUM(C90:G90)</f>
        <v/>
      </c>
    </row>
    <row r="91" ht="12.75" customHeight="1">
      <c r="A91" s="114" t="inlineStr">
        <is>
          <t>4101300</t>
        </is>
      </c>
      <c r="B91" s="112" t="inlineStr">
        <is>
          <t>KN Servicekosten leegstand</t>
        </is>
      </c>
      <c r="D91" s="314" t="n">
        <v>-801</v>
      </c>
      <c r="E91" s="313" t="n">
        <v>-820</v>
      </c>
      <c r="F91" s="313" t="n">
        <v>45430</v>
      </c>
      <c r="G91" s="313" t="n">
        <v>5515</v>
      </c>
      <c r="H91" s="296">
        <f>SUM(C91:G91)</f>
        <v/>
      </c>
    </row>
    <row r="92" ht="12.75" customHeight="1">
      <c r="A92" s="114" t="inlineStr">
        <is>
          <t>4109800</t>
        </is>
      </c>
      <c r="B92" s="112" t="inlineStr">
        <is>
          <t>KN Overige huisvestingskosten</t>
        </is>
      </c>
      <c r="D92" s="314" t="n">
        <v>0</v>
      </c>
      <c r="G92" s="313" t="n">
        <v>0</v>
      </c>
      <c r="H92" s="296">
        <f>SUM(C92:G92)</f>
        <v/>
      </c>
    </row>
    <row r="93" ht="12.75" customHeight="1">
      <c r="A93" s="112" t="inlineStr">
        <is>
          <t>Totaal Huisvestingskosten</t>
        </is>
      </c>
      <c r="D93" s="314">
        <f>SUM(D85:D92)</f>
        <v/>
      </c>
      <c r="E93" s="313">
        <f>SUM(E85:E92)</f>
        <v/>
      </c>
      <c r="F93" s="313">
        <f>SUM(F85:F92)</f>
        <v/>
      </c>
      <c r="G93" s="313">
        <f>SUM(G85:G92)</f>
        <v/>
      </c>
      <c r="H93" s="313">
        <f>SUM(H85:H92)</f>
        <v/>
      </c>
    </row>
    <row r="94" ht="12.75" customHeight="1"/>
    <row r="95" ht="12.75" customHeight="1">
      <c r="A95" s="114" t="inlineStr">
        <is>
          <t>4500400</t>
        </is>
      </c>
      <c r="B95" s="112" t="inlineStr">
        <is>
          <t>KN Representatiekosten</t>
        </is>
      </c>
      <c r="D95" s="314" t="n">
        <v>0</v>
      </c>
      <c r="E95" s="313" t="n">
        <v>0</v>
      </c>
      <c r="F95" s="313" t="n">
        <v>0</v>
      </c>
      <c r="G95" s="313" t="n">
        <v>0</v>
      </c>
      <c r="H95" s="296">
        <f>SUM(C95:G95)</f>
        <v/>
      </c>
    </row>
    <row r="96" ht="12.75" customHeight="1">
      <c r="A96" s="114" t="inlineStr">
        <is>
          <t>4501200</t>
        </is>
      </c>
      <c r="B96" s="112" t="inlineStr">
        <is>
          <t>KN Mutatie voorziening dubieuze debiteuren</t>
        </is>
      </c>
      <c r="D96" s="314" t="n">
        <v>0</v>
      </c>
      <c r="E96" s="313" t="n">
        <v>0</v>
      </c>
      <c r="F96" s="313" t="n">
        <v>0</v>
      </c>
      <c r="G96" s="313" t="n">
        <v>0</v>
      </c>
      <c r="H96" s="296">
        <f>SUM(C96:G96)</f>
        <v/>
      </c>
    </row>
    <row r="97" ht="12.75" customHeight="1">
      <c r="A97" s="114" t="inlineStr">
        <is>
          <t>4501300</t>
        </is>
      </c>
      <c r="B97" s="112" t="inlineStr">
        <is>
          <t>KN Afboeking dubieuze debiteuren</t>
        </is>
      </c>
      <c r="D97" s="314" t="n">
        <v>-164</v>
      </c>
      <c r="E97" s="313" t="n">
        <v>1941</v>
      </c>
      <c r="F97" s="313" t="n">
        <v>4198</v>
      </c>
      <c r="G97" s="313" t="n">
        <v>15255</v>
      </c>
      <c r="H97" s="296">
        <f>SUM(C97:G97)</f>
        <v/>
      </c>
    </row>
    <row r="98" ht="12.75" customHeight="1">
      <c r="A98" s="112" t="inlineStr">
        <is>
          <t>Totaal Verkoopkosten</t>
        </is>
      </c>
      <c r="D98" s="314">
        <f>SUM(D95:D97)</f>
        <v/>
      </c>
      <c r="E98" s="313">
        <f>SUM(E95:E97)</f>
        <v/>
      </c>
      <c r="F98" s="313">
        <f>SUM(F95:F97)</f>
        <v/>
      </c>
      <c r="G98" s="313">
        <f>SUM(G95:G97)</f>
        <v/>
      </c>
      <c r="H98" s="313">
        <f>SUM(H95:H97)</f>
        <v/>
      </c>
    </row>
    <row r="99" ht="12.75" customHeight="1"/>
    <row r="100" ht="12.75" customHeight="1">
      <c r="A100" s="114" t="inlineStr">
        <is>
          <t>4300500</t>
        </is>
      </c>
      <c r="B100" s="112" t="inlineStr">
        <is>
          <t>KN Incassokosten</t>
        </is>
      </c>
      <c r="D100" s="314" t="n">
        <v>0</v>
      </c>
      <c r="F100" s="313" t="n">
        <v>950</v>
      </c>
      <c r="G100" s="313" t="n">
        <v>0</v>
      </c>
      <c r="H100" s="296">
        <f>SUM(C100:G100)</f>
        <v/>
      </c>
    </row>
    <row r="101" ht="12.75" customHeight="1">
      <c r="A101" s="112" t="inlineStr">
        <is>
          <t>Totaal Kantoorkosten</t>
        </is>
      </c>
      <c r="D101" s="314">
        <f>SUM(D100)</f>
        <v/>
      </c>
      <c r="E101" s="313">
        <f>SUM(E100)</f>
        <v/>
      </c>
      <c r="F101" s="313">
        <f>SUM(F100)</f>
        <v/>
      </c>
      <c r="G101" s="313">
        <f>SUM(G100)</f>
        <v/>
      </c>
      <c r="H101" s="313">
        <f>SUM(H100)</f>
        <v/>
      </c>
    </row>
    <row r="102" ht="12.75" customHeight="1">
      <c r="D102" s="314" t="n"/>
    </row>
    <row r="103" ht="12.75" customHeight="1">
      <c r="A103" s="114" t="inlineStr">
        <is>
          <t>4310000</t>
        </is>
      </c>
      <c r="B103" s="112" t="inlineStr">
        <is>
          <t>KN Abonnementen en contributies</t>
        </is>
      </c>
      <c r="D103" s="314" t="n">
        <v>4406</v>
      </c>
      <c r="E103" s="313" t="n">
        <v>0</v>
      </c>
      <c r="F103" s="313" t="n">
        <v>0</v>
      </c>
      <c r="G103" s="313" t="n">
        <v>0</v>
      </c>
      <c r="H103" s="296">
        <f>SUM(C103:G103)</f>
        <v/>
      </c>
    </row>
    <row r="104" ht="12.75" customHeight="1">
      <c r="A104" s="114" t="inlineStr">
        <is>
          <t>4310400</t>
        </is>
      </c>
      <c r="B104" s="112" t="inlineStr">
        <is>
          <t>KN Assurantiepremie algemeen</t>
        </is>
      </c>
      <c r="D104" s="313" t="n">
        <v>26301</v>
      </c>
      <c r="E104" s="313" t="n">
        <v>25980</v>
      </c>
      <c r="F104" s="313" t="n">
        <v>25980</v>
      </c>
      <c r="G104" s="313" t="n">
        <v>22776</v>
      </c>
      <c r="H104" s="296">
        <f>SUM(C104:G104)</f>
        <v/>
      </c>
    </row>
    <row r="105" ht="12.75" customHeight="1">
      <c r="A105" s="114" t="inlineStr">
        <is>
          <t>4310500</t>
        </is>
      </c>
      <c r="B105" s="112" t="inlineStr">
        <is>
          <t>KN Managementvergoeding</t>
        </is>
      </c>
      <c r="D105" s="314" t="n">
        <v>5445</v>
      </c>
      <c r="E105" s="313" t="n">
        <v>5445</v>
      </c>
      <c r="F105" s="313" t="n">
        <v>5445</v>
      </c>
      <c r="G105" s="313" t="n">
        <v>5445</v>
      </c>
      <c r="H105" s="296">
        <f>SUM(C105:G105)</f>
        <v/>
      </c>
    </row>
    <row r="106" ht="12.75" customHeight="1">
      <c r="A106" s="114" t="inlineStr">
        <is>
          <t>4310600</t>
        </is>
      </c>
      <c r="B106" s="112" t="inlineStr">
        <is>
          <t>KN Accountantskosten</t>
        </is>
      </c>
      <c r="D106" s="314" t="n">
        <v>6339</v>
      </c>
      <c r="E106" s="313" t="n">
        <v>44292</v>
      </c>
      <c r="F106" s="313" t="n">
        <v>24945</v>
      </c>
      <c r="G106" s="313" t="n">
        <v>6639</v>
      </c>
      <c r="H106" s="296">
        <f>SUM(C106:G106)</f>
        <v/>
      </c>
    </row>
    <row r="107" ht="12.75" customHeight="1">
      <c r="A107" s="114" t="inlineStr">
        <is>
          <t>4310700</t>
        </is>
      </c>
      <c r="B107" s="112" t="inlineStr">
        <is>
          <t>KN Administratiekosten</t>
        </is>
      </c>
      <c r="D107" s="314" t="n">
        <v>1210</v>
      </c>
      <c r="F107" s="313" t="n">
        <v>2420</v>
      </c>
      <c r="G107" s="313" t="n">
        <v>0</v>
      </c>
      <c r="H107" s="296">
        <f>SUM(C107:G107)</f>
        <v/>
      </c>
    </row>
    <row r="108" ht="12.75" customHeight="1">
      <c r="A108" s="114" t="inlineStr">
        <is>
          <t>4310800</t>
        </is>
      </c>
      <c r="B108" s="112" t="inlineStr">
        <is>
          <t>KN Makelaarskosten</t>
        </is>
      </c>
      <c r="D108" s="314" t="n">
        <v>66525</v>
      </c>
      <c r="E108" s="313" t="n">
        <v>57342</v>
      </c>
      <c r="F108" s="313" t="n">
        <v>61064</v>
      </c>
      <c r="G108" s="313" t="n">
        <v>77632</v>
      </c>
      <c r="H108" s="296">
        <f>SUM(C108:G108)</f>
        <v/>
      </c>
    </row>
    <row r="109" ht="12.75" customHeight="1">
      <c r="A109" s="114" t="inlineStr">
        <is>
          <t>4311000</t>
        </is>
      </c>
      <c r="B109" s="112" t="inlineStr">
        <is>
          <t>KN Juridische kosten</t>
        </is>
      </c>
      <c r="D109" s="314" t="n">
        <v>4570</v>
      </c>
      <c r="E109" s="313" t="n">
        <v>3745</v>
      </c>
      <c r="F109" s="313" t="n">
        <v>-2123</v>
      </c>
      <c r="G109" s="313" t="n">
        <v>5528</v>
      </c>
      <c r="H109" s="296">
        <f>SUM(C109:G109)</f>
        <v/>
      </c>
    </row>
    <row r="110" ht="12.75" customHeight="1">
      <c r="A110" s="114" t="inlineStr">
        <is>
          <t>4311800</t>
        </is>
      </c>
      <c r="B110" s="112" t="inlineStr">
        <is>
          <t>KN Advieskosten</t>
        </is>
      </c>
      <c r="D110" s="314" t="n">
        <v>0</v>
      </c>
      <c r="E110" s="313" t="n">
        <v>28435</v>
      </c>
      <c r="G110" s="313" t="n">
        <v>0</v>
      </c>
      <c r="H110" s="296">
        <f>SUM(C110:G110)</f>
        <v/>
      </c>
    </row>
    <row r="111" ht="12" customHeight="1">
      <c r="A111" s="114" t="inlineStr">
        <is>
          <t>4311900</t>
        </is>
      </c>
      <c r="B111" s="112" t="inlineStr">
        <is>
          <t>KN Bankkosten</t>
        </is>
      </c>
      <c r="D111" s="314" t="n">
        <v>1219</v>
      </c>
      <c r="E111" s="313" t="n">
        <v>1232</v>
      </c>
      <c r="F111" s="313" t="n">
        <v>1227</v>
      </c>
      <c r="G111" s="313" t="n">
        <v>3761</v>
      </c>
      <c r="H111" s="296">
        <f>SUM(C111:G111)</f>
        <v/>
      </c>
    </row>
    <row r="112" ht="12.75" customHeight="1">
      <c r="A112" s="114" t="inlineStr">
        <is>
          <t>4312600</t>
        </is>
      </c>
      <c r="B112" s="112" t="inlineStr">
        <is>
          <t>KN Agent Fee facility</t>
        </is>
      </c>
      <c r="D112" s="313" t="n">
        <v>0</v>
      </c>
      <c r="E112" s="313" t="n">
        <v>20000</v>
      </c>
      <c r="F112" s="313" t="n">
        <v>20000</v>
      </c>
      <c r="G112" s="313" t="n">
        <v>0</v>
      </c>
      <c r="H112" s="296">
        <f>SUM(C112:G112)</f>
        <v/>
      </c>
    </row>
    <row r="113" ht="12.75" customHeight="1">
      <c r="A113" s="114" t="inlineStr">
        <is>
          <t>4319800</t>
        </is>
      </c>
      <c r="B113" s="112" t="inlineStr">
        <is>
          <t>KN Overige algemene kosten</t>
        </is>
      </c>
      <c r="C113" s="317" t="n"/>
      <c r="D113" s="313" t="n">
        <v>0</v>
      </c>
      <c r="E113" s="313" t="n">
        <v>358</v>
      </c>
      <c r="F113" s="313" t="n">
        <v>477</v>
      </c>
      <c r="G113" s="313" t="n">
        <v>-922</v>
      </c>
      <c r="H113" s="296">
        <f>SUM(C113:G113)</f>
        <v/>
      </c>
    </row>
    <row r="114" ht="12.75" customHeight="1">
      <c r="A114" s="112" t="inlineStr">
        <is>
          <t>Totaal Algemene kosten</t>
        </is>
      </c>
      <c r="D114" s="314">
        <f>SUM(D103:D113)</f>
        <v/>
      </c>
      <c r="E114" s="313">
        <f>SUM(E103:E113)</f>
        <v/>
      </c>
      <c r="F114" s="313">
        <f>SUM(F103:F113)</f>
        <v/>
      </c>
      <c r="G114" s="313">
        <f>SUM(G103:G113)</f>
        <v/>
      </c>
      <c r="H114" s="313">
        <f>SUM(H103:H113)</f>
        <v/>
      </c>
    </row>
    <row r="115" ht="12.75" customHeight="1"/>
    <row r="116" ht="12.75" customHeight="1">
      <c r="A116" s="114" t="inlineStr">
        <is>
          <t>4623001</t>
        </is>
      </c>
      <c r="B116" s="112" t="inlineStr">
        <is>
          <t>FINBL Rente ABN AMRO Bank NV Senior Facility Agreement</t>
        </is>
      </c>
      <c r="D116" s="314" t="n">
        <v>457533</v>
      </c>
      <c r="E116" s="313" t="n">
        <v>450998</v>
      </c>
      <c r="F116" s="313" t="n">
        <v>448423</v>
      </c>
      <c r="G116" s="313" t="n">
        <v>442928</v>
      </c>
      <c r="H116" s="296">
        <f>SUM(C116:G116)</f>
        <v/>
      </c>
    </row>
    <row r="117" ht="12.75" customHeight="1">
      <c r="A117" s="114" t="n">
        <v>4630000</v>
      </c>
      <c r="B117" s="112" t="inlineStr">
        <is>
          <t>FINBL Rente belastingen</t>
        </is>
      </c>
      <c r="D117" s="314" t="n">
        <v>0</v>
      </c>
      <c r="E117" s="313" t="n">
        <v>0</v>
      </c>
      <c r="F117" s="313" t="n">
        <v>8219</v>
      </c>
      <c r="G117" s="313" t="n">
        <v>0</v>
      </c>
      <c r="H117" s="296">
        <f>SUM(C117:G117)</f>
        <v/>
      </c>
    </row>
    <row r="118" ht="12.75" customHeight="1">
      <c r="A118" s="114" t="inlineStr">
        <is>
          <t>4643000</t>
        </is>
      </c>
      <c r="B118" s="112" t="inlineStr">
        <is>
          <t>FINBL Overige rentelasten</t>
        </is>
      </c>
      <c r="D118" s="314" t="n">
        <v>106683</v>
      </c>
      <c r="E118" s="313" t="n">
        <v>105985</v>
      </c>
      <c r="F118" s="313" t="n">
        <v>106445</v>
      </c>
      <c r="G118" s="313" t="n">
        <v>105740</v>
      </c>
      <c r="H118" s="296">
        <f>SUM(C118:G118)</f>
        <v/>
      </c>
    </row>
    <row r="119" ht="12.75" customHeight="1">
      <c r="A119" s="114" t="n">
        <v>4642000</v>
      </c>
      <c r="B119" s="112" t="inlineStr">
        <is>
          <t>FINBL overige rentebaten</t>
        </is>
      </c>
      <c r="D119" s="314" t="n">
        <v>0</v>
      </c>
      <c r="E119" s="313" t="n">
        <v>0</v>
      </c>
      <c r="F119" s="313" t="n">
        <v>3012</v>
      </c>
      <c r="G119" s="313" t="n">
        <v>0</v>
      </c>
      <c r="H119" s="296">
        <f>SUM(C119:G119)</f>
        <v/>
      </c>
    </row>
    <row r="120" ht="12.75" customHeight="1">
      <c r="A120" s="114" t="inlineStr">
        <is>
          <t>Totaal Financiële baten en lasten</t>
        </is>
      </c>
      <c r="D120" s="314">
        <f>SUM(D116:D119)</f>
        <v/>
      </c>
      <c r="E120" s="313">
        <f>SUM(E116:E119)</f>
        <v/>
      </c>
      <c r="F120" s="313">
        <f>SUM(F116:F119)</f>
        <v/>
      </c>
      <c r="G120" s="313">
        <f>SUM(G116:G119)</f>
        <v/>
      </c>
      <c r="H120" s="313">
        <f>SUM(H116:H119)</f>
        <v/>
      </c>
    </row>
    <row r="121" ht="12.75" customHeight="1"/>
    <row r="122" ht="12.75" customHeight="1">
      <c r="A122" s="114" t="n">
        <v>9500000</v>
      </c>
      <c r="B122" s="112" t="inlineStr">
        <is>
          <t>VPB Vennootschapsbelasting VPB Huidg jaar</t>
        </is>
      </c>
      <c r="D122" s="314" t="n">
        <v>0</v>
      </c>
      <c r="E122" s="313" t="n">
        <v>0</v>
      </c>
      <c r="F122" s="313" t="n">
        <v>0</v>
      </c>
      <c r="G122" s="313" t="n">
        <v>0</v>
      </c>
      <c r="H122" s="296">
        <f>SUM(C122:G122)</f>
        <v/>
      </c>
    </row>
    <row r="123" ht="12.75" customHeight="1">
      <c r="A123" s="114" t="inlineStr">
        <is>
          <t>9510000</t>
        </is>
      </c>
      <c r="B123" s="112" t="inlineStr">
        <is>
          <t>VPB Mutatie belastinglatentie Mutatie actieve latentie</t>
        </is>
      </c>
      <c r="D123" s="314" t="n">
        <v>293081</v>
      </c>
      <c r="E123" s="313" t="n">
        <v>-524916</v>
      </c>
      <c r="F123" s="313" t="n">
        <v>-118583</v>
      </c>
      <c r="G123" s="313" t="n">
        <v>-576960</v>
      </c>
      <c r="H123" s="296">
        <f>SUM(C123:G123)</f>
        <v/>
      </c>
    </row>
    <row r="124" ht="12.75" customHeight="1">
      <c r="A124" s="114" t="n">
        <v>9500100</v>
      </c>
      <c r="B124" s="112" t="inlineStr">
        <is>
          <t>VPB Vennootschapsbelasting VPB voorgaande jaren</t>
        </is>
      </c>
      <c r="E124" s="313" t="n">
        <v>0</v>
      </c>
      <c r="F124" s="313" t="n">
        <v>53597</v>
      </c>
      <c r="G124" s="313" t="n">
        <v>-53597</v>
      </c>
      <c r="H124" s="296">
        <f>SUM(C124:G124)</f>
        <v/>
      </c>
    </row>
    <row r="125" ht="12.75" customHeight="1">
      <c r="A125" s="114" t="inlineStr">
        <is>
          <t>Totaal vennootschapsbelasting</t>
        </is>
      </c>
      <c r="D125" s="314">
        <f>SUM(D122:D124)</f>
        <v/>
      </c>
      <c r="E125" s="314">
        <f>SUM(E122:E124)</f>
        <v/>
      </c>
      <c r="F125" s="314">
        <f>SUM(F122:F124)</f>
        <v/>
      </c>
      <c r="G125" s="314">
        <f>SUM(G122:G124)</f>
        <v/>
      </c>
      <c r="H125" s="314">
        <f>SUM(H122:H124)</f>
        <v/>
      </c>
    </row>
    <row r="126" ht="12.75" customHeight="1"/>
    <row r="127" ht="12.75" customHeight="1">
      <c r="A127" s="112" t="inlineStr">
        <is>
          <t>Resultaat na belasting</t>
        </is>
      </c>
      <c r="D127" s="314">
        <f>D71+D76+D79+D83+D93+D98+D101+D114+D120+D125</f>
        <v/>
      </c>
      <c r="E127" s="313">
        <f>E71+E76+E79+E83+E93+E98+E101+E114+E120+E125</f>
        <v/>
      </c>
      <c r="F127" s="313">
        <f>F71+F76+F79+F83+F93+F98+F101+F114+F120+F125</f>
        <v/>
      </c>
      <c r="G127" s="313">
        <f>G71+G76+G79+G83+G93+G98+G101+G114+G120+G125</f>
        <v/>
      </c>
      <c r="H127" s="313">
        <f>H71+H76+H79+H83+H93+H98+H101+H114+H120+H125</f>
        <v/>
      </c>
    </row>
    <row r="128" ht="12.75" customHeight="1"/>
    <row r="129" ht="12.75" customHeight="1">
      <c r="C129" s="316" t="n"/>
      <c r="D129" s="316">
        <f>SUM(D4:D65)+D127</f>
        <v/>
      </c>
      <c r="E129" s="325">
        <f>SUM(E4:E65)+E127</f>
        <v/>
      </c>
      <c r="F129" s="325">
        <f>SUM(F4:F65)+F127</f>
        <v/>
      </c>
      <c r="G129" s="325">
        <f>SUM(G4:G65)+G127</f>
        <v/>
      </c>
      <c r="H129" s="316">
        <f>SUM(H4:H65)+H127</f>
        <v/>
      </c>
    </row>
    <row r="130" ht="12.75" customHeight="1">
      <c r="J130" s="316" t="n"/>
    </row>
    <row r="131" ht="12.75" customHeight="1">
      <c r="J131" s="316" t="n"/>
    </row>
    <row r="132" ht="12.75" customHeight="1">
      <c r="J132" s="316" t="n"/>
    </row>
    <row r="133" ht="12.75" customHeight="1">
      <c r="J133" s="316" t="n"/>
    </row>
    <row r="134" ht="12.75" customHeight="1">
      <c r="J134" s="316" t="n"/>
    </row>
    <row r="135" ht="12.75" customHeight="1">
      <c r="J135" s="316" t="n"/>
    </row>
    <row r="136" ht="12.75" customHeight="1">
      <c r="J136" s="316" t="n"/>
    </row>
    <row r="137" ht="12.75" customHeight="1">
      <c r="J137" s="316" t="n"/>
    </row>
    <row r="138" ht="12.75" customHeight="1">
      <c r="J138" s="316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9"/>
  <sheetViews>
    <sheetView topLeftCell="A46" zoomScale="70" zoomScaleNormal="70" workbookViewId="0">
      <pane xSplit="2" topLeftCell="C1" activePane="topRight" state="frozen"/>
      <selection pane="topRight" activeCell="H76" sqref="H76"/>
    </sheetView>
  </sheetViews>
  <sheetFormatPr baseColWidth="8" defaultRowHeight="12.75" customHeight="1"/>
  <cols>
    <col width="20" bestFit="1" customWidth="1" style="173" min="1" max="1"/>
    <col width="66.33203125" bestFit="1" customWidth="1" style="174" min="2" max="2"/>
    <col width="21.33203125" customWidth="1" style="314" min="3" max="3"/>
    <col width="21.33203125" customWidth="1" style="313" min="4" max="7"/>
    <col width="18.44140625" bestFit="1" customWidth="1" style="315" min="8" max="8"/>
    <col width="11.109375" customWidth="1" style="174" min="9" max="9"/>
    <col width="21.33203125" customWidth="1" style="316" min="10" max="10"/>
    <col width="8.88671875" customWidth="1" style="174" min="11" max="256"/>
    <col width="20" bestFit="1" customWidth="1" style="174" min="257" max="257"/>
    <col width="66.33203125" bestFit="1" customWidth="1" style="174" min="258" max="258"/>
    <col width="21.33203125" customWidth="1" style="174" min="259" max="263"/>
    <col width="18.44140625" bestFit="1" customWidth="1" style="174" min="264" max="264"/>
    <col width="11.109375" customWidth="1" style="174" min="265" max="265"/>
    <col width="21.33203125" customWidth="1" style="174" min="266" max="266"/>
    <col width="8.88671875" customWidth="1" style="174" min="267" max="512"/>
    <col width="20" bestFit="1" customWidth="1" style="174" min="513" max="513"/>
    <col width="66.33203125" bestFit="1" customWidth="1" style="174" min="514" max="514"/>
    <col width="21.33203125" customWidth="1" style="174" min="515" max="519"/>
    <col width="18.44140625" bestFit="1" customWidth="1" style="174" min="520" max="520"/>
    <col width="11.109375" customWidth="1" style="174" min="521" max="521"/>
    <col width="21.33203125" customWidth="1" style="174" min="522" max="522"/>
    <col width="8.88671875" customWidth="1" style="174" min="523" max="768"/>
    <col width="20" bestFit="1" customWidth="1" style="174" min="769" max="769"/>
    <col width="66.33203125" bestFit="1" customWidth="1" style="174" min="770" max="770"/>
    <col width="21.33203125" customWidth="1" style="174" min="771" max="775"/>
    <col width="18.44140625" bestFit="1" customWidth="1" style="174" min="776" max="776"/>
    <col width="11.109375" customWidth="1" style="174" min="777" max="777"/>
    <col width="21.33203125" customWidth="1" style="174" min="778" max="778"/>
    <col width="8.88671875" customWidth="1" style="174" min="779" max="1024"/>
    <col width="20" bestFit="1" customWidth="1" style="174" min="1025" max="1025"/>
    <col width="66.33203125" bestFit="1" customWidth="1" style="174" min="1026" max="1026"/>
    <col width="21.33203125" customWidth="1" style="174" min="1027" max="1031"/>
    <col width="18.44140625" bestFit="1" customWidth="1" style="174" min="1032" max="1032"/>
    <col width="11.109375" customWidth="1" style="174" min="1033" max="1033"/>
    <col width="21.33203125" customWidth="1" style="174" min="1034" max="1034"/>
    <col width="8.88671875" customWidth="1" style="174" min="1035" max="1280"/>
    <col width="20" bestFit="1" customWidth="1" style="174" min="1281" max="1281"/>
    <col width="66.33203125" bestFit="1" customWidth="1" style="174" min="1282" max="1282"/>
    <col width="21.33203125" customWidth="1" style="174" min="1283" max="1287"/>
    <col width="18.44140625" bestFit="1" customWidth="1" style="174" min="1288" max="1288"/>
    <col width="11.109375" customWidth="1" style="174" min="1289" max="1289"/>
    <col width="21.33203125" customWidth="1" style="174" min="1290" max="1290"/>
    <col width="8.88671875" customWidth="1" style="174" min="1291" max="1536"/>
    <col width="20" bestFit="1" customWidth="1" style="174" min="1537" max="1537"/>
    <col width="66.33203125" bestFit="1" customWidth="1" style="174" min="1538" max="1538"/>
    <col width="21.33203125" customWidth="1" style="174" min="1539" max="1543"/>
    <col width="18.44140625" bestFit="1" customWidth="1" style="174" min="1544" max="1544"/>
    <col width="11.109375" customWidth="1" style="174" min="1545" max="1545"/>
    <col width="21.33203125" customWidth="1" style="174" min="1546" max="1546"/>
    <col width="8.88671875" customWidth="1" style="174" min="1547" max="1792"/>
    <col width="20" bestFit="1" customWidth="1" style="174" min="1793" max="1793"/>
    <col width="66.33203125" bestFit="1" customWidth="1" style="174" min="1794" max="1794"/>
    <col width="21.33203125" customWidth="1" style="174" min="1795" max="1799"/>
    <col width="18.44140625" bestFit="1" customWidth="1" style="174" min="1800" max="1800"/>
    <col width="11.109375" customWidth="1" style="174" min="1801" max="1801"/>
    <col width="21.33203125" customWidth="1" style="174" min="1802" max="1802"/>
    <col width="8.88671875" customWidth="1" style="174" min="1803" max="2048"/>
    <col width="20" bestFit="1" customWidth="1" style="174" min="2049" max="2049"/>
    <col width="66.33203125" bestFit="1" customWidth="1" style="174" min="2050" max="2050"/>
    <col width="21.33203125" customWidth="1" style="174" min="2051" max="2055"/>
    <col width="18.44140625" bestFit="1" customWidth="1" style="174" min="2056" max="2056"/>
    <col width="11.109375" customWidth="1" style="174" min="2057" max="2057"/>
    <col width="21.33203125" customWidth="1" style="174" min="2058" max="2058"/>
    <col width="8.88671875" customWidth="1" style="174" min="2059" max="2304"/>
    <col width="20" bestFit="1" customWidth="1" style="174" min="2305" max="2305"/>
    <col width="66.33203125" bestFit="1" customWidth="1" style="174" min="2306" max="2306"/>
    <col width="21.33203125" customWidth="1" style="174" min="2307" max="2311"/>
    <col width="18.44140625" bestFit="1" customWidth="1" style="174" min="2312" max="2312"/>
    <col width="11.109375" customWidth="1" style="174" min="2313" max="2313"/>
    <col width="21.33203125" customWidth="1" style="174" min="2314" max="2314"/>
    <col width="8.88671875" customWidth="1" style="174" min="2315" max="2560"/>
    <col width="20" bestFit="1" customWidth="1" style="174" min="2561" max="2561"/>
    <col width="66.33203125" bestFit="1" customWidth="1" style="174" min="2562" max="2562"/>
    <col width="21.33203125" customWidth="1" style="174" min="2563" max="2567"/>
    <col width="18.44140625" bestFit="1" customWidth="1" style="174" min="2568" max="2568"/>
    <col width="11.109375" customWidth="1" style="174" min="2569" max="2569"/>
    <col width="21.33203125" customWidth="1" style="174" min="2570" max="2570"/>
    <col width="8.88671875" customWidth="1" style="174" min="2571" max="2816"/>
    <col width="20" bestFit="1" customWidth="1" style="174" min="2817" max="2817"/>
    <col width="66.33203125" bestFit="1" customWidth="1" style="174" min="2818" max="2818"/>
    <col width="21.33203125" customWidth="1" style="174" min="2819" max="2823"/>
    <col width="18.44140625" bestFit="1" customWidth="1" style="174" min="2824" max="2824"/>
    <col width="11.109375" customWidth="1" style="174" min="2825" max="2825"/>
    <col width="21.33203125" customWidth="1" style="174" min="2826" max="2826"/>
    <col width="8.88671875" customWidth="1" style="174" min="2827" max="3072"/>
    <col width="20" bestFit="1" customWidth="1" style="174" min="3073" max="3073"/>
    <col width="66.33203125" bestFit="1" customWidth="1" style="174" min="3074" max="3074"/>
    <col width="21.33203125" customWidth="1" style="174" min="3075" max="3079"/>
    <col width="18.44140625" bestFit="1" customWidth="1" style="174" min="3080" max="3080"/>
    <col width="11.109375" customWidth="1" style="174" min="3081" max="3081"/>
    <col width="21.33203125" customWidth="1" style="174" min="3082" max="3082"/>
    <col width="8.88671875" customWidth="1" style="174" min="3083" max="3328"/>
    <col width="20" bestFit="1" customWidth="1" style="174" min="3329" max="3329"/>
    <col width="66.33203125" bestFit="1" customWidth="1" style="174" min="3330" max="3330"/>
    <col width="21.33203125" customWidth="1" style="174" min="3331" max="3335"/>
    <col width="18.44140625" bestFit="1" customWidth="1" style="174" min="3336" max="3336"/>
    <col width="11.109375" customWidth="1" style="174" min="3337" max="3337"/>
    <col width="21.33203125" customWidth="1" style="174" min="3338" max="3338"/>
    <col width="8.88671875" customWidth="1" style="174" min="3339" max="3584"/>
    <col width="20" bestFit="1" customWidth="1" style="174" min="3585" max="3585"/>
    <col width="66.33203125" bestFit="1" customWidth="1" style="174" min="3586" max="3586"/>
    <col width="21.33203125" customWidth="1" style="174" min="3587" max="3591"/>
    <col width="18.44140625" bestFit="1" customWidth="1" style="174" min="3592" max="3592"/>
    <col width="11.109375" customWidth="1" style="174" min="3593" max="3593"/>
    <col width="21.33203125" customWidth="1" style="174" min="3594" max="3594"/>
    <col width="8.88671875" customWidth="1" style="174" min="3595" max="3840"/>
    <col width="20" bestFit="1" customWidth="1" style="174" min="3841" max="3841"/>
    <col width="66.33203125" bestFit="1" customWidth="1" style="174" min="3842" max="3842"/>
    <col width="21.33203125" customWidth="1" style="174" min="3843" max="3847"/>
    <col width="18.44140625" bestFit="1" customWidth="1" style="174" min="3848" max="3848"/>
    <col width="11.109375" customWidth="1" style="174" min="3849" max="3849"/>
    <col width="21.33203125" customWidth="1" style="174" min="3850" max="3850"/>
    <col width="8.88671875" customWidth="1" style="174" min="3851" max="4096"/>
    <col width="20" bestFit="1" customWidth="1" style="174" min="4097" max="4097"/>
    <col width="66.33203125" bestFit="1" customWidth="1" style="174" min="4098" max="4098"/>
    <col width="21.33203125" customWidth="1" style="174" min="4099" max="4103"/>
    <col width="18.44140625" bestFit="1" customWidth="1" style="174" min="4104" max="4104"/>
    <col width="11.109375" customWidth="1" style="174" min="4105" max="4105"/>
    <col width="21.33203125" customWidth="1" style="174" min="4106" max="4106"/>
    <col width="8.88671875" customWidth="1" style="174" min="4107" max="4352"/>
    <col width="20" bestFit="1" customWidth="1" style="174" min="4353" max="4353"/>
    <col width="66.33203125" bestFit="1" customWidth="1" style="174" min="4354" max="4354"/>
    <col width="21.33203125" customWidth="1" style="174" min="4355" max="4359"/>
    <col width="18.44140625" bestFit="1" customWidth="1" style="174" min="4360" max="4360"/>
    <col width="11.109375" customWidth="1" style="174" min="4361" max="4361"/>
    <col width="21.33203125" customWidth="1" style="174" min="4362" max="4362"/>
    <col width="8.88671875" customWidth="1" style="174" min="4363" max="4608"/>
    <col width="20" bestFit="1" customWidth="1" style="174" min="4609" max="4609"/>
    <col width="66.33203125" bestFit="1" customWidth="1" style="174" min="4610" max="4610"/>
    <col width="21.33203125" customWidth="1" style="174" min="4611" max="4615"/>
    <col width="18.44140625" bestFit="1" customWidth="1" style="174" min="4616" max="4616"/>
    <col width="11.109375" customWidth="1" style="174" min="4617" max="4617"/>
    <col width="21.33203125" customWidth="1" style="174" min="4618" max="4618"/>
    <col width="8.88671875" customWidth="1" style="174" min="4619" max="4864"/>
    <col width="20" bestFit="1" customWidth="1" style="174" min="4865" max="4865"/>
    <col width="66.33203125" bestFit="1" customWidth="1" style="174" min="4866" max="4866"/>
    <col width="21.33203125" customWidth="1" style="174" min="4867" max="4871"/>
    <col width="18.44140625" bestFit="1" customWidth="1" style="174" min="4872" max="4872"/>
    <col width="11.109375" customWidth="1" style="174" min="4873" max="4873"/>
    <col width="21.33203125" customWidth="1" style="174" min="4874" max="4874"/>
    <col width="8.88671875" customWidth="1" style="174" min="4875" max="5120"/>
    <col width="20" bestFit="1" customWidth="1" style="174" min="5121" max="5121"/>
    <col width="66.33203125" bestFit="1" customWidth="1" style="174" min="5122" max="5122"/>
    <col width="21.33203125" customWidth="1" style="174" min="5123" max="5127"/>
    <col width="18.44140625" bestFit="1" customWidth="1" style="174" min="5128" max="5128"/>
    <col width="11.109375" customWidth="1" style="174" min="5129" max="5129"/>
    <col width="21.33203125" customWidth="1" style="174" min="5130" max="5130"/>
    <col width="8.88671875" customWidth="1" style="174" min="5131" max="5376"/>
    <col width="20" bestFit="1" customWidth="1" style="174" min="5377" max="5377"/>
    <col width="66.33203125" bestFit="1" customWidth="1" style="174" min="5378" max="5378"/>
    <col width="21.33203125" customWidth="1" style="174" min="5379" max="5383"/>
    <col width="18.44140625" bestFit="1" customWidth="1" style="174" min="5384" max="5384"/>
    <col width="11.109375" customWidth="1" style="174" min="5385" max="5385"/>
    <col width="21.33203125" customWidth="1" style="174" min="5386" max="5386"/>
    <col width="8.88671875" customWidth="1" style="174" min="5387" max="5632"/>
    <col width="20" bestFit="1" customWidth="1" style="174" min="5633" max="5633"/>
    <col width="66.33203125" bestFit="1" customWidth="1" style="174" min="5634" max="5634"/>
    <col width="21.33203125" customWidth="1" style="174" min="5635" max="5639"/>
    <col width="18.44140625" bestFit="1" customWidth="1" style="174" min="5640" max="5640"/>
    <col width="11.109375" customWidth="1" style="174" min="5641" max="5641"/>
    <col width="21.33203125" customWidth="1" style="174" min="5642" max="5642"/>
    <col width="8.88671875" customWidth="1" style="174" min="5643" max="5888"/>
    <col width="20" bestFit="1" customWidth="1" style="174" min="5889" max="5889"/>
    <col width="66.33203125" bestFit="1" customWidth="1" style="174" min="5890" max="5890"/>
    <col width="21.33203125" customWidth="1" style="174" min="5891" max="5895"/>
    <col width="18.44140625" bestFit="1" customWidth="1" style="174" min="5896" max="5896"/>
    <col width="11.109375" customWidth="1" style="174" min="5897" max="5897"/>
    <col width="21.33203125" customWidth="1" style="174" min="5898" max="5898"/>
    <col width="8.88671875" customWidth="1" style="174" min="5899" max="6144"/>
    <col width="20" bestFit="1" customWidth="1" style="174" min="6145" max="6145"/>
    <col width="66.33203125" bestFit="1" customWidth="1" style="174" min="6146" max="6146"/>
    <col width="21.33203125" customWidth="1" style="174" min="6147" max="6151"/>
    <col width="18.44140625" bestFit="1" customWidth="1" style="174" min="6152" max="6152"/>
    <col width="11.109375" customWidth="1" style="174" min="6153" max="6153"/>
    <col width="21.33203125" customWidth="1" style="174" min="6154" max="6154"/>
    <col width="8.88671875" customWidth="1" style="174" min="6155" max="6400"/>
    <col width="20" bestFit="1" customWidth="1" style="174" min="6401" max="6401"/>
    <col width="66.33203125" bestFit="1" customWidth="1" style="174" min="6402" max="6402"/>
    <col width="21.33203125" customWidth="1" style="174" min="6403" max="6407"/>
    <col width="18.44140625" bestFit="1" customWidth="1" style="174" min="6408" max="6408"/>
    <col width="11.109375" customWidth="1" style="174" min="6409" max="6409"/>
    <col width="21.33203125" customWidth="1" style="174" min="6410" max="6410"/>
    <col width="8.88671875" customWidth="1" style="174" min="6411" max="6656"/>
    <col width="20" bestFit="1" customWidth="1" style="174" min="6657" max="6657"/>
    <col width="66.33203125" bestFit="1" customWidth="1" style="174" min="6658" max="6658"/>
    <col width="21.33203125" customWidth="1" style="174" min="6659" max="6663"/>
    <col width="18.44140625" bestFit="1" customWidth="1" style="174" min="6664" max="6664"/>
    <col width="11.109375" customWidth="1" style="174" min="6665" max="6665"/>
    <col width="21.33203125" customWidth="1" style="174" min="6666" max="6666"/>
    <col width="8.88671875" customWidth="1" style="174" min="6667" max="6912"/>
    <col width="20" bestFit="1" customWidth="1" style="174" min="6913" max="6913"/>
    <col width="66.33203125" bestFit="1" customWidth="1" style="174" min="6914" max="6914"/>
    <col width="21.33203125" customWidth="1" style="174" min="6915" max="6919"/>
    <col width="18.44140625" bestFit="1" customWidth="1" style="174" min="6920" max="6920"/>
    <col width="11.109375" customWidth="1" style="174" min="6921" max="6921"/>
    <col width="21.33203125" customWidth="1" style="174" min="6922" max="6922"/>
    <col width="8.88671875" customWidth="1" style="174" min="6923" max="7168"/>
    <col width="20" bestFit="1" customWidth="1" style="174" min="7169" max="7169"/>
    <col width="66.33203125" bestFit="1" customWidth="1" style="174" min="7170" max="7170"/>
    <col width="21.33203125" customWidth="1" style="174" min="7171" max="7175"/>
    <col width="18.44140625" bestFit="1" customWidth="1" style="174" min="7176" max="7176"/>
    <col width="11.109375" customWidth="1" style="174" min="7177" max="7177"/>
    <col width="21.33203125" customWidth="1" style="174" min="7178" max="7178"/>
    <col width="8.88671875" customWidth="1" style="174" min="7179" max="7424"/>
    <col width="20" bestFit="1" customWidth="1" style="174" min="7425" max="7425"/>
    <col width="66.33203125" bestFit="1" customWidth="1" style="174" min="7426" max="7426"/>
    <col width="21.33203125" customWidth="1" style="174" min="7427" max="7431"/>
    <col width="18.44140625" bestFit="1" customWidth="1" style="174" min="7432" max="7432"/>
    <col width="11.109375" customWidth="1" style="174" min="7433" max="7433"/>
    <col width="21.33203125" customWidth="1" style="174" min="7434" max="7434"/>
    <col width="8.88671875" customWidth="1" style="174" min="7435" max="7680"/>
    <col width="20" bestFit="1" customWidth="1" style="174" min="7681" max="7681"/>
    <col width="66.33203125" bestFit="1" customWidth="1" style="174" min="7682" max="7682"/>
    <col width="21.33203125" customWidth="1" style="174" min="7683" max="7687"/>
    <col width="18.44140625" bestFit="1" customWidth="1" style="174" min="7688" max="7688"/>
    <col width="11.109375" customWidth="1" style="174" min="7689" max="7689"/>
    <col width="21.33203125" customWidth="1" style="174" min="7690" max="7690"/>
    <col width="8.88671875" customWidth="1" style="174" min="7691" max="7936"/>
    <col width="20" bestFit="1" customWidth="1" style="174" min="7937" max="7937"/>
    <col width="66.33203125" bestFit="1" customWidth="1" style="174" min="7938" max="7938"/>
    <col width="21.33203125" customWidth="1" style="174" min="7939" max="7943"/>
    <col width="18.44140625" bestFit="1" customWidth="1" style="174" min="7944" max="7944"/>
    <col width="11.109375" customWidth="1" style="174" min="7945" max="7945"/>
    <col width="21.33203125" customWidth="1" style="174" min="7946" max="7946"/>
    <col width="8.88671875" customWidth="1" style="174" min="7947" max="8192"/>
    <col width="20" bestFit="1" customWidth="1" style="174" min="8193" max="8193"/>
    <col width="66.33203125" bestFit="1" customWidth="1" style="174" min="8194" max="8194"/>
    <col width="21.33203125" customWidth="1" style="174" min="8195" max="8199"/>
    <col width="18.44140625" bestFit="1" customWidth="1" style="174" min="8200" max="8200"/>
    <col width="11.109375" customWidth="1" style="174" min="8201" max="8201"/>
    <col width="21.33203125" customWidth="1" style="174" min="8202" max="8202"/>
    <col width="8.88671875" customWidth="1" style="174" min="8203" max="8448"/>
    <col width="20" bestFit="1" customWidth="1" style="174" min="8449" max="8449"/>
    <col width="66.33203125" bestFit="1" customWidth="1" style="174" min="8450" max="8450"/>
    <col width="21.33203125" customWidth="1" style="174" min="8451" max="8455"/>
    <col width="18.44140625" bestFit="1" customWidth="1" style="174" min="8456" max="8456"/>
    <col width="11.109375" customWidth="1" style="174" min="8457" max="8457"/>
    <col width="21.33203125" customWidth="1" style="174" min="8458" max="8458"/>
    <col width="8.88671875" customWidth="1" style="174" min="8459" max="8704"/>
    <col width="20" bestFit="1" customWidth="1" style="174" min="8705" max="8705"/>
    <col width="66.33203125" bestFit="1" customWidth="1" style="174" min="8706" max="8706"/>
    <col width="21.33203125" customWidth="1" style="174" min="8707" max="8711"/>
    <col width="18.44140625" bestFit="1" customWidth="1" style="174" min="8712" max="8712"/>
    <col width="11.109375" customWidth="1" style="174" min="8713" max="8713"/>
    <col width="21.33203125" customWidth="1" style="174" min="8714" max="8714"/>
    <col width="8.88671875" customWidth="1" style="174" min="8715" max="8960"/>
    <col width="20" bestFit="1" customWidth="1" style="174" min="8961" max="8961"/>
    <col width="66.33203125" bestFit="1" customWidth="1" style="174" min="8962" max="8962"/>
    <col width="21.33203125" customWidth="1" style="174" min="8963" max="8967"/>
    <col width="18.44140625" bestFit="1" customWidth="1" style="174" min="8968" max="8968"/>
    <col width="11.109375" customWidth="1" style="174" min="8969" max="8969"/>
    <col width="21.33203125" customWidth="1" style="174" min="8970" max="8970"/>
    <col width="8.88671875" customWidth="1" style="174" min="8971" max="9216"/>
    <col width="20" bestFit="1" customWidth="1" style="174" min="9217" max="9217"/>
    <col width="66.33203125" bestFit="1" customWidth="1" style="174" min="9218" max="9218"/>
    <col width="21.33203125" customWidth="1" style="174" min="9219" max="9223"/>
    <col width="18.44140625" bestFit="1" customWidth="1" style="174" min="9224" max="9224"/>
    <col width="11.109375" customWidth="1" style="174" min="9225" max="9225"/>
    <col width="21.33203125" customWidth="1" style="174" min="9226" max="9226"/>
    <col width="8.88671875" customWidth="1" style="174" min="9227" max="9472"/>
    <col width="20" bestFit="1" customWidth="1" style="174" min="9473" max="9473"/>
    <col width="66.33203125" bestFit="1" customWidth="1" style="174" min="9474" max="9474"/>
    <col width="21.33203125" customWidth="1" style="174" min="9475" max="9479"/>
    <col width="18.44140625" bestFit="1" customWidth="1" style="174" min="9480" max="9480"/>
    <col width="11.109375" customWidth="1" style="174" min="9481" max="9481"/>
    <col width="21.33203125" customWidth="1" style="174" min="9482" max="9482"/>
    <col width="8.88671875" customWidth="1" style="174" min="9483" max="9728"/>
    <col width="20" bestFit="1" customWidth="1" style="174" min="9729" max="9729"/>
    <col width="66.33203125" bestFit="1" customWidth="1" style="174" min="9730" max="9730"/>
    <col width="21.33203125" customWidth="1" style="174" min="9731" max="9735"/>
    <col width="18.44140625" bestFit="1" customWidth="1" style="174" min="9736" max="9736"/>
    <col width="11.109375" customWidth="1" style="174" min="9737" max="9737"/>
    <col width="21.33203125" customWidth="1" style="174" min="9738" max="9738"/>
    <col width="8.88671875" customWidth="1" style="174" min="9739" max="9984"/>
    <col width="20" bestFit="1" customWidth="1" style="174" min="9985" max="9985"/>
    <col width="66.33203125" bestFit="1" customWidth="1" style="174" min="9986" max="9986"/>
    <col width="21.33203125" customWidth="1" style="174" min="9987" max="9991"/>
    <col width="18.44140625" bestFit="1" customWidth="1" style="174" min="9992" max="9992"/>
    <col width="11.109375" customWidth="1" style="174" min="9993" max="9993"/>
    <col width="21.33203125" customWidth="1" style="174" min="9994" max="9994"/>
    <col width="8.88671875" customWidth="1" style="174" min="9995" max="10240"/>
    <col width="20" bestFit="1" customWidth="1" style="174" min="10241" max="10241"/>
    <col width="66.33203125" bestFit="1" customWidth="1" style="174" min="10242" max="10242"/>
    <col width="21.33203125" customWidth="1" style="174" min="10243" max="10247"/>
    <col width="18.44140625" bestFit="1" customWidth="1" style="174" min="10248" max="10248"/>
    <col width="11.109375" customWidth="1" style="174" min="10249" max="10249"/>
    <col width="21.33203125" customWidth="1" style="174" min="10250" max="10250"/>
    <col width="8.88671875" customWidth="1" style="174" min="10251" max="10496"/>
    <col width="20" bestFit="1" customWidth="1" style="174" min="10497" max="10497"/>
    <col width="66.33203125" bestFit="1" customWidth="1" style="174" min="10498" max="10498"/>
    <col width="21.33203125" customWidth="1" style="174" min="10499" max="10503"/>
    <col width="18.44140625" bestFit="1" customWidth="1" style="174" min="10504" max="10504"/>
    <col width="11.109375" customWidth="1" style="174" min="10505" max="10505"/>
    <col width="21.33203125" customWidth="1" style="174" min="10506" max="10506"/>
    <col width="8.88671875" customWidth="1" style="174" min="10507" max="10752"/>
    <col width="20" bestFit="1" customWidth="1" style="174" min="10753" max="10753"/>
    <col width="66.33203125" bestFit="1" customWidth="1" style="174" min="10754" max="10754"/>
    <col width="21.33203125" customWidth="1" style="174" min="10755" max="10759"/>
    <col width="18.44140625" bestFit="1" customWidth="1" style="174" min="10760" max="10760"/>
    <col width="11.109375" customWidth="1" style="174" min="10761" max="10761"/>
    <col width="21.33203125" customWidth="1" style="174" min="10762" max="10762"/>
    <col width="8.88671875" customWidth="1" style="174" min="10763" max="11008"/>
    <col width="20" bestFit="1" customWidth="1" style="174" min="11009" max="11009"/>
    <col width="66.33203125" bestFit="1" customWidth="1" style="174" min="11010" max="11010"/>
    <col width="21.33203125" customWidth="1" style="174" min="11011" max="11015"/>
    <col width="18.44140625" bestFit="1" customWidth="1" style="174" min="11016" max="11016"/>
    <col width="11.109375" customWidth="1" style="174" min="11017" max="11017"/>
    <col width="21.33203125" customWidth="1" style="174" min="11018" max="11018"/>
    <col width="8.88671875" customWidth="1" style="174" min="11019" max="11264"/>
    <col width="20" bestFit="1" customWidth="1" style="174" min="11265" max="11265"/>
    <col width="66.33203125" bestFit="1" customWidth="1" style="174" min="11266" max="11266"/>
    <col width="21.33203125" customWidth="1" style="174" min="11267" max="11271"/>
    <col width="18.44140625" bestFit="1" customWidth="1" style="174" min="11272" max="11272"/>
    <col width="11.109375" customWidth="1" style="174" min="11273" max="11273"/>
    <col width="21.33203125" customWidth="1" style="174" min="11274" max="11274"/>
    <col width="8.88671875" customWidth="1" style="174" min="11275" max="11520"/>
    <col width="20" bestFit="1" customWidth="1" style="174" min="11521" max="11521"/>
    <col width="66.33203125" bestFit="1" customWidth="1" style="174" min="11522" max="11522"/>
    <col width="21.33203125" customWidth="1" style="174" min="11523" max="11527"/>
    <col width="18.44140625" bestFit="1" customWidth="1" style="174" min="11528" max="11528"/>
    <col width="11.109375" customWidth="1" style="174" min="11529" max="11529"/>
    <col width="21.33203125" customWidth="1" style="174" min="11530" max="11530"/>
    <col width="8.88671875" customWidth="1" style="174" min="11531" max="11776"/>
    <col width="20" bestFit="1" customWidth="1" style="174" min="11777" max="11777"/>
    <col width="66.33203125" bestFit="1" customWidth="1" style="174" min="11778" max="11778"/>
    <col width="21.33203125" customWidth="1" style="174" min="11779" max="11783"/>
    <col width="18.44140625" bestFit="1" customWidth="1" style="174" min="11784" max="11784"/>
    <col width="11.109375" customWidth="1" style="174" min="11785" max="11785"/>
    <col width="21.33203125" customWidth="1" style="174" min="11786" max="11786"/>
    <col width="8.88671875" customWidth="1" style="174" min="11787" max="12032"/>
    <col width="20" bestFit="1" customWidth="1" style="174" min="12033" max="12033"/>
    <col width="66.33203125" bestFit="1" customWidth="1" style="174" min="12034" max="12034"/>
    <col width="21.33203125" customWidth="1" style="174" min="12035" max="12039"/>
    <col width="18.44140625" bestFit="1" customWidth="1" style="174" min="12040" max="12040"/>
    <col width="11.109375" customWidth="1" style="174" min="12041" max="12041"/>
    <col width="21.33203125" customWidth="1" style="174" min="12042" max="12042"/>
    <col width="8.88671875" customWidth="1" style="174" min="12043" max="12288"/>
    <col width="20" bestFit="1" customWidth="1" style="174" min="12289" max="12289"/>
    <col width="66.33203125" bestFit="1" customWidth="1" style="174" min="12290" max="12290"/>
    <col width="21.33203125" customWidth="1" style="174" min="12291" max="12295"/>
    <col width="18.44140625" bestFit="1" customWidth="1" style="174" min="12296" max="12296"/>
    <col width="11.109375" customWidth="1" style="174" min="12297" max="12297"/>
    <col width="21.33203125" customWidth="1" style="174" min="12298" max="12298"/>
    <col width="8.88671875" customWidth="1" style="174" min="12299" max="12544"/>
    <col width="20" bestFit="1" customWidth="1" style="174" min="12545" max="12545"/>
    <col width="66.33203125" bestFit="1" customWidth="1" style="174" min="12546" max="12546"/>
    <col width="21.33203125" customWidth="1" style="174" min="12547" max="12551"/>
    <col width="18.44140625" bestFit="1" customWidth="1" style="174" min="12552" max="12552"/>
    <col width="11.109375" customWidth="1" style="174" min="12553" max="12553"/>
    <col width="21.33203125" customWidth="1" style="174" min="12554" max="12554"/>
    <col width="8.88671875" customWidth="1" style="174" min="12555" max="12800"/>
    <col width="20" bestFit="1" customWidth="1" style="174" min="12801" max="12801"/>
    <col width="66.33203125" bestFit="1" customWidth="1" style="174" min="12802" max="12802"/>
    <col width="21.33203125" customWidth="1" style="174" min="12803" max="12807"/>
    <col width="18.44140625" bestFit="1" customWidth="1" style="174" min="12808" max="12808"/>
    <col width="11.109375" customWidth="1" style="174" min="12809" max="12809"/>
    <col width="21.33203125" customWidth="1" style="174" min="12810" max="12810"/>
    <col width="8.88671875" customWidth="1" style="174" min="12811" max="13056"/>
    <col width="20" bestFit="1" customWidth="1" style="174" min="13057" max="13057"/>
    <col width="66.33203125" bestFit="1" customWidth="1" style="174" min="13058" max="13058"/>
    <col width="21.33203125" customWidth="1" style="174" min="13059" max="13063"/>
    <col width="18.44140625" bestFit="1" customWidth="1" style="174" min="13064" max="13064"/>
    <col width="11.109375" customWidth="1" style="174" min="13065" max="13065"/>
    <col width="21.33203125" customWidth="1" style="174" min="13066" max="13066"/>
    <col width="8.88671875" customWidth="1" style="174" min="13067" max="13312"/>
    <col width="20" bestFit="1" customWidth="1" style="174" min="13313" max="13313"/>
    <col width="66.33203125" bestFit="1" customWidth="1" style="174" min="13314" max="13314"/>
    <col width="21.33203125" customWidth="1" style="174" min="13315" max="13319"/>
    <col width="18.44140625" bestFit="1" customWidth="1" style="174" min="13320" max="13320"/>
    <col width="11.109375" customWidth="1" style="174" min="13321" max="13321"/>
    <col width="21.33203125" customWidth="1" style="174" min="13322" max="13322"/>
    <col width="8.88671875" customWidth="1" style="174" min="13323" max="13568"/>
    <col width="20" bestFit="1" customWidth="1" style="174" min="13569" max="13569"/>
    <col width="66.33203125" bestFit="1" customWidth="1" style="174" min="13570" max="13570"/>
    <col width="21.33203125" customWidth="1" style="174" min="13571" max="13575"/>
    <col width="18.44140625" bestFit="1" customWidth="1" style="174" min="13576" max="13576"/>
    <col width="11.109375" customWidth="1" style="174" min="13577" max="13577"/>
    <col width="21.33203125" customWidth="1" style="174" min="13578" max="13578"/>
    <col width="8.88671875" customWidth="1" style="174" min="13579" max="13824"/>
    <col width="20" bestFit="1" customWidth="1" style="174" min="13825" max="13825"/>
    <col width="66.33203125" bestFit="1" customWidth="1" style="174" min="13826" max="13826"/>
    <col width="21.33203125" customWidth="1" style="174" min="13827" max="13831"/>
    <col width="18.44140625" bestFit="1" customWidth="1" style="174" min="13832" max="13832"/>
    <col width="11.109375" customWidth="1" style="174" min="13833" max="13833"/>
    <col width="21.33203125" customWidth="1" style="174" min="13834" max="13834"/>
    <col width="8.88671875" customWidth="1" style="174" min="13835" max="14080"/>
    <col width="20" bestFit="1" customWidth="1" style="174" min="14081" max="14081"/>
    <col width="66.33203125" bestFit="1" customWidth="1" style="174" min="14082" max="14082"/>
    <col width="21.33203125" customWidth="1" style="174" min="14083" max="14087"/>
    <col width="18.44140625" bestFit="1" customWidth="1" style="174" min="14088" max="14088"/>
    <col width="11.109375" customWidth="1" style="174" min="14089" max="14089"/>
    <col width="21.33203125" customWidth="1" style="174" min="14090" max="14090"/>
    <col width="8.88671875" customWidth="1" style="174" min="14091" max="14336"/>
    <col width="20" bestFit="1" customWidth="1" style="174" min="14337" max="14337"/>
    <col width="66.33203125" bestFit="1" customWidth="1" style="174" min="14338" max="14338"/>
    <col width="21.33203125" customWidth="1" style="174" min="14339" max="14343"/>
    <col width="18.44140625" bestFit="1" customWidth="1" style="174" min="14344" max="14344"/>
    <col width="11.109375" customWidth="1" style="174" min="14345" max="14345"/>
    <col width="21.33203125" customWidth="1" style="174" min="14346" max="14346"/>
    <col width="8.88671875" customWidth="1" style="174" min="14347" max="14592"/>
    <col width="20" bestFit="1" customWidth="1" style="174" min="14593" max="14593"/>
    <col width="66.33203125" bestFit="1" customWidth="1" style="174" min="14594" max="14594"/>
    <col width="21.33203125" customWidth="1" style="174" min="14595" max="14599"/>
    <col width="18.44140625" bestFit="1" customWidth="1" style="174" min="14600" max="14600"/>
    <col width="11.109375" customWidth="1" style="174" min="14601" max="14601"/>
    <col width="21.33203125" customWidth="1" style="174" min="14602" max="14602"/>
    <col width="8.88671875" customWidth="1" style="174" min="14603" max="14848"/>
    <col width="20" bestFit="1" customWidth="1" style="174" min="14849" max="14849"/>
    <col width="66.33203125" bestFit="1" customWidth="1" style="174" min="14850" max="14850"/>
    <col width="21.33203125" customWidth="1" style="174" min="14851" max="14855"/>
    <col width="18.44140625" bestFit="1" customWidth="1" style="174" min="14856" max="14856"/>
    <col width="11.109375" customWidth="1" style="174" min="14857" max="14857"/>
    <col width="21.33203125" customWidth="1" style="174" min="14858" max="14858"/>
    <col width="8.88671875" customWidth="1" style="174" min="14859" max="15104"/>
    <col width="20" bestFit="1" customWidth="1" style="174" min="15105" max="15105"/>
    <col width="66.33203125" bestFit="1" customWidth="1" style="174" min="15106" max="15106"/>
    <col width="21.33203125" customWidth="1" style="174" min="15107" max="15111"/>
    <col width="18.44140625" bestFit="1" customWidth="1" style="174" min="15112" max="15112"/>
    <col width="11.109375" customWidth="1" style="174" min="15113" max="15113"/>
    <col width="21.33203125" customWidth="1" style="174" min="15114" max="15114"/>
    <col width="8.88671875" customWidth="1" style="174" min="15115" max="15360"/>
    <col width="20" bestFit="1" customWidth="1" style="174" min="15361" max="15361"/>
    <col width="66.33203125" bestFit="1" customWidth="1" style="174" min="15362" max="15362"/>
    <col width="21.33203125" customWidth="1" style="174" min="15363" max="15367"/>
    <col width="18.44140625" bestFit="1" customWidth="1" style="174" min="15368" max="15368"/>
    <col width="11.109375" customWidth="1" style="174" min="15369" max="15369"/>
    <col width="21.33203125" customWidth="1" style="174" min="15370" max="15370"/>
    <col width="8.88671875" customWidth="1" style="174" min="15371" max="15616"/>
    <col width="20" bestFit="1" customWidth="1" style="174" min="15617" max="15617"/>
    <col width="66.33203125" bestFit="1" customWidth="1" style="174" min="15618" max="15618"/>
    <col width="21.33203125" customWidth="1" style="174" min="15619" max="15623"/>
    <col width="18.44140625" bestFit="1" customWidth="1" style="174" min="15624" max="15624"/>
    <col width="11.109375" customWidth="1" style="174" min="15625" max="15625"/>
    <col width="21.33203125" customWidth="1" style="174" min="15626" max="15626"/>
    <col width="8.88671875" customWidth="1" style="174" min="15627" max="15872"/>
    <col width="20" bestFit="1" customWidth="1" style="174" min="15873" max="15873"/>
    <col width="66.33203125" bestFit="1" customWidth="1" style="174" min="15874" max="15874"/>
    <col width="21.33203125" customWidth="1" style="174" min="15875" max="15879"/>
    <col width="18.44140625" bestFit="1" customWidth="1" style="174" min="15880" max="15880"/>
    <col width="11.109375" customWidth="1" style="174" min="15881" max="15881"/>
    <col width="21.33203125" customWidth="1" style="174" min="15882" max="15882"/>
    <col width="8.88671875" customWidth="1" style="174" min="15883" max="16128"/>
    <col width="20" bestFit="1" customWidth="1" style="174" min="16129" max="16129"/>
    <col width="66.33203125" bestFit="1" customWidth="1" style="174" min="16130" max="16130"/>
    <col width="21.33203125" customWidth="1" style="174" min="16131" max="16135"/>
    <col width="18.44140625" bestFit="1" customWidth="1" style="174" min="16136" max="16136"/>
    <col width="11.109375" customWidth="1" style="174" min="16137" max="16137"/>
    <col width="21.33203125" customWidth="1" style="174" min="16138" max="16138"/>
    <col width="8.88671875" customWidth="1" style="174" min="16139" max="16384"/>
  </cols>
  <sheetData>
    <row r="1" ht="12.75" customHeight="1">
      <c r="C1" s="314" t="inlineStr">
        <is>
          <t>Eindbalans 31-01-2020</t>
        </is>
      </c>
      <c r="D1" s="313" t="inlineStr">
        <is>
          <t>Mutaties Q2 2020</t>
        </is>
      </c>
      <c r="E1" s="314" t="inlineStr">
        <is>
          <t>Mutaties Q3 2020</t>
        </is>
      </c>
      <c r="F1" s="314" t="inlineStr">
        <is>
          <t>Mutaties Q4 2020</t>
        </is>
      </c>
      <c r="G1" s="314" t="inlineStr">
        <is>
          <t>Mutaties Q1 2021</t>
        </is>
      </c>
      <c r="H1" s="315" t="inlineStr">
        <is>
          <t>Saldi per 31-03-2021</t>
        </is>
      </c>
    </row>
    <row r="3" ht="12.75" customHeight="1">
      <c r="A3" s="179" t="inlineStr">
        <is>
          <t>Balans</t>
        </is>
      </c>
      <c r="C3" s="314" t="n"/>
      <c r="J3" s="313" t="n">
        <v>449927</v>
      </c>
      <c r="K3" s="174" t="inlineStr">
        <is>
          <t>Q4</t>
        </is>
      </c>
    </row>
    <row r="4" ht="12.75" customHeight="1">
      <c r="A4" s="173" t="n">
        <v>1600200</v>
      </c>
      <c r="B4" s="174" t="inlineStr">
        <is>
          <t>VG Vastgoedbeleggingen Verkrijgings- of vervaardigingsprijs</t>
        </is>
      </c>
      <c r="C4" s="314" t="n">
        <v>129552968</v>
      </c>
      <c r="D4" s="313" t="n">
        <v>153567</v>
      </c>
      <c r="H4" s="315">
        <f>SUM(C4:G4)</f>
        <v/>
      </c>
      <c r="I4" s="180" t="n"/>
      <c r="J4" s="313" t="n">
        <v>172507</v>
      </c>
      <c r="K4" s="174" t="inlineStr">
        <is>
          <t>Q3</t>
        </is>
      </c>
    </row>
    <row r="5" ht="12.75" customHeight="1">
      <c r="A5" s="173" t="inlineStr">
        <is>
          <t>1600200</t>
        </is>
      </c>
      <c r="B5" s="174" t="inlineStr">
        <is>
          <t>VG Vastgoedbeleggingen Cum afschrijvingen en waardeverm</t>
        </is>
      </c>
      <c r="C5" s="314" t="n">
        <v>-10957006</v>
      </c>
      <c r="D5" s="313">
        <f>-630199</f>
        <v/>
      </c>
      <c r="E5" s="313" t="n">
        <v>-653151</v>
      </c>
      <c r="F5" s="313" t="n">
        <v>-654632</v>
      </c>
      <c r="G5" s="313" t="n">
        <v>-277132</v>
      </c>
      <c r="H5" s="315">
        <f>SUM(C5:G5)</f>
        <v/>
      </c>
    </row>
    <row r="6" ht="12.75" customHeight="1">
      <c r="A6" s="173" t="inlineStr">
        <is>
          <t>1610803</t>
        </is>
      </c>
      <c r="B6" s="174" t="inlineStr">
        <is>
          <t>VG Comm VG in exploitatie Buitengebruikstellingen aanschaffingswaarde</t>
        </is>
      </c>
      <c r="C6" s="314" t="n">
        <v>-1186090</v>
      </c>
      <c r="D6" s="317" t="n">
        <v>-841866</v>
      </c>
      <c r="E6" s="317" t="n">
        <v>-947310</v>
      </c>
      <c r="F6" s="317" t="n">
        <v>-1073484</v>
      </c>
      <c r="G6" s="317" t="n">
        <v>-706761</v>
      </c>
      <c r="H6" s="315">
        <f>SUM(C6:G6)</f>
        <v/>
      </c>
    </row>
    <row r="7" ht="12.75" customHeight="1">
      <c r="A7" s="173" t="inlineStr">
        <is>
          <t>1611003</t>
        </is>
      </c>
      <c r="B7" s="174" t="inlineStr">
        <is>
          <t>VG Comm VG in exploitatie Buitengebruikstellingen cum. afschr. en waardeverm.</t>
        </is>
      </c>
      <c r="C7" s="314" t="n">
        <v>100523</v>
      </c>
      <c r="D7" s="313" t="n">
        <v>76100</v>
      </c>
      <c r="E7" s="313" t="n">
        <v>90299</v>
      </c>
      <c r="F7" s="313" t="n">
        <v>110448</v>
      </c>
      <c r="G7" s="313" t="n">
        <v>-303581</v>
      </c>
      <c r="H7" s="315">
        <f>SUM(C7:G7)</f>
        <v/>
      </c>
    </row>
    <row r="8" ht="12.75" customHeight="1">
      <c r="A8" s="174" t="inlineStr">
        <is>
          <t>Totaal Vastgoedbeleggingen</t>
        </is>
      </c>
      <c r="C8" s="314" t="n"/>
      <c r="I8" s="180" t="n"/>
    </row>
    <row r="9" ht="12.75" customHeight="1">
      <c r="C9" s="314" t="n"/>
    </row>
    <row r="10" ht="12.75" customHeight="1">
      <c r="A10" s="173" t="inlineStr">
        <is>
          <t>1790002</t>
        </is>
      </c>
      <c r="B10" s="174" t="inlineStr">
        <is>
          <t>FVA Latente belastingvordering langlopend</t>
        </is>
      </c>
      <c r="C10" s="314" t="n">
        <v>2289523</v>
      </c>
      <c r="D10" s="313" t="n">
        <v>524916</v>
      </c>
      <c r="E10" s="313" t="n">
        <v>118583</v>
      </c>
      <c r="F10" s="313" t="n">
        <v>576960</v>
      </c>
      <c r="G10" s="313" t="n">
        <v>142740</v>
      </c>
      <c r="H10" s="315">
        <f>SUM(C10:G10)</f>
        <v/>
      </c>
    </row>
    <row r="11" ht="12.75" customHeight="1">
      <c r="A11" s="174" t="inlineStr">
        <is>
          <t>Totaal Financiële vaste activa</t>
        </is>
      </c>
      <c r="C11" s="314" t="n"/>
    </row>
    <row r="12" ht="12.75" customHeight="1">
      <c r="C12" s="314" t="n"/>
    </row>
    <row r="13" ht="12.75" customHeight="1">
      <c r="A13" s="173" t="inlineStr">
        <is>
          <t>2000000</t>
        </is>
      </c>
      <c r="B13" s="174" t="inlineStr">
        <is>
          <t>VOR Debiteuren</t>
        </is>
      </c>
      <c r="C13" s="314" t="n">
        <v>293351</v>
      </c>
      <c r="D13" s="313" t="n">
        <v>-208231</v>
      </c>
      <c r="E13" s="313" t="n">
        <v>316526</v>
      </c>
      <c r="F13" s="313" t="n">
        <v>-108371</v>
      </c>
      <c r="G13" s="313" t="n">
        <v>-341343</v>
      </c>
      <c r="H13" s="315">
        <f>SUM(C13:G13)</f>
        <v/>
      </c>
    </row>
    <row r="14" ht="12.75" customHeight="1">
      <c r="A14" s="173" t="inlineStr">
        <is>
          <t>2000300</t>
        </is>
      </c>
      <c r="B14" s="174" t="inlineStr">
        <is>
          <t>VOR Voorziening dubieuze debiteuren</t>
        </is>
      </c>
      <c r="C14" s="314" t="n">
        <v>-55541</v>
      </c>
      <c r="F14" s="313" t="n">
        <v>0</v>
      </c>
      <c r="G14" s="313" t="n">
        <v>0</v>
      </c>
      <c r="H14" s="315">
        <f>SUM(C14:G14)</f>
        <v/>
      </c>
    </row>
    <row r="15" ht="12.75" customHeight="1">
      <c r="A15" s="174" t="inlineStr">
        <is>
          <t>Totaal Debiteuren</t>
        </is>
      </c>
      <c r="C15" s="314" t="n"/>
      <c r="J15" s="316">
        <f>SUM(H4:H31)</f>
        <v/>
      </c>
    </row>
    <row r="16" ht="12.75" customHeight="1">
      <c r="C16" s="314" t="n"/>
      <c r="J16" s="316">
        <f>SUM('Management Cijfers - Q4 2025'!Z3:Z9)+'Management Cijfers - Q4 2025'!AB11</f>
        <v/>
      </c>
    </row>
    <row r="17" ht="12.75" customHeight="1">
      <c r="A17" s="173" t="n">
        <v>2640000</v>
      </c>
      <c r="B17" s="174" t="inlineStr">
        <is>
          <t>RC Kortlopend DMRRP INV - I BV</t>
        </is>
      </c>
      <c r="C17" s="314" t="n">
        <v>-1913400</v>
      </c>
      <c r="E17" s="313" t="n">
        <v>1642583</v>
      </c>
      <c r="F17" s="313" t="n">
        <v>1046231</v>
      </c>
      <c r="G17" s="313" t="n">
        <v>436656</v>
      </c>
      <c r="H17" s="315">
        <f>SUM(C17:G17)</f>
        <v/>
      </c>
      <c r="J17" s="316">
        <f>J16-J15</f>
        <v/>
      </c>
    </row>
    <row r="18" ht="12.75" customHeight="1">
      <c r="A18" s="174" t="inlineStr">
        <is>
          <t>Totaal Rekening-courant aandeelhouder</t>
        </is>
      </c>
      <c r="C18" s="314" t="n"/>
    </row>
    <row r="19" ht="12.75" customHeight="1">
      <c r="C19" s="314" t="n"/>
    </row>
    <row r="20" ht="12.75" customHeight="1">
      <c r="A20" s="173" t="n">
        <v>2040200</v>
      </c>
      <c r="B20" s="174" t="inlineStr">
        <is>
          <t>VOR Te vorderen waarborgsommen kortlopen</t>
        </is>
      </c>
      <c r="C20" s="314" t="n">
        <v>5000</v>
      </c>
      <c r="H20" s="315">
        <f>SUM(C20:G20)</f>
        <v/>
      </c>
    </row>
    <row r="21" ht="12.75" customHeight="1">
      <c r="A21" s="173" t="inlineStr">
        <is>
          <t>2040700</t>
        </is>
      </c>
      <c r="B21" s="174" t="inlineStr">
        <is>
          <t>VOR Vooruitbetaalde servicekosten</t>
        </is>
      </c>
      <c r="C21" s="314" t="n">
        <v>3818</v>
      </c>
      <c r="F21" s="313" t="n">
        <v>-1022</v>
      </c>
      <c r="G21" s="313" t="n">
        <v>-2796</v>
      </c>
      <c r="H21" s="315">
        <f>SUM(C21:G21)</f>
        <v/>
      </c>
    </row>
    <row r="22" ht="12.75" customHeight="1">
      <c r="A22" s="173" t="inlineStr">
        <is>
          <t>2040900</t>
        </is>
      </c>
      <c r="B22" s="174" t="inlineStr">
        <is>
          <t>VOR Vooruitbetaalde overige kosten</t>
        </is>
      </c>
      <c r="C22" s="314" t="n">
        <v>-64644</v>
      </c>
      <c r="D22" s="313" t="n">
        <v>360152</v>
      </c>
      <c r="E22" s="313" t="n">
        <v>-139615</v>
      </c>
      <c r="F22" s="313" t="n">
        <v>-155413</v>
      </c>
      <c r="G22" s="313" t="n">
        <v>342768</v>
      </c>
      <c r="H22" s="315">
        <f>SUM(C22:G22)</f>
        <v/>
      </c>
    </row>
    <row r="23" ht="12.75" customHeight="1">
      <c r="A23" s="174" t="inlineStr">
        <is>
          <t>Totaal overige vorderingen</t>
        </is>
      </c>
      <c r="C23" s="314" t="n"/>
    </row>
    <row r="24" ht="12.75" customHeight="1">
      <c r="C24" s="314" t="n"/>
    </row>
    <row r="25" ht="12.75" customHeight="1">
      <c r="A25" s="173" t="inlineStr">
        <is>
          <t>2300000</t>
        </is>
      </c>
      <c r="B25" s="174" t="inlineStr">
        <is>
          <t>LM Kruisposten</t>
        </is>
      </c>
      <c r="C25" s="314" t="n"/>
      <c r="D25" s="313" t="n">
        <v>0</v>
      </c>
      <c r="G25" s="313" t="n">
        <v>-343</v>
      </c>
      <c r="H25" s="315">
        <f>SUM(C25:G25)</f>
        <v/>
      </c>
    </row>
    <row r="26" ht="12.75" customHeight="1">
      <c r="A26" s="173" t="inlineStr">
        <is>
          <t>2400200</t>
        </is>
      </c>
      <c r="B26" s="174" t="inlineStr">
        <is>
          <t>LM ABN AMRO Bank Disposal NL58 ABNA 0818 9180 39</t>
        </is>
      </c>
      <c r="C26" s="314" t="n">
        <v>1427332</v>
      </c>
      <c r="D26" s="313" t="n">
        <v>-1408139</v>
      </c>
      <c r="E26" s="313" t="n">
        <v>-18700</v>
      </c>
      <c r="F26" s="313" t="n">
        <v>-482</v>
      </c>
      <c r="G26" s="313" t="n">
        <v>-11</v>
      </c>
      <c r="H26" s="315">
        <f>SUM(C26:G26)</f>
        <v/>
      </c>
    </row>
    <row r="27" ht="12.75" customHeight="1">
      <c r="A27" s="173" t="inlineStr">
        <is>
          <t>2400201</t>
        </is>
      </c>
      <c r="B27" s="174" t="inlineStr">
        <is>
          <t>LM ABN AMRO Bank Deposit NL57 ABNA 0541 6205 68</t>
        </is>
      </c>
      <c r="C27" s="314" t="n">
        <v>1146502</v>
      </c>
      <c r="D27" s="313" t="n">
        <v>-1109732</v>
      </c>
      <c r="E27" s="313" t="n">
        <v>-19</v>
      </c>
      <c r="F27" s="313" t="n">
        <v>-19</v>
      </c>
      <c r="G27" s="313" t="n">
        <v>0</v>
      </c>
      <c r="H27" s="315">
        <f>SUM(C27:G27)</f>
        <v/>
      </c>
    </row>
    <row r="28" ht="12.75" customHeight="1">
      <c r="A28" s="173" t="inlineStr">
        <is>
          <t>2400202</t>
        </is>
      </c>
      <c r="B28" s="174" t="inlineStr">
        <is>
          <t>LM ABN AMRO Bank General NL93 ABNA 0541 6132 27</t>
        </is>
      </c>
      <c r="C28" s="314" t="n">
        <v>743140</v>
      </c>
      <c r="D28" s="313" t="n">
        <v>-50664</v>
      </c>
      <c r="E28" s="313" t="n">
        <v>-417400</v>
      </c>
      <c r="F28" s="313" t="n">
        <v>-13600</v>
      </c>
      <c r="G28" s="313" t="n">
        <v>-7131</v>
      </c>
      <c r="H28" s="315">
        <f>SUM(C28:G28)</f>
        <v/>
      </c>
    </row>
    <row r="29" ht="12.75" customHeight="1">
      <c r="A29" s="173" t="inlineStr">
        <is>
          <t>2400203</t>
        </is>
      </c>
      <c r="B29" s="174" t="inlineStr">
        <is>
          <t>LM ABN AMRO Bank Maintres NL04 ABNA 0541 6188 06</t>
        </is>
      </c>
      <c r="C29" s="314" t="n">
        <v>602822</v>
      </c>
      <c r="D29" s="313" t="n">
        <v>-159674</v>
      </c>
      <c r="E29" s="313" t="n">
        <v>145814</v>
      </c>
      <c r="F29" s="313" t="n">
        <v>-393791</v>
      </c>
      <c r="G29" s="313" t="n">
        <v>-99389</v>
      </c>
      <c r="H29" s="315">
        <f>SUM(C29:G29)</f>
        <v/>
      </c>
    </row>
    <row r="30" ht="12.75" customHeight="1">
      <c r="A30" s="173" t="inlineStr">
        <is>
          <t>2400204</t>
        </is>
      </c>
      <c r="B30" s="174" t="inlineStr">
        <is>
          <t>LM ABN AMRO Bank Rent NL46 ABNA 0541 6088 35</t>
        </is>
      </c>
      <c r="C30" s="314" t="n">
        <v>1688207</v>
      </c>
      <c r="D30" s="313" t="n">
        <v>-420964</v>
      </c>
      <c r="E30" s="313" t="n">
        <v>-850699</v>
      </c>
      <c r="F30" s="313" t="n">
        <v>550068</v>
      </c>
      <c r="G30" s="313" t="n">
        <v>854946</v>
      </c>
      <c r="H30" s="315">
        <f>SUM(C30:G30)</f>
        <v/>
      </c>
    </row>
    <row r="31" ht="12.75" customHeight="1">
      <c r="A31" s="173" t="inlineStr">
        <is>
          <t>2400205</t>
        </is>
      </c>
      <c r="B31" s="174" t="inlineStr">
        <is>
          <t>LM ABN AMRO Bank SR EXP NL88 ABNA 0541 6205 92</t>
        </is>
      </c>
      <c r="C31" s="314" t="n">
        <v>310037</v>
      </c>
      <c r="D31" s="313" t="n">
        <v>-265290</v>
      </c>
      <c r="E31" s="313" t="n">
        <v>133175</v>
      </c>
      <c r="F31" s="313" t="n">
        <v>-125945</v>
      </c>
      <c r="G31" s="313" t="n">
        <v>61378</v>
      </c>
      <c r="H31" s="315">
        <f>SUM(C31:G31)</f>
        <v/>
      </c>
    </row>
    <row r="32" ht="12.75" customHeight="1">
      <c r="A32" s="174" t="inlineStr">
        <is>
          <t>Totaal Liquide middelen</t>
        </is>
      </c>
    </row>
    <row r="34" ht="12.75" customHeight="1">
      <c r="A34" s="173" t="n">
        <v>1000002</v>
      </c>
      <c r="B34" s="174" t="inlineStr">
        <is>
          <t>EV Normale aandelen Saldo</t>
        </is>
      </c>
      <c r="C34" s="314" t="n">
        <v>-1</v>
      </c>
      <c r="F34" s="313" t="n">
        <v>0</v>
      </c>
      <c r="G34" s="313" t="n">
        <v>0</v>
      </c>
      <c r="H34" s="315">
        <f>SUM(C34:G34)</f>
        <v/>
      </c>
    </row>
    <row r="35" ht="12.75" customHeight="1">
      <c r="A35" s="173" t="n">
        <v>1100000</v>
      </c>
      <c r="B35" s="174" t="inlineStr">
        <is>
          <t>EV Agioreserve Agio aandelen</t>
        </is>
      </c>
      <c r="C35" s="314" t="n">
        <v>-19331219</v>
      </c>
      <c r="D35" s="313" t="n">
        <v>100000</v>
      </c>
      <c r="F35" s="313" t="n">
        <v>0</v>
      </c>
      <c r="G35" s="313" t="n">
        <v>0</v>
      </c>
      <c r="H35" s="315">
        <f>SUM(C35:G35)</f>
        <v/>
      </c>
    </row>
    <row r="36" ht="12.75" customHeight="1">
      <c r="A36" s="173" t="n">
        <v>1160000</v>
      </c>
      <c r="B36" s="174" t="inlineStr">
        <is>
          <t>EV Overige reserve Reserve aandelen</t>
        </is>
      </c>
      <c r="C36" s="314" t="n">
        <v>11155611</v>
      </c>
      <c r="F36" s="313" t="n">
        <v>0</v>
      </c>
      <c r="G36" s="313" t="n">
        <v>0</v>
      </c>
      <c r="H36" s="315">
        <f>SUM(C36:G36)</f>
        <v/>
      </c>
      <c r="I36" s="315" t="n"/>
    </row>
    <row r="37" ht="12.75" customHeight="1">
      <c r="A37" s="173" t="inlineStr">
        <is>
          <t>1160100</t>
        </is>
      </c>
      <c r="B37" s="174" t="inlineStr">
        <is>
          <t>EV Overige reserve  Dividenduitkeringen aandelen</t>
        </is>
      </c>
      <c r="C37" s="314" t="n">
        <v>2566438</v>
      </c>
      <c r="D37" s="313" t="n">
        <v>1297717</v>
      </c>
      <c r="E37" s="313" t="n">
        <v>207000</v>
      </c>
      <c r="F37" s="313" t="n">
        <v>0</v>
      </c>
      <c r="G37" s="313" t="n">
        <v>0</v>
      </c>
      <c r="H37" s="315">
        <f>SUM(C37:G37)</f>
        <v/>
      </c>
    </row>
    <row r="38" ht="12.75" customHeight="1">
      <c r="A38" s="174" t="inlineStr">
        <is>
          <t>Totaal Eigen vermogen</t>
        </is>
      </c>
    </row>
    <row r="40" ht="12.75" customHeight="1">
      <c r="A40" s="173" t="n">
        <v>1930001</v>
      </c>
      <c r="B40" s="174" t="inlineStr">
        <is>
          <t>LLS Hoofdsom ABN AMRO Bank NV Senior Facility Agreement</t>
        </is>
      </c>
      <c r="C40" s="314" t="n">
        <v>-130000000</v>
      </c>
      <c r="D40" s="313" t="n">
        <v>0</v>
      </c>
      <c r="E40" s="313" t="n">
        <v>0</v>
      </c>
      <c r="F40" s="313" t="n">
        <v>0</v>
      </c>
      <c r="G40" s="313" t="n">
        <v>0</v>
      </c>
      <c r="H40" s="315">
        <f>SUM(C40:G40)</f>
        <v/>
      </c>
    </row>
    <row r="41" ht="12.75" customHeight="1">
      <c r="A41" s="173" t="inlineStr">
        <is>
          <t>1930101</t>
        </is>
      </c>
      <c r="B41" s="174" t="inlineStr">
        <is>
          <t>LLS Cum aflossingen ABN AMRO Bank NV Senior Facility Agreement</t>
        </is>
      </c>
      <c r="C41" s="314" t="n">
        <v>13224544</v>
      </c>
      <c r="D41" s="313" t="n">
        <v>3569138</v>
      </c>
      <c r="E41" s="313" t="n">
        <v>1387184</v>
      </c>
      <c r="F41" s="313" t="n">
        <v>1984184</v>
      </c>
      <c r="G41" s="313" t="n">
        <v>1540803</v>
      </c>
      <c r="H41" s="315">
        <f>SUM(C41:G41)</f>
        <v/>
      </c>
    </row>
    <row r="42" ht="12.75" customHeight="1">
      <c r="A42" s="174" t="inlineStr">
        <is>
          <t>Totaal Langlopende schulden</t>
        </is>
      </c>
    </row>
    <row r="44" ht="12.75" customHeight="1">
      <c r="A44" s="173" t="inlineStr">
        <is>
          <t>2730000</t>
        </is>
      </c>
      <c r="B44" s="174" t="inlineStr">
        <is>
          <t>KLS Crediteuren</t>
        </is>
      </c>
      <c r="C44" s="314" t="n">
        <v>-212218</v>
      </c>
      <c r="D44" s="313" t="n">
        <v>900</v>
      </c>
      <c r="F44" s="313" t="n">
        <v>-256418.18</v>
      </c>
      <c r="G44" s="313" t="n">
        <v>37465.18</v>
      </c>
      <c r="H44" s="315">
        <f>SUM(C44:G44)</f>
        <v/>
      </c>
    </row>
    <row r="45" ht="12.75" customHeight="1">
      <c r="A45" s="173" t="inlineStr">
        <is>
          <t>2730001</t>
        </is>
      </c>
      <c r="B45" s="174" t="inlineStr">
        <is>
          <t>KLS Crediteuren intercompany</t>
        </is>
      </c>
      <c r="C45" s="314" t="n">
        <v>0</v>
      </c>
      <c r="D45" s="313" t="n">
        <v>0</v>
      </c>
      <c r="E45" s="313" t="n">
        <v>0</v>
      </c>
      <c r="F45" s="313" t="n">
        <v>0</v>
      </c>
      <c r="G45" s="313" t="n">
        <v>0</v>
      </c>
      <c r="H45" s="315">
        <f>SUM(C45:G45)</f>
        <v/>
      </c>
    </row>
    <row r="46" ht="12.75" customHeight="1">
      <c r="A46" s="174" t="inlineStr">
        <is>
          <t>Totaal Crediteuren</t>
        </is>
      </c>
    </row>
    <row r="48" ht="12.75" customHeight="1">
      <c r="A48" s="173" t="inlineStr">
        <is>
          <t>2512100</t>
        </is>
      </c>
      <c r="B48" s="174" t="inlineStr">
        <is>
          <t>BEL Afgedragen/ontvangen BTW</t>
        </is>
      </c>
      <c r="C48" s="314" t="n">
        <v>-3913</v>
      </c>
      <c r="D48" s="313" t="n">
        <v>271</v>
      </c>
      <c r="E48" s="313" t="n">
        <v>-22</v>
      </c>
      <c r="F48" s="313" t="n">
        <v>2114</v>
      </c>
      <c r="G48" s="313" t="n">
        <v>1550</v>
      </c>
      <c r="H48" s="315">
        <f>SUM(C48:G48)</f>
        <v/>
      </c>
    </row>
    <row r="49" ht="12.75" customHeight="1">
      <c r="A49" s="173" t="inlineStr">
        <is>
          <t>2530000</t>
        </is>
      </c>
      <c r="B49" s="174" t="inlineStr">
        <is>
          <t>BEL Te betalen vennootschapsbelasting</t>
        </is>
      </c>
      <c r="C49" s="314" t="n">
        <v>0</v>
      </c>
      <c r="D49" s="313" t="n">
        <v>0</v>
      </c>
      <c r="E49" s="313" t="n">
        <v>0</v>
      </c>
      <c r="F49" s="313" t="n">
        <v>0</v>
      </c>
      <c r="G49" s="313" t="n">
        <v>0</v>
      </c>
      <c r="H49" s="315">
        <f>SUM(C49:G49)</f>
        <v/>
      </c>
    </row>
    <row r="50" ht="12.75" customHeight="1">
      <c r="A50" s="173" t="inlineStr">
        <is>
          <t>2550000</t>
        </is>
      </c>
      <c r="B50" s="174" t="inlineStr">
        <is>
          <t>BEL Te betalen overige belastingen</t>
        </is>
      </c>
      <c r="C50" s="314" t="n">
        <v>0</v>
      </c>
      <c r="D50" s="313" t="n">
        <v>0</v>
      </c>
      <c r="E50" s="313" t="n">
        <v>0</v>
      </c>
      <c r="F50" s="313" t="n">
        <v>0</v>
      </c>
      <c r="G50" s="313" t="n">
        <v>0</v>
      </c>
      <c r="H50" s="315">
        <f>SUM(C50:G50)</f>
        <v/>
      </c>
    </row>
    <row r="51" ht="12.75" customHeight="1">
      <c r="A51" s="174" t="inlineStr">
        <is>
          <t>Totaal Belastingen</t>
        </is>
      </c>
    </row>
    <row r="53" ht="12.75" customHeight="1">
      <c r="A53" s="173" t="inlineStr">
        <is>
          <t>2740300</t>
        </is>
      </c>
      <c r="B53" s="174" t="inlineStr">
        <is>
          <t>KLS Te betalen waarborgsommen kortlopend</t>
        </is>
      </c>
      <c r="C53" s="314" t="n">
        <v>-700090</v>
      </c>
      <c r="D53" s="313" t="n">
        <v>-8611</v>
      </c>
      <c r="E53" s="313" t="n">
        <v>-21291</v>
      </c>
      <c r="F53" s="313" t="n">
        <v>-37329</v>
      </c>
      <c r="G53" s="313">
        <f>5524-4</f>
        <v/>
      </c>
      <c r="H53" s="315">
        <f>SUM(C53:G53)</f>
        <v/>
      </c>
    </row>
    <row r="54" ht="12.75" customHeight="1">
      <c r="A54" s="173" t="n">
        <v>2740500</v>
      </c>
      <c r="B54" s="174" t="inlineStr">
        <is>
          <t>KLS Te betalen accountants- en administratiekosten</t>
        </is>
      </c>
      <c r="C54" s="314" t="n">
        <v>-22500</v>
      </c>
      <c r="F54" s="313" t="n">
        <v>0</v>
      </c>
      <c r="G54" s="313" t="n">
        <v>0</v>
      </c>
      <c r="H54" s="315">
        <f>SUM(C54:G54)</f>
        <v/>
      </c>
    </row>
    <row r="55" ht="12.75" customHeight="1">
      <c r="A55" s="173" t="inlineStr">
        <is>
          <t>2740600</t>
        </is>
      </c>
      <c r="B55" s="174" t="inlineStr">
        <is>
          <t>KLS Te betalen rente</t>
        </is>
      </c>
      <c r="C55" s="314" t="n">
        <v>-457533</v>
      </c>
      <c r="D55" s="313" t="n">
        <v>457533</v>
      </c>
      <c r="F55" s="313" t="n">
        <v>0</v>
      </c>
      <c r="G55" s="313" t="n">
        <v>0</v>
      </c>
      <c r="H55" s="315">
        <f>SUM(C55:G55)</f>
        <v/>
      </c>
    </row>
    <row r="56" ht="12.75" customHeight="1">
      <c r="A56" s="173" t="inlineStr">
        <is>
          <t>2740700</t>
        </is>
      </c>
      <c r="B56" s="174" t="inlineStr">
        <is>
          <t>KLS Te betalen verzekeringen</t>
        </is>
      </c>
      <c r="C56" s="314" t="n">
        <v>2</v>
      </c>
      <c r="F56" s="313" t="n">
        <v>-2</v>
      </c>
      <c r="G56" s="313" t="n">
        <v>0</v>
      </c>
      <c r="H56" s="315">
        <f>SUM(C56:G56)</f>
        <v/>
      </c>
    </row>
    <row r="57" ht="12.75" customHeight="1">
      <c r="A57" s="173" t="inlineStr">
        <is>
          <t>2741000</t>
        </is>
      </c>
      <c r="B57" s="174" t="inlineStr">
        <is>
          <t>KLS Te betalen servicekosten</t>
        </is>
      </c>
      <c r="C57" s="314" t="n">
        <v>-29200</v>
      </c>
      <c r="F57" s="313" t="n">
        <v>10529</v>
      </c>
      <c r="G57" s="313" t="n">
        <v>18671</v>
      </c>
      <c r="H57" s="315">
        <f>SUM(C57:G57)</f>
        <v/>
      </c>
    </row>
    <row r="58" ht="12.75" customHeight="1">
      <c r="A58" s="173" t="inlineStr">
        <is>
          <t>2741001</t>
        </is>
      </c>
      <c r="B58" s="174" t="inlineStr">
        <is>
          <t>KLS Te betalen exploitatiekosten</t>
        </is>
      </c>
      <c r="C58" s="314" t="n">
        <v>-2118</v>
      </c>
      <c r="F58" s="313" t="n">
        <v>-4949</v>
      </c>
      <c r="G58" s="313" t="n">
        <v>7067</v>
      </c>
      <c r="H58" s="315">
        <f>SUM(C58:G58)</f>
        <v/>
      </c>
    </row>
    <row r="59" ht="12.75" customHeight="1">
      <c r="A59" s="173" t="inlineStr">
        <is>
          <t>2741002</t>
        </is>
      </c>
      <c r="B59" s="174" t="inlineStr">
        <is>
          <t>KLS Te betalen VVE</t>
        </is>
      </c>
      <c r="C59" s="314" t="n">
        <v>-1846</v>
      </c>
      <c r="F59" s="313" t="n">
        <v>440</v>
      </c>
      <c r="G59" s="313" t="n">
        <v>1406</v>
      </c>
      <c r="H59" s="315">
        <f>SUM(C59:G59)</f>
        <v/>
      </c>
    </row>
    <row r="60" ht="12.75" customHeight="1">
      <c r="A60" s="173" t="inlineStr">
        <is>
          <t>2741004</t>
        </is>
      </c>
      <c r="B60" s="174" t="inlineStr">
        <is>
          <t>KLS Te betalen Hoen</t>
        </is>
      </c>
      <c r="C60" s="314" t="n">
        <v>-40335</v>
      </c>
      <c r="D60" s="313" t="n">
        <v>119</v>
      </c>
      <c r="E60" s="313" t="n">
        <v>-40364</v>
      </c>
      <c r="F60" s="313" t="n">
        <v>39007</v>
      </c>
      <c r="G60" s="313" t="n">
        <v>-82495</v>
      </c>
      <c r="H60" s="315">
        <f>SUM(C60:G60)</f>
        <v/>
      </c>
    </row>
    <row r="61" ht="12.75" customHeight="1">
      <c r="A61" s="173" t="inlineStr">
        <is>
          <t>2741005</t>
        </is>
      </c>
      <c r="B61" s="174" t="inlineStr">
        <is>
          <t>KLS Te betalen managementvergoedingen</t>
        </is>
      </c>
      <c r="C61" s="314" t="n">
        <v>0</v>
      </c>
      <c r="D61" s="313" t="n">
        <v>0</v>
      </c>
      <c r="E61" s="313" t="n">
        <v>0</v>
      </c>
      <c r="F61" s="313" t="n">
        <v>0</v>
      </c>
      <c r="G61" s="313" t="n">
        <v>0</v>
      </c>
      <c r="H61" s="315">
        <f>SUM(C61:G61)</f>
        <v/>
      </c>
    </row>
    <row r="62" ht="12.75" customHeight="1">
      <c r="A62" s="173" t="inlineStr">
        <is>
          <t>2741200</t>
        </is>
      </c>
      <c r="B62" s="174" t="inlineStr">
        <is>
          <t>KLS Te betalen overige kosten</t>
        </is>
      </c>
      <c r="C62" s="314" t="n">
        <v>20000</v>
      </c>
      <c r="D62" s="313" t="n">
        <v>-20000</v>
      </c>
      <c r="E62" s="313" t="n">
        <v>20000</v>
      </c>
      <c r="F62" s="313" t="n">
        <v>0</v>
      </c>
      <c r="G62" s="313" t="n">
        <v>0</v>
      </c>
      <c r="H62" s="315">
        <f>SUM(C62:G62)</f>
        <v/>
      </c>
    </row>
    <row r="63" ht="12.75" customHeight="1">
      <c r="A63" s="173" t="inlineStr">
        <is>
          <t>2741900</t>
        </is>
      </c>
      <c r="B63" s="174" t="inlineStr">
        <is>
          <t>KLS Nog uit te zoeken posten MT940</t>
        </is>
      </c>
      <c r="C63" s="314" t="n">
        <v>852</v>
      </c>
      <c r="D63" s="313" t="n">
        <v>-16811</v>
      </c>
      <c r="E63" s="313" t="n">
        <v>15046</v>
      </c>
      <c r="F63" s="313" t="n">
        <v>913</v>
      </c>
      <c r="G63" s="313" t="n">
        <v>0</v>
      </c>
      <c r="H63" s="315">
        <f>SUM(C63:G63)</f>
        <v/>
      </c>
    </row>
    <row r="64" ht="12.75" customHeight="1">
      <c r="A64" s="173" t="inlineStr">
        <is>
          <t>2742200</t>
        </is>
      </c>
      <c r="B64" s="174" t="inlineStr">
        <is>
          <t>KLS Vooruitontvangen bedragen</t>
        </is>
      </c>
      <c r="C64" s="314" t="n">
        <v>-153016</v>
      </c>
      <c r="D64" s="313" t="n">
        <v>21998</v>
      </c>
      <c r="E64" s="313" t="n">
        <v>-5661</v>
      </c>
      <c r="F64" s="313" t="n">
        <v>-9926</v>
      </c>
      <c r="G64" s="313" t="n">
        <v>146605</v>
      </c>
      <c r="H64" s="315">
        <f>SUM(C64:G64)</f>
        <v/>
      </c>
    </row>
    <row r="65" ht="12.75" customHeight="1">
      <c r="A65" s="174" t="inlineStr">
        <is>
          <t>Totaal Overige schulden</t>
        </is>
      </c>
      <c r="C65" s="314" t="n"/>
    </row>
    <row r="68" ht="12.75" customHeight="1">
      <c r="A68" s="179" t="inlineStr">
        <is>
          <t>Winst- en verliesrekening (baten zijn positief, kosten negatief)</t>
        </is>
      </c>
    </row>
    <row r="69" ht="12.75" customHeight="1">
      <c r="A69" s="173" t="inlineStr">
        <is>
          <t>8000003</t>
        </is>
      </c>
      <c r="B69" s="174" t="inlineStr">
        <is>
          <t>OPB Netto-omzet Theoretische huuropbrengsten</t>
        </is>
      </c>
      <c r="D69" s="313" t="n">
        <v>-2833196</v>
      </c>
      <c r="E69" s="313" t="n">
        <v>-2826464</v>
      </c>
      <c r="F69" s="313" t="n">
        <v>-2904386</v>
      </c>
      <c r="G69" s="313" t="n">
        <v>-2904374</v>
      </c>
      <c r="H69" s="315">
        <f>SUM(C69:G69)</f>
        <v/>
      </c>
    </row>
    <row r="70" ht="12.75" customHeight="1">
      <c r="A70" s="173" t="inlineStr">
        <is>
          <t>8000004</t>
        </is>
      </c>
      <c r="B70" s="174" t="inlineStr">
        <is>
          <t>OPB Netto-omzet Leegstand huuropbrengsten</t>
        </is>
      </c>
      <c r="D70" s="313" t="n">
        <v>71110</v>
      </c>
      <c r="E70" s="313" t="n">
        <v>63061</v>
      </c>
      <c r="F70" s="313" t="n">
        <v>64137</v>
      </c>
      <c r="G70" s="313" t="n">
        <v>54882</v>
      </c>
      <c r="H70" s="315">
        <f>SUM(C70:G70)</f>
        <v/>
      </c>
    </row>
    <row r="71" ht="12.75" customHeight="1">
      <c r="A71" s="174" t="inlineStr">
        <is>
          <t>Totaal Netto-omzet</t>
        </is>
      </c>
      <c r="D71" s="313">
        <f>SUM(D69:D70)</f>
        <v/>
      </c>
      <c r="E71" s="313">
        <f>SUM(E69:E70)</f>
        <v/>
      </c>
      <c r="F71" s="313">
        <f>SUM(F69:F70)</f>
        <v/>
      </c>
      <c r="G71" s="313">
        <f>SUM(G69:G70)</f>
        <v/>
      </c>
      <c r="H71" s="313">
        <f>SUM(H69:H70)</f>
        <v/>
      </c>
    </row>
    <row r="72" ht="12.75" customHeight="1">
      <c r="F72" s="206" t="n"/>
      <c r="G72" s="206" t="n"/>
    </row>
    <row r="73" ht="12.75" customHeight="1">
      <c r="A73" s="173" t="inlineStr">
        <is>
          <t>8400600</t>
        </is>
      </c>
      <c r="B73" s="174" t="inlineStr">
        <is>
          <t>OPB Overige bedrijfsopbrengsten Totale servicekosten</t>
        </is>
      </c>
      <c r="D73" s="313" t="n">
        <v>-171527</v>
      </c>
      <c r="E73" s="313" t="n">
        <v>-172398</v>
      </c>
      <c r="F73" s="313" t="n">
        <v>-168131</v>
      </c>
      <c r="G73" s="313" t="n">
        <v>-172328</v>
      </c>
      <c r="H73" s="315">
        <f>SUM(C73:G73)</f>
        <v/>
      </c>
    </row>
    <row r="74" ht="12.75" customHeight="1">
      <c r="A74" s="173" t="inlineStr">
        <is>
          <t>8400700</t>
        </is>
      </c>
      <c r="B74" s="174" t="inlineStr">
        <is>
          <t>OPB Overige bedrijfsopbrengsten Servicekosten leegstand</t>
        </is>
      </c>
      <c r="D74" s="313" t="n">
        <v>3357</v>
      </c>
      <c r="E74" s="313" t="n">
        <v>7281</v>
      </c>
      <c r="F74" s="313" t="n">
        <v>21484</v>
      </c>
      <c r="G74" s="313" t="n">
        <v>10569</v>
      </c>
      <c r="H74" s="315">
        <f>SUM(C74:G74)</f>
        <v/>
      </c>
    </row>
    <row r="75" ht="12.75" customHeight="1">
      <c r="A75" s="173" t="inlineStr">
        <is>
          <t>8400800</t>
        </is>
      </c>
      <c r="B75" s="174" t="inlineStr">
        <is>
          <t>OPB Overige bedrijfsopbrengsten Gerealiseerde servicekosten</t>
        </is>
      </c>
      <c r="D75" s="313" t="n">
        <v>284624</v>
      </c>
      <c r="E75" s="313" t="n">
        <v>127725</v>
      </c>
      <c r="F75" s="313" t="n">
        <v>95892</v>
      </c>
      <c r="G75" s="313" t="n">
        <v>166069</v>
      </c>
      <c r="H75" s="315">
        <f>SUM(C75:G75)</f>
        <v/>
      </c>
    </row>
    <row r="76" ht="12.75" customHeight="1">
      <c r="A76" s="174" t="inlineStr">
        <is>
          <t>Totaal Overige bedrijfsopbrengsten</t>
        </is>
      </c>
      <c r="D76" s="313">
        <f>SUM(D73:D75)</f>
        <v/>
      </c>
      <c r="E76" s="313">
        <f>SUM(E73:E75)</f>
        <v/>
      </c>
      <c r="F76" s="313">
        <f>SUM(F73:F75)</f>
        <v/>
      </c>
      <c r="G76" s="313">
        <f>SUM(G73:G75)</f>
        <v/>
      </c>
      <c r="H76" s="313">
        <f>SUM(H73:H75)</f>
        <v/>
      </c>
    </row>
    <row r="78" ht="12.75" customHeight="1">
      <c r="A78" s="173" t="inlineStr">
        <is>
          <t>4051400</t>
        </is>
      </c>
      <c r="B78" s="174" t="inlineStr">
        <is>
          <t>KN Diensten door derden</t>
        </is>
      </c>
      <c r="D78" s="313" t="n">
        <v>120105</v>
      </c>
      <c r="E78" s="313" t="n">
        <v>119839</v>
      </c>
      <c r="F78" s="313" t="n">
        <v>123182</v>
      </c>
      <c r="G78" s="313" t="n">
        <v>122866</v>
      </c>
      <c r="H78" s="315">
        <f>SUM(C78:G78)</f>
        <v/>
      </c>
    </row>
    <row r="79" ht="12.75" customHeight="1">
      <c r="A79" s="174" t="inlineStr">
        <is>
          <t>Totaal overige personeelskosten</t>
        </is>
      </c>
      <c r="D79" s="313">
        <f>SUM(D78)</f>
        <v/>
      </c>
      <c r="E79" s="313">
        <f>SUM(E78)</f>
        <v/>
      </c>
      <c r="F79" s="313">
        <f>SUM(F78)</f>
        <v/>
      </c>
      <c r="G79" s="313">
        <f>SUM(G78)</f>
        <v/>
      </c>
      <c r="H79" s="313">
        <f>SUM(H78)</f>
        <v/>
      </c>
    </row>
    <row r="81" ht="12.75" customHeight="1">
      <c r="A81" s="173" t="inlineStr">
        <is>
          <t>4730000</t>
        </is>
      </c>
      <c r="B81" s="174" t="inlineStr">
        <is>
          <t>AFKN Afschrijvingskosten Vastgoedbeleggingen</t>
        </is>
      </c>
      <c r="D81" s="313">
        <f>630199</f>
        <v/>
      </c>
      <c r="E81" s="313" t="n">
        <v>653151</v>
      </c>
      <c r="F81" s="313" t="n">
        <v>654632</v>
      </c>
      <c r="G81" s="313" t="n">
        <v>654502</v>
      </c>
      <c r="H81" s="315">
        <f>SUM(C81:G81)</f>
        <v/>
      </c>
    </row>
    <row r="82" ht="12.75" customHeight="1">
      <c r="A82" s="173" t="inlineStr">
        <is>
          <t>4730200</t>
        </is>
      </c>
      <c r="B82" s="174" t="inlineStr">
        <is>
          <t>AFKN Boekresultaat Vastgoedbeleggingen</t>
        </is>
      </c>
      <c r="D82" s="313" t="n">
        <v>-531244</v>
      </c>
      <c r="E82" s="313" t="n">
        <v>-636242</v>
      </c>
      <c r="F82" s="313" t="n">
        <v>-812075</v>
      </c>
      <c r="G82" s="313" t="n">
        <v>-746028</v>
      </c>
      <c r="H82" s="315">
        <f>SUM(C82:G82)</f>
        <v/>
      </c>
    </row>
    <row r="83" ht="12.75" customHeight="1">
      <c r="A83" s="174" t="inlineStr">
        <is>
          <t>Totaal Afschrijvingen vastgoedbeleggingen</t>
        </is>
      </c>
      <c r="C83" s="314" t="n"/>
      <c r="D83" s="313">
        <f>SUM(D81:D82)</f>
        <v/>
      </c>
      <c r="E83" s="313">
        <f>SUM(E81:E82)</f>
        <v/>
      </c>
      <c r="F83" s="313">
        <f>SUM(F81:F82)</f>
        <v/>
      </c>
      <c r="G83" s="313">
        <f>SUM(G81:G82)</f>
        <v/>
      </c>
      <c r="H83" s="313">
        <f>SUM(H81:H82)</f>
        <v/>
      </c>
    </row>
    <row r="84" ht="12.75" customHeight="1">
      <c r="C84" s="314" t="n"/>
    </row>
    <row r="85" ht="12.75" customHeight="1">
      <c r="A85" s="173" t="inlineStr">
        <is>
          <t>4100400</t>
        </is>
      </c>
      <c r="B85" s="174" t="inlineStr">
        <is>
          <t>KN Onderhoud gebouwen</t>
        </is>
      </c>
      <c r="C85" s="314" t="n"/>
      <c r="D85" s="313">
        <f>455997</f>
        <v/>
      </c>
      <c r="E85" s="313" t="n">
        <v>204327</v>
      </c>
      <c r="F85" s="313">
        <f>458728+J3</f>
        <v/>
      </c>
      <c r="G85" s="313">
        <f>92418+J4</f>
        <v/>
      </c>
      <c r="H85" s="315">
        <f>SUM(C85:G85)</f>
        <v/>
      </c>
    </row>
    <row r="86" ht="12.75" customHeight="1">
      <c r="A86" s="173" t="inlineStr">
        <is>
          <t>4100410</t>
        </is>
      </c>
      <c r="B86" s="174" t="inlineStr">
        <is>
          <t>Verhuurdersheffing</t>
        </is>
      </c>
      <c r="C86" s="313" t="n"/>
      <c r="D86" s="313" t="n">
        <v>0</v>
      </c>
      <c r="E86" s="313" t="n">
        <v>531958</v>
      </c>
      <c r="F86" s="313" t="n">
        <v>2047</v>
      </c>
      <c r="H86" s="315">
        <f>SUM(C86:G86)</f>
        <v/>
      </c>
    </row>
    <row r="87" ht="12.75" customHeight="1">
      <c r="A87" s="173" t="inlineStr">
        <is>
          <t>4100900</t>
        </is>
      </c>
      <c r="B87" s="174" t="inlineStr">
        <is>
          <t>KN Onroerende zaakbelasting</t>
        </is>
      </c>
      <c r="C87" s="313" t="n"/>
      <c r="D87" s="313" t="n">
        <v>79670</v>
      </c>
      <c r="E87" s="313" t="n">
        <v>78467</v>
      </c>
      <c r="F87" s="313" t="n">
        <v>80316</v>
      </c>
      <c r="G87" s="313" t="n">
        <v>83330</v>
      </c>
      <c r="H87" s="315">
        <f>SUM(C87:G87)</f>
        <v/>
      </c>
    </row>
    <row r="88" ht="12.75" customHeight="1">
      <c r="A88" s="173" t="inlineStr">
        <is>
          <t>4101000</t>
        </is>
      </c>
      <c r="B88" s="174" t="inlineStr">
        <is>
          <t>KN VvE-kosten</t>
        </is>
      </c>
      <c r="C88" s="314" t="n"/>
      <c r="D88" s="327" t="n">
        <v>197933</v>
      </c>
      <c r="E88" s="327" t="n">
        <v>136830</v>
      </c>
      <c r="F88" s="327" t="n">
        <v>224083</v>
      </c>
      <c r="G88" s="327" t="n">
        <v>173622.82</v>
      </c>
      <c r="H88" s="315">
        <f>SUM(C88:G88)</f>
        <v/>
      </c>
    </row>
    <row r="89" ht="12.75" customHeight="1">
      <c r="A89" s="173" t="inlineStr">
        <is>
          <t>4101010</t>
        </is>
      </c>
      <c r="B89" s="174" t="inlineStr">
        <is>
          <t>Gemeentelijke belastingen</t>
        </is>
      </c>
      <c r="C89" s="313" t="n"/>
      <c r="D89" s="313" t="n">
        <v>33030</v>
      </c>
      <c r="E89" s="313" t="n">
        <v>32166</v>
      </c>
      <c r="F89" s="313" t="n">
        <v>32352</v>
      </c>
      <c r="G89" s="313" t="n">
        <v>31087</v>
      </c>
      <c r="H89" s="315">
        <f>SUM(C89:G89)</f>
        <v/>
      </c>
    </row>
    <row r="90" ht="12.75" customHeight="1">
      <c r="A90" s="173" t="inlineStr">
        <is>
          <t>4101020</t>
        </is>
      </c>
      <c r="B90" s="174" t="inlineStr">
        <is>
          <t>Waterschapsbelasting</t>
        </is>
      </c>
      <c r="C90" s="313" t="n"/>
      <c r="D90" s="313" t="n">
        <v>17695</v>
      </c>
      <c r="E90" s="313" t="n">
        <v>19123</v>
      </c>
      <c r="F90" s="313" t="n">
        <v>19893</v>
      </c>
      <c r="G90" s="313" t="n">
        <v>4273</v>
      </c>
      <c r="H90" s="315">
        <f>SUM(C90:G90)</f>
        <v/>
      </c>
    </row>
    <row r="91" ht="12.75" customHeight="1">
      <c r="A91" s="173" t="inlineStr">
        <is>
          <t>4101300</t>
        </is>
      </c>
      <c r="B91" s="174" t="inlineStr">
        <is>
          <t>KN Servicekosten leegstand</t>
        </is>
      </c>
      <c r="C91" s="314" t="n"/>
      <c r="D91" s="327" t="n">
        <v>-820</v>
      </c>
      <c r="E91" s="327" t="n">
        <v>45430</v>
      </c>
      <c r="F91" s="327" t="n">
        <v>13605.17999999999</v>
      </c>
      <c r="G91" s="327" t="n">
        <v>-90</v>
      </c>
      <c r="H91" s="315">
        <f>SUM(C91:G91)</f>
        <v/>
      </c>
    </row>
    <row r="92" ht="12.75" customHeight="1">
      <c r="A92" s="173" t="inlineStr">
        <is>
          <t>4109800</t>
        </is>
      </c>
      <c r="B92" s="174" t="inlineStr">
        <is>
          <t>KN Overige huisvestingskosten</t>
        </is>
      </c>
      <c r="C92" s="314" t="n"/>
      <c r="F92" s="313" t="n">
        <v>0</v>
      </c>
      <c r="H92" s="315">
        <f>SUM(C92:G92)</f>
        <v/>
      </c>
    </row>
    <row r="93" ht="12.75" customHeight="1">
      <c r="A93" s="174" t="inlineStr">
        <is>
          <t>Totaal Huisvestingskosten</t>
        </is>
      </c>
      <c r="D93" s="313">
        <f>SUM(D85:D92)</f>
        <v/>
      </c>
      <c r="E93" s="313">
        <f>SUM(E85:E92)</f>
        <v/>
      </c>
      <c r="F93" s="313">
        <f>SUM(F85:F92)</f>
        <v/>
      </c>
      <c r="G93" s="313">
        <f>SUM(G85:G92)</f>
        <v/>
      </c>
      <c r="H93" s="313">
        <f>SUM(H85:H92)</f>
        <v/>
      </c>
    </row>
    <row r="95" ht="12.75" customHeight="1">
      <c r="A95" s="173" t="inlineStr">
        <is>
          <t>4500400</t>
        </is>
      </c>
      <c r="B95" s="174" t="inlineStr">
        <is>
          <t>KN Representatiekosten</t>
        </is>
      </c>
      <c r="D95" s="313" t="n">
        <v>0</v>
      </c>
      <c r="E95" s="313" t="n">
        <v>0</v>
      </c>
      <c r="F95" s="313" t="n">
        <v>0</v>
      </c>
      <c r="G95" s="313" t="n">
        <v>0</v>
      </c>
      <c r="H95" s="315">
        <f>SUM(C95:G95)</f>
        <v/>
      </c>
    </row>
    <row r="96" ht="12.75" customHeight="1">
      <c r="A96" s="173" t="inlineStr">
        <is>
          <t>4501200</t>
        </is>
      </c>
      <c r="B96" s="174" t="inlineStr">
        <is>
          <t>KN Mutatie voorziening dubieuze debiteuren</t>
        </is>
      </c>
      <c r="D96" s="313" t="n">
        <v>0</v>
      </c>
      <c r="E96" s="313" t="n">
        <v>0</v>
      </c>
      <c r="F96" s="313" t="n">
        <v>0</v>
      </c>
      <c r="G96" s="313" t="n">
        <v>0</v>
      </c>
      <c r="H96" s="315">
        <f>SUM(C96:G96)</f>
        <v/>
      </c>
    </row>
    <row r="97" ht="12.75" customHeight="1">
      <c r="A97" s="173" t="inlineStr">
        <is>
          <t>4501300</t>
        </is>
      </c>
      <c r="B97" s="174" t="inlineStr">
        <is>
          <t>KN Afboeking dubieuze debiteuren</t>
        </is>
      </c>
      <c r="D97" s="313" t="n">
        <v>1941</v>
      </c>
      <c r="E97" s="313" t="n">
        <v>4198</v>
      </c>
      <c r="F97" s="313" t="n">
        <v>15255</v>
      </c>
      <c r="G97" s="313" t="n">
        <v>-90</v>
      </c>
      <c r="H97" s="315">
        <f>SUM(C97:G97)</f>
        <v/>
      </c>
    </row>
    <row r="98" ht="12.75" customHeight="1">
      <c r="A98" s="174" t="inlineStr">
        <is>
          <t>Totaal Verkoopkosten</t>
        </is>
      </c>
      <c r="D98" s="313">
        <f>SUM(D95:D97)</f>
        <v/>
      </c>
      <c r="E98" s="313">
        <f>SUM(E95:E97)</f>
        <v/>
      </c>
      <c r="F98" s="313">
        <f>SUM(F95:F97)</f>
        <v/>
      </c>
      <c r="G98" s="313">
        <f>SUM(G95:G97)</f>
        <v/>
      </c>
      <c r="H98" s="313">
        <f>SUM(H95:H97)</f>
        <v/>
      </c>
    </row>
    <row r="100" ht="12.75" customHeight="1">
      <c r="A100" s="173" t="inlineStr">
        <is>
          <t>4300500</t>
        </is>
      </c>
      <c r="B100" s="174" t="inlineStr">
        <is>
          <t>KN Incassokosten</t>
        </is>
      </c>
      <c r="C100" s="314" t="n"/>
      <c r="D100" s="313" t="n">
        <v>0</v>
      </c>
      <c r="E100" s="313" t="n">
        <v>950</v>
      </c>
      <c r="F100" s="313" t="n">
        <v>990</v>
      </c>
      <c r="G100" s="313" t="n">
        <v>0</v>
      </c>
      <c r="H100" s="315">
        <f>SUM(C100:G100)</f>
        <v/>
      </c>
    </row>
    <row r="101" ht="12.75" customHeight="1">
      <c r="A101" s="174" t="inlineStr">
        <is>
          <t>Totaal Kantoorkosten</t>
        </is>
      </c>
      <c r="C101" s="314" t="n"/>
      <c r="D101" s="313">
        <f>SUM(D100)</f>
        <v/>
      </c>
      <c r="E101" s="313">
        <f>SUM(E100)</f>
        <v/>
      </c>
      <c r="F101" s="313">
        <f>SUM(F100)</f>
        <v/>
      </c>
      <c r="G101" s="313">
        <f>SUM(G100)</f>
        <v/>
      </c>
      <c r="H101" s="313">
        <f>SUM(H100)</f>
        <v/>
      </c>
    </row>
    <row r="102" ht="12.75" customHeight="1">
      <c r="C102" s="314" t="n"/>
    </row>
    <row r="103" ht="12.75" customHeight="1">
      <c r="A103" s="173" t="inlineStr">
        <is>
          <t>4310000</t>
        </is>
      </c>
      <c r="B103" s="174" t="inlineStr">
        <is>
          <t>KN Abonnementen en contributies</t>
        </is>
      </c>
      <c r="C103" s="314" t="n"/>
      <c r="D103" s="313" t="n">
        <v>0</v>
      </c>
      <c r="E103" s="313" t="n">
        <v>0</v>
      </c>
      <c r="F103" s="313" t="n">
        <v>0</v>
      </c>
      <c r="H103" s="315">
        <f>SUM(C103:G103)</f>
        <v/>
      </c>
    </row>
    <row r="104" ht="12.75" customHeight="1">
      <c r="A104" s="173" t="inlineStr">
        <is>
          <t>4310400</t>
        </is>
      </c>
      <c r="B104" s="174" t="inlineStr">
        <is>
          <t>KN Assurantiepremie algemeen</t>
        </is>
      </c>
      <c r="C104" s="313" t="n"/>
      <c r="D104" s="313" t="n">
        <v>25980</v>
      </c>
      <c r="E104" s="313" t="n">
        <v>25980</v>
      </c>
      <c r="F104" s="313" t="n">
        <v>22455</v>
      </c>
      <c r="G104" s="313" t="n">
        <v>11205</v>
      </c>
      <c r="H104" s="315">
        <f>SUM(C104:G104)</f>
        <v/>
      </c>
    </row>
    <row r="105" ht="12.75" customHeight="1">
      <c r="A105" s="173" t="inlineStr">
        <is>
          <t>4310500</t>
        </is>
      </c>
      <c r="B105" s="174" t="inlineStr">
        <is>
          <t>KN Managementvergoeding</t>
        </is>
      </c>
      <c r="C105" s="314" t="n"/>
      <c r="D105" s="313" t="n">
        <v>5445</v>
      </c>
      <c r="E105" s="313" t="n">
        <v>5445</v>
      </c>
      <c r="F105" s="313" t="n">
        <v>5445</v>
      </c>
      <c r="G105" s="313" t="n">
        <v>5445</v>
      </c>
      <c r="H105" s="315">
        <f>SUM(C105:G105)</f>
        <v/>
      </c>
    </row>
    <row r="106" ht="12.75" customHeight="1">
      <c r="A106" s="173" t="inlineStr">
        <is>
          <t>4310600</t>
        </is>
      </c>
      <c r="B106" s="174" t="inlineStr">
        <is>
          <t>KN Accountantskosten</t>
        </is>
      </c>
      <c r="C106" s="314" t="n"/>
      <c r="D106" s="313" t="n">
        <v>44292</v>
      </c>
      <c r="E106" s="313" t="n">
        <v>13017</v>
      </c>
      <c r="F106" s="313" t="n">
        <v>6639</v>
      </c>
      <c r="G106" s="313" t="n">
        <v>31618</v>
      </c>
      <c r="H106" s="315">
        <f>SUM(C106:G106)</f>
        <v/>
      </c>
    </row>
    <row r="107" ht="12.75" customHeight="1">
      <c r="A107" s="173" t="inlineStr">
        <is>
          <t>4310700</t>
        </is>
      </c>
      <c r="B107" s="174" t="inlineStr">
        <is>
          <t>KN Administratiekosten</t>
        </is>
      </c>
      <c r="C107" s="314" t="n"/>
      <c r="D107" s="313" t="n">
        <v>0</v>
      </c>
      <c r="E107" s="313" t="n">
        <v>2420</v>
      </c>
      <c r="F107" s="313" t="n">
        <v>0</v>
      </c>
      <c r="G107" s="313" t="n">
        <v>2420</v>
      </c>
      <c r="H107" s="315">
        <f>SUM(C107:G107)</f>
        <v/>
      </c>
    </row>
    <row r="108" ht="12.75" customHeight="1">
      <c r="A108" s="173" t="inlineStr">
        <is>
          <t>4310800</t>
        </is>
      </c>
      <c r="B108" s="174" t="inlineStr">
        <is>
          <t>KN Makelaarskosten</t>
        </is>
      </c>
      <c r="C108" s="314" t="n"/>
      <c r="D108" s="313" t="n">
        <v>57342</v>
      </c>
      <c r="E108" s="313" t="n">
        <v>61064</v>
      </c>
      <c r="F108" s="313" t="n">
        <v>109673</v>
      </c>
      <c r="G108" s="313" t="n">
        <v>40646</v>
      </c>
      <c r="H108" s="315">
        <f>SUM(C108:G108)</f>
        <v/>
      </c>
    </row>
    <row r="109" ht="12.75" customHeight="1">
      <c r="A109" s="173" t="inlineStr">
        <is>
          <t>4311000</t>
        </is>
      </c>
      <c r="B109" s="174" t="inlineStr">
        <is>
          <t>KN Juridische kosten</t>
        </is>
      </c>
      <c r="D109" s="313" t="n">
        <v>3745</v>
      </c>
      <c r="E109" s="313" t="n">
        <v>-2123</v>
      </c>
      <c r="F109" s="313" t="n">
        <v>7035</v>
      </c>
      <c r="G109" s="313" t="n">
        <v>2261</v>
      </c>
      <c r="H109" s="315">
        <f>SUM(C109:G109)</f>
        <v/>
      </c>
    </row>
    <row r="110" ht="12.75" customHeight="1">
      <c r="A110" s="173" t="inlineStr">
        <is>
          <t>4311800</t>
        </is>
      </c>
      <c r="B110" s="174" t="inlineStr">
        <is>
          <t>KN Advieskosten</t>
        </is>
      </c>
      <c r="D110" s="313" t="n">
        <v>28435</v>
      </c>
      <c r="E110" s="313" t="n">
        <v>0</v>
      </c>
      <c r="F110" s="313" t="n">
        <v>0</v>
      </c>
      <c r="G110" s="313" t="n">
        <v>0</v>
      </c>
      <c r="H110" s="315">
        <f>SUM(C110:G110)</f>
        <v/>
      </c>
    </row>
    <row r="111" ht="12" customHeight="1">
      <c r="A111" s="173" t="inlineStr">
        <is>
          <t>4311900</t>
        </is>
      </c>
      <c r="B111" s="174" t="inlineStr">
        <is>
          <t>KN Bankkosten</t>
        </is>
      </c>
      <c r="D111" s="313" t="n">
        <v>1232</v>
      </c>
      <c r="E111" s="313" t="n">
        <v>1227</v>
      </c>
      <c r="F111" s="313" t="n">
        <v>3761</v>
      </c>
      <c r="G111" s="313" t="n">
        <v>2007</v>
      </c>
      <c r="H111" s="315">
        <f>SUM(C111:G111)</f>
        <v/>
      </c>
    </row>
    <row r="112" ht="12.75" customHeight="1">
      <c r="A112" s="173" t="inlineStr">
        <is>
          <t>4312600</t>
        </is>
      </c>
      <c r="B112" s="174" t="inlineStr">
        <is>
          <t>KN Agent Fee facility</t>
        </is>
      </c>
      <c r="C112" s="313" t="n"/>
      <c r="D112" s="313" t="n">
        <v>20000</v>
      </c>
      <c r="E112" s="313" t="n">
        <v>20000</v>
      </c>
      <c r="F112" s="313" t="n">
        <v>0</v>
      </c>
      <c r="G112" s="313" t="n">
        <v>0</v>
      </c>
      <c r="H112" s="315">
        <f>SUM(C112:G112)</f>
        <v/>
      </c>
    </row>
    <row r="113" ht="12.75" customHeight="1">
      <c r="A113" s="173" t="inlineStr">
        <is>
          <t>4319800</t>
        </is>
      </c>
      <c r="B113" s="174" t="inlineStr">
        <is>
          <t>KN Overige algemene kosten</t>
        </is>
      </c>
      <c r="C113" s="313" t="n"/>
      <c r="D113" s="313" t="n">
        <v>358</v>
      </c>
      <c r="E113" s="313" t="n">
        <v>477</v>
      </c>
      <c r="F113" s="313" t="n">
        <v>-934</v>
      </c>
      <c r="G113" s="313" t="n">
        <v>-1065</v>
      </c>
      <c r="H113" s="315">
        <f>SUM(C113:G113)</f>
        <v/>
      </c>
    </row>
    <row r="114" ht="12.75" customHeight="1">
      <c r="A114" s="174" t="inlineStr">
        <is>
          <t>Totaal Algemene kosten</t>
        </is>
      </c>
      <c r="D114" s="313">
        <f>SUM(D103:D113)</f>
        <v/>
      </c>
      <c r="E114" s="313">
        <f>SUM(E103:E113)</f>
        <v/>
      </c>
      <c r="F114" s="313">
        <f>SUM(F103:F113)</f>
        <v/>
      </c>
      <c r="G114" s="313">
        <f>SUM(G103:G113)</f>
        <v/>
      </c>
      <c r="H114" s="313">
        <f>SUM(H103:H113)</f>
        <v/>
      </c>
    </row>
    <row r="115" ht="12.75" customHeight="1">
      <c r="G115" s="313" t="n">
        <v>0</v>
      </c>
    </row>
    <row r="116" ht="12.75" customHeight="1">
      <c r="A116" s="173" t="inlineStr">
        <is>
          <t>4623001</t>
        </is>
      </c>
      <c r="B116" s="174" t="inlineStr">
        <is>
          <t>FINBL Rente ABN AMRO Bank NV Senior Facility Agreement</t>
        </is>
      </c>
      <c r="D116" s="313" t="n">
        <v>450998</v>
      </c>
      <c r="E116" s="313" t="n">
        <v>448423</v>
      </c>
      <c r="F116" s="313" t="n">
        <v>442928</v>
      </c>
      <c r="G116" s="313" t="n">
        <v>425610</v>
      </c>
      <c r="H116" s="315">
        <f>SUM(C116:G116)</f>
        <v/>
      </c>
    </row>
    <row r="117" ht="12.75" customHeight="1">
      <c r="A117" s="173" t="n">
        <v>4611000</v>
      </c>
      <c r="B117" s="174" t="inlineStr">
        <is>
          <t>FINBL Rente RC DMRRP INV - I BV</t>
        </is>
      </c>
      <c r="F117" s="313" t="n">
        <v>70373</v>
      </c>
      <c r="G117" s="313" t="n">
        <v>0</v>
      </c>
      <c r="H117" s="315">
        <f>SUM(C117:G117)</f>
        <v/>
      </c>
    </row>
    <row r="118" ht="12.75" customHeight="1">
      <c r="A118" s="173" t="n">
        <v>4630000</v>
      </c>
      <c r="B118" s="174" t="inlineStr">
        <is>
          <t>FINBL Rente belastingen</t>
        </is>
      </c>
      <c r="D118" s="313" t="n">
        <v>0</v>
      </c>
      <c r="E118" s="313" t="n">
        <v>8219</v>
      </c>
      <c r="F118" s="313" t="n">
        <v>0</v>
      </c>
      <c r="G118" s="313" t="n">
        <v>0</v>
      </c>
      <c r="H118" s="315">
        <f>SUM(C118:G118)</f>
        <v/>
      </c>
    </row>
    <row r="119" ht="12.75" customHeight="1">
      <c r="A119" s="173" t="inlineStr">
        <is>
          <t>4643000</t>
        </is>
      </c>
      <c r="B119" s="174" t="inlineStr">
        <is>
          <t>FINBL Overige rentelasten</t>
        </is>
      </c>
      <c r="D119" s="313" t="n">
        <v>105985</v>
      </c>
      <c r="E119" s="313" t="n">
        <v>106445</v>
      </c>
      <c r="F119" s="313" t="n">
        <v>105740</v>
      </c>
      <c r="G119" s="313" t="n">
        <v>102784</v>
      </c>
      <c r="H119" s="315">
        <f>SUM(C119:G119)</f>
        <v/>
      </c>
    </row>
    <row r="120" ht="12.75" customHeight="1">
      <c r="A120" s="173" t="n">
        <v>4642000</v>
      </c>
      <c r="B120" s="174" t="inlineStr">
        <is>
          <t>FINBL overige rentebaten</t>
        </is>
      </c>
      <c r="D120" s="313" t="n">
        <v>0</v>
      </c>
      <c r="E120" s="313" t="n">
        <v>3012</v>
      </c>
      <c r="F120" s="313" t="n">
        <v>0</v>
      </c>
      <c r="G120" s="313" t="n">
        <v>0</v>
      </c>
      <c r="H120" s="315">
        <f>SUM(C120:G120)</f>
        <v/>
      </c>
    </row>
    <row r="121" ht="12.75" customHeight="1">
      <c r="A121" s="173" t="inlineStr">
        <is>
          <t>Totaal Financiële baten en lasten</t>
        </is>
      </c>
      <c r="D121" s="313">
        <f>SUM(D116:D120)</f>
        <v/>
      </c>
      <c r="E121" s="313">
        <f>SUM(E116:E120)</f>
        <v/>
      </c>
      <c r="F121" s="313">
        <f>SUM(F116:F120)</f>
        <v/>
      </c>
      <c r="G121" s="313">
        <f>SUM(G116:G120)</f>
        <v/>
      </c>
      <c r="H121" s="313">
        <f>SUM(H116:H120)</f>
        <v/>
      </c>
    </row>
    <row r="123" ht="12.75" customHeight="1">
      <c r="A123" s="173" t="n">
        <v>9500000</v>
      </c>
      <c r="B123" s="174" t="inlineStr">
        <is>
          <t>VPB Vennootschapsbelasting VPB Huidg jaar</t>
        </is>
      </c>
      <c r="D123" s="313" t="n">
        <v>0</v>
      </c>
      <c r="E123" s="313" t="n">
        <v>0</v>
      </c>
      <c r="F123" s="313" t="n">
        <v>0</v>
      </c>
      <c r="H123" s="315">
        <f>SUM(C123:G123)</f>
        <v/>
      </c>
    </row>
    <row r="124" ht="12.75" customHeight="1">
      <c r="A124" s="173" t="inlineStr">
        <is>
          <t>9510000</t>
        </is>
      </c>
      <c r="B124" s="174" t="inlineStr">
        <is>
          <t>VPB Mutatie belastinglatentie Mutatie actieve latentie</t>
        </is>
      </c>
      <c r="D124" s="313" t="n">
        <v>-524916</v>
      </c>
      <c r="E124" s="313" t="n">
        <v>-118583</v>
      </c>
      <c r="F124" s="313" t="n">
        <v>-576960</v>
      </c>
      <c r="G124" s="313" t="n">
        <v>0</v>
      </c>
      <c r="H124" s="315">
        <f>SUM(C124:G124)</f>
        <v/>
      </c>
    </row>
    <row r="125" ht="12.75" customHeight="1">
      <c r="A125" s="173" t="n">
        <v>9500100</v>
      </c>
      <c r="B125" s="174" t="inlineStr">
        <is>
          <t>VPB Vennootschapsbelasting VPB voorgaande jaren</t>
        </is>
      </c>
      <c r="D125" s="313" t="n">
        <v>0</v>
      </c>
      <c r="E125" s="313" t="n">
        <v>53597</v>
      </c>
      <c r="F125" s="313" t="n">
        <v>-53597</v>
      </c>
      <c r="G125" s="313" t="n">
        <v>-142740</v>
      </c>
      <c r="H125" s="315">
        <f>SUM(C125:G125)</f>
        <v/>
      </c>
    </row>
    <row r="126" ht="12.75" customHeight="1">
      <c r="A126" s="173" t="inlineStr">
        <is>
          <t>Totaal vennootschapsbelasting</t>
        </is>
      </c>
      <c r="D126" s="314">
        <f>SUM(D123:D125)</f>
        <v/>
      </c>
      <c r="E126" s="314">
        <f>SUM(E123:E125)</f>
        <v/>
      </c>
      <c r="F126" s="314">
        <f>SUM(F123:F125)</f>
        <v/>
      </c>
      <c r="G126" s="314">
        <f>SUM(G123:G125)</f>
        <v/>
      </c>
      <c r="H126" s="314">
        <f>SUM(H123:H125)</f>
        <v/>
      </c>
    </row>
    <row r="128" ht="12.75" customHeight="1">
      <c r="A128" s="174" t="inlineStr">
        <is>
          <t>Resultaat na belasting</t>
        </is>
      </c>
      <c r="D128" s="313">
        <f>D71+D76+D79+D83+D93+D98+D101+D114+D121+D126</f>
        <v/>
      </c>
      <c r="E128" s="313">
        <f>E71+E76+E79+E83+E93+E98+E101+E114+E121+E126</f>
        <v/>
      </c>
      <c r="F128" s="313">
        <f>F71+F76+F79+F83+F93+F98+F101+F114+F121+F126</f>
        <v/>
      </c>
      <c r="G128" s="313">
        <f>G71+G76+G79+G83+G93+G98+G101+G114+G121+G126</f>
        <v/>
      </c>
      <c r="H128" s="313">
        <f>H71+H76+H79+H83+H93+H98+H101+H114+H121+H126</f>
        <v/>
      </c>
    </row>
    <row r="130" ht="12.75" customHeight="1">
      <c r="C130" s="316" t="n"/>
      <c r="D130" s="325">
        <f>SUM(D4:D65)+D128</f>
        <v/>
      </c>
      <c r="E130" s="325">
        <f>SUM(E4:E65)+E128</f>
        <v/>
      </c>
      <c r="F130" s="325">
        <f>SUM(F4:F65)+F128</f>
        <v/>
      </c>
      <c r="G130" s="325">
        <f>SUM(G4:G65)+G128</f>
        <v/>
      </c>
      <c r="H130" s="316">
        <f>SUM(H4:H65)+H128</f>
        <v/>
      </c>
    </row>
    <row r="131" ht="12.75" customHeight="1">
      <c r="J131" s="316" t="n"/>
    </row>
    <row r="132" ht="12.75" customHeight="1">
      <c r="J132" s="316" t="n"/>
    </row>
    <row r="133" ht="12.75" customHeight="1">
      <c r="J133" s="316" t="n"/>
    </row>
    <row r="134" ht="12.75" customHeight="1">
      <c r="J134" s="316" t="n"/>
    </row>
    <row r="135" ht="12.75" customHeight="1">
      <c r="J135" s="316" t="n"/>
    </row>
    <row r="136" ht="12.75" customHeight="1">
      <c r="J136" s="316" t="n"/>
    </row>
    <row r="137" ht="12.75" customHeight="1">
      <c r="J137" s="316" t="n"/>
    </row>
    <row r="138" ht="12.75" customHeight="1">
      <c r="J138" s="316" t="n"/>
    </row>
    <row r="139" ht="12.75" customHeight="1">
      <c r="J139" s="316" t="n"/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39"/>
  <sheetViews>
    <sheetView topLeftCell="A83" zoomScale="68" zoomScaleNormal="68" workbookViewId="0">
      <pane xSplit="2" topLeftCell="C1" activePane="topRight" state="frozen"/>
      <selection pane="topRight" activeCell="E89" sqref="E89"/>
    </sheetView>
  </sheetViews>
  <sheetFormatPr baseColWidth="8" defaultRowHeight="12.75" customHeight="1"/>
  <cols>
    <col width="21.109375" bestFit="1" customWidth="1" style="173" min="1" max="1"/>
    <col width="70" bestFit="1" customWidth="1" style="174" min="2" max="2"/>
    <col width="24.5546875" bestFit="1" customWidth="1" style="313" min="3" max="3"/>
    <col width="22.44140625" customWidth="1" style="313" min="4" max="7"/>
    <col width="19.44140625" bestFit="1" customWidth="1" style="315" min="8" max="8"/>
    <col width="11.88671875" customWidth="1" style="174" min="9" max="9"/>
    <col width="22.44140625" customWidth="1" style="316" min="10" max="10"/>
    <col width="17.33203125" bestFit="1" customWidth="1" style="174" min="11" max="13"/>
    <col width="9.109375" customWidth="1" style="174" min="14" max="256"/>
    <col width="21.109375" bestFit="1" customWidth="1" style="174" min="257" max="257"/>
    <col width="70" bestFit="1" customWidth="1" style="174" min="258" max="258"/>
    <col width="24.5546875" bestFit="1" customWidth="1" style="174" min="259" max="259"/>
    <col width="22.44140625" customWidth="1" style="174" min="260" max="263"/>
    <col width="19.44140625" bestFit="1" customWidth="1" style="174" min="264" max="264"/>
    <col width="11.88671875" customWidth="1" style="174" min="265" max="265"/>
    <col width="22.44140625" customWidth="1" style="174" min="266" max="266"/>
    <col width="9.109375" customWidth="1" style="174" min="267" max="512"/>
    <col width="21.109375" bestFit="1" customWidth="1" style="174" min="513" max="513"/>
    <col width="70" bestFit="1" customWidth="1" style="174" min="514" max="514"/>
    <col width="24.5546875" bestFit="1" customWidth="1" style="174" min="515" max="515"/>
    <col width="22.44140625" customWidth="1" style="174" min="516" max="519"/>
    <col width="19.44140625" bestFit="1" customWidth="1" style="174" min="520" max="520"/>
    <col width="11.88671875" customWidth="1" style="174" min="521" max="521"/>
    <col width="22.44140625" customWidth="1" style="174" min="522" max="522"/>
    <col width="9.109375" customWidth="1" style="174" min="523" max="768"/>
    <col width="21.109375" bestFit="1" customWidth="1" style="174" min="769" max="769"/>
    <col width="70" bestFit="1" customWidth="1" style="174" min="770" max="770"/>
    <col width="24.5546875" bestFit="1" customWidth="1" style="174" min="771" max="771"/>
    <col width="22.44140625" customWidth="1" style="174" min="772" max="775"/>
    <col width="19.44140625" bestFit="1" customWidth="1" style="174" min="776" max="776"/>
    <col width="11.88671875" customWidth="1" style="174" min="777" max="777"/>
    <col width="22.44140625" customWidth="1" style="174" min="778" max="778"/>
    <col width="9.109375" customWidth="1" style="174" min="779" max="1024"/>
    <col width="21.109375" bestFit="1" customWidth="1" style="174" min="1025" max="1025"/>
    <col width="70" bestFit="1" customWidth="1" style="174" min="1026" max="1026"/>
    <col width="24.5546875" bestFit="1" customWidth="1" style="174" min="1027" max="1027"/>
    <col width="22.44140625" customWidth="1" style="174" min="1028" max="1031"/>
    <col width="19.44140625" bestFit="1" customWidth="1" style="174" min="1032" max="1032"/>
    <col width="11.88671875" customWidth="1" style="174" min="1033" max="1033"/>
    <col width="22.44140625" customWidth="1" style="174" min="1034" max="1034"/>
    <col width="9.109375" customWidth="1" style="174" min="1035" max="1280"/>
    <col width="21.109375" bestFit="1" customWidth="1" style="174" min="1281" max="1281"/>
    <col width="70" bestFit="1" customWidth="1" style="174" min="1282" max="1282"/>
    <col width="24.5546875" bestFit="1" customWidth="1" style="174" min="1283" max="1283"/>
    <col width="22.44140625" customWidth="1" style="174" min="1284" max="1287"/>
    <col width="19.44140625" bestFit="1" customWidth="1" style="174" min="1288" max="1288"/>
    <col width="11.88671875" customWidth="1" style="174" min="1289" max="1289"/>
    <col width="22.44140625" customWidth="1" style="174" min="1290" max="1290"/>
    <col width="9.109375" customWidth="1" style="174" min="1291" max="1536"/>
    <col width="21.109375" bestFit="1" customWidth="1" style="174" min="1537" max="1537"/>
    <col width="70" bestFit="1" customWidth="1" style="174" min="1538" max="1538"/>
    <col width="24.5546875" bestFit="1" customWidth="1" style="174" min="1539" max="1539"/>
    <col width="22.44140625" customWidth="1" style="174" min="1540" max="1543"/>
    <col width="19.44140625" bestFit="1" customWidth="1" style="174" min="1544" max="1544"/>
    <col width="11.88671875" customWidth="1" style="174" min="1545" max="1545"/>
    <col width="22.44140625" customWidth="1" style="174" min="1546" max="1546"/>
    <col width="9.109375" customWidth="1" style="174" min="1547" max="1792"/>
    <col width="21.109375" bestFit="1" customWidth="1" style="174" min="1793" max="1793"/>
    <col width="70" bestFit="1" customWidth="1" style="174" min="1794" max="1794"/>
    <col width="24.5546875" bestFit="1" customWidth="1" style="174" min="1795" max="1795"/>
    <col width="22.44140625" customWidth="1" style="174" min="1796" max="1799"/>
    <col width="19.44140625" bestFit="1" customWidth="1" style="174" min="1800" max="1800"/>
    <col width="11.88671875" customWidth="1" style="174" min="1801" max="1801"/>
    <col width="22.44140625" customWidth="1" style="174" min="1802" max="1802"/>
    <col width="9.109375" customWidth="1" style="174" min="1803" max="2048"/>
    <col width="21.109375" bestFit="1" customWidth="1" style="174" min="2049" max="2049"/>
    <col width="70" bestFit="1" customWidth="1" style="174" min="2050" max="2050"/>
    <col width="24.5546875" bestFit="1" customWidth="1" style="174" min="2051" max="2051"/>
    <col width="22.44140625" customWidth="1" style="174" min="2052" max="2055"/>
    <col width="19.44140625" bestFit="1" customWidth="1" style="174" min="2056" max="2056"/>
    <col width="11.88671875" customWidth="1" style="174" min="2057" max="2057"/>
    <col width="22.44140625" customWidth="1" style="174" min="2058" max="2058"/>
    <col width="9.109375" customWidth="1" style="174" min="2059" max="2304"/>
    <col width="21.109375" bestFit="1" customWidth="1" style="174" min="2305" max="2305"/>
    <col width="70" bestFit="1" customWidth="1" style="174" min="2306" max="2306"/>
    <col width="24.5546875" bestFit="1" customWidth="1" style="174" min="2307" max="2307"/>
    <col width="22.44140625" customWidth="1" style="174" min="2308" max="2311"/>
    <col width="19.44140625" bestFit="1" customWidth="1" style="174" min="2312" max="2312"/>
    <col width="11.88671875" customWidth="1" style="174" min="2313" max="2313"/>
    <col width="22.44140625" customWidth="1" style="174" min="2314" max="2314"/>
    <col width="9.109375" customWidth="1" style="174" min="2315" max="2560"/>
    <col width="21.109375" bestFit="1" customWidth="1" style="174" min="2561" max="2561"/>
    <col width="70" bestFit="1" customWidth="1" style="174" min="2562" max="2562"/>
    <col width="24.5546875" bestFit="1" customWidth="1" style="174" min="2563" max="2563"/>
    <col width="22.44140625" customWidth="1" style="174" min="2564" max="2567"/>
    <col width="19.44140625" bestFit="1" customWidth="1" style="174" min="2568" max="2568"/>
    <col width="11.88671875" customWidth="1" style="174" min="2569" max="2569"/>
    <col width="22.44140625" customWidth="1" style="174" min="2570" max="2570"/>
    <col width="9.109375" customWidth="1" style="174" min="2571" max="2816"/>
    <col width="21.109375" bestFit="1" customWidth="1" style="174" min="2817" max="2817"/>
    <col width="70" bestFit="1" customWidth="1" style="174" min="2818" max="2818"/>
    <col width="24.5546875" bestFit="1" customWidth="1" style="174" min="2819" max="2819"/>
    <col width="22.44140625" customWidth="1" style="174" min="2820" max="2823"/>
    <col width="19.44140625" bestFit="1" customWidth="1" style="174" min="2824" max="2824"/>
    <col width="11.88671875" customWidth="1" style="174" min="2825" max="2825"/>
    <col width="22.44140625" customWidth="1" style="174" min="2826" max="2826"/>
    <col width="9.109375" customWidth="1" style="174" min="2827" max="3072"/>
    <col width="21.109375" bestFit="1" customWidth="1" style="174" min="3073" max="3073"/>
    <col width="70" bestFit="1" customWidth="1" style="174" min="3074" max="3074"/>
    <col width="24.5546875" bestFit="1" customWidth="1" style="174" min="3075" max="3075"/>
    <col width="22.44140625" customWidth="1" style="174" min="3076" max="3079"/>
    <col width="19.44140625" bestFit="1" customWidth="1" style="174" min="3080" max="3080"/>
    <col width="11.88671875" customWidth="1" style="174" min="3081" max="3081"/>
    <col width="22.44140625" customWidth="1" style="174" min="3082" max="3082"/>
    <col width="9.109375" customWidth="1" style="174" min="3083" max="3328"/>
    <col width="21.109375" bestFit="1" customWidth="1" style="174" min="3329" max="3329"/>
    <col width="70" bestFit="1" customWidth="1" style="174" min="3330" max="3330"/>
    <col width="24.5546875" bestFit="1" customWidth="1" style="174" min="3331" max="3331"/>
    <col width="22.44140625" customWidth="1" style="174" min="3332" max="3335"/>
    <col width="19.44140625" bestFit="1" customWidth="1" style="174" min="3336" max="3336"/>
    <col width="11.88671875" customWidth="1" style="174" min="3337" max="3337"/>
    <col width="22.44140625" customWidth="1" style="174" min="3338" max="3338"/>
    <col width="9.109375" customWidth="1" style="174" min="3339" max="3584"/>
    <col width="21.109375" bestFit="1" customWidth="1" style="174" min="3585" max="3585"/>
    <col width="70" bestFit="1" customWidth="1" style="174" min="3586" max="3586"/>
    <col width="24.5546875" bestFit="1" customWidth="1" style="174" min="3587" max="3587"/>
    <col width="22.44140625" customWidth="1" style="174" min="3588" max="3591"/>
    <col width="19.44140625" bestFit="1" customWidth="1" style="174" min="3592" max="3592"/>
    <col width="11.88671875" customWidth="1" style="174" min="3593" max="3593"/>
    <col width="22.44140625" customWidth="1" style="174" min="3594" max="3594"/>
    <col width="9.109375" customWidth="1" style="174" min="3595" max="3840"/>
    <col width="21.109375" bestFit="1" customWidth="1" style="174" min="3841" max="3841"/>
    <col width="70" bestFit="1" customWidth="1" style="174" min="3842" max="3842"/>
    <col width="24.5546875" bestFit="1" customWidth="1" style="174" min="3843" max="3843"/>
    <col width="22.44140625" customWidth="1" style="174" min="3844" max="3847"/>
    <col width="19.44140625" bestFit="1" customWidth="1" style="174" min="3848" max="3848"/>
    <col width="11.88671875" customWidth="1" style="174" min="3849" max="3849"/>
    <col width="22.44140625" customWidth="1" style="174" min="3850" max="3850"/>
    <col width="9.109375" customWidth="1" style="174" min="3851" max="4096"/>
    <col width="21.109375" bestFit="1" customWidth="1" style="174" min="4097" max="4097"/>
    <col width="70" bestFit="1" customWidth="1" style="174" min="4098" max="4098"/>
    <col width="24.5546875" bestFit="1" customWidth="1" style="174" min="4099" max="4099"/>
    <col width="22.44140625" customWidth="1" style="174" min="4100" max="4103"/>
    <col width="19.44140625" bestFit="1" customWidth="1" style="174" min="4104" max="4104"/>
    <col width="11.88671875" customWidth="1" style="174" min="4105" max="4105"/>
    <col width="22.44140625" customWidth="1" style="174" min="4106" max="4106"/>
    <col width="9.109375" customWidth="1" style="174" min="4107" max="4352"/>
    <col width="21.109375" bestFit="1" customWidth="1" style="174" min="4353" max="4353"/>
    <col width="70" bestFit="1" customWidth="1" style="174" min="4354" max="4354"/>
    <col width="24.5546875" bestFit="1" customWidth="1" style="174" min="4355" max="4355"/>
    <col width="22.44140625" customWidth="1" style="174" min="4356" max="4359"/>
    <col width="19.44140625" bestFit="1" customWidth="1" style="174" min="4360" max="4360"/>
    <col width="11.88671875" customWidth="1" style="174" min="4361" max="4361"/>
    <col width="22.44140625" customWidth="1" style="174" min="4362" max="4362"/>
    <col width="9.109375" customWidth="1" style="174" min="4363" max="4608"/>
    <col width="21.109375" bestFit="1" customWidth="1" style="174" min="4609" max="4609"/>
    <col width="70" bestFit="1" customWidth="1" style="174" min="4610" max="4610"/>
    <col width="24.5546875" bestFit="1" customWidth="1" style="174" min="4611" max="4611"/>
    <col width="22.44140625" customWidth="1" style="174" min="4612" max="4615"/>
    <col width="19.44140625" bestFit="1" customWidth="1" style="174" min="4616" max="4616"/>
    <col width="11.88671875" customWidth="1" style="174" min="4617" max="4617"/>
    <col width="22.44140625" customWidth="1" style="174" min="4618" max="4618"/>
    <col width="9.109375" customWidth="1" style="174" min="4619" max="4864"/>
    <col width="21.109375" bestFit="1" customWidth="1" style="174" min="4865" max="4865"/>
    <col width="70" bestFit="1" customWidth="1" style="174" min="4866" max="4866"/>
    <col width="24.5546875" bestFit="1" customWidth="1" style="174" min="4867" max="4867"/>
    <col width="22.44140625" customWidth="1" style="174" min="4868" max="4871"/>
    <col width="19.44140625" bestFit="1" customWidth="1" style="174" min="4872" max="4872"/>
    <col width="11.88671875" customWidth="1" style="174" min="4873" max="4873"/>
    <col width="22.44140625" customWidth="1" style="174" min="4874" max="4874"/>
    <col width="9.109375" customWidth="1" style="174" min="4875" max="5120"/>
    <col width="21.109375" bestFit="1" customWidth="1" style="174" min="5121" max="5121"/>
    <col width="70" bestFit="1" customWidth="1" style="174" min="5122" max="5122"/>
    <col width="24.5546875" bestFit="1" customWidth="1" style="174" min="5123" max="5123"/>
    <col width="22.44140625" customWidth="1" style="174" min="5124" max="5127"/>
    <col width="19.44140625" bestFit="1" customWidth="1" style="174" min="5128" max="5128"/>
    <col width="11.88671875" customWidth="1" style="174" min="5129" max="5129"/>
    <col width="22.44140625" customWidth="1" style="174" min="5130" max="5130"/>
    <col width="9.109375" customWidth="1" style="174" min="5131" max="5376"/>
    <col width="21.109375" bestFit="1" customWidth="1" style="174" min="5377" max="5377"/>
    <col width="70" bestFit="1" customWidth="1" style="174" min="5378" max="5378"/>
    <col width="24.5546875" bestFit="1" customWidth="1" style="174" min="5379" max="5379"/>
    <col width="22.44140625" customWidth="1" style="174" min="5380" max="5383"/>
    <col width="19.44140625" bestFit="1" customWidth="1" style="174" min="5384" max="5384"/>
    <col width="11.88671875" customWidth="1" style="174" min="5385" max="5385"/>
    <col width="22.44140625" customWidth="1" style="174" min="5386" max="5386"/>
    <col width="9.109375" customWidth="1" style="174" min="5387" max="5632"/>
    <col width="21.109375" bestFit="1" customWidth="1" style="174" min="5633" max="5633"/>
    <col width="70" bestFit="1" customWidth="1" style="174" min="5634" max="5634"/>
    <col width="24.5546875" bestFit="1" customWidth="1" style="174" min="5635" max="5635"/>
    <col width="22.44140625" customWidth="1" style="174" min="5636" max="5639"/>
    <col width="19.44140625" bestFit="1" customWidth="1" style="174" min="5640" max="5640"/>
    <col width="11.88671875" customWidth="1" style="174" min="5641" max="5641"/>
    <col width="22.44140625" customWidth="1" style="174" min="5642" max="5642"/>
    <col width="9.109375" customWidth="1" style="174" min="5643" max="5888"/>
    <col width="21.109375" bestFit="1" customWidth="1" style="174" min="5889" max="5889"/>
    <col width="70" bestFit="1" customWidth="1" style="174" min="5890" max="5890"/>
    <col width="24.5546875" bestFit="1" customWidth="1" style="174" min="5891" max="5891"/>
    <col width="22.44140625" customWidth="1" style="174" min="5892" max="5895"/>
    <col width="19.44140625" bestFit="1" customWidth="1" style="174" min="5896" max="5896"/>
    <col width="11.88671875" customWidth="1" style="174" min="5897" max="5897"/>
    <col width="22.44140625" customWidth="1" style="174" min="5898" max="5898"/>
    <col width="9.109375" customWidth="1" style="174" min="5899" max="6144"/>
    <col width="21.109375" bestFit="1" customWidth="1" style="174" min="6145" max="6145"/>
    <col width="70" bestFit="1" customWidth="1" style="174" min="6146" max="6146"/>
    <col width="24.5546875" bestFit="1" customWidth="1" style="174" min="6147" max="6147"/>
    <col width="22.44140625" customWidth="1" style="174" min="6148" max="6151"/>
    <col width="19.44140625" bestFit="1" customWidth="1" style="174" min="6152" max="6152"/>
    <col width="11.88671875" customWidth="1" style="174" min="6153" max="6153"/>
    <col width="22.44140625" customWidth="1" style="174" min="6154" max="6154"/>
    <col width="9.109375" customWidth="1" style="174" min="6155" max="6400"/>
    <col width="21.109375" bestFit="1" customWidth="1" style="174" min="6401" max="6401"/>
    <col width="70" bestFit="1" customWidth="1" style="174" min="6402" max="6402"/>
    <col width="24.5546875" bestFit="1" customWidth="1" style="174" min="6403" max="6403"/>
    <col width="22.44140625" customWidth="1" style="174" min="6404" max="6407"/>
    <col width="19.44140625" bestFit="1" customWidth="1" style="174" min="6408" max="6408"/>
    <col width="11.88671875" customWidth="1" style="174" min="6409" max="6409"/>
    <col width="22.44140625" customWidth="1" style="174" min="6410" max="6410"/>
    <col width="9.109375" customWidth="1" style="174" min="6411" max="6656"/>
    <col width="21.109375" bestFit="1" customWidth="1" style="174" min="6657" max="6657"/>
    <col width="70" bestFit="1" customWidth="1" style="174" min="6658" max="6658"/>
    <col width="24.5546875" bestFit="1" customWidth="1" style="174" min="6659" max="6659"/>
    <col width="22.44140625" customWidth="1" style="174" min="6660" max="6663"/>
    <col width="19.44140625" bestFit="1" customWidth="1" style="174" min="6664" max="6664"/>
    <col width="11.88671875" customWidth="1" style="174" min="6665" max="6665"/>
    <col width="22.44140625" customWidth="1" style="174" min="6666" max="6666"/>
    <col width="9.109375" customWidth="1" style="174" min="6667" max="6912"/>
    <col width="21.109375" bestFit="1" customWidth="1" style="174" min="6913" max="6913"/>
    <col width="70" bestFit="1" customWidth="1" style="174" min="6914" max="6914"/>
    <col width="24.5546875" bestFit="1" customWidth="1" style="174" min="6915" max="6915"/>
    <col width="22.44140625" customWidth="1" style="174" min="6916" max="6919"/>
    <col width="19.44140625" bestFit="1" customWidth="1" style="174" min="6920" max="6920"/>
    <col width="11.88671875" customWidth="1" style="174" min="6921" max="6921"/>
    <col width="22.44140625" customWidth="1" style="174" min="6922" max="6922"/>
    <col width="9.109375" customWidth="1" style="174" min="6923" max="7168"/>
    <col width="21.109375" bestFit="1" customWidth="1" style="174" min="7169" max="7169"/>
    <col width="70" bestFit="1" customWidth="1" style="174" min="7170" max="7170"/>
    <col width="24.5546875" bestFit="1" customWidth="1" style="174" min="7171" max="7171"/>
    <col width="22.44140625" customWidth="1" style="174" min="7172" max="7175"/>
    <col width="19.44140625" bestFit="1" customWidth="1" style="174" min="7176" max="7176"/>
    <col width="11.88671875" customWidth="1" style="174" min="7177" max="7177"/>
    <col width="22.44140625" customWidth="1" style="174" min="7178" max="7178"/>
    <col width="9.109375" customWidth="1" style="174" min="7179" max="7424"/>
    <col width="21.109375" bestFit="1" customWidth="1" style="174" min="7425" max="7425"/>
    <col width="70" bestFit="1" customWidth="1" style="174" min="7426" max="7426"/>
    <col width="24.5546875" bestFit="1" customWidth="1" style="174" min="7427" max="7427"/>
    <col width="22.44140625" customWidth="1" style="174" min="7428" max="7431"/>
    <col width="19.44140625" bestFit="1" customWidth="1" style="174" min="7432" max="7432"/>
    <col width="11.88671875" customWidth="1" style="174" min="7433" max="7433"/>
    <col width="22.44140625" customWidth="1" style="174" min="7434" max="7434"/>
    <col width="9.109375" customWidth="1" style="174" min="7435" max="7680"/>
    <col width="21.109375" bestFit="1" customWidth="1" style="174" min="7681" max="7681"/>
    <col width="70" bestFit="1" customWidth="1" style="174" min="7682" max="7682"/>
    <col width="24.5546875" bestFit="1" customWidth="1" style="174" min="7683" max="7683"/>
    <col width="22.44140625" customWidth="1" style="174" min="7684" max="7687"/>
    <col width="19.44140625" bestFit="1" customWidth="1" style="174" min="7688" max="7688"/>
    <col width="11.88671875" customWidth="1" style="174" min="7689" max="7689"/>
    <col width="22.44140625" customWidth="1" style="174" min="7690" max="7690"/>
    <col width="9.109375" customWidth="1" style="174" min="7691" max="7936"/>
    <col width="21.109375" bestFit="1" customWidth="1" style="174" min="7937" max="7937"/>
    <col width="70" bestFit="1" customWidth="1" style="174" min="7938" max="7938"/>
    <col width="24.5546875" bestFit="1" customWidth="1" style="174" min="7939" max="7939"/>
    <col width="22.44140625" customWidth="1" style="174" min="7940" max="7943"/>
    <col width="19.44140625" bestFit="1" customWidth="1" style="174" min="7944" max="7944"/>
    <col width="11.88671875" customWidth="1" style="174" min="7945" max="7945"/>
    <col width="22.44140625" customWidth="1" style="174" min="7946" max="7946"/>
    <col width="9.109375" customWidth="1" style="174" min="7947" max="8192"/>
    <col width="21.109375" bestFit="1" customWidth="1" style="174" min="8193" max="8193"/>
    <col width="70" bestFit="1" customWidth="1" style="174" min="8194" max="8194"/>
    <col width="24.5546875" bestFit="1" customWidth="1" style="174" min="8195" max="8195"/>
    <col width="22.44140625" customWidth="1" style="174" min="8196" max="8199"/>
    <col width="19.44140625" bestFit="1" customWidth="1" style="174" min="8200" max="8200"/>
    <col width="11.88671875" customWidth="1" style="174" min="8201" max="8201"/>
    <col width="22.44140625" customWidth="1" style="174" min="8202" max="8202"/>
    <col width="9.109375" customWidth="1" style="174" min="8203" max="8448"/>
    <col width="21.109375" bestFit="1" customWidth="1" style="174" min="8449" max="8449"/>
    <col width="70" bestFit="1" customWidth="1" style="174" min="8450" max="8450"/>
    <col width="24.5546875" bestFit="1" customWidth="1" style="174" min="8451" max="8451"/>
    <col width="22.44140625" customWidth="1" style="174" min="8452" max="8455"/>
    <col width="19.44140625" bestFit="1" customWidth="1" style="174" min="8456" max="8456"/>
    <col width="11.88671875" customWidth="1" style="174" min="8457" max="8457"/>
    <col width="22.44140625" customWidth="1" style="174" min="8458" max="8458"/>
    <col width="9.109375" customWidth="1" style="174" min="8459" max="8704"/>
    <col width="21.109375" bestFit="1" customWidth="1" style="174" min="8705" max="8705"/>
    <col width="70" bestFit="1" customWidth="1" style="174" min="8706" max="8706"/>
    <col width="24.5546875" bestFit="1" customWidth="1" style="174" min="8707" max="8707"/>
    <col width="22.44140625" customWidth="1" style="174" min="8708" max="8711"/>
    <col width="19.44140625" bestFit="1" customWidth="1" style="174" min="8712" max="8712"/>
    <col width="11.88671875" customWidth="1" style="174" min="8713" max="8713"/>
    <col width="22.44140625" customWidth="1" style="174" min="8714" max="8714"/>
    <col width="9.109375" customWidth="1" style="174" min="8715" max="8960"/>
    <col width="21.109375" bestFit="1" customWidth="1" style="174" min="8961" max="8961"/>
    <col width="70" bestFit="1" customWidth="1" style="174" min="8962" max="8962"/>
    <col width="24.5546875" bestFit="1" customWidth="1" style="174" min="8963" max="8963"/>
    <col width="22.44140625" customWidth="1" style="174" min="8964" max="8967"/>
    <col width="19.44140625" bestFit="1" customWidth="1" style="174" min="8968" max="8968"/>
    <col width="11.88671875" customWidth="1" style="174" min="8969" max="8969"/>
    <col width="22.44140625" customWidth="1" style="174" min="8970" max="8970"/>
    <col width="9.109375" customWidth="1" style="174" min="8971" max="9216"/>
    <col width="21.109375" bestFit="1" customWidth="1" style="174" min="9217" max="9217"/>
    <col width="70" bestFit="1" customWidth="1" style="174" min="9218" max="9218"/>
    <col width="24.5546875" bestFit="1" customWidth="1" style="174" min="9219" max="9219"/>
    <col width="22.44140625" customWidth="1" style="174" min="9220" max="9223"/>
    <col width="19.44140625" bestFit="1" customWidth="1" style="174" min="9224" max="9224"/>
    <col width="11.88671875" customWidth="1" style="174" min="9225" max="9225"/>
    <col width="22.44140625" customWidth="1" style="174" min="9226" max="9226"/>
    <col width="9.109375" customWidth="1" style="174" min="9227" max="9472"/>
    <col width="21.109375" bestFit="1" customWidth="1" style="174" min="9473" max="9473"/>
    <col width="70" bestFit="1" customWidth="1" style="174" min="9474" max="9474"/>
    <col width="24.5546875" bestFit="1" customWidth="1" style="174" min="9475" max="9475"/>
    <col width="22.44140625" customWidth="1" style="174" min="9476" max="9479"/>
    <col width="19.44140625" bestFit="1" customWidth="1" style="174" min="9480" max="9480"/>
    <col width="11.88671875" customWidth="1" style="174" min="9481" max="9481"/>
    <col width="22.44140625" customWidth="1" style="174" min="9482" max="9482"/>
    <col width="9.109375" customWidth="1" style="174" min="9483" max="9728"/>
    <col width="21.109375" bestFit="1" customWidth="1" style="174" min="9729" max="9729"/>
    <col width="70" bestFit="1" customWidth="1" style="174" min="9730" max="9730"/>
    <col width="24.5546875" bestFit="1" customWidth="1" style="174" min="9731" max="9731"/>
    <col width="22.44140625" customWidth="1" style="174" min="9732" max="9735"/>
    <col width="19.44140625" bestFit="1" customWidth="1" style="174" min="9736" max="9736"/>
    <col width="11.88671875" customWidth="1" style="174" min="9737" max="9737"/>
    <col width="22.44140625" customWidth="1" style="174" min="9738" max="9738"/>
    <col width="9.109375" customWidth="1" style="174" min="9739" max="9984"/>
    <col width="21.109375" bestFit="1" customWidth="1" style="174" min="9985" max="9985"/>
    <col width="70" bestFit="1" customWidth="1" style="174" min="9986" max="9986"/>
    <col width="24.5546875" bestFit="1" customWidth="1" style="174" min="9987" max="9987"/>
    <col width="22.44140625" customWidth="1" style="174" min="9988" max="9991"/>
    <col width="19.44140625" bestFit="1" customWidth="1" style="174" min="9992" max="9992"/>
    <col width="11.88671875" customWidth="1" style="174" min="9993" max="9993"/>
    <col width="22.44140625" customWidth="1" style="174" min="9994" max="9994"/>
    <col width="9.109375" customWidth="1" style="174" min="9995" max="10240"/>
    <col width="21.109375" bestFit="1" customWidth="1" style="174" min="10241" max="10241"/>
    <col width="70" bestFit="1" customWidth="1" style="174" min="10242" max="10242"/>
    <col width="24.5546875" bestFit="1" customWidth="1" style="174" min="10243" max="10243"/>
    <col width="22.44140625" customWidth="1" style="174" min="10244" max="10247"/>
    <col width="19.44140625" bestFit="1" customWidth="1" style="174" min="10248" max="10248"/>
    <col width="11.88671875" customWidth="1" style="174" min="10249" max="10249"/>
    <col width="22.44140625" customWidth="1" style="174" min="10250" max="10250"/>
    <col width="9.109375" customWidth="1" style="174" min="10251" max="10496"/>
    <col width="21.109375" bestFit="1" customWidth="1" style="174" min="10497" max="10497"/>
    <col width="70" bestFit="1" customWidth="1" style="174" min="10498" max="10498"/>
    <col width="24.5546875" bestFit="1" customWidth="1" style="174" min="10499" max="10499"/>
    <col width="22.44140625" customWidth="1" style="174" min="10500" max="10503"/>
    <col width="19.44140625" bestFit="1" customWidth="1" style="174" min="10504" max="10504"/>
    <col width="11.88671875" customWidth="1" style="174" min="10505" max="10505"/>
    <col width="22.44140625" customWidth="1" style="174" min="10506" max="10506"/>
    <col width="9.109375" customWidth="1" style="174" min="10507" max="10752"/>
    <col width="21.109375" bestFit="1" customWidth="1" style="174" min="10753" max="10753"/>
    <col width="70" bestFit="1" customWidth="1" style="174" min="10754" max="10754"/>
    <col width="24.5546875" bestFit="1" customWidth="1" style="174" min="10755" max="10755"/>
    <col width="22.44140625" customWidth="1" style="174" min="10756" max="10759"/>
    <col width="19.44140625" bestFit="1" customWidth="1" style="174" min="10760" max="10760"/>
    <col width="11.88671875" customWidth="1" style="174" min="10761" max="10761"/>
    <col width="22.44140625" customWidth="1" style="174" min="10762" max="10762"/>
    <col width="9.109375" customWidth="1" style="174" min="10763" max="11008"/>
    <col width="21.109375" bestFit="1" customWidth="1" style="174" min="11009" max="11009"/>
    <col width="70" bestFit="1" customWidth="1" style="174" min="11010" max="11010"/>
    <col width="24.5546875" bestFit="1" customWidth="1" style="174" min="11011" max="11011"/>
    <col width="22.44140625" customWidth="1" style="174" min="11012" max="11015"/>
    <col width="19.44140625" bestFit="1" customWidth="1" style="174" min="11016" max="11016"/>
    <col width="11.88671875" customWidth="1" style="174" min="11017" max="11017"/>
    <col width="22.44140625" customWidth="1" style="174" min="11018" max="11018"/>
    <col width="9.109375" customWidth="1" style="174" min="11019" max="11264"/>
    <col width="21.109375" bestFit="1" customWidth="1" style="174" min="11265" max="11265"/>
    <col width="70" bestFit="1" customWidth="1" style="174" min="11266" max="11266"/>
    <col width="24.5546875" bestFit="1" customWidth="1" style="174" min="11267" max="11267"/>
    <col width="22.44140625" customWidth="1" style="174" min="11268" max="11271"/>
    <col width="19.44140625" bestFit="1" customWidth="1" style="174" min="11272" max="11272"/>
    <col width="11.88671875" customWidth="1" style="174" min="11273" max="11273"/>
    <col width="22.44140625" customWidth="1" style="174" min="11274" max="11274"/>
    <col width="9.109375" customWidth="1" style="174" min="11275" max="11520"/>
    <col width="21.109375" bestFit="1" customWidth="1" style="174" min="11521" max="11521"/>
    <col width="70" bestFit="1" customWidth="1" style="174" min="11522" max="11522"/>
    <col width="24.5546875" bestFit="1" customWidth="1" style="174" min="11523" max="11523"/>
    <col width="22.44140625" customWidth="1" style="174" min="11524" max="11527"/>
    <col width="19.44140625" bestFit="1" customWidth="1" style="174" min="11528" max="11528"/>
    <col width="11.88671875" customWidth="1" style="174" min="11529" max="11529"/>
    <col width="22.44140625" customWidth="1" style="174" min="11530" max="11530"/>
    <col width="9.109375" customWidth="1" style="174" min="11531" max="11776"/>
    <col width="21.109375" bestFit="1" customWidth="1" style="174" min="11777" max="11777"/>
    <col width="70" bestFit="1" customWidth="1" style="174" min="11778" max="11778"/>
    <col width="24.5546875" bestFit="1" customWidth="1" style="174" min="11779" max="11779"/>
    <col width="22.44140625" customWidth="1" style="174" min="11780" max="11783"/>
    <col width="19.44140625" bestFit="1" customWidth="1" style="174" min="11784" max="11784"/>
    <col width="11.88671875" customWidth="1" style="174" min="11785" max="11785"/>
    <col width="22.44140625" customWidth="1" style="174" min="11786" max="11786"/>
    <col width="9.109375" customWidth="1" style="174" min="11787" max="12032"/>
    <col width="21.109375" bestFit="1" customWidth="1" style="174" min="12033" max="12033"/>
    <col width="70" bestFit="1" customWidth="1" style="174" min="12034" max="12034"/>
    <col width="24.5546875" bestFit="1" customWidth="1" style="174" min="12035" max="12035"/>
    <col width="22.44140625" customWidth="1" style="174" min="12036" max="12039"/>
    <col width="19.44140625" bestFit="1" customWidth="1" style="174" min="12040" max="12040"/>
    <col width="11.88671875" customWidth="1" style="174" min="12041" max="12041"/>
    <col width="22.44140625" customWidth="1" style="174" min="12042" max="12042"/>
    <col width="9.109375" customWidth="1" style="174" min="12043" max="12288"/>
    <col width="21.109375" bestFit="1" customWidth="1" style="174" min="12289" max="12289"/>
    <col width="70" bestFit="1" customWidth="1" style="174" min="12290" max="12290"/>
    <col width="24.5546875" bestFit="1" customWidth="1" style="174" min="12291" max="12291"/>
    <col width="22.44140625" customWidth="1" style="174" min="12292" max="12295"/>
    <col width="19.44140625" bestFit="1" customWidth="1" style="174" min="12296" max="12296"/>
    <col width="11.88671875" customWidth="1" style="174" min="12297" max="12297"/>
    <col width="22.44140625" customWidth="1" style="174" min="12298" max="12298"/>
    <col width="9.109375" customWidth="1" style="174" min="12299" max="12544"/>
    <col width="21.109375" bestFit="1" customWidth="1" style="174" min="12545" max="12545"/>
    <col width="70" bestFit="1" customWidth="1" style="174" min="12546" max="12546"/>
    <col width="24.5546875" bestFit="1" customWidth="1" style="174" min="12547" max="12547"/>
    <col width="22.44140625" customWidth="1" style="174" min="12548" max="12551"/>
    <col width="19.44140625" bestFit="1" customWidth="1" style="174" min="12552" max="12552"/>
    <col width="11.88671875" customWidth="1" style="174" min="12553" max="12553"/>
    <col width="22.44140625" customWidth="1" style="174" min="12554" max="12554"/>
    <col width="9.109375" customWidth="1" style="174" min="12555" max="12800"/>
    <col width="21.109375" bestFit="1" customWidth="1" style="174" min="12801" max="12801"/>
    <col width="70" bestFit="1" customWidth="1" style="174" min="12802" max="12802"/>
    <col width="24.5546875" bestFit="1" customWidth="1" style="174" min="12803" max="12803"/>
    <col width="22.44140625" customWidth="1" style="174" min="12804" max="12807"/>
    <col width="19.44140625" bestFit="1" customWidth="1" style="174" min="12808" max="12808"/>
    <col width="11.88671875" customWidth="1" style="174" min="12809" max="12809"/>
    <col width="22.44140625" customWidth="1" style="174" min="12810" max="12810"/>
    <col width="9.109375" customWidth="1" style="174" min="12811" max="13056"/>
    <col width="21.109375" bestFit="1" customWidth="1" style="174" min="13057" max="13057"/>
    <col width="70" bestFit="1" customWidth="1" style="174" min="13058" max="13058"/>
    <col width="24.5546875" bestFit="1" customWidth="1" style="174" min="13059" max="13059"/>
    <col width="22.44140625" customWidth="1" style="174" min="13060" max="13063"/>
    <col width="19.44140625" bestFit="1" customWidth="1" style="174" min="13064" max="13064"/>
    <col width="11.88671875" customWidth="1" style="174" min="13065" max="13065"/>
    <col width="22.44140625" customWidth="1" style="174" min="13066" max="13066"/>
    <col width="9.109375" customWidth="1" style="174" min="13067" max="13312"/>
    <col width="21.109375" bestFit="1" customWidth="1" style="174" min="13313" max="13313"/>
    <col width="70" bestFit="1" customWidth="1" style="174" min="13314" max="13314"/>
    <col width="24.5546875" bestFit="1" customWidth="1" style="174" min="13315" max="13315"/>
    <col width="22.44140625" customWidth="1" style="174" min="13316" max="13319"/>
    <col width="19.44140625" bestFit="1" customWidth="1" style="174" min="13320" max="13320"/>
    <col width="11.88671875" customWidth="1" style="174" min="13321" max="13321"/>
    <col width="22.44140625" customWidth="1" style="174" min="13322" max="13322"/>
    <col width="9.109375" customWidth="1" style="174" min="13323" max="13568"/>
    <col width="21.109375" bestFit="1" customWidth="1" style="174" min="13569" max="13569"/>
    <col width="70" bestFit="1" customWidth="1" style="174" min="13570" max="13570"/>
    <col width="24.5546875" bestFit="1" customWidth="1" style="174" min="13571" max="13571"/>
    <col width="22.44140625" customWidth="1" style="174" min="13572" max="13575"/>
    <col width="19.44140625" bestFit="1" customWidth="1" style="174" min="13576" max="13576"/>
    <col width="11.88671875" customWidth="1" style="174" min="13577" max="13577"/>
    <col width="22.44140625" customWidth="1" style="174" min="13578" max="13578"/>
    <col width="9.109375" customWidth="1" style="174" min="13579" max="13824"/>
    <col width="21.109375" bestFit="1" customWidth="1" style="174" min="13825" max="13825"/>
    <col width="70" bestFit="1" customWidth="1" style="174" min="13826" max="13826"/>
    <col width="24.5546875" bestFit="1" customWidth="1" style="174" min="13827" max="13827"/>
    <col width="22.44140625" customWidth="1" style="174" min="13828" max="13831"/>
    <col width="19.44140625" bestFit="1" customWidth="1" style="174" min="13832" max="13832"/>
    <col width="11.88671875" customWidth="1" style="174" min="13833" max="13833"/>
    <col width="22.44140625" customWidth="1" style="174" min="13834" max="13834"/>
    <col width="9.109375" customWidth="1" style="174" min="13835" max="14080"/>
    <col width="21.109375" bestFit="1" customWidth="1" style="174" min="14081" max="14081"/>
    <col width="70" bestFit="1" customWidth="1" style="174" min="14082" max="14082"/>
    <col width="24.5546875" bestFit="1" customWidth="1" style="174" min="14083" max="14083"/>
    <col width="22.44140625" customWidth="1" style="174" min="14084" max="14087"/>
    <col width="19.44140625" bestFit="1" customWidth="1" style="174" min="14088" max="14088"/>
    <col width="11.88671875" customWidth="1" style="174" min="14089" max="14089"/>
    <col width="22.44140625" customWidth="1" style="174" min="14090" max="14090"/>
    <col width="9.109375" customWidth="1" style="174" min="14091" max="14336"/>
    <col width="21.109375" bestFit="1" customWidth="1" style="174" min="14337" max="14337"/>
    <col width="70" bestFit="1" customWidth="1" style="174" min="14338" max="14338"/>
    <col width="24.5546875" bestFit="1" customWidth="1" style="174" min="14339" max="14339"/>
    <col width="22.44140625" customWidth="1" style="174" min="14340" max="14343"/>
    <col width="19.44140625" bestFit="1" customWidth="1" style="174" min="14344" max="14344"/>
    <col width="11.88671875" customWidth="1" style="174" min="14345" max="14345"/>
    <col width="22.44140625" customWidth="1" style="174" min="14346" max="14346"/>
    <col width="9.109375" customWidth="1" style="174" min="14347" max="14592"/>
    <col width="21.109375" bestFit="1" customWidth="1" style="174" min="14593" max="14593"/>
    <col width="70" bestFit="1" customWidth="1" style="174" min="14594" max="14594"/>
    <col width="24.5546875" bestFit="1" customWidth="1" style="174" min="14595" max="14595"/>
    <col width="22.44140625" customWidth="1" style="174" min="14596" max="14599"/>
    <col width="19.44140625" bestFit="1" customWidth="1" style="174" min="14600" max="14600"/>
    <col width="11.88671875" customWidth="1" style="174" min="14601" max="14601"/>
    <col width="22.44140625" customWidth="1" style="174" min="14602" max="14602"/>
    <col width="9.109375" customWidth="1" style="174" min="14603" max="14848"/>
    <col width="21.109375" bestFit="1" customWidth="1" style="174" min="14849" max="14849"/>
    <col width="70" bestFit="1" customWidth="1" style="174" min="14850" max="14850"/>
    <col width="24.5546875" bestFit="1" customWidth="1" style="174" min="14851" max="14851"/>
    <col width="22.44140625" customWidth="1" style="174" min="14852" max="14855"/>
    <col width="19.44140625" bestFit="1" customWidth="1" style="174" min="14856" max="14856"/>
    <col width="11.88671875" customWidth="1" style="174" min="14857" max="14857"/>
    <col width="22.44140625" customWidth="1" style="174" min="14858" max="14858"/>
    <col width="9.109375" customWidth="1" style="174" min="14859" max="15104"/>
    <col width="21.109375" bestFit="1" customWidth="1" style="174" min="15105" max="15105"/>
    <col width="70" bestFit="1" customWidth="1" style="174" min="15106" max="15106"/>
    <col width="24.5546875" bestFit="1" customWidth="1" style="174" min="15107" max="15107"/>
    <col width="22.44140625" customWidth="1" style="174" min="15108" max="15111"/>
    <col width="19.44140625" bestFit="1" customWidth="1" style="174" min="15112" max="15112"/>
    <col width="11.88671875" customWidth="1" style="174" min="15113" max="15113"/>
    <col width="22.44140625" customWidth="1" style="174" min="15114" max="15114"/>
    <col width="9.109375" customWidth="1" style="174" min="15115" max="15360"/>
    <col width="21.109375" bestFit="1" customWidth="1" style="174" min="15361" max="15361"/>
    <col width="70" bestFit="1" customWidth="1" style="174" min="15362" max="15362"/>
    <col width="24.5546875" bestFit="1" customWidth="1" style="174" min="15363" max="15363"/>
    <col width="22.44140625" customWidth="1" style="174" min="15364" max="15367"/>
    <col width="19.44140625" bestFit="1" customWidth="1" style="174" min="15368" max="15368"/>
    <col width="11.88671875" customWidth="1" style="174" min="15369" max="15369"/>
    <col width="22.44140625" customWidth="1" style="174" min="15370" max="15370"/>
    <col width="9.109375" customWidth="1" style="174" min="15371" max="15616"/>
    <col width="21.109375" bestFit="1" customWidth="1" style="174" min="15617" max="15617"/>
    <col width="70" bestFit="1" customWidth="1" style="174" min="15618" max="15618"/>
    <col width="24.5546875" bestFit="1" customWidth="1" style="174" min="15619" max="15619"/>
    <col width="22.44140625" customWidth="1" style="174" min="15620" max="15623"/>
    <col width="19.44140625" bestFit="1" customWidth="1" style="174" min="15624" max="15624"/>
    <col width="11.88671875" customWidth="1" style="174" min="15625" max="15625"/>
    <col width="22.44140625" customWidth="1" style="174" min="15626" max="15626"/>
    <col width="9.109375" customWidth="1" style="174" min="15627" max="15872"/>
    <col width="21.109375" bestFit="1" customWidth="1" style="174" min="15873" max="15873"/>
    <col width="70" bestFit="1" customWidth="1" style="174" min="15874" max="15874"/>
    <col width="24.5546875" bestFit="1" customWidth="1" style="174" min="15875" max="15875"/>
    <col width="22.44140625" customWidth="1" style="174" min="15876" max="15879"/>
    <col width="19.44140625" bestFit="1" customWidth="1" style="174" min="15880" max="15880"/>
    <col width="11.88671875" customWidth="1" style="174" min="15881" max="15881"/>
    <col width="22.44140625" customWidth="1" style="174" min="15882" max="15882"/>
    <col width="9.109375" customWidth="1" style="174" min="15883" max="16128"/>
    <col width="21.109375" bestFit="1" customWidth="1" style="174" min="16129" max="16129"/>
    <col width="70" bestFit="1" customWidth="1" style="174" min="16130" max="16130"/>
    <col width="24.5546875" bestFit="1" customWidth="1" style="174" min="16131" max="16131"/>
    <col width="22.44140625" customWidth="1" style="174" min="16132" max="16135"/>
    <col width="19.44140625" bestFit="1" customWidth="1" style="174" min="16136" max="16136"/>
    <col width="11.88671875" customWidth="1" style="174" min="16137" max="16137"/>
    <col width="22.44140625" customWidth="1" style="174" min="16138" max="16138"/>
    <col width="9.109375" customWidth="1" style="174" min="16139" max="16384"/>
  </cols>
  <sheetData>
    <row r="1" ht="12.75" customHeight="1">
      <c r="C1" s="314" t="inlineStr">
        <is>
          <t>Eindbalans per 30-06-2020</t>
        </is>
      </c>
      <c r="D1" s="314" t="inlineStr">
        <is>
          <t>Mutaties Q3 2020</t>
        </is>
      </c>
      <c r="E1" s="314" t="inlineStr">
        <is>
          <t>Mutaties Q4 2020</t>
        </is>
      </c>
      <c r="F1" s="314" t="inlineStr">
        <is>
          <t>Mutaties Q1 2021</t>
        </is>
      </c>
      <c r="G1" s="314" t="inlineStr">
        <is>
          <t>Mutaties Q2 2021</t>
        </is>
      </c>
      <c r="H1" s="315" t="inlineStr">
        <is>
          <t>Saldi per 30-06-2021</t>
        </is>
      </c>
      <c r="K1" s="314" t="inlineStr">
        <is>
          <t>Mutaties Q4 2020</t>
        </is>
      </c>
      <c r="L1" s="314" t="inlineStr">
        <is>
          <t>Mutaties Q1 2021</t>
        </is>
      </c>
      <c r="M1" s="314" t="inlineStr">
        <is>
          <t>Mutaties Q2 2021</t>
        </is>
      </c>
    </row>
    <row r="3" ht="12.75" customHeight="1">
      <c r="A3" s="179" t="inlineStr">
        <is>
          <t>Balans</t>
        </is>
      </c>
    </row>
    <row r="4" ht="12.75" customHeight="1">
      <c r="A4" s="173" t="n">
        <v>1600200</v>
      </c>
      <c r="B4" s="174" t="inlineStr">
        <is>
          <t>VG Vastgoedbeleggingen Verkrijgings- of vervaardigingsprijs</t>
        </is>
      </c>
      <c r="C4" s="313" t="n">
        <v>129706535</v>
      </c>
      <c r="E4" s="321" t="n"/>
      <c r="H4" s="315">
        <f>SUM(C4:G4)-4048750</f>
        <v/>
      </c>
      <c r="I4" s="180" t="n"/>
      <c r="K4" s="174" t="n">
        <v>977050</v>
      </c>
      <c r="L4" s="174" t="n">
        <v>172507</v>
      </c>
      <c r="M4" s="328" t="n">
        <v>238485</v>
      </c>
    </row>
    <row r="5" ht="12.75" customHeight="1">
      <c r="A5" s="173" t="inlineStr">
        <is>
          <t>1600200</t>
        </is>
      </c>
      <c r="B5" s="174" t="inlineStr">
        <is>
          <t>VG Vastgoedbeleggingen Cum afschrijvingen en waardeverm</t>
        </is>
      </c>
      <c r="C5" s="313" t="n">
        <v>-11587205</v>
      </c>
      <c r="D5" s="313" t="n">
        <v>-653151</v>
      </c>
      <c r="E5" s="321" t="n">
        <v>-683661</v>
      </c>
      <c r="F5" s="313" t="n">
        <v>-277132</v>
      </c>
      <c r="G5" s="313" t="n">
        <v>-667313</v>
      </c>
      <c r="H5" s="315">
        <f>SUM(C5:G5)</f>
        <v/>
      </c>
    </row>
    <row r="6" ht="12.75" customHeight="1">
      <c r="A6" s="173" t="inlineStr">
        <is>
          <t>1610803</t>
        </is>
      </c>
      <c r="B6" s="174" t="inlineStr">
        <is>
          <t>VG Comm VG in exploitatie Buitengebruikstellingen aanschaffingswaarde</t>
        </is>
      </c>
      <c r="C6" s="313" t="n">
        <v>-2027956</v>
      </c>
      <c r="D6" s="317" t="n">
        <v>-947310</v>
      </c>
      <c r="E6" s="313" t="n">
        <v>-1073484</v>
      </c>
      <c r="F6" s="317" t="n">
        <v>-706761</v>
      </c>
      <c r="G6" s="317" t="n">
        <v>-1597299</v>
      </c>
      <c r="H6" s="315">
        <f>SUM(C6:G6)+4048750</f>
        <v/>
      </c>
    </row>
    <row r="7" ht="12.75" customHeight="1">
      <c r="A7" s="173" t="inlineStr">
        <is>
          <t>1611003</t>
        </is>
      </c>
      <c r="B7" s="174" t="inlineStr">
        <is>
          <t>VG Comm VG in exploitatie Buitengebruikstellingen cum. afschr. en waardeverm.</t>
        </is>
      </c>
      <c r="C7" s="313" t="n">
        <v>176623</v>
      </c>
      <c r="D7" s="313" t="n">
        <v>90299</v>
      </c>
      <c r="E7" s="313" t="n">
        <v>110448</v>
      </c>
      <c r="F7" s="313" t="n">
        <v>-303581</v>
      </c>
      <c r="G7" s="313" t="n">
        <v>170229</v>
      </c>
      <c r="H7" s="315">
        <f>SUM(C7:G7)</f>
        <v/>
      </c>
    </row>
    <row r="8" ht="12.75" customHeight="1">
      <c r="A8" s="174" t="inlineStr">
        <is>
          <t>Totaal Vastgoedbeleggingen</t>
        </is>
      </c>
      <c r="I8" s="180" t="n"/>
    </row>
    <row r="10" ht="12.75" customHeight="1">
      <c r="A10" s="173" t="inlineStr">
        <is>
          <t>1790002</t>
        </is>
      </c>
      <c r="B10" s="174" t="inlineStr">
        <is>
          <t>FVA Latente belastingvordering langlopend</t>
        </is>
      </c>
      <c r="C10" s="313" t="n">
        <v>2814439</v>
      </c>
      <c r="D10" s="313" t="n">
        <v>118583</v>
      </c>
      <c r="E10" s="321" t="n">
        <v>631191</v>
      </c>
      <c r="F10" s="313" t="n">
        <v>142740</v>
      </c>
      <c r="G10" s="313" t="n">
        <v>120923</v>
      </c>
      <c r="H10" s="315">
        <f>SUM(C10:G10)</f>
        <v/>
      </c>
    </row>
    <row r="11" ht="12.75" customHeight="1">
      <c r="A11" s="174" t="inlineStr">
        <is>
          <t>Totaal Financiële vaste activa</t>
        </is>
      </c>
    </row>
    <row r="13" ht="12.75" customHeight="1">
      <c r="A13" s="173" t="inlineStr">
        <is>
          <t>2000000</t>
        </is>
      </c>
      <c r="B13" s="174" t="inlineStr">
        <is>
          <t>VOR Debiteuren</t>
        </is>
      </c>
      <c r="C13" s="313" t="n">
        <v>85120</v>
      </c>
      <c r="D13" s="313" t="n">
        <v>316526</v>
      </c>
      <c r="E13" s="313" t="n">
        <v>-108371</v>
      </c>
      <c r="F13" s="313" t="n">
        <v>-341343</v>
      </c>
      <c r="G13" s="313" t="n">
        <v>281344</v>
      </c>
      <c r="H13" s="315">
        <f>SUM(C13:G13)</f>
        <v/>
      </c>
    </row>
    <row r="14" ht="12.75" customHeight="1">
      <c r="A14" s="173" t="inlineStr">
        <is>
          <t>2000300</t>
        </is>
      </c>
      <c r="B14" s="174" t="inlineStr">
        <is>
          <t>VOR Voorziening dubieuze debiteuren</t>
        </is>
      </c>
      <c r="C14" s="313" t="n">
        <v>-55541</v>
      </c>
      <c r="E14" s="321" t="n">
        <v>23626</v>
      </c>
      <c r="F14" s="313" t="n">
        <v>0</v>
      </c>
      <c r="G14" s="313" t="n">
        <v>0</v>
      </c>
      <c r="H14" s="315">
        <f>SUM(C14:G14)</f>
        <v/>
      </c>
    </row>
    <row r="15" ht="12.75" customHeight="1">
      <c r="A15" s="174" t="inlineStr">
        <is>
          <t>Totaal Debiteuren</t>
        </is>
      </c>
    </row>
    <row r="17" ht="12.75" customHeight="1">
      <c r="A17" s="173" t="n">
        <v>2640000</v>
      </c>
      <c r="B17" s="174" t="inlineStr">
        <is>
          <t>RC Kortlopend DMRRP INV - I BV</t>
        </is>
      </c>
      <c r="C17" s="313" t="n">
        <v>-1913400</v>
      </c>
      <c r="D17" s="313" t="n">
        <v>1642583</v>
      </c>
      <c r="E17" s="321" t="n">
        <v>-859900</v>
      </c>
      <c r="F17" s="313" t="n">
        <v>436656</v>
      </c>
      <c r="G17" s="313" t="n">
        <v>550984</v>
      </c>
      <c r="H17" s="315">
        <f>SUM(C17:G17)</f>
        <v/>
      </c>
    </row>
    <row r="18" ht="12.75" customHeight="1">
      <c r="A18" s="174" t="inlineStr">
        <is>
          <t>Totaal Rekening-courant aandeelhouder</t>
        </is>
      </c>
    </row>
    <row r="20" ht="12.75" customHeight="1">
      <c r="A20" s="173" t="n">
        <v>2040200</v>
      </c>
      <c r="B20" s="174" t="inlineStr">
        <is>
          <t>VOR Te vorderen waarborgsommen kortlopen</t>
        </is>
      </c>
      <c r="C20" s="313" t="n">
        <v>5000</v>
      </c>
      <c r="D20" s="313" t="n">
        <v>0</v>
      </c>
      <c r="E20" s="313" t="n">
        <v>0</v>
      </c>
      <c r="F20" s="313" t="n">
        <v>0</v>
      </c>
      <c r="G20" s="313" t="n">
        <v>0</v>
      </c>
      <c r="H20" s="315">
        <f>SUM(C20:G20)</f>
        <v/>
      </c>
    </row>
    <row r="21" ht="12.75" customHeight="1">
      <c r="A21" s="173" t="inlineStr">
        <is>
          <t>2040700</t>
        </is>
      </c>
      <c r="B21" s="174" t="inlineStr">
        <is>
          <t>VOR Vooruitbetaalde servicekosten</t>
        </is>
      </c>
      <c r="C21" s="313" t="n">
        <v>3818</v>
      </c>
      <c r="E21" s="313" t="n">
        <v>-1022</v>
      </c>
      <c r="F21" s="313" t="n">
        <v>-2796</v>
      </c>
      <c r="G21" s="313" t="n">
        <v>0</v>
      </c>
      <c r="H21" s="315">
        <f>SUM(C21:G21)</f>
        <v/>
      </c>
    </row>
    <row r="22" ht="12.75" customHeight="1">
      <c r="A22" s="173" t="inlineStr">
        <is>
          <t>2040900</t>
        </is>
      </c>
      <c r="B22" s="174" t="inlineStr">
        <is>
          <t>VOR Vooruitbetaalde overige kosten</t>
        </is>
      </c>
      <c r="C22" s="313" t="n">
        <v>295508</v>
      </c>
      <c r="D22" s="313" t="n">
        <v>-139615</v>
      </c>
      <c r="E22" s="313" t="n">
        <v>-155413</v>
      </c>
      <c r="F22" s="313" t="n">
        <v>342768</v>
      </c>
      <c r="G22" s="313" t="n">
        <v>-114416</v>
      </c>
      <c r="H22" s="315">
        <f>SUM(C22:G22)</f>
        <v/>
      </c>
    </row>
    <row r="23" ht="12.75" customHeight="1">
      <c r="A23" s="174" t="inlineStr">
        <is>
          <t>Totaal overige vorderingen</t>
        </is>
      </c>
    </row>
    <row r="25" ht="12.75" customHeight="1">
      <c r="A25" s="173" t="inlineStr">
        <is>
          <t>2300000</t>
        </is>
      </c>
      <c r="B25" s="174" t="inlineStr">
        <is>
          <t>LM Kruisposten</t>
        </is>
      </c>
      <c r="C25" s="313" t="n">
        <v>0</v>
      </c>
      <c r="F25" s="313" t="n">
        <v>-343</v>
      </c>
      <c r="G25" s="313" t="n">
        <v>-3777</v>
      </c>
      <c r="H25" s="315">
        <f>SUM(C25:G25)</f>
        <v/>
      </c>
    </row>
    <row r="26" ht="12.75" customHeight="1">
      <c r="A26" s="173" t="inlineStr">
        <is>
          <t>2400200</t>
        </is>
      </c>
      <c r="B26" s="174" t="inlineStr">
        <is>
          <t>LM ABN AMRO Bank Disposal NL58 ABNA 0818 9180 39</t>
        </is>
      </c>
      <c r="C26" s="313" t="n">
        <v>19193</v>
      </c>
      <c r="D26" s="313" t="n">
        <v>-18700</v>
      </c>
      <c r="E26" s="313" t="n">
        <v>-482</v>
      </c>
      <c r="F26" s="313" t="n">
        <v>-11</v>
      </c>
      <c r="G26" s="313" t="n">
        <v>0</v>
      </c>
      <c r="H26" s="315">
        <f>SUM(C26:G26)</f>
        <v/>
      </c>
    </row>
    <row r="27" ht="12.75" customHeight="1">
      <c r="A27" s="173" t="inlineStr">
        <is>
          <t>2400201</t>
        </is>
      </c>
      <c r="B27" s="174" t="inlineStr">
        <is>
          <t>LM ABN AMRO Bank Deposit NL57 ABNA 0541 6205 68</t>
        </is>
      </c>
      <c r="C27" s="313" t="n">
        <v>36770</v>
      </c>
      <c r="D27" s="313" t="n">
        <v>-19</v>
      </c>
      <c r="E27" s="313" t="n">
        <v>-19</v>
      </c>
      <c r="F27" s="313" t="n">
        <v>-19</v>
      </c>
      <c r="G27" s="313" t="n">
        <v>-19</v>
      </c>
      <c r="H27" s="315">
        <f>SUM(C27:G27)</f>
        <v/>
      </c>
    </row>
    <row r="28" ht="12.75" customHeight="1">
      <c r="A28" s="173" t="inlineStr">
        <is>
          <t>2400202</t>
        </is>
      </c>
      <c r="B28" s="174" t="inlineStr">
        <is>
          <t>LM ABN AMRO Bank General NL93 ABNA 0541 6132 27</t>
        </is>
      </c>
      <c r="C28" s="313" t="n">
        <v>692476</v>
      </c>
      <c r="D28" s="313" t="n">
        <v>-417400</v>
      </c>
      <c r="E28" s="313" t="n">
        <v>-13600</v>
      </c>
      <c r="F28" s="313" t="n">
        <v>-7131</v>
      </c>
      <c r="G28" s="313" t="n">
        <v>-37180</v>
      </c>
      <c r="H28" s="315">
        <f>SUM(C28:G28)</f>
        <v/>
      </c>
    </row>
    <row r="29" ht="12.75" customHeight="1">
      <c r="A29" s="173" t="inlineStr">
        <is>
          <t>2400203</t>
        </is>
      </c>
      <c r="B29" s="174" t="inlineStr">
        <is>
          <t>LM ABN AMRO Bank Maintres NL04 ABNA 0541 6188 06</t>
        </is>
      </c>
      <c r="C29" s="313" t="n">
        <v>443148</v>
      </c>
      <c r="D29" s="313" t="n">
        <v>145814</v>
      </c>
      <c r="E29" s="313" t="n">
        <v>-393791</v>
      </c>
      <c r="F29" s="313" t="n">
        <v>-99389</v>
      </c>
      <c r="G29" s="313" t="n">
        <v>8473</v>
      </c>
      <c r="H29" s="315">
        <f>SUM(C29:G29)</f>
        <v/>
      </c>
    </row>
    <row r="30" ht="12.75" customHeight="1">
      <c r="A30" s="173" t="inlineStr">
        <is>
          <t>2400204</t>
        </is>
      </c>
      <c r="B30" s="174" t="inlineStr">
        <is>
          <t>LM ABN AMRO Bank Rent NL46 ABNA 0541 6088 35</t>
        </is>
      </c>
      <c r="C30" s="313" t="n">
        <v>1267243</v>
      </c>
      <c r="D30" s="313" t="n">
        <v>-850699</v>
      </c>
      <c r="E30" s="313" t="n">
        <v>550068</v>
      </c>
      <c r="F30" s="313" t="n">
        <v>854946</v>
      </c>
      <c r="G30" s="313" t="n">
        <v>-722443</v>
      </c>
      <c r="H30" s="315">
        <f>SUM(C30:G30)</f>
        <v/>
      </c>
    </row>
    <row r="31" ht="12.75" customHeight="1">
      <c r="A31" s="173" t="inlineStr">
        <is>
          <t>2400205</t>
        </is>
      </c>
      <c r="B31" s="174" t="inlineStr">
        <is>
          <t>LM ABN AMRO Bank SR EXP NL88 ABNA 0541 6205 92</t>
        </is>
      </c>
      <c r="C31" s="313" t="n">
        <v>44747</v>
      </c>
      <c r="D31" s="313" t="n">
        <v>133175</v>
      </c>
      <c r="E31" s="313" t="n">
        <v>-125945</v>
      </c>
      <c r="F31" s="313" t="n">
        <v>61378</v>
      </c>
      <c r="G31" s="313" t="n">
        <v>-72522</v>
      </c>
      <c r="H31" s="315">
        <f>SUM(C31:G31)</f>
        <v/>
      </c>
    </row>
    <row r="32" ht="12.75" customHeight="1">
      <c r="A32" s="174" t="inlineStr">
        <is>
          <t>Totaal Liquide middelen</t>
        </is>
      </c>
    </row>
    <row r="34" ht="12.75" customHeight="1">
      <c r="A34" s="173" t="n">
        <v>1000002</v>
      </c>
      <c r="B34" s="174" t="inlineStr">
        <is>
          <t>EV Normale aandelen Saldo</t>
        </is>
      </c>
      <c r="C34" s="313" t="n">
        <v>-1</v>
      </c>
      <c r="E34" s="313" t="n">
        <v>0</v>
      </c>
      <c r="F34" s="313" t="n">
        <v>0</v>
      </c>
      <c r="H34" s="315">
        <f>SUM(C34:G34)</f>
        <v/>
      </c>
    </row>
    <row r="35" ht="12.75" customHeight="1">
      <c r="A35" s="173" t="n">
        <v>1100000</v>
      </c>
      <c r="B35" s="174" t="inlineStr">
        <is>
          <t>EV Agioreserve Agio aandelen</t>
        </is>
      </c>
      <c r="C35" s="313" t="n">
        <v>-19231219</v>
      </c>
      <c r="E35" s="313" t="n">
        <v>0</v>
      </c>
      <c r="F35" s="313" t="n">
        <v>0</v>
      </c>
      <c r="H35" s="315">
        <f>SUM(C35:G35)</f>
        <v/>
      </c>
    </row>
    <row r="36" ht="12.75" customHeight="1">
      <c r="A36" s="173" t="n">
        <v>1160000</v>
      </c>
      <c r="B36" s="174" t="inlineStr">
        <is>
          <t>EV Overige reserve Reserve aandelen</t>
        </is>
      </c>
      <c r="C36" s="313">
        <f>9733381+3864155</f>
        <v/>
      </c>
      <c r="E36" s="313" t="n">
        <v>0</v>
      </c>
      <c r="F36" s="313" t="n">
        <v>0</v>
      </c>
      <c r="H36" s="315">
        <f>SUM(C36:G36)</f>
        <v/>
      </c>
      <c r="I36" s="315" t="n"/>
    </row>
    <row r="37" ht="12.75" customHeight="1">
      <c r="A37" s="173" t="inlineStr">
        <is>
          <t>1160100</t>
        </is>
      </c>
      <c r="B37" s="174" t="inlineStr">
        <is>
          <t>EV Overige reserve  Dividenduitkeringen aandelen</t>
        </is>
      </c>
      <c r="C37" s="313" t="n">
        <v>0</v>
      </c>
      <c r="D37" s="313" t="n">
        <v>207000</v>
      </c>
      <c r="E37" s="313" t="n">
        <v>0</v>
      </c>
      <c r="F37" s="313" t="n">
        <v>0</v>
      </c>
      <c r="G37" s="313" t="n">
        <v>2200000</v>
      </c>
      <c r="H37" s="315">
        <f>SUM(C37:G37)</f>
        <v/>
      </c>
    </row>
    <row r="38" ht="12.75" customHeight="1">
      <c r="A38" s="174" t="inlineStr">
        <is>
          <t>Totaal Eigen vermogen</t>
        </is>
      </c>
    </row>
    <row r="40" ht="12.75" customHeight="1">
      <c r="A40" s="173" t="n">
        <v>1930001</v>
      </c>
      <c r="B40" s="174" t="inlineStr">
        <is>
          <t>LLS Hoofdsom ABN AMRO Bank NV Senior Facility Agreement</t>
        </is>
      </c>
      <c r="C40" s="313" t="n">
        <v>-130000000</v>
      </c>
      <c r="D40" s="313" t="n">
        <v>0</v>
      </c>
      <c r="E40" s="313" t="n">
        <v>0</v>
      </c>
      <c r="F40" s="313" t="n">
        <v>0</v>
      </c>
      <c r="G40" s="313" t="n">
        <v>0</v>
      </c>
      <c r="H40" s="315">
        <f>SUM(C40:G40)</f>
        <v/>
      </c>
    </row>
    <row r="41" ht="12.75" customHeight="1">
      <c r="A41" s="173" t="inlineStr">
        <is>
          <t>1930101</t>
        </is>
      </c>
      <c r="B41" s="174" t="inlineStr">
        <is>
          <t>LLS Cum aflossingen ABN AMRO Bank NV Senior Facility Agreement</t>
        </is>
      </c>
      <c r="C41" s="313" t="n">
        <v>16793682</v>
      </c>
      <c r="D41" s="313" t="n">
        <v>1387184</v>
      </c>
      <c r="E41" s="313" t="n">
        <v>1984184</v>
      </c>
      <c r="F41" s="313" t="n">
        <v>1540803</v>
      </c>
      <c r="G41" s="313" t="n">
        <v>2253796</v>
      </c>
      <c r="H41" s="315">
        <f>SUM(C41:G41)</f>
        <v/>
      </c>
    </row>
    <row r="42" ht="12.75" customHeight="1">
      <c r="A42" s="174" t="inlineStr">
        <is>
          <t>Totaal Langlopende schulden</t>
        </is>
      </c>
    </row>
    <row r="44" ht="12.75" customHeight="1">
      <c r="A44" s="173" t="inlineStr">
        <is>
          <t>2730000</t>
        </is>
      </c>
      <c r="B44" s="174" t="inlineStr">
        <is>
          <t>KLS Crediteuren</t>
        </is>
      </c>
      <c r="C44" s="313" t="n">
        <v>-211318</v>
      </c>
      <c r="E44" s="313">
        <f>-342182+85763.82</f>
        <v/>
      </c>
      <c r="F44" s="314">
        <f>123229-85763.82</f>
        <v/>
      </c>
      <c r="G44" s="314" t="n">
        <v>411485</v>
      </c>
      <c r="H44" s="315">
        <f>SUM(C44:G44)</f>
        <v/>
      </c>
    </row>
    <row r="45" ht="12.75" customHeight="1">
      <c r="A45" s="173" t="inlineStr">
        <is>
          <t>2730001</t>
        </is>
      </c>
      <c r="B45" s="174" t="inlineStr">
        <is>
          <t>KLS Crediteuren intercompany</t>
        </is>
      </c>
      <c r="C45" s="313" t="n">
        <v>0</v>
      </c>
      <c r="D45" s="313" t="n">
        <v>0</v>
      </c>
      <c r="E45" s="313" t="n">
        <v>0</v>
      </c>
      <c r="F45" s="313" t="n">
        <v>0</v>
      </c>
      <c r="G45" s="313" t="n">
        <v>0</v>
      </c>
      <c r="H45" s="315">
        <f>SUM(C45:G45)</f>
        <v/>
      </c>
    </row>
    <row r="46" ht="12.75" customHeight="1">
      <c r="A46" s="174" t="inlineStr">
        <is>
          <t>Totaal Crediteuren</t>
        </is>
      </c>
    </row>
    <row r="48" ht="12.75" customHeight="1">
      <c r="A48" s="173" t="inlineStr">
        <is>
          <t>2512100</t>
        </is>
      </c>
      <c r="B48" s="174" t="inlineStr">
        <is>
          <t>BEL Afgedragen/ontvangen BTW</t>
        </is>
      </c>
      <c r="C48" s="313" t="n">
        <v>-3642</v>
      </c>
      <c r="D48" s="313" t="n">
        <v>-22</v>
      </c>
      <c r="E48" s="313" t="n">
        <v>2114</v>
      </c>
      <c r="F48" s="313" t="n">
        <v>1550</v>
      </c>
      <c r="G48" s="313" t="n">
        <v>-3898</v>
      </c>
      <c r="H48" s="315">
        <f>SUM(C48:G48)</f>
        <v/>
      </c>
    </row>
    <row r="49" ht="12.75" customHeight="1">
      <c r="A49" s="173" t="inlineStr">
        <is>
          <t>2530000</t>
        </is>
      </c>
      <c r="B49" s="174" t="inlineStr">
        <is>
          <t>BEL Te betalen vennootschapsbelasting</t>
        </is>
      </c>
      <c r="C49" s="313" t="n">
        <v>0</v>
      </c>
      <c r="D49" s="313" t="n">
        <v>0</v>
      </c>
      <c r="E49" s="313" t="n">
        <v>0</v>
      </c>
      <c r="F49" s="313" t="n">
        <v>0</v>
      </c>
      <c r="G49" s="313" t="n">
        <v>0</v>
      </c>
      <c r="H49" s="315">
        <f>SUM(C49:G49)</f>
        <v/>
      </c>
    </row>
    <row r="50" ht="12.75" customHeight="1">
      <c r="A50" s="173" t="inlineStr">
        <is>
          <t>2550000</t>
        </is>
      </c>
      <c r="B50" s="174" t="inlineStr">
        <is>
          <t>BEL Te betalen overige belastingen</t>
        </is>
      </c>
      <c r="C50" s="313" t="n">
        <v>0</v>
      </c>
      <c r="D50" s="313" t="n">
        <v>0</v>
      </c>
      <c r="E50" s="313" t="n">
        <v>0</v>
      </c>
      <c r="F50" s="313" t="n">
        <v>0</v>
      </c>
      <c r="G50" s="313" t="n">
        <v>0</v>
      </c>
      <c r="H50" s="315">
        <f>SUM(C50:G50)</f>
        <v/>
      </c>
    </row>
    <row r="51" ht="12.75" customHeight="1">
      <c r="A51" s="174" t="inlineStr">
        <is>
          <t>Totaal Belastingen</t>
        </is>
      </c>
    </row>
    <row r="53" ht="12.75" customHeight="1">
      <c r="A53" s="173" t="inlineStr">
        <is>
          <t>2740300</t>
        </is>
      </c>
      <c r="B53" s="174" t="inlineStr">
        <is>
          <t>KLS Te betalen waarborgsommen kortlopend</t>
        </is>
      </c>
      <c r="C53" s="313" t="n">
        <v>-708701</v>
      </c>
      <c r="D53" s="313" t="n">
        <v>-21291</v>
      </c>
      <c r="E53" s="313" t="n">
        <v>-37329</v>
      </c>
      <c r="F53" s="313">
        <f>5524-2</f>
        <v/>
      </c>
      <c r="G53" s="313">
        <f>-1404+2</f>
        <v/>
      </c>
      <c r="H53" s="315">
        <f>SUM(C53:G53)</f>
        <v/>
      </c>
    </row>
    <row r="54" ht="12.75" customHeight="1">
      <c r="A54" s="173" t="n">
        <v>2740500</v>
      </c>
      <c r="B54" s="174" t="inlineStr">
        <is>
          <t>KLS Te betalen accountants- en administratiekosten</t>
        </is>
      </c>
      <c r="C54" s="313" t="n">
        <v>-22500</v>
      </c>
      <c r="E54" s="313" t="n">
        <v>0</v>
      </c>
      <c r="F54" s="313" t="n">
        <v>0</v>
      </c>
      <c r="G54" s="313" t="n">
        <v>0</v>
      </c>
      <c r="H54" s="315">
        <f>SUM(C54:G54)</f>
        <v/>
      </c>
    </row>
    <row r="55" ht="12.75" customHeight="1">
      <c r="A55" s="173" t="inlineStr">
        <is>
          <t>2740600</t>
        </is>
      </c>
      <c r="B55" s="174" t="inlineStr">
        <is>
          <t>KLS Te betalen rente</t>
        </is>
      </c>
      <c r="C55" s="313" t="n">
        <v>0</v>
      </c>
      <c r="E55" s="313" t="n">
        <v>0</v>
      </c>
      <c r="F55" s="313" t="n">
        <v>0</v>
      </c>
      <c r="G55" s="313" t="n">
        <v>0</v>
      </c>
      <c r="H55" s="315">
        <f>SUM(C55:G55)</f>
        <v/>
      </c>
    </row>
    <row r="56" ht="12.75" customHeight="1">
      <c r="A56" s="173" t="inlineStr">
        <is>
          <t>2740700</t>
        </is>
      </c>
      <c r="B56" s="174" t="inlineStr">
        <is>
          <t>KLS Te betalen verzekeringen</t>
        </is>
      </c>
      <c r="C56" s="313" t="n">
        <v>2</v>
      </c>
      <c r="E56" s="313" t="n">
        <v>-2</v>
      </c>
      <c r="F56" s="329" t="n">
        <v>-14411</v>
      </c>
      <c r="G56" s="313" t="n">
        <v>70849</v>
      </c>
      <c r="H56" s="315">
        <f>SUM(C56:G56)</f>
        <v/>
      </c>
    </row>
    <row r="57" ht="12.75" customHeight="1">
      <c r="A57" s="173" t="inlineStr">
        <is>
          <t>2741000</t>
        </is>
      </c>
      <c r="B57" s="174" t="inlineStr">
        <is>
          <t>KLS Te betalen servicekosten</t>
        </is>
      </c>
      <c r="C57" s="313" t="n">
        <v>-29200</v>
      </c>
      <c r="E57" s="321" t="n">
        <v>45129</v>
      </c>
      <c r="F57" s="313" t="n">
        <v>-15929</v>
      </c>
      <c r="G57" s="313" t="n">
        <v>0</v>
      </c>
      <c r="H57" s="315">
        <f>SUM(C57:G57)</f>
        <v/>
      </c>
    </row>
    <row r="58" ht="12.75" customHeight="1">
      <c r="A58" s="173" t="inlineStr">
        <is>
          <t>2741001</t>
        </is>
      </c>
      <c r="B58" s="174" t="inlineStr">
        <is>
          <t>KLS Te betalen exploitatiekosten</t>
        </is>
      </c>
      <c r="C58" s="313" t="n">
        <v>-2118</v>
      </c>
      <c r="E58" s="313" t="n">
        <v>-4949</v>
      </c>
      <c r="F58" s="313" t="n">
        <v>7067</v>
      </c>
      <c r="G58" s="313" t="n">
        <v>0</v>
      </c>
      <c r="H58" s="315">
        <f>SUM(C58:G58)</f>
        <v/>
      </c>
    </row>
    <row r="59" ht="12.75" customHeight="1">
      <c r="A59" s="173" t="inlineStr">
        <is>
          <t>2741002</t>
        </is>
      </c>
      <c r="B59" s="174" t="inlineStr">
        <is>
          <t>KLS Te betalen VVE</t>
        </is>
      </c>
      <c r="C59" s="313" t="n">
        <v>-1846</v>
      </c>
      <c r="E59" s="313" t="n">
        <v>440</v>
      </c>
      <c r="F59" s="313" t="n">
        <v>1406</v>
      </c>
      <c r="G59" s="313" t="n">
        <v>0</v>
      </c>
      <c r="H59" s="315">
        <f>SUM(C59:G59)</f>
        <v/>
      </c>
    </row>
    <row r="60" ht="12.75" customHeight="1">
      <c r="A60" s="173" t="inlineStr">
        <is>
          <t>2741004</t>
        </is>
      </c>
      <c r="B60" s="174" t="inlineStr">
        <is>
          <t>KLS Te betalen Hoen</t>
        </is>
      </c>
      <c r="C60" s="313" t="n">
        <v>-40216</v>
      </c>
      <c r="D60" s="313" t="n">
        <v>-40364</v>
      </c>
      <c r="E60" s="313" t="n">
        <v>39007</v>
      </c>
      <c r="F60" s="313" t="n">
        <v>-82495</v>
      </c>
      <c r="G60" s="313" t="n">
        <v>-122526</v>
      </c>
      <c r="H60" s="315">
        <f>SUM(C60:G60)</f>
        <v/>
      </c>
    </row>
    <row r="61" ht="12.75" customHeight="1">
      <c r="A61" s="173" t="inlineStr">
        <is>
          <t>2741005</t>
        </is>
      </c>
      <c r="B61" s="174" t="inlineStr">
        <is>
          <t>KLS Te betalen managementvergoedingen</t>
        </is>
      </c>
      <c r="C61" s="313" t="n">
        <v>0</v>
      </c>
      <c r="D61" s="313" t="n">
        <v>0</v>
      </c>
      <c r="E61" s="313" t="n">
        <v>0</v>
      </c>
      <c r="F61" s="313" t="n">
        <v>0</v>
      </c>
      <c r="G61" s="313" t="n">
        <v>0</v>
      </c>
      <c r="H61" s="315">
        <f>SUM(C61:G61)</f>
        <v/>
      </c>
    </row>
    <row r="62" ht="12.75" customHeight="1">
      <c r="A62" s="173" t="inlineStr">
        <is>
          <t>2741200</t>
        </is>
      </c>
      <c r="B62" s="174" t="inlineStr">
        <is>
          <t>KLS Te betalen overige kosten</t>
        </is>
      </c>
      <c r="C62" s="313" t="n">
        <v>0</v>
      </c>
      <c r="D62" s="313" t="n">
        <v>20000</v>
      </c>
      <c r="E62" s="313" t="n">
        <v>0</v>
      </c>
      <c r="F62" s="313" t="n">
        <v>0</v>
      </c>
      <c r="G62" s="313" t="n">
        <v>-20000</v>
      </c>
      <c r="H62" s="315">
        <f>SUM(C62:G62)</f>
        <v/>
      </c>
    </row>
    <row r="63" ht="12.75" customHeight="1">
      <c r="A63" s="173" t="inlineStr">
        <is>
          <t>2741900</t>
        </is>
      </c>
      <c r="B63" s="174" t="inlineStr">
        <is>
          <t>KLS Nog uit te zoeken posten MT940</t>
        </is>
      </c>
      <c r="C63" s="313" t="n">
        <v>-15959</v>
      </c>
      <c r="D63" s="313" t="n">
        <v>15046</v>
      </c>
      <c r="E63" s="313" t="n">
        <v>913</v>
      </c>
      <c r="F63" s="313" t="n">
        <v>0</v>
      </c>
      <c r="G63" s="313" t="n">
        <v>0</v>
      </c>
      <c r="H63" s="315">
        <f>SUM(C63:G63)</f>
        <v/>
      </c>
    </row>
    <row r="64" ht="12.75" customHeight="1">
      <c r="A64" s="173" t="inlineStr">
        <is>
          <t>2742200</t>
        </is>
      </c>
      <c r="B64" s="174" t="inlineStr">
        <is>
          <t>KLS Vooruitontvangen bedragen</t>
        </is>
      </c>
      <c r="C64" s="313" t="n">
        <v>-131018</v>
      </c>
      <c r="D64" s="313" t="n">
        <v>-5661</v>
      </c>
      <c r="E64" s="313" t="n">
        <v>-9926</v>
      </c>
      <c r="F64" s="313" t="n">
        <v>146605</v>
      </c>
      <c r="G64" s="313" t="n">
        <v>0</v>
      </c>
      <c r="H64" s="315">
        <f>SUM(C64:G64)</f>
        <v/>
      </c>
    </row>
    <row r="65" ht="12.75" customHeight="1">
      <c r="A65" s="174" t="inlineStr">
        <is>
          <t>Totaal Overige schulden</t>
        </is>
      </c>
    </row>
    <row r="68" ht="12.75" customHeight="1">
      <c r="A68" s="179" t="inlineStr">
        <is>
          <t>Winst- en verliesrekening (baten zijn positief, kosten negatief)</t>
        </is>
      </c>
    </row>
    <row r="69" ht="12.75" customHeight="1">
      <c r="A69" s="173" t="inlineStr">
        <is>
          <t>8000003</t>
        </is>
      </c>
      <c r="B69" s="174" t="inlineStr">
        <is>
          <t>OPB Netto-omzet Theoretische huuropbrengsten</t>
        </is>
      </c>
      <c r="D69" s="313" t="n">
        <v>-2826464</v>
      </c>
      <c r="E69" s="313" t="n">
        <v>-2904386</v>
      </c>
      <c r="F69" s="313" t="n">
        <v>-2904374</v>
      </c>
      <c r="G69" s="313" t="n">
        <v>-2863530</v>
      </c>
      <c r="H69" s="315">
        <f>SUM(C69:G69)</f>
        <v/>
      </c>
    </row>
    <row r="70" ht="12.75" customHeight="1">
      <c r="A70" s="173" t="inlineStr">
        <is>
          <t>8000004</t>
        </is>
      </c>
      <c r="B70" s="174" t="inlineStr">
        <is>
          <t>OPB Netto-omzet Leegstand huuropbrengsten</t>
        </is>
      </c>
      <c r="D70" s="313" t="n">
        <v>63061</v>
      </c>
      <c r="E70" s="313" t="n">
        <v>64137</v>
      </c>
      <c r="F70" s="313" t="n">
        <v>54882</v>
      </c>
      <c r="G70" s="313" t="n">
        <v>62447</v>
      </c>
      <c r="H70" s="315">
        <f>SUM(C70:G70)</f>
        <v/>
      </c>
    </row>
    <row r="71" ht="12.75" customHeight="1">
      <c r="A71" s="174" t="inlineStr">
        <is>
          <t>Totaal Netto-omzet</t>
        </is>
      </c>
      <c r="D71" s="313">
        <f>SUM(D69:D70)</f>
        <v/>
      </c>
      <c r="E71" s="313">
        <f>SUM(E69:E70)</f>
        <v/>
      </c>
      <c r="F71" s="313">
        <f>SUM(F69:F70)</f>
        <v/>
      </c>
      <c r="G71" s="313">
        <f>SUM(G69:G70)</f>
        <v/>
      </c>
      <c r="H71" s="313">
        <f>SUM(H69:H70)</f>
        <v/>
      </c>
    </row>
    <row r="73" ht="12.75" customHeight="1">
      <c r="A73" s="173" t="inlineStr">
        <is>
          <t>8400600</t>
        </is>
      </c>
      <c r="B73" s="174" t="inlineStr">
        <is>
          <t>OPB Overige bedrijfsopbrengsten Totale servicekosten</t>
        </is>
      </c>
      <c r="D73" s="313" t="n">
        <v>-172398</v>
      </c>
      <c r="E73" s="313" t="n">
        <v>-168131</v>
      </c>
      <c r="F73" s="313" t="n">
        <v>-172328</v>
      </c>
      <c r="G73" s="313" t="n">
        <v>-164913</v>
      </c>
      <c r="H73" s="315">
        <f>SUM(C73:G73)</f>
        <v/>
      </c>
    </row>
    <row r="74" ht="12.75" customHeight="1">
      <c r="A74" s="173" t="inlineStr">
        <is>
          <t>8400700</t>
        </is>
      </c>
      <c r="B74" s="174" t="inlineStr">
        <is>
          <t>OPB Overige bedrijfsopbrengsten Servicekosten leegstand</t>
        </is>
      </c>
      <c r="D74" s="313" t="n">
        <v>7281</v>
      </c>
      <c r="E74" s="313" t="n">
        <v>21484</v>
      </c>
      <c r="F74" s="313" t="n">
        <v>10569</v>
      </c>
      <c r="G74" s="313" t="n">
        <v>5322</v>
      </c>
      <c r="H74" s="315">
        <f>SUM(C74:G74)</f>
        <v/>
      </c>
    </row>
    <row r="75" ht="12.75" customHeight="1">
      <c r="A75" s="173" t="inlineStr">
        <is>
          <t>8400800</t>
        </is>
      </c>
      <c r="B75" s="174" t="inlineStr">
        <is>
          <t>OPB Overige bedrijfsopbrengsten Gerealiseerde servicekosten</t>
        </is>
      </c>
      <c r="D75" s="313" t="n">
        <v>127725</v>
      </c>
      <c r="E75" s="313" t="n">
        <v>95892</v>
      </c>
      <c r="F75" s="313" t="n">
        <v>200668</v>
      </c>
      <c r="G75" s="313" t="n">
        <v>155500</v>
      </c>
      <c r="H75" s="315">
        <f>SUM(C75:G75)</f>
        <v/>
      </c>
    </row>
    <row r="76" ht="12.75" customHeight="1">
      <c r="A76" s="174" t="inlineStr">
        <is>
          <t>Totaal Overige bedrijfsopbrengsten</t>
        </is>
      </c>
      <c r="D76" s="313">
        <f>SUM(D73:D75)</f>
        <v/>
      </c>
      <c r="E76" s="313">
        <f>SUM(E73:E75)</f>
        <v/>
      </c>
      <c r="F76" s="313">
        <f>SUM(F73:F75)</f>
        <v/>
      </c>
      <c r="G76" s="313">
        <f>SUM(G73:G75)</f>
        <v/>
      </c>
      <c r="H76" s="313">
        <f>SUM(H73:H75)</f>
        <v/>
      </c>
    </row>
    <row r="78" ht="12.75" customHeight="1">
      <c r="A78" s="173" t="inlineStr">
        <is>
          <t>4051400</t>
        </is>
      </c>
      <c r="B78" s="174" t="inlineStr">
        <is>
          <t>KN Diensten door derden</t>
        </is>
      </c>
      <c r="D78" s="313" t="n">
        <v>119839</v>
      </c>
      <c r="E78" s="313" t="n">
        <v>123182</v>
      </c>
      <c r="F78" s="313" t="n">
        <v>122866</v>
      </c>
      <c r="G78" s="313" t="n">
        <v>121422</v>
      </c>
      <c r="H78" s="315">
        <f>SUM(C78:G78)</f>
        <v/>
      </c>
    </row>
    <row r="79" ht="12.75" customHeight="1">
      <c r="A79" s="174" t="inlineStr">
        <is>
          <t>Totaal overige personeelskosten</t>
        </is>
      </c>
      <c r="D79" s="313">
        <f>SUM(D78)</f>
        <v/>
      </c>
      <c r="E79" s="313">
        <f>SUM(E78)</f>
        <v/>
      </c>
      <c r="F79" s="313">
        <f>SUM(F78)</f>
        <v/>
      </c>
      <c r="G79" s="313">
        <f>SUM(G78)</f>
        <v/>
      </c>
      <c r="H79" s="313">
        <f>SUM(H78)</f>
        <v/>
      </c>
    </row>
    <row r="81" ht="12.75" customHeight="1">
      <c r="A81" s="173" t="inlineStr">
        <is>
          <t>4730000</t>
        </is>
      </c>
      <c r="B81" s="174" t="inlineStr">
        <is>
          <t>AFKN Afschrijvingskosten Vastgoedbeleggingen</t>
        </is>
      </c>
      <c r="D81" s="313" t="n">
        <v>653151</v>
      </c>
      <c r="E81" s="321" t="n">
        <v>683661</v>
      </c>
      <c r="F81" s="313" t="n">
        <v>654502</v>
      </c>
      <c r="G81" s="313" t="n">
        <v>667313</v>
      </c>
      <c r="H81" s="315">
        <f>SUM(C81:G81)</f>
        <v/>
      </c>
    </row>
    <row r="82" ht="12.75" customHeight="1">
      <c r="A82" s="173" t="inlineStr">
        <is>
          <t>4730200</t>
        </is>
      </c>
      <c r="B82" s="174" t="inlineStr">
        <is>
          <t>AFKN Boekresultaat Vastgoedbeleggingen</t>
        </is>
      </c>
      <c r="D82" s="313" t="n">
        <v>-636242</v>
      </c>
      <c r="E82" s="313" t="n">
        <v>-812075</v>
      </c>
      <c r="F82" s="313" t="n">
        <v>-746028</v>
      </c>
      <c r="G82" s="313" t="n">
        <v>-1978183</v>
      </c>
      <c r="H82" s="315">
        <f>SUM(C82:G82)</f>
        <v/>
      </c>
    </row>
    <row r="83" ht="12.75" customHeight="1">
      <c r="A83" s="174" t="inlineStr">
        <is>
          <t>Totaal Afschrijvingen vastgoedbeleggingen</t>
        </is>
      </c>
      <c r="D83" s="313">
        <f>SUM(D81:D82)</f>
        <v/>
      </c>
      <c r="E83" s="313">
        <f>SUM(E81:E82)</f>
        <v/>
      </c>
      <c r="F83" s="313">
        <f>SUM(F81:F82)</f>
        <v/>
      </c>
      <c r="G83" s="313">
        <f>SUM(G81:G82)</f>
        <v/>
      </c>
      <c r="H83" s="313">
        <f>SUM(H81:H82)</f>
        <v/>
      </c>
    </row>
    <row r="85" ht="12.75" customHeight="1">
      <c r="A85" s="173" t="inlineStr">
        <is>
          <t>4100400</t>
        </is>
      </c>
      <c r="B85" s="174" t="inlineStr">
        <is>
          <t>KN Onderhoud gebouwen</t>
        </is>
      </c>
      <c r="D85" s="313" t="n">
        <v>204327</v>
      </c>
      <c r="E85" s="321">
        <f>-68395+K4</f>
        <v/>
      </c>
      <c r="F85" s="313">
        <f>92418+L4</f>
        <v/>
      </c>
      <c r="G85" s="313">
        <f>194822+M4</f>
        <v/>
      </c>
      <c r="H85" s="315">
        <f>SUM(C85:G85)</f>
        <v/>
      </c>
    </row>
    <row r="86" ht="12.75" customHeight="1">
      <c r="A86" s="173" t="inlineStr">
        <is>
          <t>4100410</t>
        </is>
      </c>
      <c r="B86" s="174" t="inlineStr">
        <is>
          <t>Verhuurdersheffing</t>
        </is>
      </c>
      <c r="D86" s="313" t="n">
        <v>531958</v>
      </c>
      <c r="E86" s="313" t="n">
        <v>2047</v>
      </c>
      <c r="F86" s="313" t="n">
        <v>0</v>
      </c>
      <c r="G86" s="313" t="n">
        <v>0</v>
      </c>
      <c r="H86" s="315">
        <f>SUM(C86:G86)</f>
        <v/>
      </c>
    </row>
    <row r="87" ht="12.75" customHeight="1">
      <c r="A87" s="173" t="inlineStr">
        <is>
          <t>4100900</t>
        </is>
      </c>
      <c r="B87" s="174" t="inlineStr">
        <is>
          <t>KN Onroerende zaakbelasting</t>
        </is>
      </c>
      <c r="D87" s="313" t="n">
        <v>78467</v>
      </c>
      <c r="E87" s="313" t="n">
        <v>80316</v>
      </c>
      <c r="F87" s="313" t="n">
        <v>83330</v>
      </c>
      <c r="G87" s="313" t="n">
        <v>80091</v>
      </c>
      <c r="H87" s="315">
        <f>SUM(C87:G87)</f>
        <v/>
      </c>
    </row>
    <row r="88" ht="12.75" customHeight="1">
      <c r="A88" s="173" t="inlineStr">
        <is>
          <t>4101000</t>
        </is>
      </c>
      <c r="B88" s="174" t="inlineStr">
        <is>
          <t>KN VvE-kosten</t>
        </is>
      </c>
      <c r="D88" s="313" t="n">
        <v>136830</v>
      </c>
      <c r="E88" s="321">
        <f>52555+85763.82</f>
        <v/>
      </c>
      <c r="F88" s="313">
        <f>87859+85763.82</f>
        <v/>
      </c>
      <c r="G88" s="313" t="n">
        <v>157568</v>
      </c>
      <c r="H88" s="315">
        <f>SUM(C88:G88)</f>
        <v/>
      </c>
    </row>
    <row r="89" ht="12.75" customHeight="1">
      <c r="A89" s="173" t="inlineStr">
        <is>
          <t>4101010</t>
        </is>
      </c>
      <c r="B89" s="174" t="inlineStr">
        <is>
          <t>Gemeentelijke belastingen</t>
        </is>
      </c>
      <c r="D89" s="313" t="n">
        <v>32166</v>
      </c>
      <c r="E89" s="313" t="n">
        <v>32352</v>
      </c>
      <c r="F89" s="313" t="n">
        <v>31087</v>
      </c>
      <c r="G89" s="313" t="n">
        <v>31441</v>
      </c>
      <c r="H89" s="315">
        <f>SUM(C89:G89)</f>
        <v/>
      </c>
    </row>
    <row r="90" ht="12.75" customHeight="1">
      <c r="A90" s="173" t="inlineStr">
        <is>
          <t>4101020</t>
        </is>
      </c>
      <c r="B90" s="174" t="inlineStr">
        <is>
          <t>Waterschapsbelasting</t>
        </is>
      </c>
      <c r="D90" s="313" t="n">
        <v>19123</v>
      </c>
      <c r="E90" s="313" t="n">
        <v>19893</v>
      </c>
      <c r="F90" s="313" t="n">
        <v>4273</v>
      </c>
      <c r="G90" s="313" t="n">
        <v>9001</v>
      </c>
      <c r="H90" s="315">
        <f>SUM(C90:G90)</f>
        <v/>
      </c>
    </row>
    <row r="91" ht="12.75" customHeight="1">
      <c r="A91" s="173" t="inlineStr">
        <is>
          <t>4101300</t>
        </is>
      </c>
      <c r="B91" s="174" t="inlineStr">
        <is>
          <t>KN Servicekosten leegstand</t>
        </is>
      </c>
      <c r="D91" s="313" t="n">
        <v>45430</v>
      </c>
      <c r="E91" s="313">
        <f>99369-34600</f>
        <v/>
      </c>
      <c r="F91" s="313" t="n">
        <v>-90</v>
      </c>
      <c r="G91" s="313" t="n">
        <v>-348</v>
      </c>
      <c r="H91" s="315">
        <f>SUM(C91:G91)</f>
        <v/>
      </c>
    </row>
    <row r="92" ht="12.75" customHeight="1">
      <c r="A92" s="173" t="inlineStr">
        <is>
          <t>4109800</t>
        </is>
      </c>
      <c r="B92" s="174" t="inlineStr">
        <is>
          <t>KN Overige huisvestingskosten</t>
        </is>
      </c>
      <c r="D92" s="313" t="n">
        <v>0</v>
      </c>
      <c r="E92" s="313" t="n">
        <v>0</v>
      </c>
      <c r="F92" s="313" t="n">
        <v>0</v>
      </c>
      <c r="G92" s="313" t="n">
        <v>0</v>
      </c>
      <c r="H92" s="315">
        <f>SUM(C92:G92)</f>
        <v/>
      </c>
    </row>
    <row r="93" ht="12.75" customHeight="1">
      <c r="A93" s="174" t="inlineStr">
        <is>
          <t>Totaal Huisvestingskosten</t>
        </is>
      </c>
      <c r="D93" s="313">
        <f>SUM(D85:D92)</f>
        <v/>
      </c>
      <c r="E93" s="313">
        <f>SUM(E85:E92)</f>
        <v/>
      </c>
      <c r="F93" s="313">
        <f>SUM(F85:F92)</f>
        <v/>
      </c>
      <c r="G93" s="313">
        <f>SUM(G85:G92)</f>
        <v/>
      </c>
      <c r="H93" s="313">
        <f>SUM(H85:H92)</f>
        <v/>
      </c>
    </row>
    <row r="95" ht="12.75" customHeight="1">
      <c r="A95" s="173" t="inlineStr">
        <is>
          <t>4500400</t>
        </is>
      </c>
      <c r="B95" s="174" t="inlineStr">
        <is>
          <t>KN Representatiekosten</t>
        </is>
      </c>
      <c r="D95" s="313" t="n">
        <v>0</v>
      </c>
      <c r="E95" s="313" t="n">
        <v>0</v>
      </c>
      <c r="F95" s="313" t="n">
        <v>0</v>
      </c>
      <c r="H95" s="315">
        <f>SUM(C95:G95)</f>
        <v/>
      </c>
    </row>
    <row r="96" ht="12.75" customHeight="1">
      <c r="A96" s="173" t="inlineStr">
        <is>
          <t>4501200</t>
        </is>
      </c>
      <c r="B96" s="174" t="inlineStr">
        <is>
          <t>KN Mutatie voorziening dubieuze debiteuren</t>
        </is>
      </c>
      <c r="D96" s="313" t="n">
        <v>0</v>
      </c>
      <c r="E96" s="321" t="n">
        <v>-23626</v>
      </c>
      <c r="F96" s="313" t="n">
        <v>0</v>
      </c>
      <c r="G96" s="313" t="n">
        <v>0</v>
      </c>
      <c r="H96" s="315">
        <f>SUM(C96:G96)</f>
        <v/>
      </c>
    </row>
    <row r="97" ht="12.75" customHeight="1">
      <c r="A97" s="173" t="inlineStr">
        <is>
          <t>4501300</t>
        </is>
      </c>
      <c r="B97" s="174" t="inlineStr">
        <is>
          <t>KN Afboeking dubieuze debiteuren</t>
        </is>
      </c>
      <c r="D97" s="313" t="n">
        <v>4198</v>
      </c>
      <c r="E97" s="313" t="n">
        <v>15255</v>
      </c>
      <c r="F97" s="313" t="n">
        <v>-90</v>
      </c>
      <c r="G97" s="313" t="n">
        <v>-2606</v>
      </c>
      <c r="H97" s="315">
        <f>SUM(C97:G97)</f>
        <v/>
      </c>
    </row>
    <row r="98" ht="12.75" customHeight="1">
      <c r="A98" s="174" t="inlineStr">
        <is>
          <t>Totaal Verkoopkosten</t>
        </is>
      </c>
      <c r="D98" s="313">
        <f>SUM(D95:D97)</f>
        <v/>
      </c>
      <c r="E98" s="313">
        <f>SUM(E95:E97)</f>
        <v/>
      </c>
      <c r="F98" s="313">
        <f>SUM(F95:F97)</f>
        <v/>
      </c>
      <c r="G98" s="313">
        <f>SUM(G95:G97)</f>
        <v/>
      </c>
      <c r="H98" s="313">
        <f>SUM(H95:H97)</f>
        <v/>
      </c>
    </row>
    <row r="100" ht="12.75" customHeight="1">
      <c r="A100" s="173" t="inlineStr">
        <is>
          <t>4300500</t>
        </is>
      </c>
      <c r="B100" s="174" t="inlineStr">
        <is>
          <t>KN Incassokosten</t>
        </is>
      </c>
      <c r="D100" s="313" t="n">
        <v>950</v>
      </c>
      <c r="E100" s="313" t="n">
        <v>990</v>
      </c>
      <c r="F100" s="313" t="n">
        <v>0</v>
      </c>
      <c r="G100" s="313" t="n">
        <v>300</v>
      </c>
      <c r="H100" s="315">
        <f>SUM(C100:G100)</f>
        <v/>
      </c>
    </row>
    <row r="101" ht="12.75" customHeight="1">
      <c r="A101" s="174" t="inlineStr">
        <is>
          <t>Totaal Kantoorkosten</t>
        </is>
      </c>
      <c r="D101" s="313">
        <f>SUM(D100)</f>
        <v/>
      </c>
      <c r="E101" s="313">
        <f>SUM(E100)</f>
        <v/>
      </c>
      <c r="F101" s="313">
        <f>SUM(F100)</f>
        <v/>
      </c>
      <c r="G101" s="313">
        <f>SUM(G100)</f>
        <v/>
      </c>
      <c r="H101" s="313">
        <f>SUM(H100)</f>
        <v/>
      </c>
    </row>
    <row r="103" ht="12.75" customHeight="1">
      <c r="A103" s="173" t="inlineStr">
        <is>
          <t>4310000</t>
        </is>
      </c>
      <c r="B103" s="174" t="inlineStr">
        <is>
          <t>KN Abonnementen en contributies</t>
        </is>
      </c>
      <c r="D103" s="313" t="n">
        <v>0</v>
      </c>
      <c r="E103" s="313" t="n">
        <v>0</v>
      </c>
      <c r="F103" s="313" t="n">
        <v>0</v>
      </c>
      <c r="G103" s="313" t="n">
        <v>0</v>
      </c>
      <c r="H103" s="315">
        <f>SUM(C103:G103)</f>
        <v/>
      </c>
    </row>
    <row r="104" ht="12.75" customHeight="1">
      <c r="A104" s="173" t="inlineStr">
        <is>
          <t>4310400</t>
        </is>
      </c>
      <c r="B104" s="174" t="inlineStr">
        <is>
          <t>KN Assurantiepremie algemeen</t>
        </is>
      </c>
      <c r="D104" s="313" t="n">
        <v>25980</v>
      </c>
      <c r="E104" s="313" t="n">
        <v>22455</v>
      </c>
      <c r="F104" s="329" t="n">
        <v>25616</v>
      </c>
      <c r="G104" s="313" t="n">
        <v>28130</v>
      </c>
      <c r="H104" s="315">
        <f>SUM(C104:G104)</f>
        <v/>
      </c>
    </row>
    <row r="105" ht="12.75" customHeight="1">
      <c r="A105" s="173" t="inlineStr">
        <is>
          <t>4310500</t>
        </is>
      </c>
      <c r="B105" s="174" t="inlineStr">
        <is>
          <t>KN Managementvergoeding</t>
        </is>
      </c>
      <c r="D105" s="313" t="n">
        <v>5445</v>
      </c>
      <c r="E105" s="313" t="n">
        <v>5445</v>
      </c>
      <c r="F105" s="313" t="n">
        <v>5445</v>
      </c>
      <c r="G105" s="313" t="n">
        <v>5445</v>
      </c>
      <c r="H105" s="315">
        <f>SUM(C105:G105)</f>
        <v/>
      </c>
    </row>
    <row r="106" ht="12.75" customHeight="1">
      <c r="A106" s="173" t="inlineStr">
        <is>
          <t>4310600</t>
        </is>
      </c>
      <c r="B106" s="174" t="inlineStr">
        <is>
          <t>KN Accountantskosten</t>
        </is>
      </c>
      <c r="D106" s="313" t="n">
        <v>13017</v>
      </c>
      <c r="E106" s="313" t="n">
        <v>6639</v>
      </c>
      <c r="F106" s="313" t="n">
        <v>31618</v>
      </c>
      <c r="G106" s="313" t="n">
        <v>31660</v>
      </c>
      <c r="H106" s="315">
        <f>SUM(C106:G106)</f>
        <v/>
      </c>
    </row>
    <row r="107" ht="12.75" customHeight="1">
      <c r="A107" s="173" t="inlineStr">
        <is>
          <t>4310700</t>
        </is>
      </c>
      <c r="B107" s="174" t="inlineStr">
        <is>
          <t>KN Administratiekosten</t>
        </is>
      </c>
      <c r="D107" s="313" t="n">
        <v>2420</v>
      </c>
      <c r="E107" s="313" t="n">
        <v>0</v>
      </c>
      <c r="F107" s="313" t="n">
        <v>2420</v>
      </c>
      <c r="G107" s="313" t="n">
        <v>0</v>
      </c>
      <c r="H107" s="315">
        <f>SUM(C107:G107)</f>
        <v/>
      </c>
    </row>
    <row r="108" ht="12.75" customHeight="1">
      <c r="A108" s="173" t="inlineStr">
        <is>
          <t>4310800</t>
        </is>
      </c>
      <c r="B108" s="174" t="inlineStr">
        <is>
          <t>KN Makelaarskosten</t>
        </is>
      </c>
      <c r="D108" s="313" t="n">
        <v>61064</v>
      </c>
      <c r="E108" s="313" t="n">
        <v>109673</v>
      </c>
      <c r="F108" s="313" t="n">
        <v>40646</v>
      </c>
      <c r="G108" s="313" t="n">
        <v>63411</v>
      </c>
      <c r="H108" s="315">
        <f>SUM(C108:G108)</f>
        <v/>
      </c>
    </row>
    <row r="109" ht="12.75" customHeight="1">
      <c r="A109" s="173" t="inlineStr">
        <is>
          <t>4311000</t>
        </is>
      </c>
      <c r="B109" s="174" t="inlineStr">
        <is>
          <t>KN Juridische kosten</t>
        </is>
      </c>
      <c r="D109" s="313" t="n">
        <v>-2123</v>
      </c>
      <c r="E109" s="313" t="n">
        <v>7035</v>
      </c>
      <c r="F109" s="313" t="n">
        <v>2261</v>
      </c>
      <c r="G109" s="313" t="n">
        <v>8170</v>
      </c>
      <c r="H109" s="315">
        <f>SUM(C109:G109)</f>
        <v/>
      </c>
    </row>
    <row r="110" ht="12.75" customHeight="1">
      <c r="A110" s="173" t="inlineStr">
        <is>
          <t>4311800</t>
        </is>
      </c>
      <c r="B110" s="174" t="inlineStr">
        <is>
          <t>KN Advieskosten</t>
        </is>
      </c>
      <c r="D110" s="313" t="n">
        <v>0</v>
      </c>
      <c r="E110" s="313" t="n">
        <v>0</v>
      </c>
      <c r="F110" s="313" t="n">
        <v>0</v>
      </c>
      <c r="G110" s="313" t="n">
        <v>0</v>
      </c>
      <c r="H110" s="315">
        <f>SUM(C110:G110)</f>
        <v/>
      </c>
    </row>
    <row r="111" ht="12" customHeight="1">
      <c r="A111" s="173" t="inlineStr">
        <is>
          <t>4311900</t>
        </is>
      </c>
      <c r="B111" s="174" t="inlineStr">
        <is>
          <t>KN Bankkosten</t>
        </is>
      </c>
      <c r="D111" s="313" t="n">
        <v>1227</v>
      </c>
      <c r="E111" s="313" t="n">
        <v>3761</v>
      </c>
      <c r="F111" s="313" t="n">
        <v>2025</v>
      </c>
      <c r="G111" s="313">
        <f>1186-3</f>
        <v/>
      </c>
      <c r="H111" s="315">
        <f>SUM(C111:G111)</f>
        <v/>
      </c>
    </row>
    <row r="112" ht="12.75" customHeight="1">
      <c r="A112" s="173" t="inlineStr">
        <is>
          <t>4312600</t>
        </is>
      </c>
      <c r="B112" s="174" t="inlineStr">
        <is>
          <t>KN Agent Fee facility</t>
        </is>
      </c>
      <c r="D112" s="313" t="n">
        <v>20000</v>
      </c>
      <c r="E112" s="313" t="n">
        <v>0</v>
      </c>
      <c r="F112" s="313" t="n">
        <v>0</v>
      </c>
      <c r="G112" s="313" t="n">
        <v>20000</v>
      </c>
      <c r="H112" s="315">
        <f>SUM(C112:G112)</f>
        <v/>
      </c>
    </row>
    <row r="113" ht="12.75" customHeight="1">
      <c r="A113" s="173" t="inlineStr">
        <is>
          <t>4319800</t>
        </is>
      </c>
      <c r="B113" s="174" t="inlineStr">
        <is>
          <t>KN Overige algemene kosten</t>
        </is>
      </c>
      <c r="D113" s="313" t="n">
        <v>477</v>
      </c>
      <c r="E113" s="313" t="n">
        <v>-934</v>
      </c>
      <c r="F113" s="313" t="n">
        <v>-1065</v>
      </c>
      <c r="G113" s="313" t="n">
        <v>12363</v>
      </c>
      <c r="H113" s="315">
        <f>SUM(C113:G113)</f>
        <v/>
      </c>
    </row>
    <row r="114" ht="12.75" customHeight="1">
      <c r="A114" s="174" t="inlineStr">
        <is>
          <t>Totaal Algemene kosten</t>
        </is>
      </c>
      <c r="D114" s="313">
        <f>SUM(D103:D113)</f>
        <v/>
      </c>
      <c r="E114" s="313">
        <f>SUM(E103:E113)</f>
        <v/>
      </c>
      <c r="F114" s="313">
        <f>SUM(F103:F113)</f>
        <v/>
      </c>
      <c r="G114" s="313">
        <f>SUM(G103:G113)</f>
        <v/>
      </c>
      <c r="H114" s="313">
        <f>SUM(H103:H113)</f>
        <v/>
      </c>
    </row>
    <row r="115" ht="12.75" customHeight="1">
      <c r="F115" s="313" t="n">
        <v>0</v>
      </c>
    </row>
    <row r="116" ht="12.75" customHeight="1">
      <c r="A116" s="173" t="inlineStr">
        <is>
          <t>4623001</t>
        </is>
      </c>
      <c r="B116" s="174" t="inlineStr">
        <is>
          <t>FINBL Rente ABN AMRO Bank NV Senior Facility Agreement</t>
        </is>
      </c>
      <c r="D116" s="313" t="n">
        <v>448423</v>
      </c>
      <c r="E116" s="313" t="n">
        <v>442928</v>
      </c>
      <c r="F116" s="313" t="n">
        <v>425610</v>
      </c>
      <c r="G116" s="313" t="n">
        <v>424302</v>
      </c>
      <c r="H116" s="315">
        <f>SUM(C116:G116)</f>
        <v/>
      </c>
    </row>
    <row r="117" ht="12.75" customHeight="1">
      <c r="A117" s="173" t="n">
        <v>4611000</v>
      </c>
      <c r="B117" s="174" t="inlineStr">
        <is>
          <t>FINBL Rente RC DMRRP INV - I BV</t>
        </is>
      </c>
      <c r="E117" s="313" t="n">
        <v>70373</v>
      </c>
      <c r="F117" s="313" t="n">
        <v>0</v>
      </c>
      <c r="G117" s="313" t="n">
        <v>0</v>
      </c>
      <c r="H117" s="315">
        <f>SUM(C117:G117)</f>
        <v/>
      </c>
    </row>
    <row r="118" ht="12.75" customHeight="1">
      <c r="A118" s="173" t="n">
        <v>4630000</v>
      </c>
      <c r="B118" s="174" t="inlineStr">
        <is>
          <t>FINBL Rente belastingen</t>
        </is>
      </c>
      <c r="D118" s="313" t="n">
        <v>8219</v>
      </c>
      <c r="E118" s="313" t="n">
        <v>0</v>
      </c>
      <c r="F118" s="313" t="n">
        <v>0</v>
      </c>
      <c r="G118" s="313" t="n">
        <v>0</v>
      </c>
      <c r="H118" s="315">
        <f>SUM(C118:G118)</f>
        <v/>
      </c>
    </row>
    <row r="119" ht="12.75" customHeight="1">
      <c r="A119" s="173" t="inlineStr">
        <is>
          <t>4643000</t>
        </is>
      </c>
      <c r="B119" s="174" t="inlineStr">
        <is>
          <t>FINBL Overige rentelasten</t>
        </is>
      </c>
      <c r="D119" s="313" t="n">
        <v>106445</v>
      </c>
      <c r="E119" s="313" t="n">
        <v>105740</v>
      </c>
      <c r="F119" s="313" t="n">
        <v>102784</v>
      </c>
      <c r="G119" s="313" t="n">
        <v>103265</v>
      </c>
      <c r="H119" s="315">
        <f>SUM(C119:G119)</f>
        <v/>
      </c>
    </row>
    <row r="120" ht="12.75" customHeight="1">
      <c r="A120" s="173" t="n">
        <v>4642000</v>
      </c>
      <c r="B120" s="174" t="inlineStr">
        <is>
          <t>FINBL overige rentebaten</t>
        </is>
      </c>
      <c r="D120" s="313" t="n">
        <v>3012</v>
      </c>
      <c r="E120" s="313" t="n">
        <v>0</v>
      </c>
      <c r="F120" s="313" t="n">
        <v>0</v>
      </c>
      <c r="G120" s="313" t="n">
        <v>3574</v>
      </c>
      <c r="H120" s="315">
        <f>SUM(C120:G120)</f>
        <v/>
      </c>
    </row>
    <row r="121" ht="12.75" customHeight="1">
      <c r="A121" s="173" t="inlineStr">
        <is>
          <t>Totaal Financiële baten en lasten</t>
        </is>
      </c>
      <c r="D121" s="313">
        <f>SUM(D116:D120)</f>
        <v/>
      </c>
      <c r="E121" s="313">
        <f>SUM(E116:E120)</f>
        <v/>
      </c>
      <c r="F121" s="313">
        <f>SUM(F116:F120)</f>
        <v/>
      </c>
      <c r="G121" s="313">
        <f>SUM(G116:G120)</f>
        <v/>
      </c>
      <c r="H121" s="313">
        <f>SUM(H116:H120)</f>
        <v/>
      </c>
    </row>
    <row r="123" ht="12.75" customHeight="1">
      <c r="A123" s="173" t="n">
        <v>9500000</v>
      </c>
      <c r="B123" s="174" t="inlineStr">
        <is>
          <t>VPB Vennootschapsbelasting VPB Huidg jaar</t>
        </is>
      </c>
      <c r="D123" s="313" t="n">
        <v>0</v>
      </c>
      <c r="E123" s="313" t="n">
        <v>0</v>
      </c>
      <c r="F123" s="313" t="n">
        <v>0</v>
      </c>
      <c r="G123" s="313" t="n">
        <v>0</v>
      </c>
      <c r="H123" s="315">
        <f>SUM(C123:G123)</f>
        <v/>
      </c>
    </row>
    <row r="124" ht="12.75" customHeight="1">
      <c r="A124" s="173" t="inlineStr">
        <is>
          <t>9510000</t>
        </is>
      </c>
      <c r="B124" s="174" t="inlineStr">
        <is>
          <t>VPB Mutatie belastinglatentie Mutatie actieve latentie</t>
        </is>
      </c>
      <c r="D124" s="313" t="n">
        <v>-118583</v>
      </c>
      <c r="E124" s="313">
        <f>1906131-631191</f>
        <v/>
      </c>
      <c r="F124" s="313" t="n">
        <v>0</v>
      </c>
      <c r="G124" s="313" t="n">
        <v>0</v>
      </c>
      <c r="H124" s="315">
        <f>SUM(C124:G124)</f>
        <v/>
      </c>
    </row>
    <row r="125" ht="12.75" customHeight="1">
      <c r="A125" s="173" t="n">
        <v>9500100</v>
      </c>
      <c r="B125" s="174" t="inlineStr">
        <is>
          <t>VPB Vennootschapsbelasting VPB voorgaande jaren</t>
        </is>
      </c>
      <c r="D125" s="313" t="n">
        <v>53597</v>
      </c>
      <c r="E125" s="313" t="n">
        <v>-53597</v>
      </c>
      <c r="F125" s="313" t="n">
        <v>-142740</v>
      </c>
      <c r="G125" s="313" t="n">
        <v>-120923</v>
      </c>
      <c r="H125" s="315">
        <f>SUM(C125:G125)</f>
        <v/>
      </c>
    </row>
    <row r="126" ht="12.75" customHeight="1">
      <c r="A126" s="173" t="inlineStr">
        <is>
          <t>Totaal vennootschapsbelasting</t>
        </is>
      </c>
      <c r="C126" s="314" t="n"/>
      <c r="D126" s="314">
        <f>SUM(D123:D125)</f>
        <v/>
      </c>
      <c r="E126" s="314">
        <f>SUM(E123:E125)</f>
        <v/>
      </c>
      <c r="F126" s="314">
        <f>SUM(F123:F125)</f>
        <v/>
      </c>
      <c r="G126" s="314">
        <f>SUM(G123:G125)</f>
        <v/>
      </c>
      <c r="H126" s="315">
        <f>SUM(C126:G126)</f>
        <v/>
      </c>
    </row>
    <row r="128" ht="12.75" customHeight="1">
      <c r="A128" s="174" t="inlineStr">
        <is>
          <t>Resultaat na belasting</t>
        </is>
      </c>
      <c r="D128" s="313">
        <f>D71+D76+D79+D83+D93+D98+D101+D114+D121+D126</f>
        <v/>
      </c>
      <c r="E128" s="313">
        <f>E71+E76+E79+E83+E93+E98+E101+E114+E121+E126</f>
        <v/>
      </c>
      <c r="F128" s="313">
        <f>F71+F76+F79+F83+F93+F98+F101+F114+F121+F126</f>
        <v/>
      </c>
      <c r="G128" s="313">
        <f>G71+G76+G79+G83+G93+G98+G101+G114+G121+G126</f>
        <v/>
      </c>
      <c r="H128" s="313">
        <f>H71+H76+H79+H83+H93+H98+H101+H114+H121+H126</f>
        <v/>
      </c>
    </row>
    <row r="130" ht="12.75" customHeight="1">
      <c r="C130" s="325" t="n"/>
      <c r="D130" s="325">
        <f>SUM(D4:D65)+D128</f>
        <v/>
      </c>
      <c r="E130" s="325">
        <f>SUM(E4:E65)+E128</f>
        <v/>
      </c>
      <c r="F130" s="325">
        <f>SUM(F4:F65)+F128</f>
        <v/>
      </c>
      <c r="G130" s="325">
        <f>SUM(G4:G65)+G128</f>
        <v/>
      </c>
      <c r="H130" s="316">
        <f>SUM(H4:H65)+H128</f>
        <v/>
      </c>
    </row>
    <row r="131" ht="12.75" customHeight="1">
      <c r="J131" s="316" t="n"/>
    </row>
    <row r="132" ht="12.75" customHeight="1">
      <c r="J132" s="316" t="n"/>
    </row>
    <row r="133" ht="12.75" customHeight="1">
      <c r="J133" s="316" t="n"/>
    </row>
    <row r="134" ht="12.75" customHeight="1">
      <c r="J134" s="316" t="n"/>
    </row>
    <row r="135" ht="12.75" customHeight="1">
      <c r="J135" s="316" t="n"/>
    </row>
    <row r="136" ht="12.75" customHeight="1">
      <c r="J136" s="316" t="n"/>
    </row>
    <row r="137" ht="12.75" customHeight="1">
      <c r="J137" s="316" t="n"/>
    </row>
    <row r="138" ht="12.75" customHeight="1">
      <c r="J138" s="316" t="n"/>
    </row>
    <row r="139" ht="12.75" customHeight="1">
      <c r="J139" s="316" t="n"/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42"/>
  <sheetViews>
    <sheetView zoomScale="70" zoomScaleNormal="70" workbookViewId="0">
      <pane xSplit="2" topLeftCell="C1" activePane="topRight" state="frozen"/>
      <selection pane="topRight" activeCell="H28" sqref="H28"/>
    </sheetView>
  </sheetViews>
  <sheetFormatPr baseColWidth="8" defaultRowHeight="12.75" customHeight="1"/>
  <cols>
    <col width="21.109375" bestFit="1" customWidth="1" style="173" min="1" max="1"/>
    <col width="70" bestFit="1" customWidth="1" style="174" min="2" max="2"/>
    <col width="24.5546875" bestFit="1" customWidth="1" style="313" min="3" max="3"/>
    <col width="22.44140625" customWidth="1" style="313" min="4" max="7"/>
    <col width="19.44140625" bestFit="1" customWidth="1" style="315" min="8" max="8"/>
    <col width="22.44140625" customWidth="1" style="316" min="9" max="9"/>
    <col width="17.33203125" bestFit="1" customWidth="1" style="174" min="10" max="13"/>
    <col width="9.109375" customWidth="1" style="174" min="14" max="256"/>
    <col width="21.109375" bestFit="1" customWidth="1" style="174" min="257" max="257"/>
    <col width="70" bestFit="1" customWidth="1" style="174" min="258" max="258"/>
    <col width="24.5546875" bestFit="1" customWidth="1" style="174" min="259" max="259"/>
    <col width="22.44140625" customWidth="1" style="174" min="260" max="263"/>
    <col width="19.44140625" bestFit="1" customWidth="1" style="174" min="264" max="264"/>
    <col width="22.44140625" customWidth="1" style="174" min="265" max="265"/>
    <col width="9.109375" customWidth="1" style="174" min="266" max="512"/>
    <col width="21.109375" bestFit="1" customWidth="1" style="174" min="513" max="513"/>
    <col width="70" bestFit="1" customWidth="1" style="174" min="514" max="514"/>
    <col width="24.5546875" bestFit="1" customWidth="1" style="174" min="515" max="515"/>
    <col width="22.44140625" customWidth="1" style="174" min="516" max="519"/>
    <col width="19.44140625" bestFit="1" customWidth="1" style="174" min="520" max="520"/>
    <col width="22.44140625" customWidth="1" style="174" min="521" max="521"/>
    <col width="9.109375" customWidth="1" style="174" min="522" max="768"/>
    <col width="21.109375" bestFit="1" customWidth="1" style="174" min="769" max="769"/>
    <col width="70" bestFit="1" customWidth="1" style="174" min="770" max="770"/>
    <col width="24.5546875" bestFit="1" customWidth="1" style="174" min="771" max="771"/>
    <col width="22.44140625" customWidth="1" style="174" min="772" max="775"/>
    <col width="19.44140625" bestFit="1" customWidth="1" style="174" min="776" max="776"/>
    <col width="22.44140625" customWidth="1" style="174" min="777" max="777"/>
    <col width="9.109375" customWidth="1" style="174" min="778" max="1024"/>
    <col width="21.109375" bestFit="1" customWidth="1" style="174" min="1025" max="1025"/>
    <col width="70" bestFit="1" customWidth="1" style="174" min="1026" max="1026"/>
    <col width="24.5546875" bestFit="1" customWidth="1" style="174" min="1027" max="1027"/>
    <col width="22.44140625" customWidth="1" style="174" min="1028" max="1031"/>
    <col width="19.44140625" bestFit="1" customWidth="1" style="174" min="1032" max="1032"/>
    <col width="22.44140625" customWidth="1" style="174" min="1033" max="1033"/>
    <col width="9.109375" customWidth="1" style="174" min="1034" max="1280"/>
    <col width="21.109375" bestFit="1" customWidth="1" style="174" min="1281" max="1281"/>
    <col width="70" bestFit="1" customWidth="1" style="174" min="1282" max="1282"/>
    <col width="24.5546875" bestFit="1" customWidth="1" style="174" min="1283" max="1283"/>
    <col width="22.44140625" customWidth="1" style="174" min="1284" max="1287"/>
    <col width="19.44140625" bestFit="1" customWidth="1" style="174" min="1288" max="1288"/>
    <col width="22.44140625" customWidth="1" style="174" min="1289" max="1289"/>
    <col width="9.109375" customWidth="1" style="174" min="1290" max="1536"/>
    <col width="21.109375" bestFit="1" customWidth="1" style="174" min="1537" max="1537"/>
    <col width="70" bestFit="1" customWidth="1" style="174" min="1538" max="1538"/>
    <col width="24.5546875" bestFit="1" customWidth="1" style="174" min="1539" max="1539"/>
    <col width="22.44140625" customWidth="1" style="174" min="1540" max="1543"/>
    <col width="19.44140625" bestFit="1" customWidth="1" style="174" min="1544" max="1544"/>
    <col width="22.44140625" customWidth="1" style="174" min="1545" max="1545"/>
    <col width="9.109375" customWidth="1" style="174" min="1546" max="1792"/>
    <col width="21.109375" bestFit="1" customWidth="1" style="174" min="1793" max="1793"/>
    <col width="70" bestFit="1" customWidth="1" style="174" min="1794" max="1794"/>
    <col width="24.5546875" bestFit="1" customWidth="1" style="174" min="1795" max="1795"/>
    <col width="22.44140625" customWidth="1" style="174" min="1796" max="1799"/>
    <col width="19.44140625" bestFit="1" customWidth="1" style="174" min="1800" max="1800"/>
    <col width="22.44140625" customWidth="1" style="174" min="1801" max="1801"/>
    <col width="9.109375" customWidth="1" style="174" min="1802" max="2048"/>
    <col width="21.109375" bestFit="1" customWidth="1" style="174" min="2049" max="2049"/>
    <col width="70" bestFit="1" customWidth="1" style="174" min="2050" max="2050"/>
    <col width="24.5546875" bestFit="1" customWidth="1" style="174" min="2051" max="2051"/>
    <col width="22.44140625" customWidth="1" style="174" min="2052" max="2055"/>
    <col width="19.44140625" bestFit="1" customWidth="1" style="174" min="2056" max="2056"/>
    <col width="22.44140625" customWidth="1" style="174" min="2057" max="2057"/>
    <col width="9.109375" customWidth="1" style="174" min="2058" max="2304"/>
    <col width="21.109375" bestFit="1" customWidth="1" style="174" min="2305" max="2305"/>
    <col width="70" bestFit="1" customWidth="1" style="174" min="2306" max="2306"/>
    <col width="24.5546875" bestFit="1" customWidth="1" style="174" min="2307" max="2307"/>
    <col width="22.44140625" customWidth="1" style="174" min="2308" max="2311"/>
    <col width="19.44140625" bestFit="1" customWidth="1" style="174" min="2312" max="2312"/>
    <col width="22.44140625" customWidth="1" style="174" min="2313" max="2313"/>
    <col width="9.109375" customWidth="1" style="174" min="2314" max="2560"/>
    <col width="21.109375" bestFit="1" customWidth="1" style="174" min="2561" max="2561"/>
    <col width="70" bestFit="1" customWidth="1" style="174" min="2562" max="2562"/>
    <col width="24.5546875" bestFit="1" customWidth="1" style="174" min="2563" max="2563"/>
    <col width="22.44140625" customWidth="1" style="174" min="2564" max="2567"/>
    <col width="19.44140625" bestFit="1" customWidth="1" style="174" min="2568" max="2568"/>
    <col width="22.44140625" customWidth="1" style="174" min="2569" max="2569"/>
    <col width="9.109375" customWidth="1" style="174" min="2570" max="2816"/>
    <col width="21.109375" bestFit="1" customWidth="1" style="174" min="2817" max="2817"/>
    <col width="70" bestFit="1" customWidth="1" style="174" min="2818" max="2818"/>
    <col width="24.5546875" bestFit="1" customWidth="1" style="174" min="2819" max="2819"/>
    <col width="22.44140625" customWidth="1" style="174" min="2820" max="2823"/>
    <col width="19.44140625" bestFit="1" customWidth="1" style="174" min="2824" max="2824"/>
    <col width="22.44140625" customWidth="1" style="174" min="2825" max="2825"/>
    <col width="9.109375" customWidth="1" style="174" min="2826" max="3072"/>
    <col width="21.109375" bestFit="1" customWidth="1" style="174" min="3073" max="3073"/>
    <col width="70" bestFit="1" customWidth="1" style="174" min="3074" max="3074"/>
    <col width="24.5546875" bestFit="1" customWidth="1" style="174" min="3075" max="3075"/>
    <col width="22.44140625" customWidth="1" style="174" min="3076" max="3079"/>
    <col width="19.44140625" bestFit="1" customWidth="1" style="174" min="3080" max="3080"/>
    <col width="22.44140625" customWidth="1" style="174" min="3081" max="3081"/>
    <col width="9.109375" customWidth="1" style="174" min="3082" max="3328"/>
    <col width="21.109375" bestFit="1" customWidth="1" style="174" min="3329" max="3329"/>
    <col width="70" bestFit="1" customWidth="1" style="174" min="3330" max="3330"/>
    <col width="24.5546875" bestFit="1" customWidth="1" style="174" min="3331" max="3331"/>
    <col width="22.44140625" customWidth="1" style="174" min="3332" max="3335"/>
    <col width="19.44140625" bestFit="1" customWidth="1" style="174" min="3336" max="3336"/>
    <col width="22.44140625" customWidth="1" style="174" min="3337" max="3337"/>
    <col width="9.109375" customWidth="1" style="174" min="3338" max="3584"/>
    <col width="21.109375" bestFit="1" customWidth="1" style="174" min="3585" max="3585"/>
    <col width="70" bestFit="1" customWidth="1" style="174" min="3586" max="3586"/>
    <col width="24.5546875" bestFit="1" customWidth="1" style="174" min="3587" max="3587"/>
    <col width="22.44140625" customWidth="1" style="174" min="3588" max="3591"/>
    <col width="19.44140625" bestFit="1" customWidth="1" style="174" min="3592" max="3592"/>
    <col width="22.44140625" customWidth="1" style="174" min="3593" max="3593"/>
    <col width="9.109375" customWidth="1" style="174" min="3594" max="3840"/>
    <col width="21.109375" bestFit="1" customWidth="1" style="174" min="3841" max="3841"/>
    <col width="70" bestFit="1" customWidth="1" style="174" min="3842" max="3842"/>
    <col width="24.5546875" bestFit="1" customWidth="1" style="174" min="3843" max="3843"/>
    <col width="22.44140625" customWidth="1" style="174" min="3844" max="3847"/>
    <col width="19.44140625" bestFit="1" customWidth="1" style="174" min="3848" max="3848"/>
    <col width="22.44140625" customWidth="1" style="174" min="3849" max="3849"/>
    <col width="9.109375" customWidth="1" style="174" min="3850" max="4096"/>
    <col width="21.109375" bestFit="1" customWidth="1" style="174" min="4097" max="4097"/>
    <col width="70" bestFit="1" customWidth="1" style="174" min="4098" max="4098"/>
    <col width="24.5546875" bestFit="1" customWidth="1" style="174" min="4099" max="4099"/>
    <col width="22.44140625" customWidth="1" style="174" min="4100" max="4103"/>
    <col width="19.44140625" bestFit="1" customWidth="1" style="174" min="4104" max="4104"/>
    <col width="22.44140625" customWidth="1" style="174" min="4105" max="4105"/>
    <col width="9.109375" customWidth="1" style="174" min="4106" max="4352"/>
    <col width="21.109375" bestFit="1" customWidth="1" style="174" min="4353" max="4353"/>
    <col width="70" bestFit="1" customWidth="1" style="174" min="4354" max="4354"/>
    <col width="24.5546875" bestFit="1" customWidth="1" style="174" min="4355" max="4355"/>
    <col width="22.44140625" customWidth="1" style="174" min="4356" max="4359"/>
    <col width="19.44140625" bestFit="1" customWidth="1" style="174" min="4360" max="4360"/>
    <col width="22.44140625" customWidth="1" style="174" min="4361" max="4361"/>
    <col width="9.109375" customWidth="1" style="174" min="4362" max="4608"/>
    <col width="21.109375" bestFit="1" customWidth="1" style="174" min="4609" max="4609"/>
    <col width="70" bestFit="1" customWidth="1" style="174" min="4610" max="4610"/>
    <col width="24.5546875" bestFit="1" customWidth="1" style="174" min="4611" max="4611"/>
    <col width="22.44140625" customWidth="1" style="174" min="4612" max="4615"/>
    <col width="19.44140625" bestFit="1" customWidth="1" style="174" min="4616" max="4616"/>
    <col width="22.44140625" customWidth="1" style="174" min="4617" max="4617"/>
    <col width="9.109375" customWidth="1" style="174" min="4618" max="4864"/>
    <col width="21.109375" bestFit="1" customWidth="1" style="174" min="4865" max="4865"/>
    <col width="70" bestFit="1" customWidth="1" style="174" min="4866" max="4866"/>
    <col width="24.5546875" bestFit="1" customWidth="1" style="174" min="4867" max="4867"/>
    <col width="22.44140625" customWidth="1" style="174" min="4868" max="4871"/>
    <col width="19.44140625" bestFit="1" customWidth="1" style="174" min="4872" max="4872"/>
    <col width="22.44140625" customWidth="1" style="174" min="4873" max="4873"/>
    <col width="9.109375" customWidth="1" style="174" min="4874" max="5120"/>
    <col width="21.109375" bestFit="1" customWidth="1" style="174" min="5121" max="5121"/>
    <col width="70" bestFit="1" customWidth="1" style="174" min="5122" max="5122"/>
    <col width="24.5546875" bestFit="1" customWidth="1" style="174" min="5123" max="5123"/>
    <col width="22.44140625" customWidth="1" style="174" min="5124" max="5127"/>
    <col width="19.44140625" bestFit="1" customWidth="1" style="174" min="5128" max="5128"/>
    <col width="22.44140625" customWidth="1" style="174" min="5129" max="5129"/>
    <col width="9.109375" customWidth="1" style="174" min="5130" max="5376"/>
    <col width="21.109375" bestFit="1" customWidth="1" style="174" min="5377" max="5377"/>
    <col width="70" bestFit="1" customWidth="1" style="174" min="5378" max="5378"/>
    <col width="24.5546875" bestFit="1" customWidth="1" style="174" min="5379" max="5379"/>
    <col width="22.44140625" customWidth="1" style="174" min="5380" max="5383"/>
    <col width="19.44140625" bestFit="1" customWidth="1" style="174" min="5384" max="5384"/>
    <col width="22.44140625" customWidth="1" style="174" min="5385" max="5385"/>
    <col width="9.109375" customWidth="1" style="174" min="5386" max="5632"/>
    <col width="21.109375" bestFit="1" customWidth="1" style="174" min="5633" max="5633"/>
    <col width="70" bestFit="1" customWidth="1" style="174" min="5634" max="5634"/>
    <col width="24.5546875" bestFit="1" customWidth="1" style="174" min="5635" max="5635"/>
    <col width="22.44140625" customWidth="1" style="174" min="5636" max="5639"/>
    <col width="19.44140625" bestFit="1" customWidth="1" style="174" min="5640" max="5640"/>
    <col width="22.44140625" customWidth="1" style="174" min="5641" max="5641"/>
    <col width="9.109375" customWidth="1" style="174" min="5642" max="5888"/>
    <col width="21.109375" bestFit="1" customWidth="1" style="174" min="5889" max="5889"/>
    <col width="70" bestFit="1" customWidth="1" style="174" min="5890" max="5890"/>
    <col width="24.5546875" bestFit="1" customWidth="1" style="174" min="5891" max="5891"/>
    <col width="22.44140625" customWidth="1" style="174" min="5892" max="5895"/>
    <col width="19.44140625" bestFit="1" customWidth="1" style="174" min="5896" max="5896"/>
    <col width="22.44140625" customWidth="1" style="174" min="5897" max="5897"/>
    <col width="9.109375" customWidth="1" style="174" min="5898" max="6144"/>
    <col width="21.109375" bestFit="1" customWidth="1" style="174" min="6145" max="6145"/>
    <col width="70" bestFit="1" customWidth="1" style="174" min="6146" max="6146"/>
    <col width="24.5546875" bestFit="1" customWidth="1" style="174" min="6147" max="6147"/>
    <col width="22.44140625" customWidth="1" style="174" min="6148" max="6151"/>
    <col width="19.44140625" bestFit="1" customWidth="1" style="174" min="6152" max="6152"/>
    <col width="22.44140625" customWidth="1" style="174" min="6153" max="6153"/>
    <col width="9.109375" customWidth="1" style="174" min="6154" max="6400"/>
    <col width="21.109375" bestFit="1" customWidth="1" style="174" min="6401" max="6401"/>
    <col width="70" bestFit="1" customWidth="1" style="174" min="6402" max="6402"/>
    <col width="24.5546875" bestFit="1" customWidth="1" style="174" min="6403" max="6403"/>
    <col width="22.44140625" customWidth="1" style="174" min="6404" max="6407"/>
    <col width="19.44140625" bestFit="1" customWidth="1" style="174" min="6408" max="6408"/>
    <col width="22.44140625" customWidth="1" style="174" min="6409" max="6409"/>
    <col width="9.109375" customWidth="1" style="174" min="6410" max="6656"/>
    <col width="21.109375" bestFit="1" customWidth="1" style="174" min="6657" max="6657"/>
    <col width="70" bestFit="1" customWidth="1" style="174" min="6658" max="6658"/>
    <col width="24.5546875" bestFit="1" customWidth="1" style="174" min="6659" max="6659"/>
    <col width="22.44140625" customWidth="1" style="174" min="6660" max="6663"/>
    <col width="19.44140625" bestFit="1" customWidth="1" style="174" min="6664" max="6664"/>
    <col width="22.44140625" customWidth="1" style="174" min="6665" max="6665"/>
    <col width="9.109375" customWidth="1" style="174" min="6666" max="6912"/>
    <col width="21.109375" bestFit="1" customWidth="1" style="174" min="6913" max="6913"/>
    <col width="70" bestFit="1" customWidth="1" style="174" min="6914" max="6914"/>
    <col width="24.5546875" bestFit="1" customWidth="1" style="174" min="6915" max="6915"/>
    <col width="22.44140625" customWidth="1" style="174" min="6916" max="6919"/>
    <col width="19.44140625" bestFit="1" customWidth="1" style="174" min="6920" max="6920"/>
    <col width="22.44140625" customWidth="1" style="174" min="6921" max="6921"/>
    <col width="9.109375" customWidth="1" style="174" min="6922" max="7168"/>
    <col width="21.109375" bestFit="1" customWidth="1" style="174" min="7169" max="7169"/>
    <col width="70" bestFit="1" customWidth="1" style="174" min="7170" max="7170"/>
    <col width="24.5546875" bestFit="1" customWidth="1" style="174" min="7171" max="7171"/>
    <col width="22.44140625" customWidth="1" style="174" min="7172" max="7175"/>
    <col width="19.44140625" bestFit="1" customWidth="1" style="174" min="7176" max="7176"/>
    <col width="22.44140625" customWidth="1" style="174" min="7177" max="7177"/>
    <col width="9.109375" customWidth="1" style="174" min="7178" max="7424"/>
    <col width="21.109375" bestFit="1" customWidth="1" style="174" min="7425" max="7425"/>
    <col width="70" bestFit="1" customWidth="1" style="174" min="7426" max="7426"/>
    <col width="24.5546875" bestFit="1" customWidth="1" style="174" min="7427" max="7427"/>
    <col width="22.44140625" customWidth="1" style="174" min="7428" max="7431"/>
    <col width="19.44140625" bestFit="1" customWidth="1" style="174" min="7432" max="7432"/>
    <col width="22.44140625" customWidth="1" style="174" min="7433" max="7433"/>
    <col width="9.109375" customWidth="1" style="174" min="7434" max="7680"/>
    <col width="21.109375" bestFit="1" customWidth="1" style="174" min="7681" max="7681"/>
    <col width="70" bestFit="1" customWidth="1" style="174" min="7682" max="7682"/>
    <col width="24.5546875" bestFit="1" customWidth="1" style="174" min="7683" max="7683"/>
    <col width="22.44140625" customWidth="1" style="174" min="7684" max="7687"/>
    <col width="19.44140625" bestFit="1" customWidth="1" style="174" min="7688" max="7688"/>
    <col width="22.44140625" customWidth="1" style="174" min="7689" max="7689"/>
    <col width="9.109375" customWidth="1" style="174" min="7690" max="7936"/>
    <col width="21.109375" bestFit="1" customWidth="1" style="174" min="7937" max="7937"/>
    <col width="70" bestFit="1" customWidth="1" style="174" min="7938" max="7938"/>
    <col width="24.5546875" bestFit="1" customWidth="1" style="174" min="7939" max="7939"/>
    <col width="22.44140625" customWidth="1" style="174" min="7940" max="7943"/>
    <col width="19.44140625" bestFit="1" customWidth="1" style="174" min="7944" max="7944"/>
    <col width="22.44140625" customWidth="1" style="174" min="7945" max="7945"/>
    <col width="9.109375" customWidth="1" style="174" min="7946" max="8192"/>
    <col width="21.109375" bestFit="1" customWidth="1" style="174" min="8193" max="8193"/>
    <col width="70" bestFit="1" customWidth="1" style="174" min="8194" max="8194"/>
    <col width="24.5546875" bestFit="1" customWidth="1" style="174" min="8195" max="8195"/>
    <col width="22.44140625" customWidth="1" style="174" min="8196" max="8199"/>
    <col width="19.44140625" bestFit="1" customWidth="1" style="174" min="8200" max="8200"/>
    <col width="22.44140625" customWidth="1" style="174" min="8201" max="8201"/>
    <col width="9.109375" customWidth="1" style="174" min="8202" max="8448"/>
    <col width="21.109375" bestFit="1" customWidth="1" style="174" min="8449" max="8449"/>
    <col width="70" bestFit="1" customWidth="1" style="174" min="8450" max="8450"/>
    <col width="24.5546875" bestFit="1" customWidth="1" style="174" min="8451" max="8451"/>
    <col width="22.44140625" customWidth="1" style="174" min="8452" max="8455"/>
    <col width="19.44140625" bestFit="1" customWidth="1" style="174" min="8456" max="8456"/>
    <col width="22.44140625" customWidth="1" style="174" min="8457" max="8457"/>
    <col width="9.109375" customWidth="1" style="174" min="8458" max="8704"/>
    <col width="21.109375" bestFit="1" customWidth="1" style="174" min="8705" max="8705"/>
    <col width="70" bestFit="1" customWidth="1" style="174" min="8706" max="8706"/>
    <col width="24.5546875" bestFit="1" customWidth="1" style="174" min="8707" max="8707"/>
    <col width="22.44140625" customWidth="1" style="174" min="8708" max="8711"/>
    <col width="19.44140625" bestFit="1" customWidth="1" style="174" min="8712" max="8712"/>
    <col width="22.44140625" customWidth="1" style="174" min="8713" max="8713"/>
    <col width="9.109375" customWidth="1" style="174" min="8714" max="8960"/>
    <col width="21.109375" bestFit="1" customWidth="1" style="174" min="8961" max="8961"/>
    <col width="70" bestFit="1" customWidth="1" style="174" min="8962" max="8962"/>
    <col width="24.5546875" bestFit="1" customWidth="1" style="174" min="8963" max="8963"/>
    <col width="22.44140625" customWidth="1" style="174" min="8964" max="8967"/>
    <col width="19.44140625" bestFit="1" customWidth="1" style="174" min="8968" max="8968"/>
    <col width="22.44140625" customWidth="1" style="174" min="8969" max="8969"/>
    <col width="9.109375" customWidth="1" style="174" min="8970" max="9216"/>
    <col width="21.109375" bestFit="1" customWidth="1" style="174" min="9217" max="9217"/>
    <col width="70" bestFit="1" customWidth="1" style="174" min="9218" max="9218"/>
    <col width="24.5546875" bestFit="1" customWidth="1" style="174" min="9219" max="9219"/>
    <col width="22.44140625" customWidth="1" style="174" min="9220" max="9223"/>
    <col width="19.44140625" bestFit="1" customWidth="1" style="174" min="9224" max="9224"/>
    <col width="22.44140625" customWidth="1" style="174" min="9225" max="9225"/>
    <col width="9.109375" customWidth="1" style="174" min="9226" max="9472"/>
    <col width="21.109375" bestFit="1" customWidth="1" style="174" min="9473" max="9473"/>
    <col width="70" bestFit="1" customWidth="1" style="174" min="9474" max="9474"/>
    <col width="24.5546875" bestFit="1" customWidth="1" style="174" min="9475" max="9475"/>
    <col width="22.44140625" customWidth="1" style="174" min="9476" max="9479"/>
    <col width="19.44140625" bestFit="1" customWidth="1" style="174" min="9480" max="9480"/>
    <col width="22.44140625" customWidth="1" style="174" min="9481" max="9481"/>
    <col width="9.109375" customWidth="1" style="174" min="9482" max="9728"/>
    <col width="21.109375" bestFit="1" customWidth="1" style="174" min="9729" max="9729"/>
    <col width="70" bestFit="1" customWidth="1" style="174" min="9730" max="9730"/>
    <col width="24.5546875" bestFit="1" customWidth="1" style="174" min="9731" max="9731"/>
    <col width="22.44140625" customWidth="1" style="174" min="9732" max="9735"/>
    <col width="19.44140625" bestFit="1" customWidth="1" style="174" min="9736" max="9736"/>
    <col width="22.44140625" customWidth="1" style="174" min="9737" max="9737"/>
    <col width="9.109375" customWidth="1" style="174" min="9738" max="9984"/>
    <col width="21.109375" bestFit="1" customWidth="1" style="174" min="9985" max="9985"/>
    <col width="70" bestFit="1" customWidth="1" style="174" min="9986" max="9986"/>
    <col width="24.5546875" bestFit="1" customWidth="1" style="174" min="9987" max="9987"/>
    <col width="22.44140625" customWidth="1" style="174" min="9988" max="9991"/>
    <col width="19.44140625" bestFit="1" customWidth="1" style="174" min="9992" max="9992"/>
    <col width="22.44140625" customWidth="1" style="174" min="9993" max="9993"/>
    <col width="9.109375" customWidth="1" style="174" min="9994" max="10240"/>
    <col width="21.109375" bestFit="1" customWidth="1" style="174" min="10241" max="10241"/>
    <col width="70" bestFit="1" customWidth="1" style="174" min="10242" max="10242"/>
    <col width="24.5546875" bestFit="1" customWidth="1" style="174" min="10243" max="10243"/>
    <col width="22.44140625" customWidth="1" style="174" min="10244" max="10247"/>
    <col width="19.44140625" bestFit="1" customWidth="1" style="174" min="10248" max="10248"/>
    <col width="22.44140625" customWidth="1" style="174" min="10249" max="10249"/>
    <col width="9.109375" customWidth="1" style="174" min="10250" max="10496"/>
    <col width="21.109375" bestFit="1" customWidth="1" style="174" min="10497" max="10497"/>
    <col width="70" bestFit="1" customWidth="1" style="174" min="10498" max="10498"/>
    <col width="24.5546875" bestFit="1" customWidth="1" style="174" min="10499" max="10499"/>
    <col width="22.44140625" customWidth="1" style="174" min="10500" max="10503"/>
    <col width="19.44140625" bestFit="1" customWidth="1" style="174" min="10504" max="10504"/>
    <col width="22.44140625" customWidth="1" style="174" min="10505" max="10505"/>
    <col width="9.109375" customWidth="1" style="174" min="10506" max="10752"/>
    <col width="21.109375" bestFit="1" customWidth="1" style="174" min="10753" max="10753"/>
    <col width="70" bestFit="1" customWidth="1" style="174" min="10754" max="10754"/>
    <col width="24.5546875" bestFit="1" customWidth="1" style="174" min="10755" max="10755"/>
    <col width="22.44140625" customWidth="1" style="174" min="10756" max="10759"/>
    <col width="19.44140625" bestFit="1" customWidth="1" style="174" min="10760" max="10760"/>
    <col width="22.44140625" customWidth="1" style="174" min="10761" max="10761"/>
    <col width="9.109375" customWidth="1" style="174" min="10762" max="11008"/>
    <col width="21.109375" bestFit="1" customWidth="1" style="174" min="11009" max="11009"/>
    <col width="70" bestFit="1" customWidth="1" style="174" min="11010" max="11010"/>
    <col width="24.5546875" bestFit="1" customWidth="1" style="174" min="11011" max="11011"/>
    <col width="22.44140625" customWidth="1" style="174" min="11012" max="11015"/>
    <col width="19.44140625" bestFit="1" customWidth="1" style="174" min="11016" max="11016"/>
    <col width="22.44140625" customWidth="1" style="174" min="11017" max="11017"/>
    <col width="9.109375" customWidth="1" style="174" min="11018" max="11264"/>
    <col width="21.109375" bestFit="1" customWidth="1" style="174" min="11265" max="11265"/>
    <col width="70" bestFit="1" customWidth="1" style="174" min="11266" max="11266"/>
    <col width="24.5546875" bestFit="1" customWidth="1" style="174" min="11267" max="11267"/>
    <col width="22.44140625" customWidth="1" style="174" min="11268" max="11271"/>
    <col width="19.44140625" bestFit="1" customWidth="1" style="174" min="11272" max="11272"/>
    <col width="22.44140625" customWidth="1" style="174" min="11273" max="11273"/>
    <col width="9.109375" customWidth="1" style="174" min="11274" max="11520"/>
    <col width="21.109375" bestFit="1" customWidth="1" style="174" min="11521" max="11521"/>
    <col width="70" bestFit="1" customWidth="1" style="174" min="11522" max="11522"/>
    <col width="24.5546875" bestFit="1" customWidth="1" style="174" min="11523" max="11523"/>
    <col width="22.44140625" customWidth="1" style="174" min="11524" max="11527"/>
    <col width="19.44140625" bestFit="1" customWidth="1" style="174" min="11528" max="11528"/>
    <col width="22.44140625" customWidth="1" style="174" min="11529" max="11529"/>
    <col width="9.109375" customWidth="1" style="174" min="11530" max="11776"/>
    <col width="21.109375" bestFit="1" customWidth="1" style="174" min="11777" max="11777"/>
    <col width="70" bestFit="1" customWidth="1" style="174" min="11778" max="11778"/>
    <col width="24.5546875" bestFit="1" customWidth="1" style="174" min="11779" max="11779"/>
    <col width="22.44140625" customWidth="1" style="174" min="11780" max="11783"/>
    <col width="19.44140625" bestFit="1" customWidth="1" style="174" min="11784" max="11784"/>
    <col width="22.44140625" customWidth="1" style="174" min="11785" max="11785"/>
    <col width="9.109375" customWidth="1" style="174" min="11786" max="12032"/>
    <col width="21.109375" bestFit="1" customWidth="1" style="174" min="12033" max="12033"/>
    <col width="70" bestFit="1" customWidth="1" style="174" min="12034" max="12034"/>
    <col width="24.5546875" bestFit="1" customWidth="1" style="174" min="12035" max="12035"/>
    <col width="22.44140625" customWidth="1" style="174" min="12036" max="12039"/>
    <col width="19.44140625" bestFit="1" customWidth="1" style="174" min="12040" max="12040"/>
    <col width="22.44140625" customWidth="1" style="174" min="12041" max="12041"/>
    <col width="9.109375" customWidth="1" style="174" min="12042" max="12288"/>
    <col width="21.109375" bestFit="1" customWidth="1" style="174" min="12289" max="12289"/>
    <col width="70" bestFit="1" customWidth="1" style="174" min="12290" max="12290"/>
    <col width="24.5546875" bestFit="1" customWidth="1" style="174" min="12291" max="12291"/>
    <col width="22.44140625" customWidth="1" style="174" min="12292" max="12295"/>
    <col width="19.44140625" bestFit="1" customWidth="1" style="174" min="12296" max="12296"/>
    <col width="22.44140625" customWidth="1" style="174" min="12297" max="12297"/>
    <col width="9.109375" customWidth="1" style="174" min="12298" max="12544"/>
    <col width="21.109375" bestFit="1" customWidth="1" style="174" min="12545" max="12545"/>
    <col width="70" bestFit="1" customWidth="1" style="174" min="12546" max="12546"/>
    <col width="24.5546875" bestFit="1" customWidth="1" style="174" min="12547" max="12547"/>
    <col width="22.44140625" customWidth="1" style="174" min="12548" max="12551"/>
    <col width="19.44140625" bestFit="1" customWidth="1" style="174" min="12552" max="12552"/>
    <col width="22.44140625" customWidth="1" style="174" min="12553" max="12553"/>
    <col width="9.109375" customWidth="1" style="174" min="12554" max="12800"/>
    <col width="21.109375" bestFit="1" customWidth="1" style="174" min="12801" max="12801"/>
    <col width="70" bestFit="1" customWidth="1" style="174" min="12802" max="12802"/>
    <col width="24.5546875" bestFit="1" customWidth="1" style="174" min="12803" max="12803"/>
    <col width="22.44140625" customWidth="1" style="174" min="12804" max="12807"/>
    <col width="19.44140625" bestFit="1" customWidth="1" style="174" min="12808" max="12808"/>
    <col width="22.44140625" customWidth="1" style="174" min="12809" max="12809"/>
    <col width="9.109375" customWidth="1" style="174" min="12810" max="13056"/>
    <col width="21.109375" bestFit="1" customWidth="1" style="174" min="13057" max="13057"/>
    <col width="70" bestFit="1" customWidth="1" style="174" min="13058" max="13058"/>
    <col width="24.5546875" bestFit="1" customWidth="1" style="174" min="13059" max="13059"/>
    <col width="22.44140625" customWidth="1" style="174" min="13060" max="13063"/>
    <col width="19.44140625" bestFit="1" customWidth="1" style="174" min="13064" max="13064"/>
    <col width="22.44140625" customWidth="1" style="174" min="13065" max="13065"/>
    <col width="9.109375" customWidth="1" style="174" min="13066" max="13312"/>
    <col width="21.109375" bestFit="1" customWidth="1" style="174" min="13313" max="13313"/>
    <col width="70" bestFit="1" customWidth="1" style="174" min="13314" max="13314"/>
    <col width="24.5546875" bestFit="1" customWidth="1" style="174" min="13315" max="13315"/>
    <col width="22.44140625" customWidth="1" style="174" min="13316" max="13319"/>
    <col width="19.44140625" bestFit="1" customWidth="1" style="174" min="13320" max="13320"/>
    <col width="22.44140625" customWidth="1" style="174" min="13321" max="13321"/>
    <col width="9.109375" customWidth="1" style="174" min="13322" max="13568"/>
    <col width="21.109375" bestFit="1" customWidth="1" style="174" min="13569" max="13569"/>
    <col width="70" bestFit="1" customWidth="1" style="174" min="13570" max="13570"/>
    <col width="24.5546875" bestFit="1" customWidth="1" style="174" min="13571" max="13571"/>
    <col width="22.44140625" customWidth="1" style="174" min="13572" max="13575"/>
    <col width="19.44140625" bestFit="1" customWidth="1" style="174" min="13576" max="13576"/>
    <col width="22.44140625" customWidth="1" style="174" min="13577" max="13577"/>
    <col width="9.109375" customWidth="1" style="174" min="13578" max="13824"/>
    <col width="21.109375" bestFit="1" customWidth="1" style="174" min="13825" max="13825"/>
    <col width="70" bestFit="1" customWidth="1" style="174" min="13826" max="13826"/>
    <col width="24.5546875" bestFit="1" customWidth="1" style="174" min="13827" max="13827"/>
    <col width="22.44140625" customWidth="1" style="174" min="13828" max="13831"/>
    <col width="19.44140625" bestFit="1" customWidth="1" style="174" min="13832" max="13832"/>
    <col width="22.44140625" customWidth="1" style="174" min="13833" max="13833"/>
    <col width="9.109375" customWidth="1" style="174" min="13834" max="14080"/>
    <col width="21.109375" bestFit="1" customWidth="1" style="174" min="14081" max="14081"/>
    <col width="70" bestFit="1" customWidth="1" style="174" min="14082" max="14082"/>
    <col width="24.5546875" bestFit="1" customWidth="1" style="174" min="14083" max="14083"/>
    <col width="22.44140625" customWidth="1" style="174" min="14084" max="14087"/>
    <col width="19.44140625" bestFit="1" customWidth="1" style="174" min="14088" max="14088"/>
    <col width="22.44140625" customWidth="1" style="174" min="14089" max="14089"/>
    <col width="9.109375" customWidth="1" style="174" min="14090" max="14336"/>
    <col width="21.109375" bestFit="1" customWidth="1" style="174" min="14337" max="14337"/>
    <col width="70" bestFit="1" customWidth="1" style="174" min="14338" max="14338"/>
    <col width="24.5546875" bestFit="1" customWidth="1" style="174" min="14339" max="14339"/>
    <col width="22.44140625" customWidth="1" style="174" min="14340" max="14343"/>
    <col width="19.44140625" bestFit="1" customWidth="1" style="174" min="14344" max="14344"/>
    <col width="22.44140625" customWidth="1" style="174" min="14345" max="14345"/>
    <col width="9.109375" customWidth="1" style="174" min="14346" max="14592"/>
    <col width="21.109375" bestFit="1" customWidth="1" style="174" min="14593" max="14593"/>
    <col width="70" bestFit="1" customWidth="1" style="174" min="14594" max="14594"/>
    <col width="24.5546875" bestFit="1" customWidth="1" style="174" min="14595" max="14595"/>
    <col width="22.44140625" customWidth="1" style="174" min="14596" max="14599"/>
    <col width="19.44140625" bestFit="1" customWidth="1" style="174" min="14600" max="14600"/>
    <col width="22.44140625" customWidth="1" style="174" min="14601" max="14601"/>
    <col width="9.109375" customWidth="1" style="174" min="14602" max="14848"/>
    <col width="21.109375" bestFit="1" customWidth="1" style="174" min="14849" max="14849"/>
    <col width="70" bestFit="1" customWidth="1" style="174" min="14850" max="14850"/>
    <col width="24.5546875" bestFit="1" customWidth="1" style="174" min="14851" max="14851"/>
    <col width="22.44140625" customWidth="1" style="174" min="14852" max="14855"/>
    <col width="19.44140625" bestFit="1" customWidth="1" style="174" min="14856" max="14856"/>
    <col width="22.44140625" customWidth="1" style="174" min="14857" max="14857"/>
    <col width="9.109375" customWidth="1" style="174" min="14858" max="15104"/>
    <col width="21.109375" bestFit="1" customWidth="1" style="174" min="15105" max="15105"/>
    <col width="70" bestFit="1" customWidth="1" style="174" min="15106" max="15106"/>
    <col width="24.5546875" bestFit="1" customWidth="1" style="174" min="15107" max="15107"/>
    <col width="22.44140625" customWidth="1" style="174" min="15108" max="15111"/>
    <col width="19.44140625" bestFit="1" customWidth="1" style="174" min="15112" max="15112"/>
    <col width="22.44140625" customWidth="1" style="174" min="15113" max="15113"/>
    <col width="9.109375" customWidth="1" style="174" min="15114" max="15360"/>
    <col width="21.109375" bestFit="1" customWidth="1" style="174" min="15361" max="15361"/>
    <col width="70" bestFit="1" customWidth="1" style="174" min="15362" max="15362"/>
    <col width="24.5546875" bestFit="1" customWidth="1" style="174" min="15363" max="15363"/>
    <col width="22.44140625" customWidth="1" style="174" min="15364" max="15367"/>
    <col width="19.44140625" bestFit="1" customWidth="1" style="174" min="15368" max="15368"/>
    <col width="22.44140625" customWidth="1" style="174" min="15369" max="15369"/>
    <col width="9.109375" customWidth="1" style="174" min="15370" max="15616"/>
    <col width="21.109375" bestFit="1" customWidth="1" style="174" min="15617" max="15617"/>
    <col width="70" bestFit="1" customWidth="1" style="174" min="15618" max="15618"/>
    <col width="24.5546875" bestFit="1" customWidth="1" style="174" min="15619" max="15619"/>
    <col width="22.44140625" customWidth="1" style="174" min="15620" max="15623"/>
    <col width="19.44140625" bestFit="1" customWidth="1" style="174" min="15624" max="15624"/>
    <col width="22.44140625" customWidth="1" style="174" min="15625" max="15625"/>
    <col width="9.109375" customWidth="1" style="174" min="15626" max="15872"/>
    <col width="21.109375" bestFit="1" customWidth="1" style="174" min="15873" max="15873"/>
    <col width="70" bestFit="1" customWidth="1" style="174" min="15874" max="15874"/>
    <col width="24.5546875" bestFit="1" customWidth="1" style="174" min="15875" max="15875"/>
    <col width="22.44140625" customWidth="1" style="174" min="15876" max="15879"/>
    <col width="19.44140625" bestFit="1" customWidth="1" style="174" min="15880" max="15880"/>
    <col width="22.44140625" customWidth="1" style="174" min="15881" max="15881"/>
    <col width="9.109375" customWidth="1" style="174" min="15882" max="16128"/>
    <col width="21.109375" bestFit="1" customWidth="1" style="174" min="16129" max="16129"/>
    <col width="70" bestFit="1" customWidth="1" style="174" min="16130" max="16130"/>
    <col width="24.5546875" bestFit="1" customWidth="1" style="174" min="16131" max="16131"/>
    <col width="22.44140625" customWidth="1" style="174" min="16132" max="16135"/>
    <col width="19.44140625" bestFit="1" customWidth="1" style="174" min="16136" max="16136"/>
    <col width="22.44140625" customWidth="1" style="174" min="16137" max="16137"/>
    <col width="9.109375" customWidth="1" style="174" min="16138" max="16384"/>
  </cols>
  <sheetData>
    <row r="1" ht="12.75" customHeight="1">
      <c r="C1" s="314" t="inlineStr">
        <is>
          <t>Eindbalans per 30-09-2020</t>
        </is>
      </c>
      <c r="D1" s="314" t="inlineStr">
        <is>
          <t>Mutaties Q4 2020</t>
        </is>
      </c>
      <c r="E1" s="314" t="inlineStr">
        <is>
          <t>Mutaties Q1 2021</t>
        </is>
      </c>
      <c r="F1" s="314" t="inlineStr">
        <is>
          <t>Mutaties Q2 2021</t>
        </is>
      </c>
      <c r="G1" s="314" t="inlineStr">
        <is>
          <t>Mutaties Q3 2021</t>
        </is>
      </c>
      <c r="H1" s="315" t="inlineStr">
        <is>
          <t>Saldi per 30-09-2021</t>
        </is>
      </c>
      <c r="J1" s="314" t="inlineStr">
        <is>
          <t>Mutaties Q4 2020</t>
        </is>
      </c>
      <c r="K1" s="314" t="inlineStr">
        <is>
          <t>Mutaties Q1 2021</t>
        </is>
      </c>
      <c r="L1" s="314" t="inlineStr">
        <is>
          <t>Mutaties Q2 2021</t>
        </is>
      </c>
      <c r="M1" s="314" t="inlineStr">
        <is>
          <t>Mutaties Q3 2021</t>
        </is>
      </c>
    </row>
    <row r="3" ht="12.75" customHeight="1">
      <c r="A3" s="179" t="inlineStr">
        <is>
          <t>Balans</t>
        </is>
      </c>
    </row>
    <row r="4" ht="12.75" customHeight="1">
      <c r="A4" s="173" t="n">
        <v>1600200</v>
      </c>
      <c r="B4" s="174" t="inlineStr">
        <is>
          <t>VG Vastgoedbeleggingen Verkrijgings- of vervaardigingsprijs</t>
        </is>
      </c>
      <c r="C4" s="313" t="n">
        <v>129706535</v>
      </c>
      <c r="H4" s="315">
        <f>SUM(C4:G4)</f>
        <v/>
      </c>
      <c r="J4" s="174" t="n">
        <v>977050</v>
      </c>
      <c r="K4" s="174" t="n">
        <v>172507</v>
      </c>
      <c r="L4" s="174" t="n">
        <v>238485</v>
      </c>
      <c r="M4" s="174" t="n">
        <v>230282.95</v>
      </c>
    </row>
    <row r="5" ht="12.75" customHeight="1">
      <c r="A5" s="173" t="inlineStr">
        <is>
          <t>1600200</t>
        </is>
      </c>
      <c r="B5" s="174" t="inlineStr">
        <is>
          <t>VG Vastgoedbeleggingen Cum afschrijvingen en waardeverm</t>
        </is>
      </c>
      <c r="C5" s="313" t="n">
        <v>-12240356</v>
      </c>
      <c r="D5" s="313" t="n">
        <v>-683661</v>
      </c>
      <c r="E5" s="313" t="n">
        <v>-277132</v>
      </c>
      <c r="F5" s="313" t="n">
        <v>-667313</v>
      </c>
      <c r="G5" s="313" t="n">
        <v>-666766</v>
      </c>
      <c r="H5" s="315">
        <f>SUM(C5:G5)</f>
        <v/>
      </c>
    </row>
    <row r="6" ht="12.75" customHeight="1">
      <c r="A6" s="173" t="inlineStr">
        <is>
          <t>1610803</t>
        </is>
      </c>
      <c r="B6" s="174" t="inlineStr">
        <is>
          <t>VG Comm VG in exploitatie Buitengebruikstellingen aanschaffingswaarde</t>
        </is>
      </c>
      <c r="C6" s="313" t="n">
        <v>-2975266</v>
      </c>
      <c r="D6" s="313" t="n">
        <v>-1073484</v>
      </c>
      <c r="E6" s="317" t="n">
        <v>-706761</v>
      </c>
      <c r="F6" s="317" t="n">
        <v>-1597299</v>
      </c>
      <c r="G6" s="317" t="n">
        <v>-144749</v>
      </c>
      <c r="H6" s="315">
        <f>SUM(C6:G6)</f>
        <v/>
      </c>
    </row>
    <row r="7" ht="12.75" customHeight="1">
      <c r="A7" s="173" t="inlineStr">
        <is>
          <t>1611003</t>
        </is>
      </c>
      <c r="B7" s="174" t="inlineStr">
        <is>
          <t>VG Comm VG in exploitatie Buitengebruikstellingen cum. afschr. en waardeverm.</t>
        </is>
      </c>
      <c r="C7" s="313" t="n">
        <v>266922</v>
      </c>
      <c r="D7" s="313" t="n">
        <v>110448</v>
      </c>
      <c r="E7" s="313" t="n">
        <v>-303581</v>
      </c>
      <c r="F7" s="313" t="n">
        <v>170229</v>
      </c>
      <c r="G7" s="313" t="n">
        <v>16814</v>
      </c>
      <c r="H7" s="315">
        <f>SUM(C7:G7)</f>
        <v/>
      </c>
    </row>
    <row r="8" ht="12.75" customHeight="1">
      <c r="A8" s="174" t="inlineStr">
        <is>
          <t>Totaal Vastgoedbeleggingen</t>
        </is>
      </c>
    </row>
    <row r="10" ht="12.75" customHeight="1">
      <c r="A10" s="173" t="inlineStr">
        <is>
          <t>1790002</t>
        </is>
      </c>
      <c r="B10" s="174" t="inlineStr">
        <is>
          <t>FVA Latente belastingvordering langlopend</t>
        </is>
      </c>
      <c r="C10" s="313" t="n">
        <v>2933022</v>
      </c>
      <c r="D10" s="313" t="n">
        <v>631191</v>
      </c>
      <c r="E10" s="313" t="n">
        <v>142740</v>
      </c>
      <c r="F10" s="313" t="n">
        <v>120923</v>
      </c>
      <c r="G10" s="330" t="n">
        <v>161798</v>
      </c>
      <c r="H10" s="315">
        <f>SUM(C10:G10)</f>
        <v/>
      </c>
    </row>
    <row r="11" ht="12.75" customHeight="1">
      <c r="A11" s="174" t="inlineStr">
        <is>
          <t>Totaal Financiële vaste activa</t>
        </is>
      </c>
    </row>
    <row r="13" ht="12.75" customHeight="1">
      <c r="A13" s="173" t="inlineStr">
        <is>
          <t>2000000</t>
        </is>
      </c>
      <c r="B13" s="174" t="inlineStr">
        <is>
          <t>VOR Debiteuren</t>
        </is>
      </c>
      <c r="C13" s="313" t="n">
        <v>401646</v>
      </c>
      <c r="D13" s="313" t="n">
        <v>-108371</v>
      </c>
      <c r="E13" s="313" t="n">
        <v>-341343</v>
      </c>
      <c r="F13" s="313" t="n">
        <v>281344</v>
      </c>
      <c r="G13" s="330">
        <f>748300.39+144357.64</f>
        <v/>
      </c>
      <c r="H13" s="315">
        <f>SUM(C13:G13)</f>
        <v/>
      </c>
    </row>
    <row r="14" ht="12.75" customHeight="1">
      <c r="B14" s="174" t="inlineStr">
        <is>
          <t>Vooruitontvangen op debiteuren</t>
        </is>
      </c>
      <c r="C14" s="313" t="n">
        <v>0</v>
      </c>
      <c r="D14" s="313" t="n">
        <v>0</v>
      </c>
      <c r="E14" s="313" t="n">
        <v>0</v>
      </c>
      <c r="F14" s="313" t="n">
        <v>0</v>
      </c>
      <c r="G14" s="313" t="n">
        <v>-144357.64</v>
      </c>
      <c r="H14" s="315">
        <f>SUM(C14:G14)</f>
        <v/>
      </c>
    </row>
    <row r="15" ht="12.75" customHeight="1">
      <c r="A15" s="173" t="inlineStr">
        <is>
          <t>2000300</t>
        </is>
      </c>
      <c r="B15" s="174" t="inlineStr">
        <is>
          <t>VOR Voorziening dubieuze debiteuren</t>
        </is>
      </c>
      <c r="C15" s="313" t="n">
        <v>-55541</v>
      </c>
      <c r="D15" s="313" t="n">
        <v>23626</v>
      </c>
      <c r="E15" s="313" t="n">
        <v>0</v>
      </c>
      <c r="F15" s="313" t="n">
        <v>0</v>
      </c>
      <c r="G15" s="313" t="n">
        <v>0</v>
      </c>
      <c r="H15" s="315">
        <f>SUM(C15:G15)</f>
        <v/>
      </c>
    </row>
    <row r="16" ht="12.75" customHeight="1">
      <c r="A16" s="174" t="inlineStr">
        <is>
          <t>Totaal Debiteuren</t>
        </is>
      </c>
      <c r="H16" s="315">
        <f>SUM(C16:G16)</f>
        <v/>
      </c>
    </row>
    <row r="17" ht="12.75" customHeight="1">
      <c r="H17" s="315">
        <f>SUM(C17:G17)</f>
        <v/>
      </c>
    </row>
    <row r="18" ht="12.75" customHeight="1">
      <c r="A18" s="173" t="n">
        <v>2640000</v>
      </c>
      <c r="B18" s="174" t="inlineStr">
        <is>
          <t>RC Kortlopend DMRRP INV - I BV</t>
        </is>
      </c>
      <c r="C18" s="313" t="n">
        <v>-270817</v>
      </c>
      <c r="D18" s="313" t="n">
        <v>-859900</v>
      </c>
      <c r="E18" s="313" t="n">
        <v>436656</v>
      </c>
      <c r="F18" s="313" t="n">
        <v>550984</v>
      </c>
      <c r="G18" s="313" t="n">
        <v>1407409</v>
      </c>
      <c r="H18" s="315">
        <f>SUM(C18:G18)</f>
        <v/>
      </c>
    </row>
    <row r="19" ht="12.75" customHeight="1">
      <c r="A19" s="174" t="inlineStr">
        <is>
          <t>Totaal Rekening-courant aandeelhouder</t>
        </is>
      </c>
      <c r="H19" s="315">
        <f>SUM(C19:G19)</f>
        <v/>
      </c>
    </row>
    <row r="20" ht="12.75" customHeight="1">
      <c r="H20" s="315">
        <f>SUM(C20:G20)</f>
        <v/>
      </c>
    </row>
    <row r="21" ht="12.75" customHeight="1">
      <c r="A21" s="173" t="n">
        <v>2040200</v>
      </c>
      <c r="B21" s="174" t="inlineStr">
        <is>
          <t>VOR Te vorderen waarborgsommen kortlopen</t>
        </is>
      </c>
      <c r="C21" s="313" t="n">
        <v>5000</v>
      </c>
      <c r="D21" s="313" t="n">
        <v>0</v>
      </c>
      <c r="E21" s="313" t="n">
        <v>0</v>
      </c>
      <c r="F21" s="313" t="n">
        <v>0</v>
      </c>
      <c r="G21" s="313" t="n">
        <v>0</v>
      </c>
      <c r="H21" s="315">
        <f>SUM(C21:G21)</f>
        <v/>
      </c>
    </row>
    <row r="22" ht="12.75" customHeight="1">
      <c r="A22" s="173" t="n">
        <v>2040500</v>
      </c>
      <c r="B22" s="174" t="inlineStr">
        <is>
          <t>VOR Vooruitbetaalde verzekeringen</t>
        </is>
      </c>
      <c r="C22" s="313" t="n">
        <v>0</v>
      </c>
      <c r="D22" s="313" t="n">
        <v>0</v>
      </c>
      <c r="E22" s="313" t="n">
        <v>-14411</v>
      </c>
      <c r="F22" s="313" t="n">
        <v>70849</v>
      </c>
      <c r="G22" s="313" t="n">
        <v>-28219.3</v>
      </c>
      <c r="H22" s="315">
        <f>SUM(C22:G22)</f>
        <v/>
      </c>
    </row>
    <row r="23" ht="12.75" customHeight="1">
      <c r="A23" s="173" t="inlineStr">
        <is>
          <t>2040700</t>
        </is>
      </c>
      <c r="B23" s="174" t="inlineStr">
        <is>
          <t>VOR Vooruitbetaalde servicekosten</t>
        </is>
      </c>
      <c r="C23" s="313" t="n">
        <v>3818</v>
      </c>
      <c r="D23" s="313" t="n">
        <v>-1022</v>
      </c>
      <c r="E23" s="313" t="n">
        <v>-2796</v>
      </c>
      <c r="F23" s="313" t="n">
        <v>0</v>
      </c>
      <c r="G23" s="313" t="n">
        <v>0</v>
      </c>
      <c r="H23" s="315">
        <f>SUM(C23:G23)</f>
        <v/>
      </c>
    </row>
    <row r="24" ht="12.75" customHeight="1">
      <c r="A24" s="173" t="inlineStr">
        <is>
          <t>2040900</t>
        </is>
      </c>
      <c r="B24" s="174" t="inlineStr">
        <is>
          <t>VOR Vooruitbetaalde overige kosten</t>
        </is>
      </c>
      <c r="C24" s="313" t="n">
        <v>155893</v>
      </c>
      <c r="D24" s="313" t="n">
        <v>-155413</v>
      </c>
      <c r="E24" s="321" t="n">
        <v>198503.49</v>
      </c>
      <c r="F24" s="321" t="n">
        <v>-251330.51</v>
      </c>
      <c r="G24" s="330" t="n">
        <v>311027.5</v>
      </c>
      <c r="H24" s="315">
        <f>SUM(C24:G24)</f>
        <v/>
      </c>
      <c r="I24" s="316" t="inlineStr">
        <is>
          <t>Correctie betreft waterschapsbelasting, welke in Q3 betaald is over de hele periode van 2021. Deze kosten zijn verdeeld over 4 kwartalen.</t>
        </is>
      </c>
    </row>
    <row r="25" ht="12.75" customHeight="1">
      <c r="A25" s="174" t="inlineStr">
        <is>
          <t>Totaal overige vorderingen</t>
        </is>
      </c>
      <c r="H25" s="315">
        <f>SUM(C25:G25)</f>
        <v/>
      </c>
    </row>
    <row r="26" ht="12.75" customHeight="1">
      <c r="H26" s="315">
        <f>SUM(C26:G26)</f>
        <v/>
      </c>
    </row>
    <row r="27" ht="12.75" customHeight="1">
      <c r="A27" s="173" t="inlineStr">
        <is>
          <t>2300000</t>
        </is>
      </c>
      <c r="B27" s="174" t="inlineStr">
        <is>
          <t>LM Kruisposten</t>
        </is>
      </c>
      <c r="C27" s="313" t="n">
        <v>0</v>
      </c>
      <c r="D27" s="313" t="n">
        <v>0</v>
      </c>
      <c r="E27" s="313" t="n">
        <v>-343</v>
      </c>
      <c r="F27" s="313" t="n">
        <v>-3777</v>
      </c>
      <c r="G27" s="313" t="n">
        <v>-12957.2</v>
      </c>
      <c r="H27" s="315">
        <f>SUM(C27:G27)</f>
        <v/>
      </c>
    </row>
    <row r="28" ht="12.75" customHeight="1">
      <c r="A28" s="173" t="inlineStr">
        <is>
          <t>2400200</t>
        </is>
      </c>
      <c r="B28" s="174" t="inlineStr">
        <is>
          <t>LM ABN AMRO Bank Disposal NL58 ABNA 0818 9180 39</t>
        </is>
      </c>
      <c r="C28" s="313" t="n">
        <v>493</v>
      </c>
      <c r="D28" s="313" t="n">
        <v>-482</v>
      </c>
      <c r="E28" s="313" t="n">
        <v>-11</v>
      </c>
      <c r="F28" s="313" t="n">
        <v>0</v>
      </c>
      <c r="G28" s="330" t="n">
        <v>0.91</v>
      </c>
      <c r="H28" s="315">
        <f>SUM(C28:G28)</f>
        <v/>
      </c>
    </row>
    <row r="29" ht="12.75" customHeight="1">
      <c r="A29" s="173" t="inlineStr">
        <is>
          <t>2400201</t>
        </is>
      </c>
      <c r="B29" s="174" t="inlineStr">
        <is>
          <t>LM ABN AMRO Bank Deposit NL57 ABNA 0541 6205 68</t>
        </is>
      </c>
      <c r="C29" s="313" t="n">
        <v>36751</v>
      </c>
      <c r="D29" s="313" t="n">
        <v>-19</v>
      </c>
      <c r="E29" s="313" t="n">
        <v>-19</v>
      </c>
      <c r="F29" s="313" t="n">
        <v>-19</v>
      </c>
      <c r="G29" s="330" t="n">
        <v>-18.04</v>
      </c>
      <c r="H29" s="315">
        <f>SUM(C29:G29)</f>
        <v/>
      </c>
    </row>
    <row r="30" ht="12.75" customHeight="1">
      <c r="A30" s="173" t="inlineStr">
        <is>
          <t>2400202</t>
        </is>
      </c>
      <c r="B30" s="174" t="inlineStr">
        <is>
          <t>LM ABN AMRO Bank General NL93 ABNA 0541 6132 27</t>
        </is>
      </c>
      <c r="C30" s="313" t="n">
        <v>275076</v>
      </c>
      <c r="D30" s="313" t="n">
        <v>-13600</v>
      </c>
      <c r="E30" s="313" t="n">
        <v>-7131</v>
      </c>
      <c r="F30" s="313" t="n">
        <v>-37180</v>
      </c>
      <c r="G30" s="330" t="n">
        <v>-53403.02</v>
      </c>
      <c r="H30" s="315">
        <f>SUM(C30:G30)</f>
        <v/>
      </c>
    </row>
    <row r="31" ht="12.75" customHeight="1">
      <c r="A31" s="173" t="inlineStr">
        <is>
          <t>2400203</t>
        </is>
      </c>
      <c r="B31" s="174" t="inlineStr">
        <is>
          <t>LM ABN AMRO Bank Maintres NL04 ABNA 0541 6188 06</t>
        </is>
      </c>
      <c r="C31" s="313" t="n">
        <v>588962</v>
      </c>
      <c r="D31" s="313" t="n">
        <v>-393791</v>
      </c>
      <c r="E31" s="313" t="n">
        <v>-99389</v>
      </c>
      <c r="F31" s="313" t="n">
        <v>8473</v>
      </c>
      <c r="G31" s="330" t="n">
        <v>67284.67999999999</v>
      </c>
      <c r="H31" s="315">
        <f>SUM(C31:G31)</f>
        <v/>
      </c>
    </row>
    <row r="32" ht="12.75" customHeight="1">
      <c r="A32" s="173" t="inlineStr">
        <is>
          <t>2400204</t>
        </is>
      </c>
      <c r="B32" s="174" t="inlineStr">
        <is>
          <t>LM ABN AMRO Bank Rent NL46 ABNA 0541 6088 35</t>
        </is>
      </c>
      <c r="C32" s="313" t="n">
        <v>416544</v>
      </c>
      <c r="D32" s="313" t="n">
        <v>550068</v>
      </c>
      <c r="E32" s="313" t="n">
        <v>854946</v>
      </c>
      <c r="F32" s="313" t="n">
        <v>-722443</v>
      </c>
      <c r="G32" s="330" t="n">
        <v>-877600.4399999999</v>
      </c>
      <c r="H32" s="315">
        <f>SUM(C32:G32)</f>
        <v/>
      </c>
    </row>
    <row r="33" ht="12.75" customHeight="1">
      <c r="A33" s="173" t="inlineStr">
        <is>
          <t>2400205</t>
        </is>
      </c>
      <c r="B33" s="174" t="inlineStr">
        <is>
          <t>LM ABN AMRO Bank SR EXP NL88 ABNA 0541 6205 92</t>
        </is>
      </c>
      <c r="C33" s="313" t="n">
        <v>177922</v>
      </c>
      <c r="D33" s="313" t="n">
        <v>-125945</v>
      </c>
      <c r="E33" s="313" t="n">
        <v>61378</v>
      </c>
      <c r="F33" s="313" t="n">
        <v>-72522</v>
      </c>
      <c r="G33" s="330" t="n">
        <v>32976.39</v>
      </c>
      <c r="H33" s="315">
        <f>SUM(C33:G33)</f>
        <v/>
      </c>
    </row>
    <row r="34" ht="12.75" customHeight="1">
      <c r="A34" s="174" t="inlineStr">
        <is>
          <t>Totaal Liquide middelen</t>
        </is>
      </c>
      <c r="C34" s="313" t="n">
        <v>0</v>
      </c>
    </row>
    <row r="35" ht="12.75" customHeight="1">
      <c r="C35" s="313" t="n">
        <v>0</v>
      </c>
    </row>
    <row r="36" ht="12.75" customHeight="1">
      <c r="A36" s="173" t="n">
        <v>1000002</v>
      </c>
      <c r="B36" s="174" t="inlineStr">
        <is>
          <t>EV Normale aandelen Saldo</t>
        </is>
      </c>
      <c r="C36" s="313" t="n">
        <v>-1</v>
      </c>
      <c r="D36" s="313" t="n">
        <v>0</v>
      </c>
      <c r="E36" s="313" t="n">
        <v>0</v>
      </c>
      <c r="F36" s="313" t="n">
        <v>0</v>
      </c>
      <c r="G36" s="313" t="n">
        <v>0</v>
      </c>
      <c r="H36" s="315">
        <f>SUM(C36:G36)</f>
        <v/>
      </c>
    </row>
    <row r="37" ht="12.75" customHeight="1">
      <c r="A37" s="173" t="n">
        <v>1100000</v>
      </c>
      <c r="B37" s="174" t="inlineStr">
        <is>
          <t>EV Agioreserve Agio aandelen</t>
        </is>
      </c>
      <c r="C37" s="313" t="n">
        <v>-19231219</v>
      </c>
      <c r="D37" s="313" t="n">
        <v>0</v>
      </c>
      <c r="E37" s="313" t="n">
        <v>0</v>
      </c>
      <c r="F37" s="313" t="n">
        <v>200000</v>
      </c>
      <c r="G37" s="313" t="n">
        <v>0</v>
      </c>
      <c r="H37" s="315">
        <f>SUM(C37:G37)</f>
        <v/>
      </c>
    </row>
    <row r="38" ht="12.75" customHeight="1">
      <c r="A38" s="173" t="n">
        <v>1160000</v>
      </c>
      <c r="B38" s="174" t="inlineStr">
        <is>
          <t>EV Overige reserve Reserve aandelen</t>
        </is>
      </c>
      <c r="C38" s="313" t="n">
        <v>12615558</v>
      </c>
      <c r="D38" s="313" t="n">
        <v>0</v>
      </c>
      <c r="E38" s="313" t="n">
        <v>0</v>
      </c>
      <c r="F38" s="313" t="n">
        <v>0</v>
      </c>
      <c r="G38" s="313" t="n">
        <v>0</v>
      </c>
      <c r="H38" s="315">
        <f>SUM(C38:G38)</f>
        <v/>
      </c>
    </row>
    <row r="39" ht="12.75" customHeight="1">
      <c r="A39" s="173" t="inlineStr">
        <is>
          <t>1160100</t>
        </is>
      </c>
      <c r="B39" s="174" t="inlineStr">
        <is>
          <t>EV Overige reserve  Dividenduitkeringen aandelen</t>
        </is>
      </c>
      <c r="C39" s="313" t="n">
        <v>207000</v>
      </c>
      <c r="D39" s="313" t="n">
        <v>0</v>
      </c>
      <c r="E39" s="313" t="n">
        <v>0</v>
      </c>
      <c r="F39" s="313" t="n">
        <v>2000000</v>
      </c>
      <c r="G39" s="313" t="n">
        <v>0</v>
      </c>
      <c r="H39" s="315">
        <f>SUM(C39:G39)</f>
        <v/>
      </c>
    </row>
    <row r="40" ht="12.75" customHeight="1">
      <c r="A40" s="174" t="inlineStr">
        <is>
          <t>Totaal Eigen vermogen</t>
        </is>
      </c>
      <c r="C40" s="313" t="n">
        <v>0</v>
      </c>
      <c r="H40" s="315">
        <f>SUM(C40:G40)</f>
        <v/>
      </c>
    </row>
    <row r="41" ht="12.75" customHeight="1">
      <c r="C41" s="313" t="n">
        <v>0</v>
      </c>
      <c r="H41" s="315">
        <f>SUM(C41:G41)</f>
        <v/>
      </c>
    </row>
    <row r="42" ht="12.75" customHeight="1">
      <c r="A42" s="173" t="n">
        <v>1930001</v>
      </c>
      <c r="B42" s="174" t="inlineStr">
        <is>
          <t>LLS Hoofdsom ABN AMRO Bank NV Senior Facility Agreement</t>
        </is>
      </c>
      <c r="C42" s="313" t="n">
        <v>-130000000</v>
      </c>
      <c r="D42" s="313" t="n">
        <v>0</v>
      </c>
      <c r="E42" s="313" t="n">
        <v>0</v>
      </c>
      <c r="F42" s="313" t="n">
        <v>0</v>
      </c>
      <c r="G42" s="313" t="n">
        <v>0</v>
      </c>
      <c r="H42" s="315">
        <f>SUM(C42:G42)</f>
        <v/>
      </c>
    </row>
    <row r="43" ht="12.75" customHeight="1">
      <c r="A43" s="173" t="inlineStr">
        <is>
          <t>1930101</t>
        </is>
      </c>
      <c r="B43" s="174" t="inlineStr">
        <is>
          <t>LLS Cum aflossingen ABN AMRO Bank NV Senior Facility Agreement</t>
        </is>
      </c>
      <c r="C43" s="313" t="n">
        <v>18180866</v>
      </c>
      <c r="D43" s="313" t="n">
        <v>1984184</v>
      </c>
      <c r="E43" s="313" t="n">
        <v>1540803</v>
      </c>
      <c r="F43" s="313" t="n">
        <v>2253796</v>
      </c>
      <c r="G43" s="330" t="n">
        <v>889295.98</v>
      </c>
      <c r="H43" s="315">
        <f>SUM(C43:G43)</f>
        <v/>
      </c>
    </row>
    <row r="44" ht="12.75" customHeight="1">
      <c r="A44" s="174" t="inlineStr">
        <is>
          <t>Totaal Langlopende schulden</t>
        </is>
      </c>
      <c r="C44" s="313" t="n">
        <v>0</v>
      </c>
      <c r="H44" s="315">
        <f>SUM(C44:G44)</f>
        <v/>
      </c>
    </row>
    <row r="45" ht="12.75" customHeight="1">
      <c r="C45" s="313" t="n">
        <v>0</v>
      </c>
      <c r="H45" s="315">
        <f>SUM(C45:G45)</f>
        <v/>
      </c>
    </row>
    <row r="46" ht="12.75" customHeight="1">
      <c r="A46" s="173" t="inlineStr">
        <is>
          <t>2730000</t>
        </is>
      </c>
      <c r="B46" s="174" t="inlineStr">
        <is>
          <t>KLS Crediteuren</t>
        </is>
      </c>
      <c r="C46" s="313" t="n">
        <v>-211318</v>
      </c>
      <c r="D46" s="313">
        <f>-342182+85763.82</f>
        <v/>
      </c>
      <c r="E46" s="314">
        <f>123229-85763.82</f>
        <v/>
      </c>
      <c r="F46" s="314" t="n">
        <v>411485</v>
      </c>
      <c r="G46" s="314" t="n">
        <v>6778.95</v>
      </c>
      <c r="H46" s="315">
        <f>SUM(C46:G46)</f>
        <v/>
      </c>
    </row>
    <row r="47" ht="12.75" customHeight="1">
      <c r="A47" s="173" t="inlineStr">
        <is>
          <t>2730001</t>
        </is>
      </c>
      <c r="B47" s="174" t="inlineStr">
        <is>
          <t>KLS Crediteuren intercompany</t>
        </is>
      </c>
      <c r="C47" s="313" t="n">
        <v>0</v>
      </c>
      <c r="D47" s="313" t="n">
        <v>0</v>
      </c>
      <c r="E47" s="313" t="n">
        <v>0</v>
      </c>
      <c r="F47" s="313" t="n">
        <v>0</v>
      </c>
      <c r="G47" s="313" t="n">
        <v>0</v>
      </c>
      <c r="H47" s="315">
        <f>SUM(C47:G47)</f>
        <v/>
      </c>
    </row>
    <row r="48" ht="12.75" customHeight="1">
      <c r="A48" s="174" t="inlineStr">
        <is>
          <t>Totaal Crediteuren</t>
        </is>
      </c>
    </row>
    <row r="50" ht="12.75" customHeight="1">
      <c r="A50" s="173" t="inlineStr">
        <is>
          <t>2512100</t>
        </is>
      </c>
      <c r="B50" s="174" t="inlineStr">
        <is>
          <t>BEL Afgedragen/ontvangen BTW</t>
        </is>
      </c>
      <c r="C50" s="313" t="n">
        <v>-3664</v>
      </c>
      <c r="D50" s="313" t="n">
        <v>2114</v>
      </c>
      <c r="E50" s="313" t="n">
        <v>1550</v>
      </c>
      <c r="F50" s="313" t="n">
        <v>-3898</v>
      </c>
      <c r="G50" s="313">
        <f>-828.56+460</f>
        <v/>
      </c>
      <c r="H50" s="315">
        <f>SUM(C50:G50)</f>
        <v/>
      </c>
    </row>
    <row r="51" ht="12.75" customHeight="1">
      <c r="A51" s="173" t="inlineStr">
        <is>
          <t>2530000</t>
        </is>
      </c>
      <c r="B51" s="174" t="inlineStr">
        <is>
          <t>BEL Te betalen vennootschapsbelasting</t>
        </is>
      </c>
      <c r="C51" s="313" t="n">
        <v>0</v>
      </c>
      <c r="D51" s="313" t="n">
        <v>0</v>
      </c>
      <c r="E51" s="313" t="n">
        <v>0</v>
      </c>
      <c r="F51" s="313" t="n">
        <v>0</v>
      </c>
      <c r="G51" s="313" t="n">
        <v>0</v>
      </c>
      <c r="H51" s="315">
        <f>SUM(C51:G51)</f>
        <v/>
      </c>
    </row>
    <row r="52" ht="12.75" customHeight="1">
      <c r="A52" s="173" t="inlineStr">
        <is>
          <t>2550000</t>
        </is>
      </c>
      <c r="B52" s="174" t="inlineStr">
        <is>
          <t>BEL Te betalen overige belastingen</t>
        </is>
      </c>
      <c r="C52" s="313" t="n">
        <v>0</v>
      </c>
      <c r="D52" s="313" t="n">
        <v>0</v>
      </c>
      <c r="E52" s="313" t="n">
        <v>0</v>
      </c>
      <c r="F52" s="313" t="n">
        <v>0</v>
      </c>
      <c r="G52" s="313" t="n">
        <v>0</v>
      </c>
      <c r="H52" s="315">
        <f>SUM(C52:G52)</f>
        <v/>
      </c>
    </row>
    <row r="53" ht="12.75" customHeight="1">
      <c r="A53" s="174" t="inlineStr">
        <is>
          <t>Totaal Belastingen</t>
        </is>
      </c>
      <c r="H53" s="315">
        <f>SUM(C53:G53)</f>
        <v/>
      </c>
    </row>
    <row r="54" ht="12.75" customHeight="1">
      <c r="H54" s="315">
        <f>SUM(C54:G54)</f>
        <v/>
      </c>
    </row>
    <row r="55" ht="12.75" customHeight="1">
      <c r="A55" s="173" t="n">
        <v>2740100</v>
      </c>
      <c r="B55" s="174" t="inlineStr">
        <is>
          <t>KLS Vooruitgefactureerde huur</t>
        </is>
      </c>
      <c r="C55" s="313" t="n">
        <v>0</v>
      </c>
      <c r="D55" s="313" t="n">
        <v>0</v>
      </c>
      <c r="E55" s="313" t="n">
        <v>0</v>
      </c>
      <c r="F55" s="313" t="n">
        <v>0</v>
      </c>
      <c r="G55" s="313" t="n">
        <v>-990960</v>
      </c>
      <c r="H55" s="315">
        <f>SUM(C55:G55)</f>
        <v/>
      </c>
    </row>
    <row r="56" ht="12.75" customHeight="1">
      <c r="A56" s="173" t="inlineStr">
        <is>
          <t>2740300</t>
        </is>
      </c>
      <c r="B56" s="174" t="inlineStr">
        <is>
          <t>KLS Te betalen waarborgsommen kortlopend</t>
        </is>
      </c>
      <c r="C56" s="313" t="n">
        <v>-729992</v>
      </c>
      <c r="D56" s="313" t="n">
        <v>-37329</v>
      </c>
      <c r="E56" s="313">
        <f>5524-2</f>
        <v/>
      </c>
      <c r="F56" s="313">
        <f>-1404+2</f>
        <v/>
      </c>
      <c r="G56" s="313" t="n">
        <v>-43086.2</v>
      </c>
      <c r="H56" s="315">
        <f>SUM(C56:G56)</f>
        <v/>
      </c>
    </row>
    <row r="57" ht="12.75" customHeight="1">
      <c r="A57" s="173" t="n">
        <v>2740500</v>
      </c>
      <c r="B57" s="174" t="inlineStr">
        <is>
          <t>KLS Te betalen accountants- en administratiekosten</t>
        </is>
      </c>
      <c r="C57" s="313" t="n">
        <v>-22500</v>
      </c>
      <c r="D57" s="313" t="n">
        <v>0</v>
      </c>
      <c r="E57" s="313" t="n">
        <v>0</v>
      </c>
      <c r="F57" s="313" t="n">
        <v>0</v>
      </c>
      <c r="G57" s="313" t="n">
        <v>0</v>
      </c>
      <c r="H57" s="315">
        <f>SUM(C57:G57)</f>
        <v/>
      </c>
    </row>
    <row r="58" ht="12.75" customHeight="1">
      <c r="A58" s="173" t="inlineStr">
        <is>
          <t>2740600</t>
        </is>
      </c>
      <c r="B58" s="174" t="inlineStr">
        <is>
          <t>KLS Te betalen rente</t>
        </is>
      </c>
      <c r="C58" s="313" t="n">
        <v>0</v>
      </c>
      <c r="D58" s="313" t="n">
        <v>0</v>
      </c>
      <c r="E58" s="313" t="n">
        <v>0</v>
      </c>
      <c r="F58" s="313" t="n">
        <v>0</v>
      </c>
      <c r="G58" s="313" t="n">
        <v>0</v>
      </c>
      <c r="H58" s="315">
        <f>SUM(C58:G58)</f>
        <v/>
      </c>
    </row>
    <row r="59" ht="12.75" customHeight="1">
      <c r="A59" s="173" t="inlineStr">
        <is>
          <t>2740700</t>
        </is>
      </c>
      <c r="B59" s="174" t="inlineStr">
        <is>
          <t>KLS Te betalen verzekeringen</t>
        </is>
      </c>
      <c r="C59" s="313" t="n">
        <v>2</v>
      </c>
      <c r="D59" s="313" t="n">
        <v>-2</v>
      </c>
      <c r="E59" s="313" t="n">
        <v>0</v>
      </c>
      <c r="F59" s="313" t="n">
        <v>0</v>
      </c>
      <c r="G59" s="313" t="n">
        <v>0</v>
      </c>
      <c r="H59" s="315">
        <f>SUM(C59:G59)</f>
        <v/>
      </c>
    </row>
    <row r="60" ht="12.75" customHeight="1">
      <c r="A60" s="173" t="inlineStr">
        <is>
          <t>2741000</t>
        </is>
      </c>
      <c r="B60" s="174" t="inlineStr">
        <is>
          <t>KLS Te betalen servicekosten</t>
        </is>
      </c>
      <c r="C60" s="313" t="n">
        <v>-29200</v>
      </c>
      <c r="D60" s="313" t="n">
        <v>45129</v>
      </c>
      <c r="E60" s="313" t="n">
        <v>-15929</v>
      </c>
      <c r="F60" s="313" t="n">
        <v>0</v>
      </c>
      <c r="G60" s="313" t="n">
        <v>0</v>
      </c>
      <c r="H60" s="315">
        <f>SUM(C60:G60)</f>
        <v/>
      </c>
    </row>
    <row r="61" ht="12.75" customHeight="1">
      <c r="A61" s="173" t="inlineStr">
        <is>
          <t>2741001</t>
        </is>
      </c>
      <c r="B61" s="174" t="inlineStr">
        <is>
          <t>KLS Te betalen exploitatiekosten</t>
        </is>
      </c>
      <c r="C61" s="313" t="n">
        <v>-2118</v>
      </c>
      <c r="D61" s="313" t="n">
        <v>-4949</v>
      </c>
      <c r="E61" s="313" t="n">
        <v>7067</v>
      </c>
      <c r="F61" s="313" t="n">
        <v>0</v>
      </c>
      <c r="G61" s="313" t="n">
        <v>0</v>
      </c>
      <c r="H61" s="315">
        <f>SUM(C61:G61)</f>
        <v/>
      </c>
    </row>
    <row r="62" ht="12.75" customHeight="1">
      <c r="A62" s="173" t="inlineStr">
        <is>
          <t>2741002</t>
        </is>
      </c>
      <c r="B62" s="174" t="inlineStr">
        <is>
          <t>KLS Te betalen VVE</t>
        </is>
      </c>
      <c r="C62" s="313" t="n">
        <v>-1846</v>
      </c>
      <c r="D62" s="313" t="n">
        <v>440</v>
      </c>
      <c r="E62" s="321" t="n">
        <v>1406</v>
      </c>
      <c r="F62" s="321" t="inlineStr">
        <is>
          <t xml:space="preserve">                                  -  </t>
        </is>
      </c>
      <c r="G62" s="313" t="inlineStr">
        <is>
          <t xml:space="preserve">                                  -  </t>
        </is>
      </c>
      <c r="H62" s="315">
        <f>SUM(C62:G62)</f>
        <v/>
      </c>
      <c r="I62" s="316" t="inlineStr">
        <is>
          <t>Correctie betreft Verhuurdersheffing, welke in Q3 betaald is over de hele periode van 2021. Deze kosten zijn verdeeld over 4 kwartalen.</t>
        </is>
      </c>
    </row>
    <row r="63" ht="12.75" customHeight="1">
      <c r="A63" s="173" t="inlineStr">
        <is>
          <t>2741004</t>
        </is>
      </c>
      <c r="B63" s="174" t="inlineStr">
        <is>
          <t>KLS Te betalen Hoen</t>
        </is>
      </c>
      <c r="C63" s="313" t="n">
        <v>-80580</v>
      </c>
      <c r="D63" s="313" t="n">
        <v>39007</v>
      </c>
      <c r="E63" s="313" t="n">
        <v>-82495</v>
      </c>
      <c r="F63" s="313" t="n">
        <v>-122526</v>
      </c>
      <c r="G63" s="313" t="n">
        <v>121338.8</v>
      </c>
      <c r="H63" s="315">
        <f>SUM(C63:G63)</f>
        <v/>
      </c>
    </row>
    <row r="64" ht="12.75" customHeight="1">
      <c r="A64" s="173" t="inlineStr">
        <is>
          <t>2741005</t>
        </is>
      </c>
      <c r="B64" s="174" t="inlineStr">
        <is>
          <t>KLS Te betalen managementvergoedingen</t>
        </is>
      </c>
      <c r="C64" s="313" t="n">
        <v>0</v>
      </c>
      <c r="D64" s="313" t="n">
        <v>0</v>
      </c>
      <c r="E64" s="313" t="n">
        <v>0</v>
      </c>
      <c r="F64" s="313" t="n">
        <v>0</v>
      </c>
      <c r="G64" s="313" t="n">
        <v>0</v>
      </c>
      <c r="H64" s="315">
        <f>SUM(C64:G64)</f>
        <v/>
      </c>
    </row>
    <row r="65" ht="12.75" customHeight="1">
      <c r="A65" s="173" t="inlineStr">
        <is>
          <t>2741200</t>
        </is>
      </c>
      <c r="B65" s="174" t="inlineStr">
        <is>
          <t>KLS Te betalen agency fee</t>
        </is>
      </c>
      <c r="C65" s="313" t="n">
        <v>20000</v>
      </c>
      <c r="D65" s="313" t="n">
        <v>0</v>
      </c>
      <c r="E65" s="313" t="n">
        <v>0</v>
      </c>
      <c r="F65" s="313" t="n">
        <v>-20000</v>
      </c>
      <c r="G65" s="313" t="n">
        <v>20000</v>
      </c>
      <c r="H65" s="315">
        <f>SUM(C65:G65)</f>
        <v/>
      </c>
    </row>
    <row r="66" ht="12.75" customHeight="1">
      <c r="A66" s="173" t="inlineStr">
        <is>
          <t>2741900</t>
        </is>
      </c>
      <c r="B66" s="174" t="inlineStr">
        <is>
          <t>KLS Nog uit te zoeken posten MT940</t>
        </is>
      </c>
      <c r="C66" s="313" t="n">
        <v>-913</v>
      </c>
      <c r="D66" s="313" t="n">
        <v>913</v>
      </c>
      <c r="E66" s="313" t="n">
        <v>0</v>
      </c>
      <c r="F66" s="313" t="n">
        <v>0</v>
      </c>
      <c r="G66" s="313" t="n">
        <v>0</v>
      </c>
      <c r="H66" s="315">
        <f>SUM(C66:G66)</f>
        <v/>
      </c>
    </row>
    <row r="67" ht="12.75" customHeight="1">
      <c r="A67" s="173" t="inlineStr">
        <is>
          <t>2742200</t>
        </is>
      </c>
      <c r="B67" s="174" t="inlineStr">
        <is>
          <t>KLS Vooruitontvangen bedragen</t>
        </is>
      </c>
      <c r="C67" s="313" t="n">
        <v>-136679</v>
      </c>
      <c r="D67" s="313" t="n">
        <v>-9926</v>
      </c>
      <c r="E67" s="313" t="n">
        <v>146605</v>
      </c>
      <c r="F67" s="313" t="n">
        <v>0</v>
      </c>
      <c r="G67" s="313" t="n">
        <v>0</v>
      </c>
      <c r="H67" s="315">
        <f>SUM(C67:G67)</f>
        <v/>
      </c>
    </row>
    <row r="68" ht="12.75" customHeight="1">
      <c r="A68" s="174" t="inlineStr">
        <is>
          <t>Totaal Overige schulden</t>
        </is>
      </c>
    </row>
    <row r="70" ht="12.75" customHeight="1">
      <c r="F70" s="331">
        <f>F74/F72-1</f>
        <v/>
      </c>
      <c r="G70" s="331">
        <f>G74/G72-1</f>
        <v/>
      </c>
    </row>
    <row r="71" ht="12.75" customHeight="1">
      <c r="A71" s="179" t="inlineStr">
        <is>
          <t>Winst- en verliesrekening (baten zijn positief, kosten negatief)</t>
        </is>
      </c>
      <c r="J71" s="174" t="inlineStr">
        <is>
          <t>Rent roll oct 21 / 4</t>
        </is>
      </c>
    </row>
    <row r="72" ht="12.75" customHeight="1">
      <c r="A72" s="173" t="inlineStr">
        <is>
          <t>8000003</t>
        </is>
      </c>
      <c r="B72" s="174" t="inlineStr">
        <is>
          <t>OPB Netto-omzet Theoretische huuropbrengsten</t>
        </is>
      </c>
      <c r="D72" s="313" t="n">
        <v>-2904386</v>
      </c>
      <c r="E72" s="313" t="n">
        <v>-2904374</v>
      </c>
      <c r="F72" s="313" t="n">
        <v>-2863530</v>
      </c>
      <c r="G72" s="313" t="n">
        <v>-2860507</v>
      </c>
      <c r="H72" s="315">
        <f>SUM(C72:G72)</f>
        <v/>
      </c>
      <c r="J72" s="316" t="n">
        <v>2868597.859999999</v>
      </c>
      <c r="K72" s="332">
        <f>-J72+G72+F72+E72</f>
        <v/>
      </c>
    </row>
    <row r="73" ht="12.75" customHeight="1">
      <c r="A73" s="173" t="inlineStr">
        <is>
          <t>8000004</t>
        </is>
      </c>
      <c r="B73" s="174" t="inlineStr">
        <is>
          <t>OPB Netto-omzet Leegstand huuropbrengsten</t>
        </is>
      </c>
      <c r="D73" s="313" t="n">
        <v>64137</v>
      </c>
      <c r="E73" s="313" t="n">
        <v>54882</v>
      </c>
      <c r="F73" s="313" t="n">
        <v>62447</v>
      </c>
      <c r="G73" s="313" t="n">
        <v>59646.21</v>
      </c>
      <c r="H73" s="315">
        <f>SUM(C73:G73)</f>
        <v/>
      </c>
    </row>
    <row r="74" ht="12.75" customHeight="1">
      <c r="A74" s="174" t="inlineStr">
        <is>
          <t>Totaal Netto-omzet</t>
        </is>
      </c>
      <c r="D74" s="313">
        <f>SUM(D72:D73)</f>
        <v/>
      </c>
      <c r="E74" s="313">
        <f>SUM(E72:E73)</f>
        <v/>
      </c>
      <c r="F74" s="313">
        <f>SUM(F72:F73)</f>
        <v/>
      </c>
      <c r="G74" s="313">
        <f>SUM(G72:G73)</f>
        <v/>
      </c>
      <c r="H74" s="315">
        <f>SUM(C74:G74)</f>
        <v/>
      </c>
    </row>
    <row r="76" ht="12.75" customHeight="1">
      <c r="A76" s="173" t="inlineStr">
        <is>
          <t>8400600</t>
        </is>
      </c>
      <c r="B76" s="174" t="inlineStr">
        <is>
          <t>OPB Overige bedrijfsopbrengsten Totale servicekosten</t>
        </is>
      </c>
      <c r="D76" s="313" t="n">
        <v>-168131</v>
      </c>
      <c r="E76" s="313" t="n">
        <v>-172328</v>
      </c>
      <c r="F76" s="313" t="n">
        <v>-164913</v>
      </c>
      <c r="G76" s="313" t="n">
        <v>-163178</v>
      </c>
      <c r="H76" s="315">
        <f>SUM(C76:G76)</f>
        <v/>
      </c>
    </row>
    <row r="77" ht="12.75" customHeight="1">
      <c r="A77" s="173" t="inlineStr">
        <is>
          <t>8400700</t>
        </is>
      </c>
      <c r="B77" s="174" t="inlineStr">
        <is>
          <t>OPB Overige bedrijfsopbrengsten Servicekosten leegstand</t>
        </is>
      </c>
      <c r="D77" s="313" t="n">
        <v>21484</v>
      </c>
      <c r="E77" s="313" t="n">
        <v>10569</v>
      </c>
      <c r="F77" s="313" t="n">
        <v>5322</v>
      </c>
      <c r="G77" s="313" t="n">
        <v>6288.75</v>
      </c>
      <c r="H77" s="315">
        <f>SUM(C77:G77)</f>
        <v/>
      </c>
    </row>
    <row r="78" ht="12.75" customHeight="1">
      <c r="A78" s="173" t="inlineStr">
        <is>
          <t>8400800</t>
        </is>
      </c>
      <c r="B78" s="174" t="inlineStr">
        <is>
          <t>OPB Overige bedrijfsopbrengsten Gerealiseerde servicekosten</t>
        </is>
      </c>
      <c r="D78" s="313" t="n">
        <v>95892</v>
      </c>
      <c r="E78" s="313" t="n">
        <v>200668</v>
      </c>
      <c r="F78" s="313" t="n">
        <v>155500</v>
      </c>
      <c r="G78" s="313" t="n">
        <v>161869.1</v>
      </c>
      <c r="H78" s="315">
        <f>SUM(C78:G78)</f>
        <v/>
      </c>
    </row>
    <row r="79" ht="12.75" customHeight="1">
      <c r="A79" s="174" t="inlineStr">
        <is>
          <t>Totaal Overige bedrijfsopbrengsten</t>
        </is>
      </c>
      <c r="D79" s="313">
        <f>SUM(D76:D78)</f>
        <v/>
      </c>
      <c r="E79" s="313">
        <f>SUM(E76:E78)</f>
        <v/>
      </c>
      <c r="F79" s="313">
        <f>SUM(F76:F78)</f>
        <v/>
      </c>
      <c r="G79" s="313">
        <f>SUM(G76:G78)</f>
        <v/>
      </c>
      <c r="H79" s="315">
        <f>SUM(C79:G79)</f>
        <v/>
      </c>
    </row>
    <row r="81" ht="12.75" customHeight="1">
      <c r="A81" s="173" t="inlineStr">
        <is>
          <t>4051400</t>
        </is>
      </c>
      <c r="B81" s="174" t="inlineStr">
        <is>
          <t>KN Diensten door derden</t>
        </is>
      </c>
      <c r="D81" s="313" t="n">
        <v>123182</v>
      </c>
      <c r="E81" s="313" t="n">
        <v>122866</v>
      </c>
      <c r="F81" s="313" t="n">
        <v>121422</v>
      </c>
      <c r="G81" s="313" t="n">
        <v>121881.5</v>
      </c>
      <c r="H81" s="315">
        <f>SUM(C81:G81)</f>
        <v/>
      </c>
    </row>
    <row r="82" ht="12.75" customHeight="1">
      <c r="A82" s="174" t="inlineStr">
        <is>
          <t>Totaal overige personeelskosten</t>
        </is>
      </c>
      <c r="D82" s="313">
        <f>SUM(D81)</f>
        <v/>
      </c>
      <c r="E82" s="313">
        <f>SUM(E81)</f>
        <v/>
      </c>
      <c r="F82" s="313">
        <f>SUM(F81)</f>
        <v/>
      </c>
      <c r="G82" s="313">
        <f>SUM(G81)</f>
        <v/>
      </c>
      <c r="H82" s="315">
        <f>SUM(C82:G82)</f>
        <v/>
      </c>
    </row>
    <row r="84" ht="12.75" customHeight="1">
      <c r="A84" s="173" t="inlineStr">
        <is>
          <t>4730000</t>
        </is>
      </c>
      <c r="B84" s="174" t="inlineStr">
        <is>
          <t>AFKN Afschrijvingskosten Vastgoedbeleggingen</t>
        </is>
      </c>
      <c r="D84" s="313" t="n">
        <v>683661</v>
      </c>
      <c r="E84" s="313" t="n">
        <v>654502</v>
      </c>
      <c r="F84" s="313" t="n">
        <v>667313</v>
      </c>
      <c r="G84" s="313" t="n">
        <v>666766</v>
      </c>
      <c r="H84" s="315">
        <f>SUM(C84:G84)</f>
        <v/>
      </c>
    </row>
    <row r="85" ht="12.75" customHeight="1">
      <c r="A85" s="173" t="inlineStr">
        <is>
          <t>4730200</t>
        </is>
      </c>
      <c r="B85" s="174" t="inlineStr">
        <is>
          <t>AFKN Boekresultaat Vastgoedbeleggingen</t>
        </is>
      </c>
      <c r="D85" s="313" t="n">
        <v>-812075</v>
      </c>
      <c r="E85" s="313" t="n">
        <v>-746028</v>
      </c>
      <c r="F85" s="313" t="n">
        <v>-1978183</v>
      </c>
      <c r="G85" s="313" t="n">
        <v>-222065</v>
      </c>
      <c r="H85" s="315">
        <f>SUM(C85:G85)</f>
        <v/>
      </c>
    </row>
    <row r="86" ht="12.75" customHeight="1">
      <c r="A86" s="174" t="inlineStr">
        <is>
          <t>Totaal Afschrijvingen vastgoedbeleggingen</t>
        </is>
      </c>
      <c r="D86" s="313">
        <f>SUM(D84:D85)</f>
        <v/>
      </c>
      <c r="E86" s="313">
        <f>SUM(E84:E85)</f>
        <v/>
      </c>
      <c r="F86" s="313">
        <f>SUM(F84:F85)</f>
        <v/>
      </c>
      <c r="G86" s="313">
        <f>SUM(G84:G85)</f>
        <v/>
      </c>
      <c r="H86" s="315">
        <f>SUM(C86:G86)</f>
        <v/>
      </c>
    </row>
    <row r="88" ht="12.75" customHeight="1">
      <c r="A88" s="173" t="inlineStr">
        <is>
          <t>4100400</t>
        </is>
      </c>
      <c r="B88" s="174" t="inlineStr">
        <is>
          <t>KN Onderhoud gebouwen</t>
        </is>
      </c>
      <c r="D88" s="313">
        <f>-68395+J4</f>
        <v/>
      </c>
      <c r="E88" s="313">
        <f>92418+K4</f>
        <v/>
      </c>
      <c r="F88" s="313">
        <f>194822+L4</f>
        <v/>
      </c>
      <c r="G88" s="313">
        <f>134619.1+M4</f>
        <v/>
      </c>
      <c r="H88" s="315">
        <f>SUM(C88:G88)</f>
        <v/>
      </c>
    </row>
    <row r="89" ht="12.75" customHeight="1">
      <c r="A89" s="173" t="inlineStr">
        <is>
          <t>4100410</t>
        </is>
      </c>
      <c r="B89" s="174" t="inlineStr">
        <is>
          <t>Verhuurdersheffing</t>
        </is>
      </c>
      <c r="D89" s="313" t="n">
        <v>2047</v>
      </c>
      <c r="E89" s="321" t="n">
        <v>129402.5</v>
      </c>
      <c r="F89" s="321" t="n">
        <v>129402.5</v>
      </c>
      <c r="G89" s="313" t="n">
        <v>129402.5</v>
      </c>
      <c r="H89" s="315">
        <f>SUM(C89:G89)</f>
        <v/>
      </c>
      <c r="I89" s="316" t="inlineStr">
        <is>
          <t>Correctie betreft Verhuurdersheffing, welke in Q3 betaald is over de hele periode van 2021. Deze kosten zijn verdeeld over 4 kwartalen.</t>
        </is>
      </c>
    </row>
    <row r="90" ht="12.75" customHeight="1">
      <c r="A90" s="173" t="inlineStr">
        <is>
          <t>4100900</t>
        </is>
      </c>
      <c r="B90" s="174" t="inlineStr">
        <is>
          <t>KN Onroerende zaakbelasting</t>
        </is>
      </c>
      <c r="D90" s="313" t="n">
        <v>80316</v>
      </c>
      <c r="E90" s="313" t="n">
        <v>83330</v>
      </c>
      <c r="F90" s="313" t="n">
        <v>80091</v>
      </c>
      <c r="G90" s="313" t="n">
        <v>84680.21000000001</v>
      </c>
      <c r="H90" s="315">
        <f>SUM(C90:G90)</f>
        <v/>
      </c>
    </row>
    <row r="91" ht="12.75" customHeight="1">
      <c r="A91" s="173" t="inlineStr">
        <is>
          <t>4101000</t>
        </is>
      </c>
      <c r="B91" s="174" t="inlineStr">
        <is>
          <t>KN VvE-kosten</t>
        </is>
      </c>
      <c r="D91" s="313">
        <f>52555+85763.82</f>
        <v/>
      </c>
      <c r="E91" s="313">
        <f>87859+85763.82</f>
        <v/>
      </c>
      <c r="F91" s="313" t="n">
        <v>157568</v>
      </c>
      <c r="G91" s="313" t="n">
        <v>107779.2</v>
      </c>
      <c r="H91" s="315">
        <f>SUM(C91:G91)</f>
        <v/>
      </c>
    </row>
    <row r="92" ht="12.75" customHeight="1">
      <c r="A92" s="173" t="inlineStr">
        <is>
          <t>4101010</t>
        </is>
      </c>
      <c r="B92" s="174" t="inlineStr">
        <is>
          <t>Gemeentelijke belastingen</t>
        </is>
      </c>
      <c r="D92" s="313" t="n">
        <v>32352</v>
      </c>
      <c r="E92" s="313" t="n">
        <v>31087</v>
      </c>
      <c r="F92" s="313" t="n">
        <v>31441</v>
      </c>
      <c r="G92" s="313" t="n">
        <v>31288.14</v>
      </c>
      <c r="H92" s="315">
        <f>SUM(C92:G92)</f>
        <v/>
      </c>
    </row>
    <row r="93" ht="12.75" customHeight="1">
      <c r="A93" s="173" t="inlineStr">
        <is>
          <t>4101020</t>
        </is>
      </c>
      <c r="B93" s="174" t="inlineStr">
        <is>
          <t>Waterschapsbelasting</t>
        </is>
      </c>
      <c r="D93" s="313" t="n">
        <v>19893</v>
      </c>
      <c r="E93" s="321">
        <f>18355+780</f>
        <v/>
      </c>
      <c r="F93" s="321">
        <f>1582+14862+69</f>
        <v/>
      </c>
      <c r="G93" s="313">
        <f>42842+9256-37236</f>
        <v/>
      </c>
      <c r="H93" s="315">
        <f>SUM(C93:G93)</f>
        <v/>
      </c>
      <c r="I93" s="316" t="inlineStr">
        <is>
          <t>Correctie betreft waterschapsbelasting, welke in Q3 betaald is over de hele periode van 2021. Deze kosten zijn verdeeld over 4 kwartalen.</t>
        </is>
      </c>
    </row>
    <row r="94" ht="12.75" customHeight="1">
      <c r="A94" s="173" t="inlineStr">
        <is>
          <t>4101300</t>
        </is>
      </c>
      <c r="B94" s="174" t="inlineStr">
        <is>
          <t>KN Servicekosten leegstand</t>
        </is>
      </c>
      <c r="D94" s="313">
        <f>99369-34600</f>
        <v/>
      </c>
      <c r="E94" s="313" t="n">
        <v>-90</v>
      </c>
      <c r="F94" s="313" t="n">
        <v>-348</v>
      </c>
      <c r="G94" s="313" t="n">
        <v>0</v>
      </c>
      <c r="H94" s="315">
        <f>SUM(C94:G94)</f>
        <v/>
      </c>
    </row>
    <row r="95" ht="12.75" customHeight="1">
      <c r="A95" s="173" t="inlineStr">
        <is>
          <t>4109800</t>
        </is>
      </c>
      <c r="B95" s="174" t="inlineStr">
        <is>
          <t>KN Overige huisvestingskosten</t>
        </is>
      </c>
      <c r="D95" s="313" t="n">
        <v>0</v>
      </c>
      <c r="E95" s="313" t="n">
        <v>0</v>
      </c>
      <c r="F95" s="313" t="n">
        <v>0</v>
      </c>
      <c r="G95" s="313" t="n">
        <v>0</v>
      </c>
    </row>
    <row r="96" ht="12.75" customHeight="1">
      <c r="A96" s="174" t="inlineStr">
        <is>
          <t>Totaal Huisvestingskosten</t>
        </is>
      </c>
      <c r="D96" s="313">
        <f>SUM(D88:D95)</f>
        <v/>
      </c>
      <c r="E96" s="313">
        <f>SUM(E88:E95)</f>
        <v/>
      </c>
      <c r="F96" s="313">
        <f>SUM(F88:F95)</f>
        <v/>
      </c>
      <c r="G96" s="313">
        <f>SUM(G88:G95)</f>
        <v/>
      </c>
      <c r="H96" s="315">
        <f>SUM(C96:G96)</f>
        <v/>
      </c>
    </row>
    <row r="98" ht="12.75" customHeight="1">
      <c r="A98" s="173" t="inlineStr">
        <is>
          <t>4500400</t>
        </is>
      </c>
      <c r="B98" s="174" t="inlineStr">
        <is>
          <t>KN Representatiekosten</t>
        </is>
      </c>
      <c r="D98" s="313" t="n">
        <v>0</v>
      </c>
      <c r="E98" s="313" t="n">
        <v>0</v>
      </c>
      <c r="F98" s="313" t="n">
        <v>0</v>
      </c>
      <c r="G98" s="313" t="n">
        <v>0</v>
      </c>
      <c r="H98" s="315">
        <f>SUM(C98:G98)</f>
        <v/>
      </c>
    </row>
    <row r="99" ht="12.75" customHeight="1">
      <c r="A99" s="173" t="inlineStr">
        <is>
          <t>4501200</t>
        </is>
      </c>
      <c r="B99" s="174" t="inlineStr">
        <is>
          <t>KN Mutatie voorziening dubieuze debiteuren</t>
        </is>
      </c>
      <c r="D99" s="313" t="n">
        <v>-23626</v>
      </c>
      <c r="E99" s="313" t="n">
        <v>0</v>
      </c>
      <c r="F99" s="313" t="n">
        <v>0</v>
      </c>
      <c r="G99" s="313" t="n">
        <v>0</v>
      </c>
      <c r="H99" s="315">
        <f>SUM(C99:G99)</f>
        <v/>
      </c>
    </row>
    <row r="100" ht="12.75" customHeight="1">
      <c r="A100" s="173" t="inlineStr">
        <is>
          <t>4501300</t>
        </is>
      </c>
      <c r="B100" s="174" t="inlineStr">
        <is>
          <t>KN Afboeking dubieuze debiteuren</t>
        </is>
      </c>
      <c r="D100" s="313" t="n">
        <v>15255</v>
      </c>
      <c r="E100" s="313" t="n">
        <v>-90</v>
      </c>
      <c r="F100" s="313" t="n">
        <v>-2606</v>
      </c>
      <c r="G100" s="313" t="n">
        <v>461</v>
      </c>
      <c r="H100" s="315">
        <f>SUM(C100:G100)</f>
        <v/>
      </c>
    </row>
    <row r="101" ht="12.75" customHeight="1">
      <c r="A101" s="174" t="inlineStr">
        <is>
          <t>Totaal Verkoopkosten</t>
        </is>
      </c>
      <c r="D101" s="313">
        <f>SUM(D98:D100)</f>
        <v/>
      </c>
      <c r="E101" s="313">
        <f>SUM(E98:E100)</f>
        <v/>
      </c>
      <c r="F101" s="313">
        <f>SUM(F98:F100)</f>
        <v/>
      </c>
      <c r="G101" s="333">
        <f>SUM(G98:G100)</f>
        <v/>
      </c>
      <c r="H101" s="315">
        <f>SUM(C101:G101)</f>
        <v/>
      </c>
    </row>
    <row r="103" ht="12.75" customHeight="1">
      <c r="A103" s="173" t="inlineStr">
        <is>
          <t>4300500</t>
        </is>
      </c>
      <c r="B103" s="174" t="inlineStr">
        <is>
          <t>KN Incassokosten</t>
        </is>
      </c>
      <c r="D103" s="313" t="n">
        <v>990</v>
      </c>
      <c r="E103" s="313" t="n">
        <v>0</v>
      </c>
      <c r="F103" s="313" t="n">
        <v>300</v>
      </c>
      <c r="G103" s="313" t="n">
        <v>300</v>
      </c>
      <c r="H103" s="315">
        <f>SUM(C103:G103)</f>
        <v/>
      </c>
    </row>
    <row r="104" ht="12.75" customHeight="1">
      <c r="A104" s="174" t="inlineStr">
        <is>
          <t>Totaal Kantoorkosten</t>
        </is>
      </c>
      <c r="D104" s="313">
        <f>SUM(D103)</f>
        <v/>
      </c>
      <c r="E104" s="313">
        <f>SUM(E103)</f>
        <v/>
      </c>
      <c r="F104" s="313">
        <f>SUM(F103)</f>
        <v/>
      </c>
      <c r="G104" s="333">
        <f>SUM(G103)</f>
        <v/>
      </c>
      <c r="H104" s="315">
        <f>SUM(C104:G104)</f>
        <v/>
      </c>
    </row>
    <row r="106" ht="12.75" customHeight="1">
      <c r="A106" s="173" t="inlineStr">
        <is>
          <t>4310000</t>
        </is>
      </c>
      <c r="B106" s="174" t="inlineStr">
        <is>
          <t>KN Abonnementen en contributies</t>
        </is>
      </c>
      <c r="D106" s="313" t="n">
        <v>0</v>
      </c>
      <c r="E106" s="313" t="n">
        <v>0</v>
      </c>
      <c r="F106" s="313" t="n">
        <v>0</v>
      </c>
      <c r="G106" s="313" t="n">
        <v>0</v>
      </c>
    </row>
    <row r="107" ht="12.75" customHeight="1">
      <c r="A107" s="173" t="inlineStr">
        <is>
          <t>4310400</t>
        </is>
      </c>
      <c r="B107" s="174" t="inlineStr">
        <is>
          <t>KN Assurantiepremie algemeen</t>
        </is>
      </c>
      <c r="D107" s="313" t="n">
        <v>22455</v>
      </c>
      <c r="E107" s="313" t="n">
        <v>25616</v>
      </c>
      <c r="F107" s="313" t="n">
        <v>28130</v>
      </c>
      <c r="G107" s="313" t="n">
        <v>28219.25</v>
      </c>
      <c r="H107" s="315">
        <f>SUM(C107:G107)</f>
        <v/>
      </c>
    </row>
    <row r="108" ht="12.75" customHeight="1">
      <c r="A108" s="173" t="inlineStr">
        <is>
          <t>4310500</t>
        </is>
      </c>
      <c r="B108" s="174" t="inlineStr">
        <is>
          <t>KN Managementvergoeding</t>
        </is>
      </c>
      <c r="D108" s="313" t="n">
        <v>5445</v>
      </c>
      <c r="E108" s="313" t="n">
        <v>5445</v>
      </c>
      <c r="F108" s="313" t="n">
        <v>5445</v>
      </c>
      <c r="G108" s="313" t="n">
        <v>5445</v>
      </c>
      <c r="H108" s="315">
        <f>SUM(C108:G108)</f>
        <v/>
      </c>
    </row>
    <row r="109" ht="12.75" customHeight="1">
      <c r="A109" s="173" t="inlineStr">
        <is>
          <t>4310600</t>
        </is>
      </c>
      <c r="B109" s="174" t="inlineStr">
        <is>
          <t>KN Accountantskosten</t>
        </is>
      </c>
      <c r="D109" s="313" t="n">
        <v>6639</v>
      </c>
      <c r="E109" s="313" t="n">
        <v>31618</v>
      </c>
      <c r="F109" s="313" t="n">
        <v>31660</v>
      </c>
      <c r="G109" s="313" t="n">
        <v>61669.95</v>
      </c>
      <c r="H109" s="315">
        <f>SUM(C109:G109)</f>
        <v/>
      </c>
    </row>
    <row r="110" ht="12.75" customHeight="1">
      <c r="A110" s="173" t="inlineStr">
        <is>
          <t>4310700</t>
        </is>
      </c>
      <c r="B110" s="174" t="inlineStr">
        <is>
          <t>KN Administratiekosten</t>
        </is>
      </c>
      <c r="D110" s="313" t="n">
        <v>0</v>
      </c>
      <c r="E110" s="313" t="n">
        <v>2420</v>
      </c>
      <c r="F110" s="313" t="n">
        <v>0</v>
      </c>
      <c r="G110" s="333" t="n">
        <v>2420</v>
      </c>
      <c r="H110" s="315">
        <f>SUM(C110:G110)</f>
        <v/>
      </c>
    </row>
    <row r="111" ht="12.75" customHeight="1">
      <c r="A111" s="173" t="inlineStr">
        <is>
          <t>4310800</t>
        </is>
      </c>
      <c r="B111" s="174" t="inlineStr">
        <is>
          <t>KN Makelaarskosten</t>
        </is>
      </c>
      <c r="D111" s="313" t="n">
        <v>109673</v>
      </c>
      <c r="E111" s="313" t="n">
        <v>40646</v>
      </c>
      <c r="F111" s="313" t="n">
        <v>63411</v>
      </c>
      <c r="G111" s="313" t="n">
        <v>50119.65</v>
      </c>
      <c r="H111" s="315">
        <f>SUM(C111:G111)</f>
        <v/>
      </c>
    </row>
    <row r="112" ht="12.75" customHeight="1">
      <c r="A112" s="173" t="inlineStr">
        <is>
          <t>4311000</t>
        </is>
      </c>
      <c r="B112" s="174" t="inlineStr">
        <is>
          <t>KN Juridische kosten</t>
        </is>
      </c>
      <c r="D112" s="313" t="n">
        <v>7035</v>
      </c>
      <c r="E112" s="313" t="n">
        <v>2261</v>
      </c>
      <c r="F112" s="313" t="n">
        <v>8170</v>
      </c>
      <c r="G112" s="333" t="n">
        <v>3422.05</v>
      </c>
      <c r="H112" s="315">
        <f>SUM(C112:G112)</f>
        <v/>
      </c>
    </row>
    <row r="113" ht="12.75" customHeight="1">
      <c r="A113" s="173" t="inlineStr">
        <is>
          <t>4311800</t>
        </is>
      </c>
      <c r="B113" s="174" t="inlineStr">
        <is>
          <t>KN Advieskosten</t>
        </is>
      </c>
      <c r="D113" s="313" t="n">
        <v>0</v>
      </c>
      <c r="E113" s="313" t="n">
        <v>0</v>
      </c>
      <c r="F113" s="313" t="n">
        <v>0</v>
      </c>
      <c r="G113" s="313" t="n">
        <v>0</v>
      </c>
      <c r="H113" s="315">
        <f>SUM(C113:G113)</f>
        <v/>
      </c>
    </row>
    <row r="114" ht="12" customHeight="1">
      <c r="A114" s="173" t="inlineStr">
        <is>
          <t>4311900</t>
        </is>
      </c>
      <c r="B114" s="174" t="inlineStr">
        <is>
          <t>KN Bankkosten</t>
        </is>
      </c>
      <c r="D114" s="313" t="n">
        <v>3761</v>
      </c>
      <c r="E114" s="313" t="n">
        <v>2025</v>
      </c>
      <c r="F114" s="313">
        <f>1186-3</f>
        <v/>
      </c>
      <c r="G114" s="333" t="n">
        <v>6968.21</v>
      </c>
      <c r="H114" s="315">
        <f>SUM(C114:G114)</f>
        <v/>
      </c>
    </row>
    <row r="115" ht="12.75" customHeight="1">
      <c r="A115" s="173" t="inlineStr">
        <is>
          <t>4312600</t>
        </is>
      </c>
      <c r="B115" s="174" t="inlineStr">
        <is>
          <t>KN Agent Fee facility</t>
        </is>
      </c>
      <c r="D115" s="313" t="n">
        <v>0</v>
      </c>
      <c r="E115" s="313" t="n">
        <v>0</v>
      </c>
      <c r="F115" s="313" t="n">
        <v>20000</v>
      </c>
      <c r="G115" s="313" t="n">
        <v>20000</v>
      </c>
      <c r="H115" s="315">
        <f>SUM(C115:G115)</f>
        <v/>
      </c>
    </row>
    <row r="116" ht="12.75" customHeight="1">
      <c r="A116" s="173" t="inlineStr">
        <is>
          <t>4319800</t>
        </is>
      </c>
      <c r="B116" s="174" t="inlineStr">
        <is>
          <t>KN Overige algemene kosten</t>
        </is>
      </c>
      <c r="D116" s="313" t="n">
        <v>-934</v>
      </c>
      <c r="E116" s="313" t="n">
        <v>-1065</v>
      </c>
      <c r="F116" s="313" t="n">
        <v>12363</v>
      </c>
      <c r="G116" s="333">
        <f>-9583+182</f>
        <v/>
      </c>
      <c r="H116" s="315">
        <f>SUM(C116:G116)</f>
        <v/>
      </c>
    </row>
    <row r="117" ht="12.75" customHeight="1">
      <c r="A117" s="174" t="inlineStr">
        <is>
          <t>Totaal Algemene kosten</t>
        </is>
      </c>
      <c r="D117" s="313">
        <f>SUM(D106:D116)</f>
        <v/>
      </c>
      <c r="E117" s="313">
        <f>SUM(E106:E116)</f>
        <v/>
      </c>
      <c r="F117" s="313">
        <f>SUM(F106:F116)</f>
        <v/>
      </c>
      <c r="G117" s="313">
        <f>SUM(G106:G116)</f>
        <v/>
      </c>
      <c r="H117" s="315">
        <f>SUM(C117:G117)</f>
        <v/>
      </c>
    </row>
    <row r="118" ht="12.75" customHeight="1">
      <c r="E118" s="313" t="n">
        <v>0</v>
      </c>
      <c r="H118" s="315">
        <f>SUM(C118:G118)</f>
        <v/>
      </c>
    </row>
    <row r="119" ht="12.75" customHeight="1">
      <c r="A119" s="173" t="inlineStr">
        <is>
          <t>4623001</t>
        </is>
      </c>
      <c r="B119" s="174" t="inlineStr">
        <is>
          <t>FINBL Rente ABN AMRO Bank NV Senior Facility Agreement</t>
        </is>
      </c>
      <c r="D119" s="313" t="n">
        <v>442928</v>
      </c>
      <c r="E119" s="313" t="n">
        <v>425610</v>
      </c>
      <c r="F119" s="313" t="n">
        <v>424302</v>
      </c>
      <c r="G119" s="313" t="n">
        <v>420037.6</v>
      </c>
      <c r="H119" s="315">
        <f>SUM(C119:G119)</f>
        <v/>
      </c>
    </row>
    <row r="120" ht="12.75" customHeight="1">
      <c r="A120" s="173" t="n">
        <v>4611000</v>
      </c>
      <c r="B120" s="174" t="inlineStr">
        <is>
          <t>FINBL Rente RC DMRRP INV - I BV</t>
        </is>
      </c>
      <c r="D120" s="313" t="n">
        <v>70373</v>
      </c>
      <c r="E120" s="313" t="n">
        <v>0</v>
      </c>
      <c r="F120" s="313" t="n">
        <v>0</v>
      </c>
      <c r="G120" s="313" t="n">
        <v>0</v>
      </c>
      <c r="H120" s="315">
        <f>SUM(C120:G120)</f>
        <v/>
      </c>
    </row>
    <row r="121" ht="12.75" customHeight="1">
      <c r="A121" s="173" t="n">
        <v>4630000</v>
      </c>
      <c r="B121" s="174" t="inlineStr">
        <is>
          <t>FINBL Rente belastingen</t>
        </is>
      </c>
      <c r="D121" s="313" t="n">
        <v>0</v>
      </c>
      <c r="E121" s="313" t="n">
        <v>0</v>
      </c>
      <c r="F121" s="313" t="n">
        <v>0</v>
      </c>
      <c r="G121" s="313" t="n">
        <v>0</v>
      </c>
      <c r="H121" s="315">
        <f>SUM(C121:G121)</f>
        <v/>
      </c>
    </row>
    <row r="122" ht="12.75" customHeight="1">
      <c r="A122" s="173" t="inlineStr">
        <is>
          <t>4643000</t>
        </is>
      </c>
      <c r="B122" s="174" t="inlineStr">
        <is>
          <t>FINBL Overige rentelasten</t>
        </is>
      </c>
      <c r="D122" s="313" t="n">
        <v>105740</v>
      </c>
      <c r="E122" s="313" t="n">
        <v>102784</v>
      </c>
      <c r="F122" s="313" t="n">
        <v>103265</v>
      </c>
      <c r="G122" s="313" t="n">
        <v>103625.3</v>
      </c>
      <c r="H122" s="315">
        <f>SUM(C122:G122)</f>
        <v/>
      </c>
    </row>
    <row r="123" ht="12.75" customHeight="1">
      <c r="A123" s="173" t="n">
        <v>4642000</v>
      </c>
      <c r="B123" s="174" t="inlineStr">
        <is>
          <t>FINBL overige rentebaten</t>
        </is>
      </c>
      <c r="D123" s="313" t="n">
        <v>0</v>
      </c>
      <c r="E123" s="313" t="n">
        <v>0</v>
      </c>
      <c r="F123" s="313" t="n">
        <v>3574</v>
      </c>
      <c r="G123" s="313" t="n">
        <v>0</v>
      </c>
      <c r="H123" s="315">
        <f>SUM(C123:G123)</f>
        <v/>
      </c>
    </row>
    <row r="124" ht="12.75" customHeight="1">
      <c r="A124" s="173" t="inlineStr">
        <is>
          <t>Totaal Financiële baten en lasten</t>
        </is>
      </c>
      <c r="D124" s="313">
        <f>SUM(D119:D123)</f>
        <v/>
      </c>
      <c r="E124" s="313">
        <f>SUM(E119:E123)</f>
        <v/>
      </c>
      <c r="F124" s="313">
        <f>SUM(F119:F123)</f>
        <v/>
      </c>
      <c r="G124" s="313">
        <f>SUM(G119:G123)</f>
        <v/>
      </c>
      <c r="H124" s="315">
        <f>SUM(C124:G124)</f>
        <v/>
      </c>
    </row>
    <row r="125" ht="12.75" customHeight="1">
      <c r="H125" s="315">
        <f>SUM(C125:G125)</f>
        <v/>
      </c>
    </row>
    <row r="126" ht="12.75" customHeight="1">
      <c r="A126" s="173" t="n">
        <v>9500000</v>
      </c>
      <c r="B126" s="174" t="inlineStr">
        <is>
          <t>VPB Vennootschapsbelasting VPB Huidg jaar</t>
        </is>
      </c>
      <c r="D126" s="313" t="n">
        <v>0</v>
      </c>
      <c r="E126" s="313" t="n">
        <v>0</v>
      </c>
      <c r="F126" s="313" t="n">
        <v>0</v>
      </c>
      <c r="G126" s="313" t="n">
        <v>0</v>
      </c>
      <c r="H126" s="315">
        <f>SUM(C126:G126)</f>
        <v/>
      </c>
    </row>
    <row r="127" ht="12.75" customHeight="1">
      <c r="A127" s="173" t="inlineStr">
        <is>
          <t>9510000</t>
        </is>
      </c>
      <c r="B127" s="174" t="inlineStr">
        <is>
          <t>VPB Mutatie belastinglatentie Mutatie actieve latentie</t>
        </is>
      </c>
      <c r="D127" s="313">
        <f>1906131-631191</f>
        <v/>
      </c>
      <c r="E127" s="313" t="n">
        <v>0</v>
      </c>
      <c r="F127" s="313" t="n">
        <v>0</v>
      </c>
      <c r="G127" s="313" t="n">
        <v>0</v>
      </c>
      <c r="H127" s="315">
        <f>SUM(C127:G127)</f>
        <v/>
      </c>
    </row>
    <row r="128" ht="12.75" customHeight="1">
      <c r="A128" s="173" t="n">
        <v>9500100</v>
      </c>
      <c r="B128" s="174" t="inlineStr">
        <is>
          <t>VPB Vennootschapsbelasting VPB voorgaande jaren</t>
        </is>
      </c>
      <c r="D128" s="313" t="n">
        <v>-53597</v>
      </c>
      <c r="E128" s="313" t="n">
        <v>-142740</v>
      </c>
      <c r="F128" s="313" t="n">
        <v>-120923</v>
      </c>
      <c r="G128" s="313" t="n">
        <v>-161798</v>
      </c>
      <c r="H128" s="315">
        <f>SUM(C128:G128)</f>
        <v/>
      </c>
    </row>
    <row r="129" ht="12.75" customHeight="1">
      <c r="A129" s="173" t="inlineStr">
        <is>
          <t>Totaal vennootschapsbelasting</t>
        </is>
      </c>
      <c r="C129" s="314" t="n"/>
      <c r="D129" s="314">
        <f>SUM(D126:D128)</f>
        <v/>
      </c>
      <c r="E129" s="314">
        <f>SUM(E126:E128)</f>
        <v/>
      </c>
      <c r="F129" s="314">
        <f>SUM(F126:F128)</f>
        <v/>
      </c>
      <c r="G129" s="314">
        <f>SUM(G126:G128)-2</f>
        <v/>
      </c>
      <c r="H129" s="315">
        <f>SUM(C129:G129)</f>
        <v/>
      </c>
    </row>
    <row r="130" ht="12.75" customHeight="1">
      <c r="H130" s="315">
        <f>SUM(C130:G130)</f>
        <v/>
      </c>
    </row>
    <row r="131" ht="12.75" customHeight="1">
      <c r="A131" s="174" t="inlineStr">
        <is>
          <t>Resultaat na belasting</t>
        </is>
      </c>
      <c r="D131" s="313">
        <f>D74+D79+D82+D86+D96+D101+D104+D117+D124+D129</f>
        <v/>
      </c>
      <c r="E131" s="313">
        <f>E74+E79+E82+E86+E96+E101+E104+E117+E124+E129</f>
        <v/>
      </c>
      <c r="F131" s="313">
        <f>F74+F79+F82+F86+F96+F101+F104+F117+F124+F129</f>
        <v/>
      </c>
      <c r="G131" s="313">
        <f>G74+G79+G82+G86+G96+G101+G104+G117+G124+G129</f>
        <v/>
      </c>
      <c r="H131" s="315">
        <f>SUM(C131:G131)</f>
        <v/>
      </c>
    </row>
    <row r="133" ht="12.75" customHeight="1">
      <c r="C133" s="325" t="n"/>
      <c r="D133" s="325">
        <f>SUM(D4:D68)+D131</f>
        <v/>
      </c>
      <c r="E133" s="325">
        <f>SUM(E4:E68)+E131</f>
        <v/>
      </c>
      <c r="F133" s="325">
        <f>SUM(F4:F68)+F131</f>
        <v/>
      </c>
      <c r="G133" s="325">
        <f>SUM(G4:G68)+G131</f>
        <v/>
      </c>
      <c r="H133" s="316">
        <f>SUM(H4:H68)+H131</f>
        <v/>
      </c>
    </row>
    <row r="134" ht="12.75" customHeight="1">
      <c r="I134" s="316" t="n"/>
    </row>
    <row r="135" ht="12.75" customHeight="1">
      <c r="I135" s="316" t="n"/>
    </row>
    <row r="136" ht="12.75" customHeight="1">
      <c r="I136" s="316" t="n"/>
    </row>
    <row r="137" ht="12.75" customHeight="1">
      <c r="I137" s="316" t="n"/>
    </row>
    <row r="138" ht="12.75" customHeight="1">
      <c r="I138" s="316" t="n"/>
    </row>
    <row r="139" ht="12.75" customHeight="1">
      <c r="I139" s="316" t="n"/>
    </row>
    <row r="140" ht="12.75" customHeight="1">
      <c r="I140" s="316" t="n"/>
    </row>
    <row r="141" ht="12.75" customHeight="1">
      <c r="I141" s="316" t="n"/>
    </row>
    <row r="142" ht="12.75" customHeight="1">
      <c r="I142" s="316" t="n"/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33"/>
  <sheetViews>
    <sheetView zoomScaleNormal="100" workbookViewId="0">
      <pane xSplit="2" topLeftCell="C1" activePane="topRight" state="frozen"/>
      <selection pane="topRight" activeCell="H51" sqref="H51"/>
    </sheetView>
  </sheetViews>
  <sheetFormatPr baseColWidth="8" defaultRowHeight="12.75" customHeight="1"/>
  <cols>
    <col width="21.109375" bestFit="1" customWidth="1" style="173" min="1" max="1"/>
    <col width="70" bestFit="1" customWidth="1" style="174" min="2" max="2"/>
    <col width="24.5546875" bestFit="1" customWidth="1" style="313" min="3" max="3"/>
    <col width="22.44140625" customWidth="1" style="313" min="4" max="7"/>
    <col width="19.44140625" bestFit="1" customWidth="1" style="315" min="8" max="8"/>
    <col width="9.109375" customWidth="1" style="174" min="9" max="13"/>
    <col width="17.33203125" bestFit="1" customWidth="1" style="174" min="14" max="14"/>
    <col width="9.109375" customWidth="1" style="174" min="15" max="256"/>
    <col width="21.109375" bestFit="1" customWidth="1" style="174" min="257" max="257"/>
    <col width="70" bestFit="1" customWidth="1" style="174" min="258" max="258"/>
    <col width="24.5546875" bestFit="1" customWidth="1" style="174" min="259" max="259"/>
    <col width="22.44140625" customWidth="1" style="174" min="260" max="263"/>
    <col width="19.44140625" bestFit="1" customWidth="1" style="174" min="264" max="264"/>
    <col width="9.109375" customWidth="1" style="174" min="265" max="512"/>
    <col width="21.109375" bestFit="1" customWidth="1" style="174" min="513" max="513"/>
    <col width="70" bestFit="1" customWidth="1" style="174" min="514" max="514"/>
    <col width="24.5546875" bestFit="1" customWidth="1" style="174" min="515" max="515"/>
    <col width="22.44140625" customWidth="1" style="174" min="516" max="519"/>
    <col width="19.44140625" bestFit="1" customWidth="1" style="174" min="520" max="520"/>
    <col width="9.109375" customWidth="1" style="174" min="521" max="768"/>
    <col width="21.109375" bestFit="1" customWidth="1" style="174" min="769" max="769"/>
    <col width="70" bestFit="1" customWidth="1" style="174" min="770" max="770"/>
    <col width="24.5546875" bestFit="1" customWidth="1" style="174" min="771" max="771"/>
    <col width="22.44140625" customWidth="1" style="174" min="772" max="775"/>
    <col width="19.44140625" bestFit="1" customWidth="1" style="174" min="776" max="776"/>
    <col width="9.109375" customWidth="1" style="174" min="777" max="1024"/>
    <col width="21.109375" bestFit="1" customWidth="1" style="174" min="1025" max="1025"/>
    <col width="70" bestFit="1" customWidth="1" style="174" min="1026" max="1026"/>
    <col width="24.5546875" bestFit="1" customWidth="1" style="174" min="1027" max="1027"/>
    <col width="22.44140625" customWidth="1" style="174" min="1028" max="1031"/>
    <col width="19.44140625" bestFit="1" customWidth="1" style="174" min="1032" max="1032"/>
    <col width="9.109375" customWidth="1" style="174" min="1033" max="1280"/>
    <col width="21.109375" bestFit="1" customWidth="1" style="174" min="1281" max="1281"/>
    <col width="70" bestFit="1" customWidth="1" style="174" min="1282" max="1282"/>
    <col width="24.5546875" bestFit="1" customWidth="1" style="174" min="1283" max="1283"/>
    <col width="22.44140625" customWidth="1" style="174" min="1284" max="1287"/>
    <col width="19.44140625" bestFit="1" customWidth="1" style="174" min="1288" max="1288"/>
    <col width="9.109375" customWidth="1" style="174" min="1289" max="1536"/>
    <col width="21.109375" bestFit="1" customWidth="1" style="174" min="1537" max="1537"/>
    <col width="70" bestFit="1" customWidth="1" style="174" min="1538" max="1538"/>
    <col width="24.5546875" bestFit="1" customWidth="1" style="174" min="1539" max="1539"/>
    <col width="22.44140625" customWidth="1" style="174" min="1540" max="1543"/>
    <col width="19.44140625" bestFit="1" customWidth="1" style="174" min="1544" max="1544"/>
    <col width="9.109375" customWidth="1" style="174" min="1545" max="1792"/>
    <col width="21.109375" bestFit="1" customWidth="1" style="174" min="1793" max="1793"/>
    <col width="70" bestFit="1" customWidth="1" style="174" min="1794" max="1794"/>
    <col width="24.5546875" bestFit="1" customWidth="1" style="174" min="1795" max="1795"/>
    <col width="22.44140625" customWidth="1" style="174" min="1796" max="1799"/>
    <col width="19.44140625" bestFit="1" customWidth="1" style="174" min="1800" max="1800"/>
    <col width="9.109375" customWidth="1" style="174" min="1801" max="2048"/>
    <col width="21.109375" bestFit="1" customWidth="1" style="174" min="2049" max="2049"/>
    <col width="70" bestFit="1" customWidth="1" style="174" min="2050" max="2050"/>
    <col width="24.5546875" bestFit="1" customWidth="1" style="174" min="2051" max="2051"/>
    <col width="22.44140625" customWidth="1" style="174" min="2052" max="2055"/>
    <col width="19.44140625" bestFit="1" customWidth="1" style="174" min="2056" max="2056"/>
    <col width="9.109375" customWidth="1" style="174" min="2057" max="2304"/>
    <col width="21.109375" bestFit="1" customWidth="1" style="174" min="2305" max="2305"/>
    <col width="70" bestFit="1" customWidth="1" style="174" min="2306" max="2306"/>
    <col width="24.5546875" bestFit="1" customWidth="1" style="174" min="2307" max="2307"/>
    <col width="22.44140625" customWidth="1" style="174" min="2308" max="2311"/>
    <col width="19.44140625" bestFit="1" customWidth="1" style="174" min="2312" max="2312"/>
    <col width="9.109375" customWidth="1" style="174" min="2313" max="2560"/>
    <col width="21.109375" bestFit="1" customWidth="1" style="174" min="2561" max="2561"/>
    <col width="70" bestFit="1" customWidth="1" style="174" min="2562" max="2562"/>
    <col width="24.5546875" bestFit="1" customWidth="1" style="174" min="2563" max="2563"/>
    <col width="22.44140625" customWidth="1" style="174" min="2564" max="2567"/>
    <col width="19.44140625" bestFit="1" customWidth="1" style="174" min="2568" max="2568"/>
    <col width="9.109375" customWidth="1" style="174" min="2569" max="2816"/>
    <col width="21.109375" bestFit="1" customWidth="1" style="174" min="2817" max="2817"/>
    <col width="70" bestFit="1" customWidth="1" style="174" min="2818" max="2818"/>
    <col width="24.5546875" bestFit="1" customWidth="1" style="174" min="2819" max="2819"/>
    <col width="22.44140625" customWidth="1" style="174" min="2820" max="2823"/>
    <col width="19.44140625" bestFit="1" customWidth="1" style="174" min="2824" max="2824"/>
    <col width="9.109375" customWidth="1" style="174" min="2825" max="3072"/>
    <col width="21.109375" bestFit="1" customWidth="1" style="174" min="3073" max="3073"/>
    <col width="70" bestFit="1" customWidth="1" style="174" min="3074" max="3074"/>
    <col width="24.5546875" bestFit="1" customWidth="1" style="174" min="3075" max="3075"/>
    <col width="22.44140625" customWidth="1" style="174" min="3076" max="3079"/>
    <col width="19.44140625" bestFit="1" customWidth="1" style="174" min="3080" max="3080"/>
    <col width="9.109375" customWidth="1" style="174" min="3081" max="3328"/>
    <col width="21.109375" bestFit="1" customWidth="1" style="174" min="3329" max="3329"/>
    <col width="70" bestFit="1" customWidth="1" style="174" min="3330" max="3330"/>
    <col width="24.5546875" bestFit="1" customWidth="1" style="174" min="3331" max="3331"/>
    <col width="22.44140625" customWidth="1" style="174" min="3332" max="3335"/>
    <col width="19.44140625" bestFit="1" customWidth="1" style="174" min="3336" max="3336"/>
    <col width="9.109375" customWidth="1" style="174" min="3337" max="3584"/>
    <col width="21.109375" bestFit="1" customWidth="1" style="174" min="3585" max="3585"/>
    <col width="70" bestFit="1" customWidth="1" style="174" min="3586" max="3586"/>
    <col width="24.5546875" bestFit="1" customWidth="1" style="174" min="3587" max="3587"/>
    <col width="22.44140625" customWidth="1" style="174" min="3588" max="3591"/>
    <col width="19.44140625" bestFit="1" customWidth="1" style="174" min="3592" max="3592"/>
    <col width="9.109375" customWidth="1" style="174" min="3593" max="3840"/>
    <col width="21.109375" bestFit="1" customWidth="1" style="174" min="3841" max="3841"/>
    <col width="70" bestFit="1" customWidth="1" style="174" min="3842" max="3842"/>
    <col width="24.5546875" bestFit="1" customWidth="1" style="174" min="3843" max="3843"/>
    <col width="22.44140625" customWidth="1" style="174" min="3844" max="3847"/>
    <col width="19.44140625" bestFit="1" customWidth="1" style="174" min="3848" max="3848"/>
    <col width="9.109375" customWidth="1" style="174" min="3849" max="4096"/>
    <col width="21.109375" bestFit="1" customWidth="1" style="174" min="4097" max="4097"/>
    <col width="70" bestFit="1" customWidth="1" style="174" min="4098" max="4098"/>
    <col width="24.5546875" bestFit="1" customWidth="1" style="174" min="4099" max="4099"/>
    <col width="22.44140625" customWidth="1" style="174" min="4100" max="4103"/>
    <col width="19.44140625" bestFit="1" customWidth="1" style="174" min="4104" max="4104"/>
    <col width="9.109375" customWidth="1" style="174" min="4105" max="4352"/>
    <col width="21.109375" bestFit="1" customWidth="1" style="174" min="4353" max="4353"/>
    <col width="70" bestFit="1" customWidth="1" style="174" min="4354" max="4354"/>
    <col width="24.5546875" bestFit="1" customWidth="1" style="174" min="4355" max="4355"/>
    <col width="22.44140625" customWidth="1" style="174" min="4356" max="4359"/>
    <col width="19.44140625" bestFit="1" customWidth="1" style="174" min="4360" max="4360"/>
    <col width="9.109375" customWidth="1" style="174" min="4361" max="4608"/>
    <col width="21.109375" bestFit="1" customWidth="1" style="174" min="4609" max="4609"/>
    <col width="70" bestFit="1" customWidth="1" style="174" min="4610" max="4610"/>
    <col width="24.5546875" bestFit="1" customWidth="1" style="174" min="4611" max="4611"/>
    <col width="22.44140625" customWidth="1" style="174" min="4612" max="4615"/>
    <col width="19.44140625" bestFit="1" customWidth="1" style="174" min="4616" max="4616"/>
    <col width="9.109375" customWidth="1" style="174" min="4617" max="4864"/>
    <col width="21.109375" bestFit="1" customWidth="1" style="174" min="4865" max="4865"/>
    <col width="70" bestFit="1" customWidth="1" style="174" min="4866" max="4866"/>
    <col width="24.5546875" bestFit="1" customWidth="1" style="174" min="4867" max="4867"/>
    <col width="22.44140625" customWidth="1" style="174" min="4868" max="4871"/>
    <col width="19.44140625" bestFit="1" customWidth="1" style="174" min="4872" max="4872"/>
    <col width="9.109375" customWidth="1" style="174" min="4873" max="5120"/>
    <col width="21.109375" bestFit="1" customWidth="1" style="174" min="5121" max="5121"/>
    <col width="70" bestFit="1" customWidth="1" style="174" min="5122" max="5122"/>
    <col width="24.5546875" bestFit="1" customWidth="1" style="174" min="5123" max="5123"/>
    <col width="22.44140625" customWidth="1" style="174" min="5124" max="5127"/>
    <col width="19.44140625" bestFit="1" customWidth="1" style="174" min="5128" max="5128"/>
    <col width="9.109375" customWidth="1" style="174" min="5129" max="5376"/>
    <col width="21.109375" bestFit="1" customWidth="1" style="174" min="5377" max="5377"/>
    <col width="70" bestFit="1" customWidth="1" style="174" min="5378" max="5378"/>
    <col width="24.5546875" bestFit="1" customWidth="1" style="174" min="5379" max="5379"/>
    <col width="22.44140625" customWidth="1" style="174" min="5380" max="5383"/>
    <col width="19.44140625" bestFit="1" customWidth="1" style="174" min="5384" max="5384"/>
    <col width="9.109375" customWidth="1" style="174" min="5385" max="5632"/>
    <col width="21.109375" bestFit="1" customWidth="1" style="174" min="5633" max="5633"/>
    <col width="70" bestFit="1" customWidth="1" style="174" min="5634" max="5634"/>
    <col width="24.5546875" bestFit="1" customWidth="1" style="174" min="5635" max="5635"/>
    <col width="22.44140625" customWidth="1" style="174" min="5636" max="5639"/>
    <col width="19.44140625" bestFit="1" customWidth="1" style="174" min="5640" max="5640"/>
    <col width="9.109375" customWidth="1" style="174" min="5641" max="5888"/>
    <col width="21.109375" bestFit="1" customWidth="1" style="174" min="5889" max="5889"/>
    <col width="70" bestFit="1" customWidth="1" style="174" min="5890" max="5890"/>
    <col width="24.5546875" bestFit="1" customWidth="1" style="174" min="5891" max="5891"/>
    <col width="22.44140625" customWidth="1" style="174" min="5892" max="5895"/>
    <col width="19.44140625" bestFit="1" customWidth="1" style="174" min="5896" max="5896"/>
    <col width="9.109375" customWidth="1" style="174" min="5897" max="6144"/>
    <col width="21.109375" bestFit="1" customWidth="1" style="174" min="6145" max="6145"/>
    <col width="70" bestFit="1" customWidth="1" style="174" min="6146" max="6146"/>
    <col width="24.5546875" bestFit="1" customWidth="1" style="174" min="6147" max="6147"/>
    <col width="22.44140625" customWidth="1" style="174" min="6148" max="6151"/>
    <col width="19.44140625" bestFit="1" customWidth="1" style="174" min="6152" max="6152"/>
    <col width="9.109375" customWidth="1" style="174" min="6153" max="6400"/>
    <col width="21.109375" bestFit="1" customWidth="1" style="174" min="6401" max="6401"/>
    <col width="70" bestFit="1" customWidth="1" style="174" min="6402" max="6402"/>
    <col width="24.5546875" bestFit="1" customWidth="1" style="174" min="6403" max="6403"/>
    <col width="22.44140625" customWidth="1" style="174" min="6404" max="6407"/>
    <col width="19.44140625" bestFit="1" customWidth="1" style="174" min="6408" max="6408"/>
    <col width="9.109375" customWidth="1" style="174" min="6409" max="6656"/>
    <col width="21.109375" bestFit="1" customWidth="1" style="174" min="6657" max="6657"/>
    <col width="70" bestFit="1" customWidth="1" style="174" min="6658" max="6658"/>
    <col width="24.5546875" bestFit="1" customWidth="1" style="174" min="6659" max="6659"/>
    <col width="22.44140625" customWidth="1" style="174" min="6660" max="6663"/>
    <col width="19.44140625" bestFit="1" customWidth="1" style="174" min="6664" max="6664"/>
    <col width="9.109375" customWidth="1" style="174" min="6665" max="6912"/>
    <col width="21.109375" bestFit="1" customWidth="1" style="174" min="6913" max="6913"/>
    <col width="70" bestFit="1" customWidth="1" style="174" min="6914" max="6914"/>
    <col width="24.5546875" bestFit="1" customWidth="1" style="174" min="6915" max="6915"/>
    <col width="22.44140625" customWidth="1" style="174" min="6916" max="6919"/>
    <col width="19.44140625" bestFit="1" customWidth="1" style="174" min="6920" max="6920"/>
    <col width="9.109375" customWidth="1" style="174" min="6921" max="7168"/>
    <col width="21.109375" bestFit="1" customWidth="1" style="174" min="7169" max="7169"/>
    <col width="70" bestFit="1" customWidth="1" style="174" min="7170" max="7170"/>
    <col width="24.5546875" bestFit="1" customWidth="1" style="174" min="7171" max="7171"/>
    <col width="22.44140625" customWidth="1" style="174" min="7172" max="7175"/>
    <col width="19.44140625" bestFit="1" customWidth="1" style="174" min="7176" max="7176"/>
    <col width="9.109375" customWidth="1" style="174" min="7177" max="7424"/>
    <col width="21.109375" bestFit="1" customWidth="1" style="174" min="7425" max="7425"/>
    <col width="70" bestFit="1" customWidth="1" style="174" min="7426" max="7426"/>
    <col width="24.5546875" bestFit="1" customWidth="1" style="174" min="7427" max="7427"/>
    <col width="22.44140625" customWidth="1" style="174" min="7428" max="7431"/>
    <col width="19.44140625" bestFit="1" customWidth="1" style="174" min="7432" max="7432"/>
    <col width="9.109375" customWidth="1" style="174" min="7433" max="7680"/>
    <col width="21.109375" bestFit="1" customWidth="1" style="174" min="7681" max="7681"/>
    <col width="70" bestFit="1" customWidth="1" style="174" min="7682" max="7682"/>
    <col width="24.5546875" bestFit="1" customWidth="1" style="174" min="7683" max="7683"/>
    <col width="22.44140625" customWidth="1" style="174" min="7684" max="7687"/>
    <col width="19.44140625" bestFit="1" customWidth="1" style="174" min="7688" max="7688"/>
    <col width="9.109375" customWidth="1" style="174" min="7689" max="7936"/>
    <col width="21.109375" bestFit="1" customWidth="1" style="174" min="7937" max="7937"/>
    <col width="70" bestFit="1" customWidth="1" style="174" min="7938" max="7938"/>
    <col width="24.5546875" bestFit="1" customWidth="1" style="174" min="7939" max="7939"/>
    <col width="22.44140625" customWidth="1" style="174" min="7940" max="7943"/>
    <col width="19.44140625" bestFit="1" customWidth="1" style="174" min="7944" max="7944"/>
    <col width="9.109375" customWidth="1" style="174" min="7945" max="8192"/>
    <col width="21.109375" bestFit="1" customWidth="1" style="174" min="8193" max="8193"/>
    <col width="70" bestFit="1" customWidth="1" style="174" min="8194" max="8194"/>
    <col width="24.5546875" bestFit="1" customWidth="1" style="174" min="8195" max="8195"/>
    <col width="22.44140625" customWidth="1" style="174" min="8196" max="8199"/>
    <col width="19.44140625" bestFit="1" customWidth="1" style="174" min="8200" max="8200"/>
    <col width="9.109375" customWidth="1" style="174" min="8201" max="8448"/>
    <col width="21.109375" bestFit="1" customWidth="1" style="174" min="8449" max="8449"/>
    <col width="70" bestFit="1" customWidth="1" style="174" min="8450" max="8450"/>
    <col width="24.5546875" bestFit="1" customWidth="1" style="174" min="8451" max="8451"/>
    <col width="22.44140625" customWidth="1" style="174" min="8452" max="8455"/>
    <col width="19.44140625" bestFit="1" customWidth="1" style="174" min="8456" max="8456"/>
    <col width="9.109375" customWidth="1" style="174" min="8457" max="8704"/>
    <col width="21.109375" bestFit="1" customWidth="1" style="174" min="8705" max="8705"/>
    <col width="70" bestFit="1" customWidth="1" style="174" min="8706" max="8706"/>
    <col width="24.5546875" bestFit="1" customWidth="1" style="174" min="8707" max="8707"/>
    <col width="22.44140625" customWidth="1" style="174" min="8708" max="8711"/>
    <col width="19.44140625" bestFit="1" customWidth="1" style="174" min="8712" max="8712"/>
    <col width="9.109375" customWidth="1" style="174" min="8713" max="8960"/>
    <col width="21.109375" bestFit="1" customWidth="1" style="174" min="8961" max="8961"/>
    <col width="70" bestFit="1" customWidth="1" style="174" min="8962" max="8962"/>
    <col width="24.5546875" bestFit="1" customWidth="1" style="174" min="8963" max="8963"/>
    <col width="22.44140625" customWidth="1" style="174" min="8964" max="8967"/>
    <col width="19.44140625" bestFit="1" customWidth="1" style="174" min="8968" max="8968"/>
    <col width="9.109375" customWidth="1" style="174" min="8969" max="9216"/>
    <col width="21.109375" bestFit="1" customWidth="1" style="174" min="9217" max="9217"/>
    <col width="70" bestFit="1" customWidth="1" style="174" min="9218" max="9218"/>
    <col width="24.5546875" bestFit="1" customWidth="1" style="174" min="9219" max="9219"/>
    <col width="22.44140625" customWidth="1" style="174" min="9220" max="9223"/>
    <col width="19.44140625" bestFit="1" customWidth="1" style="174" min="9224" max="9224"/>
    <col width="9.109375" customWidth="1" style="174" min="9225" max="9472"/>
    <col width="21.109375" bestFit="1" customWidth="1" style="174" min="9473" max="9473"/>
    <col width="70" bestFit="1" customWidth="1" style="174" min="9474" max="9474"/>
    <col width="24.5546875" bestFit="1" customWidth="1" style="174" min="9475" max="9475"/>
    <col width="22.44140625" customWidth="1" style="174" min="9476" max="9479"/>
    <col width="19.44140625" bestFit="1" customWidth="1" style="174" min="9480" max="9480"/>
    <col width="9.109375" customWidth="1" style="174" min="9481" max="9728"/>
    <col width="21.109375" bestFit="1" customWidth="1" style="174" min="9729" max="9729"/>
    <col width="70" bestFit="1" customWidth="1" style="174" min="9730" max="9730"/>
    <col width="24.5546875" bestFit="1" customWidth="1" style="174" min="9731" max="9731"/>
    <col width="22.44140625" customWidth="1" style="174" min="9732" max="9735"/>
    <col width="19.44140625" bestFit="1" customWidth="1" style="174" min="9736" max="9736"/>
    <col width="9.109375" customWidth="1" style="174" min="9737" max="9984"/>
    <col width="21.109375" bestFit="1" customWidth="1" style="174" min="9985" max="9985"/>
    <col width="70" bestFit="1" customWidth="1" style="174" min="9986" max="9986"/>
    <col width="24.5546875" bestFit="1" customWidth="1" style="174" min="9987" max="9987"/>
    <col width="22.44140625" customWidth="1" style="174" min="9988" max="9991"/>
    <col width="19.44140625" bestFit="1" customWidth="1" style="174" min="9992" max="9992"/>
    <col width="9.109375" customWidth="1" style="174" min="9993" max="10240"/>
    <col width="21.109375" bestFit="1" customWidth="1" style="174" min="10241" max="10241"/>
    <col width="70" bestFit="1" customWidth="1" style="174" min="10242" max="10242"/>
    <col width="24.5546875" bestFit="1" customWidth="1" style="174" min="10243" max="10243"/>
    <col width="22.44140625" customWidth="1" style="174" min="10244" max="10247"/>
    <col width="19.44140625" bestFit="1" customWidth="1" style="174" min="10248" max="10248"/>
    <col width="9.109375" customWidth="1" style="174" min="10249" max="10496"/>
    <col width="21.109375" bestFit="1" customWidth="1" style="174" min="10497" max="10497"/>
    <col width="70" bestFit="1" customWidth="1" style="174" min="10498" max="10498"/>
    <col width="24.5546875" bestFit="1" customWidth="1" style="174" min="10499" max="10499"/>
    <col width="22.44140625" customWidth="1" style="174" min="10500" max="10503"/>
    <col width="19.44140625" bestFit="1" customWidth="1" style="174" min="10504" max="10504"/>
    <col width="9.109375" customWidth="1" style="174" min="10505" max="10752"/>
    <col width="21.109375" bestFit="1" customWidth="1" style="174" min="10753" max="10753"/>
    <col width="70" bestFit="1" customWidth="1" style="174" min="10754" max="10754"/>
    <col width="24.5546875" bestFit="1" customWidth="1" style="174" min="10755" max="10755"/>
    <col width="22.44140625" customWidth="1" style="174" min="10756" max="10759"/>
    <col width="19.44140625" bestFit="1" customWidth="1" style="174" min="10760" max="10760"/>
    <col width="9.109375" customWidth="1" style="174" min="10761" max="11008"/>
    <col width="21.109375" bestFit="1" customWidth="1" style="174" min="11009" max="11009"/>
    <col width="70" bestFit="1" customWidth="1" style="174" min="11010" max="11010"/>
    <col width="24.5546875" bestFit="1" customWidth="1" style="174" min="11011" max="11011"/>
    <col width="22.44140625" customWidth="1" style="174" min="11012" max="11015"/>
    <col width="19.44140625" bestFit="1" customWidth="1" style="174" min="11016" max="11016"/>
    <col width="9.109375" customWidth="1" style="174" min="11017" max="11264"/>
    <col width="21.109375" bestFit="1" customWidth="1" style="174" min="11265" max="11265"/>
    <col width="70" bestFit="1" customWidth="1" style="174" min="11266" max="11266"/>
    <col width="24.5546875" bestFit="1" customWidth="1" style="174" min="11267" max="11267"/>
    <col width="22.44140625" customWidth="1" style="174" min="11268" max="11271"/>
    <col width="19.44140625" bestFit="1" customWidth="1" style="174" min="11272" max="11272"/>
    <col width="9.109375" customWidth="1" style="174" min="11273" max="11520"/>
    <col width="21.109375" bestFit="1" customWidth="1" style="174" min="11521" max="11521"/>
    <col width="70" bestFit="1" customWidth="1" style="174" min="11522" max="11522"/>
    <col width="24.5546875" bestFit="1" customWidth="1" style="174" min="11523" max="11523"/>
    <col width="22.44140625" customWidth="1" style="174" min="11524" max="11527"/>
    <col width="19.44140625" bestFit="1" customWidth="1" style="174" min="11528" max="11528"/>
    <col width="9.109375" customWidth="1" style="174" min="11529" max="11776"/>
    <col width="21.109375" bestFit="1" customWidth="1" style="174" min="11777" max="11777"/>
    <col width="70" bestFit="1" customWidth="1" style="174" min="11778" max="11778"/>
    <col width="24.5546875" bestFit="1" customWidth="1" style="174" min="11779" max="11779"/>
    <col width="22.44140625" customWidth="1" style="174" min="11780" max="11783"/>
    <col width="19.44140625" bestFit="1" customWidth="1" style="174" min="11784" max="11784"/>
    <col width="9.109375" customWidth="1" style="174" min="11785" max="12032"/>
    <col width="21.109375" bestFit="1" customWidth="1" style="174" min="12033" max="12033"/>
    <col width="70" bestFit="1" customWidth="1" style="174" min="12034" max="12034"/>
    <col width="24.5546875" bestFit="1" customWidth="1" style="174" min="12035" max="12035"/>
    <col width="22.44140625" customWidth="1" style="174" min="12036" max="12039"/>
    <col width="19.44140625" bestFit="1" customWidth="1" style="174" min="12040" max="12040"/>
    <col width="9.109375" customWidth="1" style="174" min="12041" max="12288"/>
    <col width="21.109375" bestFit="1" customWidth="1" style="174" min="12289" max="12289"/>
    <col width="70" bestFit="1" customWidth="1" style="174" min="12290" max="12290"/>
    <col width="24.5546875" bestFit="1" customWidth="1" style="174" min="12291" max="12291"/>
    <col width="22.44140625" customWidth="1" style="174" min="12292" max="12295"/>
    <col width="19.44140625" bestFit="1" customWidth="1" style="174" min="12296" max="12296"/>
    <col width="9.109375" customWidth="1" style="174" min="12297" max="12544"/>
    <col width="21.109375" bestFit="1" customWidth="1" style="174" min="12545" max="12545"/>
    <col width="70" bestFit="1" customWidth="1" style="174" min="12546" max="12546"/>
    <col width="24.5546875" bestFit="1" customWidth="1" style="174" min="12547" max="12547"/>
    <col width="22.44140625" customWidth="1" style="174" min="12548" max="12551"/>
    <col width="19.44140625" bestFit="1" customWidth="1" style="174" min="12552" max="12552"/>
    <col width="9.109375" customWidth="1" style="174" min="12553" max="12800"/>
    <col width="21.109375" bestFit="1" customWidth="1" style="174" min="12801" max="12801"/>
    <col width="70" bestFit="1" customWidth="1" style="174" min="12802" max="12802"/>
    <col width="24.5546875" bestFit="1" customWidth="1" style="174" min="12803" max="12803"/>
    <col width="22.44140625" customWidth="1" style="174" min="12804" max="12807"/>
    <col width="19.44140625" bestFit="1" customWidth="1" style="174" min="12808" max="12808"/>
    <col width="9.109375" customWidth="1" style="174" min="12809" max="13056"/>
    <col width="21.109375" bestFit="1" customWidth="1" style="174" min="13057" max="13057"/>
    <col width="70" bestFit="1" customWidth="1" style="174" min="13058" max="13058"/>
    <col width="24.5546875" bestFit="1" customWidth="1" style="174" min="13059" max="13059"/>
    <col width="22.44140625" customWidth="1" style="174" min="13060" max="13063"/>
    <col width="19.44140625" bestFit="1" customWidth="1" style="174" min="13064" max="13064"/>
    <col width="9.109375" customWidth="1" style="174" min="13065" max="13312"/>
    <col width="21.109375" bestFit="1" customWidth="1" style="174" min="13313" max="13313"/>
    <col width="70" bestFit="1" customWidth="1" style="174" min="13314" max="13314"/>
    <col width="24.5546875" bestFit="1" customWidth="1" style="174" min="13315" max="13315"/>
    <col width="22.44140625" customWidth="1" style="174" min="13316" max="13319"/>
    <col width="19.44140625" bestFit="1" customWidth="1" style="174" min="13320" max="13320"/>
    <col width="9.109375" customWidth="1" style="174" min="13321" max="13568"/>
    <col width="21.109375" bestFit="1" customWidth="1" style="174" min="13569" max="13569"/>
    <col width="70" bestFit="1" customWidth="1" style="174" min="13570" max="13570"/>
    <col width="24.5546875" bestFit="1" customWidth="1" style="174" min="13571" max="13571"/>
    <col width="22.44140625" customWidth="1" style="174" min="13572" max="13575"/>
    <col width="19.44140625" bestFit="1" customWidth="1" style="174" min="13576" max="13576"/>
    <col width="9.109375" customWidth="1" style="174" min="13577" max="13824"/>
    <col width="21.109375" bestFit="1" customWidth="1" style="174" min="13825" max="13825"/>
    <col width="70" bestFit="1" customWidth="1" style="174" min="13826" max="13826"/>
    <col width="24.5546875" bestFit="1" customWidth="1" style="174" min="13827" max="13827"/>
    <col width="22.44140625" customWidth="1" style="174" min="13828" max="13831"/>
    <col width="19.44140625" bestFit="1" customWidth="1" style="174" min="13832" max="13832"/>
    <col width="9.109375" customWidth="1" style="174" min="13833" max="14080"/>
    <col width="21.109375" bestFit="1" customWidth="1" style="174" min="14081" max="14081"/>
    <col width="70" bestFit="1" customWidth="1" style="174" min="14082" max="14082"/>
    <col width="24.5546875" bestFit="1" customWidth="1" style="174" min="14083" max="14083"/>
    <col width="22.44140625" customWidth="1" style="174" min="14084" max="14087"/>
    <col width="19.44140625" bestFit="1" customWidth="1" style="174" min="14088" max="14088"/>
    <col width="9.109375" customWidth="1" style="174" min="14089" max="14336"/>
    <col width="21.109375" bestFit="1" customWidth="1" style="174" min="14337" max="14337"/>
    <col width="70" bestFit="1" customWidth="1" style="174" min="14338" max="14338"/>
    <col width="24.5546875" bestFit="1" customWidth="1" style="174" min="14339" max="14339"/>
    <col width="22.44140625" customWidth="1" style="174" min="14340" max="14343"/>
    <col width="19.44140625" bestFit="1" customWidth="1" style="174" min="14344" max="14344"/>
    <col width="9.109375" customWidth="1" style="174" min="14345" max="14592"/>
    <col width="21.109375" bestFit="1" customWidth="1" style="174" min="14593" max="14593"/>
    <col width="70" bestFit="1" customWidth="1" style="174" min="14594" max="14594"/>
    <col width="24.5546875" bestFit="1" customWidth="1" style="174" min="14595" max="14595"/>
    <col width="22.44140625" customWidth="1" style="174" min="14596" max="14599"/>
    <col width="19.44140625" bestFit="1" customWidth="1" style="174" min="14600" max="14600"/>
    <col width="9.109375" customWidth="1" style="174" min="14601" max="14848"/>
    <col width="21.109375" bestFit="1" customWidth="1" style="174" min="14849" max="14849"/>
    <col width="70" bestFit="1" customWidth="1" style="174" min="14850" max="14850"/>
    <col width="24.5546875" bestFit="1" customWidth="1" style="174" min="14851" max="14851"/>
    <col width="22.44140625" customWidth="1" style="174" min="14852" max="14855"/>
    <col width="19.44140625" bestFit="1" customWidth="1" style="174" min="14856" max="14856"/>
    <col width="9.109375" customWidth="1" style="174" min="14857" max="15104"/>
    <col width="21.109375" bestFit="1" customWidth="1" style="174" min="15105" max="15105"/>
    <col width="70" bestFit="1" customWidth="1" style="174" min="15106" max="15106"/>
    <col width="24.5546875" bestFit="1" customWidth="1" style="174" min="15107" max="15107"/>
    <col width="22.44140625" customWidth="1" style="174" min="15108" max="15111"/>
    <col width="19.44140625" bestFit="1" customWidth="1" style="174" min="15112" max="15112"/>
    <col width="9.109375" customWidth="1" style="174" min="15113" max="15360"/>
    <col width="21.109375" bestFit="1" customWidth="1" style="174" min="15361" max="15361"/>
    <col width="70" bestFit="1" customWidth="1" style="174" min="15362" max="15362"/>
    <col width="24.5546875" bestFit="1" customWidth="1" style="174" min="15363" max="15363"/>
    <col width="22.44140625" customWidth="1" style="174" min="15364" max="15367"/>
    <col width="19.44140625" bestFit="1" customWidth="1" style="174" min="15368" max="15368"/>
    <col width="9.109375" customWidth="1" style="174" min="15369" max="15616"/>
    <col width="21.109375" bestFit="1" customWidth="1" style="174" min="15617" max="15617"/>
    <col width="70" bestFit="1" customWidth="1" style="174" min="15618" max="15618"/>
    <col width="24.5546875" bestFit="1" customWidth="1" style="174" min="15619" max="15619"/>
    <col width="22.44140625" customWidth="1" style="174" min="15620" max="15623"/>
    <col width="19.44140625" bestFit="1" customWidth="1" style="174" min="15624" max="15624"/>
    <col width="9.109375" customWidth="1" style="174" min="15625" max="15872"/>
    <col width="21.109375" bestFit="1" customWidth="1" style="174" min="15873" max="15873"/>
    <col width="70" bestFit="1" customWidth="1" style="174" min="15874" max="15874"/>
    <col width="24.5546875" bestFit="1" customWidth="1" style="174" min="15875" max="15875"/>
    <col width="22.44140625" customWidth="1" style="174" min="15876" max="15879"/>
    <col width="19.44140625" bestFit="1" customWidth="1" style="174" min="15880" max="15880"/>
    <col width="9.109375" customWidth="1" style="174" min="15881" max="16128"/>
    <col width="21.109375" bestFit="1" customWidth="1" style="174" min="16129" max="16129"/>
    <col width="70" bestFit="1" customWidth="1" style="174" min="16130" max="16130"/>
    <col width="24.5546875" bestFit="1" customWidth="1" style="174" min="16131" max="16131"/>
    <col width="22.44140625" customWidth="1" style="174" min="16132" max="16135"/>
    <col width="19.44140625" bestFit="1" customWidth="1" style="174" min="16136" max="16136"/>
    <col width="9.109375" customWidth="1" style="174" min="16137" max="16384"/>
  </cols>
  <sheetData>
    <row r="1" ht="12.75" customHeight="1">
      <c r="C1" s="314" t="inlineStr">
        <is>
          <t>Eindbalans per 31-12-2020</t>
        </is>
      </c>
      <c r="D1" s="334" t="inlineStr">
        <is>
          <t>Mutaties Q1 2021</t>
        </is>
      </c>
      <c r="E1" s="334" t="inlineStr">
        <is>
          <t>Mutaties Q2 2021</t>
        </is>
      </c>
      <c r="F1" s="334" t="inlineStr">
        <is>
          <t>Mutaties Q3 2021</t>
        </is>
      </c>
      <c r="G1" s="334" t="inlineStr">
        <is>
          <t>Mutaties Q4</t>
        </is>
      </c>
      <c r="H1" s="315" t="inlineStr">
        <is>
          <t>Saldi per 31-12-2021</t>
        </is>
      </c>
      <c r="K1" s="314" t="inlineStr">
        <is>
          <t>Mutaties Q1 2021</t>
        </is>
      </c>
      <c r="L1" s="314" t="inlineStr">
        <is>
          <t>Mutaties Q2 2021</t>
        </is>
      </c>
      <c r="M1" s="314" t="inlineStr">
        <is>
          <t>Mutaties Q3 2021</t>
        </is>
      </c>
      <c r="N1" s="314" t="inlineStr">
        <is>
          <t>Mutaties Q4 2021</t>
        </is>
      </c>
    </row>
    <row r="2" ht="12.75" customHeight="1">
      <c r="N2" s="112" t="n"/>
    </row>
    <row r="3" ht="12.75" customHeight="1">
      <c r="A3" s="179" t="inlineStr">
        <is>
          <t>Balans</t>
        </is>
      </c>
      <c r="N3" s="112" t="n"/>
    </row>
    <row r="4" ht="12.75" customHeight="1">
      <c r="A4" s="173" t="n">
        <v>1600200</v>
      </c>
      <c r="B4" s="174" t="inlineStr">
        <is>
          <t>VG Vastgoedbeleggingen Verkrijgings- of vervaardigingsprijs</t>
        </is>
      </c>
      <c r="C4" s="313" t="n">
        <v>130683585</v>
      </c>
      <c r="H4" s="315">
        <f>SUM(C4:G4)</f>
        <v/>
      </c>
      <c r="K4" s="174" t="n">
        <v>172507</v>
      </c>
      <c r="L4" s="174" t="n">
        <v>238485</v>
      </c>
      <c r="M4" s="174" t="n">
        <v>230282.95</v>
      </c>
      <c r="N4" s="313" t="n">
        <v>606011.02</v>
      </c>
    </row>
    <row r="5" ht="12.75" customHeight="1">
      <c r="A5" s="173" t="inlineStr">
        <is>
          <t>1600200</t>
        </is>
      </c>
      <c r="B5" s="174" t="inlineStr">
        <is>
          <t>VG Vastgoedbeleggingen Cum afschrijvingen en waardeverm</t>
        </is>
      </c>
      <c r="C5" s="313" t="n">
        <v>-12924017</v>
      </c>
      <c r="D5" s="313" t="n">
        <v>-277132</v>
      </c>
      <c r="E5" s="313" t="n">
        <v>-667313</v>
      </c>
      <c r="F5" s="313" t="n">
        <v>-666766</v>
      </c>
      <c r="G5" s="313" t="n">
        <v>-679632</v>
      </c>
      <c r="H5" s="315">
        <f>SUM(C5:G5)</f>
        <v/>
      </c>
    </row>
    <row r="6" ht="12.75" customHeight="1">
      <c r="A6" s="173" t="inlineStr">
        <is>
          <t>1610803</t>
        </is>
      </c>
      <c r="B6" s="174" t="inlineStr">
        <is>
          <t>VG Comm VG in exploitatie Buitengebruikstellingen aanschaffingswaarde</t>
        </is>
      </c>
      <c r="C6" s="313" t="n">
        <v>-4048750</v>
      </c>
      <c r="D6" s="317" t="n">
        <v>-706761</v>
      </c>
      <c r="E6" s="317" t="n">
        <v>-1597299</v>
      </c>
      <c r="F6" s="317" t="n">
        <v>-144749</v>
      </c>
      <c r="G6" s="317" t="n">
        <v>-856186</v>
      </c>
      <c r="H6" s="315">
        <f>SUM(C6:G6)</f>
        <v/>
      </c>
      <c r="N6" s="174" t="n">
        <v>47675</v>
      </c>
    </row>
    <row r="7" ht="12.75" customHeight="1">
      <c r="A7" s="173" t="inlineStr">
        <is>
          <t>1611003</t>
        </is>
      </c>
      <c r="B7" s="174" t="inlineStr">
        <is>
          <t>VG Comm VG in exploitatie Buitengebruikstellingen cum. afschr. en waardeverm.</t>
        </is>
      </c>
      <c r="C7" s="313" t="n">
        <v>377370</v>
      </c>
      <c r="D7" s="313" t="n">
        <v>-303581</v>
      </c>
      <c r="E7" s="313" t="n">
        <v>170229</v>
      </c>
      <c r="F7" s="313" t="n">
        <v>16814</v>
      </c>
      <c r="G7" s="313" t="n">
        <v>102659</v>
      </c>
      <c r="H7" s="315">
        <f>SUM(C7:G7)</f>
        <v/>
      </c>
      <c r="N7" s="332">
        <f>N4-N6</f>
        <v/>
      </c>
    </row>
    <row r="8" ht="12.75" customHeight="1">
      <c r="A8" s="174" t="inlineStr">
        <is>
          <t>Totaal Vastgoedbeleggingen</t>
        </is>
      </c>
      <c r="C8" s="313" t="n">
        <v>0</v>
      </c>
    </row>
    <row r="9" ht="12.75" customHeight="1">
      <c r="C9" s="313" t="n">
        <v>0</v>
      </c>
    </row>
    <row r="10" ht="12.75" customHeight="1">
      <c r="A10" s="173" t="inlineStr">
        <is>
          <t>1790002</t>
        </is>
      </c>
      <c r="B10" s="174" t="inlineStr">
        <is>
          <t>FVA Latente belastingvordering langlopend</t>
        </is>
      </c>
      <c r="C10" s="313" t="n">
        <v>3564213</v>
      </c>
      <c r="D10" s="313" t="n">
        <v>142740</v>
      </c>
      <c r="E10" s="313" t="n">
        <v>120923</v>
      </c>
      <c r="F10" s="330" t="n">
        <v>161798</v>
      </c>
      <c r="G10" s="330" t="n">
        <v>140246.2</v>
      </c>
      <c r="H10" s="315">
        <f>SUM(C10:G10)</f>
        <v/>
      </c>
    </row>
    <row r="11" ht="12.75" customHeight="1">
      <c r="A11" s="174" t="inlineStr">
        <is>
          <t>Totaal Financiële vaste activa</t>
        </is>
      </c>
      <c r="C11" s="313" t="n">
        <v>0</v>
      </c>
    </row>
    <row r="12" ht="12.75" customHeight="1">
      <c r="C12" s="313" t="n">
        <v>0</v>
      </c>
    </row>
    <row r="13" ht="12.75" customHeight="1">
      <c r="A13" s="173" t="inlineStr">
        <is>
          <t>2000000</t>
        </is>
      </c>
      <c r="B13" s="174" t="inlineStr">
        <is>
          <t>VOR Debiteuren</t>
        </is>
      </c>
      <c r="C13" s="313" t="n">
        <v>293275</v>
      </c>
      <c r="D13" s="313" t="n">
        <v>-341343</v>
      </c>
      <c r="E13" s="313" t="n">
        <v>281344</v>
      </c>
      <c r="F13" s="335" t="n">
        <v>-100006</v>
      </c>
      <c r="G13" s="330" t="n">
        <v>-18687</v>
      </c>
      <c r="H13" s="315">
        <f>SUM(C13:G13)</f>
        <v/>
      </c>
      <c r="I13" s="220" t="inlineStr">
        <is>
          <t>Herpresentatie debiteuren &gt; betreft achterstand</t>
        </is>
      </c>
      <c r="J13" s="220" t="n"/>
      <c r="K13" s="220" t="n"/>
      <c r="L13" s="220" t="n"/>
      <c r="M13" s="220" t="n"/>
    </row>
    <row r="14" ht="12.75" customHeight="1">
      <c r="B14" s="174" t="inlineStr">
        <is>
          <t>Vooruitontvangen op debiteuren</t>
        </is>
      </c>
      <c r="C14" s="313" t="n">
        <v>0</v>
      </c>
      <c r="D14" s="313" t="n">
        <v>0</v>
      </c>
      <c r="E14" s="313" t="n">
        <v>0</v>
      </c>
      <c r="F14" s="321" t="n">
        <v>0</v>
      </c>
      <c r="G14" s="313" t="n">
        <v>0</v>
      </c>
      <c r="H14" s="315">
        <f>SUM(C14:G14)</f>
        <v/>
      </c>
    </row>
    <row r="15" ht="12.75" customHeight="1">
      <c r="A15" s="173" t="inlineStr">
        <is>
          <t>2000300</t>
        </is>
      </c>
      <c r="B15" s="174" t="inlineStr">
        <is>
          <t>VOR Voorziening dubieuze debiteuren</t>
        </is>
      </c>
      <c r="C15" s="313" t="n">
        <v>-31915</v>
      </c>
      <c r="D15" s="313" t="n">
        <v>0</v>
      </c>
      <c r="E15" s="313" t="n">
        <v>0</v>
      </c>
      <c r="F15" s="313" t="n">
        <v>0</v>
      </c>
      <c r="G15" s="313" t="n">
        <v>0</v>
      </c>
      <c r="H15" s="315">
        <f>SUM(C15:G15)</f>
        <v/>
      </c>
    </row>
    <row r="16" ht="12.75" customHeight="1">
      <c r="A16" s="174" t="inlineStr">
        <is>
          <t>Totaal Debiteuren</t>
        </is>
      </c>
      <c r="C16" s="313" t="n">
        <v>0</v>
      </c>
    </row>
    <row r="17" ht="12.75" customHeight="1">
      <c r="C17" s="313" t="n">
        <v>0</v>
      </c>
    </row>
    <row r="18" ht="12.75" customHeight="1">
      <c r="A18" s="173" t="n">
        <v>2640000</v>
      </c>
      <c r="B18" s="174" t="inlineStr">
        <is>
          <t>RC Kortlopend DMRRP INV - I BV</t>
        </is>
      </c>
      <c r="C18" s="313" t="n">
        <v>-1130717</v>
      </c>
      <c r="D18" s="313" t="n">
        <v>436656</v>
      </c>
      <c r="E18" s="313" t="n">
        <v>550984</v>
      </c>
      <c r="F18" s="313" t="n">
        <v>1407409</v>
      </c>
      <c r="G18" s="313" t="n">
        <v>416033.57</v>
      </c>
      <c r="H18" s="315">
        <f>SUM(C18:G18)</f>
        <v/>
      </c>
    </row>
    <row r="19" ht="12.75" customHeight="1">
      <c r="A19" s="174" t="inlineStr">
        <is>
          <t>Totaal Rekening-courant aandeelhouder</t>
        </is>
      </c>
    </row>
    <row r="21" ht="12.75" customHeight="1">
      <c r="A21" s="173" t="n">
        <v>2040200</v>
      </c>
      <c r="B21" s="174" t="inlineStr">
        <is>
          <t>VOR Te vorderen waarborgsommen kortlopen</t>
        </is>
      </c>
      <c r="C21" s="313" t="n">
        <v>5000</v>
      </c>
      <c r="D21" s="313" t="n">
        <v>0</v>
      </c>
      <c r="E21" s="313" t="n">
        <v>0</v>
      </c>
      <c r="F21" s="313" t="n">
        <v>0</v>
      </c>
      <c r="G21" s="313" t="n">
        <v>0</v>
      </c>
      <c r="H21" s="315">
        <f>SUM(C21:G21)</f>
        <v/>
      </c>
    </row>
    <row r="22" ht="12.75" customHeight="1">
      <c r="A22" s="173" t="n">
        <v>2040500</v>
      </c>
      <c r="B22" s="174" t="inlineStr">
        <is>
          <t>VOR Vooruitbetaalde verzekeringen</t>
        </is>
      </c>
      <c r="C22" s="313" t="n">
        <v>0</v>
      </c>
      <c r="D22" s="313" t="n">
        <v>-14411</v>
      </c>
      <c r="E22" s="313" t="n">
        <v>70849</v>
      </c>
      <c r="F22" s="313" t="n">
        <v>-28219.3</v>
      </c>
      <c r="G22" s="313" t="n">
        <v>-28218.89</v>
      </c>
      <c r="H22" s="315">
        <f>SUM(C22:G22)</f>
        <v/>
      </c>
    </row>
    <row r="23" ht="12.75" customHeight="1">
      <c r="A23" s="173" t="inlineStr">
        <is>
          <t>2040700</t>
        </is>
      </c>
      <c r="B23" s="174" t="inlineStr">
        <is>
          <t>VOR Vooruitbetaalde servicekosten</t>
        </is>
      </c>
      <c r="C23" s="313" t="n">
        <v>2796</v>
      </c>
      <c r="D23" s="313" t="n">
        <v>-2796</v>
      </c>
      <c r="E23" s="313" t="n">
        <v>0</v>
      </c>
      <c r="F23" s="313" t="n">
        <v>0</v>
      </c>
      <c r="G23" s="313" t="n">
        <v>0</v>
      </c>
      <c r="H23" s="315">
        <f>SUM(C23:G23)</f>
        <v/>
      </c>
    </row>
    <row r="24" ht="12.75" customHeight="1">
      <c r="A24" s="173" t="inlineStr">
        <is>
          <t>2040900</t>
        </is>
      </c>
      <c r="B24" s="174" t="inlineStr">
        <is>
          <t>VOR Vooruitbetaalde overige kosten</t>
        </is>
      </c>
      <c r="C24" s="313" t="n">
        <v>480</v>
      </c>
      <c r="D24" s="313">
        <f>328386-480-127996.51-1406</f>
        <v/>
      </c>
      <c r="E24" s="313">
        <f>-121928-129402.51</f>
        <v/>
      </c>
      <c r="F24" s="336">
        <f>-77180+388207.5</f>
        <v/>
      </c>
      <c r="G24" s="336" t="n">
        <v>-258680.49</v>
      </c>
      <c r="H24" s="315">
        <f>SUM(C24:G24)</f>
        <v/>
      </c>
    </row>
    <row r="25" ht="12.75" customHeight="1">
      <c r="A25" s="174" t="inlineStr">
        <is>
          <t>Totaal overige vorderingen</t>
        </is>
      </c>
      <c r="C25" s="313" t="n">
        <v>0</v>
      </c>
    </row>
    <row r="26" ht="12.75" customHeight="1">
      <c r="C26" s="313" t="n">
        <v>0</v>
      </c>
    </row>
    <row r="27" ht="12.75" customHeight="1">
      <c r="A27" s="173" t="inlineStr">
        <is>
          <t>2300000</t>
        </is>
      </c>
      <c r="B27" s="174" t="inlineStr">
        <is>
          <t>LM Kruisposten</t>
        </is>
      </c>
      <c r="C27" s="313" t="n">
        <v>0</v>
      </c>
      <c r="D27" s="313" t="n">
        <v>-343</v>
      </c>
      <c r="E27" s="313" t="n">
        <v>-3775.5</v>
      </c>
      <c r="F27" s="313" t="n">
        <v>-12957.2</v>
      </c>
      <c r="G27" s="313" t="n">
        <v>14454.18</v>
      </c>
      <c r="H27" s="315">
        <f>SUM(C27:G27)</f>
        <v/>
      </c>
    </row>
    <row r="28" ht="12.75" customHeight="1">
      <c r="A28" s="173" t="inlineStr">
        <is>
          <t>2400200</t>
        </is>
      </c>
      <c r="B28" s="174" t="inlineStr">
        <is>
          <t>LM ABN AMRO Bank Disposal NL58 ABNA 0818 9180 39</t>
        </is>
      </c>
      <c r="C28" s="313" t="n">
        <v>11</v>
      </c>
      <c r="D28" s="313" t="n">
        <v>-11</v>
      </c>
      <c r="E28" s="313" t="n">
        <v>0</v>
      </c>
      <c r="F28" s="330" t="n">
        <v>0.91</v>
      </c>
      <c r="G28" s="330" t="n">
        <v>-0.38</v>
      </c>
      <c r="H28" s="315">
        <f>SUM(C28:G28)</f>
        <v/>
      </c>
    </row>
    <row r="29" ht="12.75" customHeight="1">
      <c r="A29" s="173" t="inlineStr">
        <is>
          <t>2400201</t>
        </is>
      </c>
      <c r="B29" s="174" t="inlineStr">
        <is>
          <t>LM ABN AMRO Bank Deposit NL57 ABNA 0541 6205 68</t>
        </is>
      </c>
      <c r="C29" s="313" t="n">
        <v>36732</v>
      </c>
      <c r="D29" s="313" t="n">
        <v>-19</v>
      </c>
      <c r="E29" s="313" t="n">
        <v>-19</v>
      </c>
      <c r="F29" s="330" t="n">
        <v>-18.04</v>
      </c>
      <c r="G29" s="330" t="n">
        <v>-18.04</v>
      </c>
      <c r="H29" s="315">
        <f>SUM(C29:G29)</f>
        <v/>
      </c>
    </row>
    <row r="30" ht="12.75" customHeight="1">
      <c r="A30" s="173" t="inlineStr">
        <is>
          <t>2400202</t>
        </is>
      </c>
      <c r="B30" s="174" t="inlineStr">
        <is>
          <t>LM ABN AMRO Bank General NL93 ABNA 0541 6132 27</t>
        </is>
      </c>
      <c r="C30" s="313" t="n">
        <v>261476</v>
      </c>
      <c r="D30" s="313" t="n">
        <v>-7131</v>
      </c>
      <c r="E30" s="313" t="n">
        <v>-37180</v>
      </c>
      <c r="F30" s="330" t="n">
        <v>-53403.02</v>
      </c>
      <c r="G30" s="330" t="n">
        <v>-8084.34</v>
      </c>
      <c r="H30" s="315">
        <f>SUM(C30:G30)</f>
        <v/>
      </c>
    </row>
    <row r="31" ht="12.75" customHeight="1">
      <c r="A31" s="173" t="inlineStr">
        <is>
          <t>2400203</t>
        </is>
      </c>
      <c r="B31" s="174" t="inlineStr">
        <is>
          <t>LM ABN AMRO Bank Maintres NL04 ABNA 0541 6188 06</t>
        </is>
      </c>
      <c r="C31" s="313" t="n">
        <v>195171</v>
      </c>
      <c r="D31" s="313" t="n">
        <v>-99389</v>
      </c>
      <c r="E31" s="313" t="n">
        <v>8473</v>
      </c>
      <c r="F31" s="330" t="n">
        <v>67284.67999999999</v>
      </c>
      <c r="G31" s="330" t="n">
        <v>-89675.55</v>
      </c>
      <c r="H31" s="315">
        <f>SUM(C31:G31)</f>
        <v/>
      </c>
    </row>
    <row r="32" ht="12.75" customHeight="1">
      <c r="A32" s="173" t="inlineStr">
        <is>
          <t>2400204</t>
        </is>
      </c>
      <c r="B32" s="174" t="inlineStr">
        <is>
          <t>LM ABN AMRO Bank Rent NL46 ABNA 0541 6088 35</t>
        </is>
      </c>
      <c r="C32" s="313" t="n">
        <v>966612</v>
      </c>
      <c r="D32" s="313" t="n">
        <v>854946</v>
      </c>
      <c r="E32" s="313" t="n">
        <v>-722443</v>
      </c>
      <c r="F32" s="330" t="n">
        <v>-877600.4399999999</v>
      </c>
      <c r="G32" s="330" t="n">
        <v>228072.92</v>
      </c>
      <c r="H32" s="315">
        <f>SUM(C32:G32)</f>
        <v/>
      </c>
    </row>
    <row r="33" ht="12.75" customHeight="1">
      <c r="A33" s="173" t="inlineStr">
        <is>
          <t>2400205</t>
        </is>
      </c>
      <c r="B33" s="174" t="inlineStr">
        <is>
          <t>LM ABN AMRO Bank SR EXP NL88 ABNA 0541 6205 92</t>
        </is>
      </c>
      <c r="C33" s="313" t="n">
        <v>51977</v>
      </c>
      <c r="D33" s="313" t="n">
        <v>61378</v>
      </c>
      <c r="E33" s="313" t="n">
        <v>-72522</v>
      </c>
      <c r="F33" s="330" t="n">
        <v>32976.39</v>
      </c>
      <c r="G33" s="330" t="n">
        <v>-48621.34</v>
      </c>
      <c r="H33" s="315">
        <f>SUM(C33:G33)</f>
        <v/>
      </c>
    </row>
    <row r="34" ht="12.75" customHeight="1">
      <c r="A34" s="174" t="inlineStr">
        <is>
          <t>Totaal Liquide middelen</t>
        </is>
      </c>
      <c r="C34" s="313" t="n">
        <v>0</v>
      </c>
    </row>
    <row r="35" ht="12.75" customHeight="1">
      <c r="C35" s="313" t="n">
        <v>0</v>
      </c>
    </row>
    <row r="36" ht="12.75" customHeight="1">
      <c r="A36" s="173" t="n">
        <v>1000002</v>
      </c>
      <c r="B36" s="174" t="inlineStr">
        <is>
          <t>EV Normale aandelen Saldo</t>
        </is>
      </c>
      <c r="C36" s="313" t="n">
        <v>-1</v>
      </c>
      <c r="D36" s="313" t="n">
        <v>0</v>
      </c>
      <c r="E36" s="313" t="n">
        <v>0</v>
      </c>
      <c r="F36" s="313" t="n">
        <v>0</v>
      </c>
      <c r="G36" s="313" t="n">
        <v>0</v>
      </c>
      <c r="H36" s="315">
        <f>SUM(C36:G36)</f>
        <v/>
      </c>
    </row>
    <row r="37" ht="12.75" customHeight="1">
      <c r="A37" s="173" t="n">
        <v>1100000</v>
      </c>
      <c r="B37" s="174" t="inlineStr">
        <is>
          <t>EV Agioreserve Agio aandelen</t>
        </is>
      </c>
      <c r="C37" s="313" t="n">
        <v>-19231219</v>
      </c>
      <c r="D37" s="313" t="n">
        <v>0</v>
      </c>
      <c r="E37" s="313" t="n">
        <v>200000</v>
      </c>
      <c r="F37" s="313" t="n">
        <v>0</v>
      </c>
      <c r="G37" s="313" t="n">
        <v>0</v>
      </c>
      <c r="H37" s="315">
        <f>SUM(C37:G37)</f>
        <v/>
      </c>
    </row>
    <row r="38" ht="12.75" customHeight="1">
      <c r="A38" s="173" t="n">
        <v>1160000</v>
      </c>
      <c r="B38" s="174" t="inlineStr">
        <is>
          <t>EV Overige reserve Reserve aandelen</t>
        </is>
      </c>
      <c r="C38" s="313" t="n">
        <v>11975701</v>
      </c>
      <c r="D38" s="313" t="n">
        <v>0</v>
      </c>
      <c r="E38" s="313" t="n">
        <v>0</v>
      </c>
      <c r="F38" s="313" t="n">
        <v>0</v>
      </c>
      <c r="G38" s="313" t="n">
        <v>0</v>
      </c>
      <c r="H38" s="315">
        <f>SUM(C38:G38)</f>
        <v/>
      </c>
    </row>
    <row r="39" ht="12.75" customHeight="1">
      <c r="A39" s="173" t="inlineStr">
        <is>
          <t>1160100</t>
        </is>
      </c>
      <c r="B39" s="174" t="inlineStr">
        <is>
          <t>EV Overige reserve  Dividenduitkeringen aandelen</t>
        </is>
      </c>
      <c r="C39" s="313" t="n">
        <v>207000</v>
      </c>
      <c r="D39" s="313" t="n">
        <v>0</v>
      </c>
      <c r="E39" s="313" t="n">
        <v>2000000</v>
      </c>
      <c r="F39" s="313" t="n">
        <v>0</v>
      </c>
      <c r="G39" s="313" t="n">
        <v>1100000</v>
      </c>
      <c r="H39" s="315">
        <f>SUM(C39:G39)</f>
        <v/>
      </c>
    </row>
    <row r="40" ht="12.75" customHeight="1">
      <c r="A40" s="174" t="inlineStr">
        <is>
          <t>Totaal Eigen vermogen</t>
        </is>
      </c>
      <c r="C40" s="313" t="n">
        <v>0</v>
      </c>
    </row>
    <row r="41" ht="12.75" customHeight="1">
      <c r="C41" s="313" t="n">
        <v>0</v>
      </c>
    </row>
    <row r="42" ht="12.75" customHeight="1">
      <c r="A42" s="173" t="n">
        <v>1930001</v>
      </c>
      <c r="B42" s="174" t="inlineStr">
        <is>
          <t>LLS Hoofdsom ABN AMRO Bank NV Senior Facility Agreement</t>
        </is>
      </c>
      <c r="C42" s="313" t="n">
        <v>-130000000</v>
      </c>
      <c r="D42" s="313" t="n">
        <v>0</v>
      </c>
      <c r="E42" s="313" t="n">
        <v>0</v>
      </c>
      <c r="F42" s="313" t="n">
        <v>0</v>
      </c>
      <c r="G42" s="313" t="n">
        <v>0</v>
      </c>
      <c r="H42" s="315">
        <f>SUM(C42:G42)</f>
        <v/>
      </c>
    </row>
    <row r="43" ht="12.75" customHeight="1">
      <c r="A43" s="173" t="inlineStr">
        <is>
          <t>1930101</t>
        </is>
      </c>
      <c r="B43" s="174" t="inlineStr">
        <is>
          <t>LLS Cum aflossingen ABN AMRO Bank NV Senior Facility Agreement</t>
        </is>
      </c>
      <c r="C43" s="313" t="n">
        <v>20165050</v>
      </c>
      <c r="D43" s="313" t="n">
        <v>1540803</v>
      </c>
      <c r="E43" s="313" t="n">
        <v>2253796</v>
      </c>
      <c r="F43" s="330" t="n">
        <v>889295.98</v>
      </c>
      <c r="G43" s="330" t="n">
        <v>1579956.98</v>
      </c>
      <c r="H43" s="315">
        <f>SUM(C43:G43)</f>
        <v/>
      </c>
    </row>
    <row r="44" ht="12.75" customHeight="1">
      <c r="A44" s="174" t="inlineStr">
        <is>
          <t>Totaal Langlopende schulden</t>
        </is>
      </c>
      <c r="C44" s="313" t="n">
        <v>0</v>
      </c>
    </row>
    <row r="45" ht="12.75" customHeight="1">
      <c r="C45" s="313" t="n">
        <v>0</v>
      </c>
    </row>
    <row r="46" ht="12.75" customHeight="1">
      <c r="A46" s="173" t="inlineStr">
        <is>
          <t>2730000</t>
        </is>
      </c>
      <c r="B46" s="174" t="inlineStr">
        <is>
          <t>KLS Crediteuren</t>
        </is>
      </c>
      <c r="C46" s="313" t="n">
        <v>-467736.18</v>
      </c>
      <c r="D46" s="314">
        <f>123229-85763.82</f>
        <v/>
      </c>
      <c r="E46" s="314" t="n">
        <v>411485</v>
      </c>
      <c r="F46" s="314" t="n">
        <v>6778.95</v>
      </c>
      <c r="G46" s="314" t="n">
        <v>-285240.34</v>
      </c>
      <c r="H46" s="315">
        <f>SUM(C46:G46)</f>
        <v/>
      </c>
    </row>
    <row r="47" ht="12.75" customHeight="1">
      <c r="A47" s="173" t="inlineStr">
        <is>
          <t>2730001</t>
        </is>
      </c>
      <c r="B47" s="174" t="inlineStr">
        <is>
          <t>KLS Crediteuren intercompany</t>
        </is>
      </c>
      <c r="C47" s="313" t="n">
        <v>0</v>
      </c>
      <c r="D47" s="313" t="n">
        <v>0</v>
      </c>
      <c r="E47" s="313" t="n">
        <v>0</v>
      </c>
      <c r="F47" s="313" t="n">
        <v>0</v>
      </c>
      <c r="G47" s="313" t="n">
        <v>0</v>
      </c>
      <c r="H47" s="315">
        <f>SUM(C47:G47)</f>
        <v/>
      </c>
    </row>
    <row r="48" ht="12.75" customHeight="1">
      <c r="A48" s="174" t="inlineStr">
        <is>
          <t>Totaal Crediteuren</t>
        </is>
      </c>
      <c r="C48" s="313" t="n">
        <v>0</v>
      </c>
    </row>
    <row r="49" ht="12.75" customHeight="1">
      <c r="C49" s="313" t="n">
        <v>0</v>
      </c>
    </row>
    <row r="50" ht="12.75" customHeight="1">
      <c r="A50" s="173" t="inlineStr">
        <is>
          <t>2512100</t>
        </is>
      </c>
      <c r="B50" s="174" t="inlineStr">
        <is>
          <t>BEL Afgedragen/ontvangen BTW</t>
        </is>
      </c>
      <c r="C50" s="313" t="n">
        <v>-1550</v>
      </c>
      <c r="D50" s="313" t="n">
        <v>1550</v>
      </c>
      <c r="E50" s="313" t="n">
        <v>-3898</v>
      </c>
      <c r="F50" s="313">
        <f>-828.56+460</f>
        <v/>
      </c>
      <c r="G50" s="313" t="n">
        <v>-858.91</v>
      </c>
      <c r="H50" s="315">
        <f>SUM(C50:G50)</f>
        <v/>
      </c>
    </row>
    <row r="51" ht="12.75" customHeight="1">
      <c r="A51" s="173" t="inlineStr">
        <is>
          <t>2530000</t>
        </is>
      </c>
      <c r="B51" s="174" t="inlineStr">
        <is>
          <t>BEL Te betalen vennootschapsbelasting</t>
        </is>
      </c>
      <c r="C51" s="313" t="n">
        <v>0</v>
      </c>
      <c r="D51" s="313" t="n">
        <v>0</v>
      </c>
      <c r="E51" s="313" t="n">
        <v>0</v>
      </c>
      <c r="F51" s="313" t="n">
        <v>0</v>
      </c>
      <c r="G51" s="313" t="n">
        <v>0</v>
      </c>
      <c r="H51" s="315">
        <f>SUM(C51:G51)</f>
        <v/>
      </c>
    </row>
    <row r="52" ht="12.75" customHeight="1">
      <c r="A52" s="173" t="inlineStr">
        <is>
          <t>2550000</t>
        </is>
      </c>
      <c r="B52" s="174" t="inlineStr">
        <is>
          <t>BEL Te betalen overige belastingen</t>
        </is>
      </c>
      <c r="C52" s="313" t="n">
        <v>0</v>
      </c>
      <c r="D52" s="313" t="n">
        <v>0</v>
      </c>
      <c r="E52" s="313" t="n">
        <v>0</v>
      </c>
      <c r="F52" s="313" t="n">
        <v>0</v>
      </c>
      <c r="G52" s="313" t="n">
        <v>0</v>
      </c>
      <c r="H52" s="315">
        <f>SUM(C52:G52)</f>
        <v/>
      </c>
    </row>
    <row r="53" ht="12.75" customHeight="1">
      <c r="A53" s="174" t="inlineStr">
        <is>
          <t>Totaal Belastingen</t>
        </is>
      </c>
    </row>
    <row r="55" ht="12.75" customHeight="1">
      <c r="A55" s="173" t="n">
        <v>2740100</v>
      </c>
      <c r="B55" s="174" t="inlineStr">
        <is>
          <t>KLS Vooruitgefactureerde huur</t>
        </is>
      </c>
      <c r="C55" s="313" t="n">
        <v>0</v>
      </c>
      <c r="D55" s="313" t="n">
        <v>0</v>
      </c>
      <c r="E55" s="313" t="n">
        <v>0</v>
      </c>
      <c r="F55" s="321">
        <f>-144357.64+1705</f>
        <v/>
      </c>
      <c r="G55" s="313">
        <f>-9268.61-1705</f>
        <v/>
      </c>
      <c r="H55" s="315">
        <f>SUM(C55:G55)</f>
        <v/>
      </c>
      <c r="I55" s="220" t="inlineStr">
        <is>
          <t>Herpresentatie debiteuren &gt; betreft voorstand</t>
        </is>
      </c>
      <c r="J55" s="220" t="n"/>
      <c r="K55" s="220" t="n"/>
      <c r="L55" s="220" t="n"/>
      <c r="M55" s="220" t="n"/>
    </row>
    <row r="56" ht="12.75" customHeight="1">
      <c r="A56" s="173" t="inlineStr">
        <is>
          <t>2740300</t>
        </is>
      </c>
      <c r="B56" s="174" t="inlineStr">
        <is>
          <t>KLS Te betalen waarborgsommen kortlopend</t>
        </is>
      </c>
      <c r="C56" s="313" t="n">
        <v>-767321</v>
      </c>
      <c r="D56" s="313">
        <f>5524-2</f>
        <v/>
      </c>
      <c r="E56" s="313">
        <f>-1404+2</f>
        <v/>
      </c>
      <c r="F56" s="313" t="n">
        <v>-43086.2</v>
      </c>
      <c r="G56" s="313" t="n">
        <v>-158.33</v>
      </c>
      <c r="H56" s="315">
        <f>SUM(C56:G56)</f>
        <v/>
      </c>
    </row>
    <row r="57" ht="12.75" customHeight="1">
      <c r="A57" s="173" t="n">
        <v>2740500</v>
      </c>
      <c r="B57" s="174" t="inlineStr">
        <is>
          <t>KLS Te betalen accountants- en administratiekosten</t>
        </is>
      </c>
      <c r="C57" s="313" t="n">
        <v>-22500</v>
      </c>
      <c r="D57" s="313" t="n">
        <v>0</v>
      </c>
      <c r="E57" s="313" t="n">
        <v>0</v>
      </c>
      <c r="F57" s="313" t="n">
        <v>0</v>
      </c>
      <c r="G57" s="313" t="n">
        <v>0</v>
      </c>
      <c r="H57" s="315">
        <f>SUM(C57:G57)</f>
        <v/>
      </c>
    </row>
    <row r="58" ht="12.75" customHeight="1">
      <c r="A58" s="173" t="inlineStr">
        <is>
          <t>2740600</t>
        </is>
      </c>
      <c r="B58" s="174" t="inlineStr">
        <is>
          <t>KLS Te betalen rente</t>
        </is>
      </c>
      <c r="C58" s="313" t="n">
        <v>0</v>
      </c>
      <c r="D58" s="313" t="n">
        <v>0</v>
      </c>
      <c r="E58" s="313" t="n">
        <v>0</v>
      </c>
      <c r="F58" s="313" t="n">
        <v>0</v>
      </c>
      <c r="G58" s="313" t="n">
        <v>0</v>
      </c>
      <c r="H58" s="315">
        <f>SUM(C58:G58)</f>
        <v/>
      </c>
    </row>
    <row r="59" ht="12.75" customHeight="1">
      <c r="A59" s="173" t="inlineStr">
        <is>
          <t>2740700</t>
        </is>
      </c>
      <c r="B59" s="174" t="inlineStr">
        <is>
          <t>KLS Te betalen verzekeringen</t>
        </is>
      </c>
      <c r="C59" s="313" t="n">
        <v>0</v>
      </c>
      <c r="D59" s="313" t="n">
        <v>0</v>
      </c>
      <c r="E59" s="313" t="n">
        <v>0</v>
      </c>
      <c r="F59" s="313" t="n">
        <v>0</v>
      </c>
      <c r="G59" s="313" t="n">
        <v>0</v>
      </c>
      <c r="H59" s="315">
        <f>SUM(C59:G59)</f>
        <v/>
      </c>
    </row>
    <row r="60" ht="12.75" customHeight="1">
      <c r="A60" s="173" t="inlineStr">
        <is>
          <t>2741000</t>
        </is>
      </c>
      <c r="B60" s="174" t="inlineStr">
        <is>
          <t>KLS Te betalen servicekosten</t>
        </is>
      </c>
      <c r="C60" s="313" t="n">
        <v>15929</v>
      </c>
      <c r="D60" s="313" t="n">
        <v>-15929</v>
      </c>
      <c r="E60" s="313" t="n">
        <v>0</v>
      </c>
      <c r="F60" s="313" t="n">
        <v>0</v>
      </c>
      <c r="G60" s="313" t="n">
        <v>0</v>
      </c>
      <c r="H60" s="315">
        <f>SUM(C60:G60)</f>
        <v/>
      </c>
    </row>
    <row r="61" ht="12.75" customHeight="1">
      <c r="A61" s="173" t="inlineStr">
        <is>
          <t>2741001</t>
        </is>
      </c>
      <c r="B61" s="174" t="inlineStr">
        <is>
          <t>KLS Te betalen exploitatiekosten</t>
        </is>
      </c>
      <c r="C61" s="313" t="n">
        <v>-7067</v>
      </c>
      <c r="D61" s="313" t="n">
        <v>7067</v>
      </c>
      <c r="E61" s="313" t="n">
        <v>0</v>
      </c>
      <c r="F61" s="313" t="n">
        <v>0</v>
      </c>
      <c r="G61" s="313" t="n">
        <v>0</v>
      </c>
      <c r="H61" s="315">
        <f>SUM(C61:G61)</f>
        <v/>
      </c>
    </row>
    <row r="62" ht="12.75" customHeight="1">
      <c r="A62" s="173" t="inlineStr">
        <is>
          <t>2741002</t>
        </is>
      </c>
      <c r="B62" s="174" t="inlineStr">
        <is>
          <t>KLS Te betalen VVE</t>
        </is>
      </c>
      <c r="C62" s="313" t="n">
        <v>-1406</v>
      </c>
      <c r="D62" s="313" t="n">
        <v>1406</v>
      </c>
      <c r="E62" s="313" t="n">
        <v>0</v>
      </c>
      <c r="F62" s="313" t="n">
        <v>0</v>
      </c>
      <c r="G62" s="313" t="n">
        <v>0</v>
      </c>
      <c r="H62" s="315">
        <f>SUM(C62:G62)</f>
        <v/>
      </c>
    </row>
    <row r="63" ht="12.75" customHeight="1">
      <c r="A63" s="173" t="inlineStr">
        <is>
          <t>2741004</t>
        </is>
      </c>
      <c r="B63" s="174" t="inlineStr">
        <is>
          <t>KLS Te betalen Hoen</t>
        </is>
      </c>
      <c r="C63" s="313" t="n">
        <v>-41573</v>
      </c>
      <c r="D63" s="313" t="n">
        <v>-82495</v>
      </c>
      <c r="E63" s="313" t="n">
        <v>-122526</v>
      </c>
      <c r="F63" s="313" t="n">
        <v>121338.8</v>
      </c>
      <c r="G63" s="313" t="n">
        <v>43720.06</v>
      </c>
      <c r="H63" s="315">
        <f>SUM(C63:G63)</f>
        <v/>
      </c>
    </row>
    <row r="64" ht="12.75" customHeight="1">
      <c r="A64" s="173" t="inlineStr">
        <is>
          <t>2741005</t>
        </is>
      </c>
      <c r="B64" s="174" t="inlineStr">
        <is>
          <t>KLS Te betalen managementvergoedingen</t>
        </is>
      </c>
      <c r="C64" s="313" t="n">
        <v>0</v>
      </c>
      <c r="D64" s="313" t="n">
        <v>0</v>
      </c>
      <c r="E64" s="313" t="n">
        <v>0</v>
      </c>
      <c r="F64" s="313" t="n">
        <v>0</v>
      </c>
      <c r="G64" s="313" t="n">
        <v>0</v>
      </c>
      <c r="H64" s="315">
        <f>SUM(C64:G64)</f>
        <v/>
      </c>
    </row>
    <row r="65" ht="12.75" customHeight="1">
      <c r="A65" s="173" t="inlineStr">
        <is>
          <t>2741200</t>
        </is>
      </c>
      <c r="B65" s="174" t="inlineStr">
        <is>
          <t>KLS Te betalen agency fee</t>
        </is>
      </c>
      <c r="C65" s="313" t="n">
        <v>20000</v>
      </c>
      <c r="D65" s="313" t="n">
        <v>0</v>
      </c>
      <c r="E65" s="313" t="n">
        <v>-20000</v>
      </c>
      <c r="F65" s="313" t="n">
        <v>20000</v>
      </c>
      <c r="G65" s="313" t="n">
        <v>0</v>
      </c>
      <c r="H65" s="315">
        <f>SUM(C65:G65)</f>
        <v/>
      </c>
    </row>
    <row r="66" ht="12.75" customHeight="1">
      <c r="A66" s="173" t="inlineStr">
        <is>
          <t>2741900</t>
        </is>
      </c>
      <c r="B66" s="174" t="inlineStr">
        <is>
          <t>KLS Nog uit te zoeken posten MT940</t>
        </is>
      </c>
      <c r="C66" s="313" t="n">
        <v>0</v>
      </c>
      <c r="D66" s="313" t="n">
        <v>0</v>
      </c>
      <c r="E66" s="313" t="n">
        <v>0</v>
      </c>
      <c r="F66" s="313" t="n">
        <v>0</v>
      </c>
      <c r="G66" s="313" t="n">
        <v>0</v>
      </c>
      <c r="H66" s="315">
        <f>SUM(C66:G66)</f>
        <v/>
      </c>
    </row>
    <row r="67" ht="12.75" customHeight="1">
      <c r="A67" s="173" t="inlineStr">
        <is>
          <t>2742200</t>
        </is>
      </c>
      <c r="B67" s="174" t="inlineStr">
        <is>
          <t>KLS Vooruitontvangen bedragen</t>
        </is>
      </c>
      <c r="C67" s="313" t="n">
        <v>-146605</v>
      </c>
      <c r="D67" s="313" t="n">
        <v>146605</v>
      </c>
      <c r="E67" s="313" t="n">
        <v>0</v>
      </c>
      <c r="F67" s="313" t="n">
        <v>0</v>
      </c>
      <c r="G67" s="313" t="n">
        <v>0</v>
      </c>
      <c r="H67" s="315">
        <f>SUM(C67:G67)</f>
        <v/>
      </c>
    </row>
    <row r="68" ht="12.75" customHeight="1">
      <c r="A68" s="174" t="inlineStr">
        <is>
          <t>Totaal Overige schulden</t>
        </is>
      </c>
    </row>
    <row r="71" ht="12.75" customHeight="1">
      <c r="A71" s="179" t="inlineStr">
        <is>
          <t>Winst- en verliesrekening (baten zijn positief, kosten negatief)</t>
        </is>
      </c>
    </row>
    <row r="72" ht="12.75" customHeight="1">
      <c r="A72" s="173" t="inlineStr">
        <is>
          <t>8000003</t>
        </is>
      </c>
      <c r="B72" s="174" t="inlineStr">
        <is>
          <t>OPB Netto-omzet Theoretische huuropbrengsten</t>
        </is>
      </c>
      <c r="D72" s="313" t="n">
        <v>-2904374</v>
      </c>
      <c r="E72" s="313" t="n">
        <v>-2863530</v>
      </c>
      <c r="F72" s="313" t="n">
        <v>-2860507</v>
      </c>
      <c r="G72" s="313" t="n">
        <v>-2862440.42</v>
      </c>
      <c r="H72" s="315">
        <f>SUM(C72:G72)</f>
        <v/>
      </c>
    </row>
    <row r="73" ht="12.75" customHeight="1">
      <c r="A73" s="173" t="inlineStr">
        <is>
          <t>8000004</t>
        </is>
      </c>
      <c r="B73" s="174" t="inlineStr">
        <is>
          <t>OPB Netto-omzet Leegstand huuropbrengsten</t>
        </is>
      </c>
      <c r="D73" s="313" t="n">
        <v>54882</v>
      </c>
      <c r="E73" s="313" t="n">
        <v>62447</v>
      </c>
      <c r="F73" s="313" t="n">
        <v>59646.21</v>
      </c>
      <c r="G73" s="313" t="n">
        <v>39631.63</v>
      </c>
      <c r="H73" s="315">
        <f>SUM(C73:G73)</f>
        <v/>
      </c>
    </row>
    <row r="74" ht="12.75" customHeight="1">
      <c r="A74" s="174" t="inlineStr">
        <is>
          <t>Totaal Netto-omzet</t>
        </is>
      </c>
      <c r="D74" s="313">
        <f>SUM(D72:D73)</f>
        <v/>
      </c>
      <c r="E74" s="313">
        <f>SUM(E72:E73)</f>
        <v/>
      </c>
      <c r="F74" s="313">
        <f>SUM(F72:F73)</f>
        <v/>
      </c>
      <c r="G74" s="313">
        <f>SUM(G72:G73)</f>
        <v/>
      </c>
      <c r="H74" s="315">
        <f>SUM(C74:G74)</f>
        <v/>
      </c>
    </row>
    <row r="76" ht="12.75" customHeight="1">
      <c r="A76" s="173" t="inlineStr">
        <is>
          <t>8400600</t>
        </is>
      </c>
      <c r="B76" s="174" t="inlineStr">
        <is>
          <t>OPB Overige bedrijfsopbrengsten Totale servicekosten</t>
        </is>
      </c>
      <c r="D76" s="313" t="n">
        <v>-172328</v>
      </c>
      <c r="E76" s="313" t="n">
        <v>-164913</v>
      </c>
      <c r="F76" s="313" t="n">
        <v>-163178</v>
      </c>
      <c r="G76" s="313" t="n">
        <v>-165060.65</v>
      </c>
      <c r="H76" s="315">
        <f>SUM(C76:G76)</f>
        <v/>
      </c>
    </row>
    <row r="77" ht="12.75" customHeight="1">
      <c r="A77" s="173" t="inlineStr">
        <is>
          <t>8400700</t>
        </is>
      </c>
      <c r="B77" s="174" t="inlineStr">
        <is>
          <t>OPB Overige bedrijfsopbrengsten Servicekosten leegstand</t>
        </is>
      </c>
      <c r="D77" s="313" t="n">
        <v>10569</v>
      </c>
      <c r="E77" s="313" t="n">
        <v>5322</v>
      </c>
      <c r="F77" s="313" t="n">
        <v>6288.75</v>
      </c>
      <c r="G77" s="313" t="n">
        <v>5162.42</v>
      </c>
      <c r="H77" s="315">
        <f>SUM(C77:G77)</f>
        <v/>
      </c>
    </row>
    <row r="78" ht="12.75" customHeight="1">
      <c r="A78" s="173" t="inlineStr">
        <is>
          <t>8400800</t>
        </is>
      </c>
      <c r="B78" s="174" t="inlineStr">
        <is>
          <t>OPB Overige bedrijfsopbrengsten Gerealiseerde servicekosten</t>
        </is>
      </c>
      <c r="D78" s="313" t="n">
        <v>200668</v>
      </c>
      <c r="E78" s="313" t="n">
        <v>155500</v>
      </c>
      <c r="F78" s="313" t="n">
        <v>161869.1</v>
      </c>
      <c r="G78" s="313" t="n">
        <v>191433.77</v>
      </c>
      <c r="H78" s="315">
        <f>SUM(C78:G78)</f>
        <v/>
      </c>
    </row>
    <row r="79" ht="12.75" customHeight="1">
      <c r="A79" s="174" t="inlineStr">
        <is>
          <t>Totaal Overige bedrijfsopbrengsten</t>
        </is>
      </c>
      <c r="D79" s="313">
        <f>SUM(D76:D78)</f>
        <v/>
      </c>
      <c r="E79" s="313">
        <f>SUM(E76:E78)</f>
        <v/>
      </c>
      <c r="F79" s="313">
        <f>SUM(F76:F78)</f>
        <v/>
      </c>
      <c r="G79" s="313">
        <f>SUM(G76:G78)</f>
        <v/>
      </c>
      <c r="H79" s="315">
        <f>SUM(C79:G79)</f>
        <v/>
      </c>
    </row>
    <row r="81" ht="12.75" customHeight="1">
      <c r="A81" s="173" t="inlineStr">
        <is>
          <t>4051400</t>
        </is>
      </c>
      <c r="B81" s="174" t="inlineStr">
        <is>
          <t>KN Diensten door derden</t>
        </is>
      </c>
      <c r="D81" s="313" t="n">
        <v>122866</v>
      </c>
      <c r="E81" s="313" t="n">
        <v>121422</v>
      </c>
      <c r="F81" s="313" t="n">
        <v>121881.5</v>
      </c>
      <c r="G81" s="313" t="n">
        <v>121294.6</v>
      </c>
      <c r="H81" s="315">
        <f>SUM(C81:G81)</f>
        <v/>
      </c>
    </row>
    <row r="82" ht="12.75" customHeight="1">
      <c r="A82" s="174" t="inlineStr">
        <is>
          <t>Totaal overige personeelskosten</t>
        </is>
      </c>
      <c r="D82" s="313">
        <f>SUM(D81)</f>
        <v/>
      </c>
      <c r="E82" s="313">
        <f>SUM(E81)</f>
        <v/>
      </c>
      <c r="F82" s="313">
        <f>SUM(F81)</f>
        <v/>
      </c>
      <c r="G82" s="313">
        <f>SUM(G81)</f>
        <v/>
      </c>
      <c r="H82" s="315">
        <f>SUM(C82:G82)</f>
        <v/>
      </c>
    </row>
    <row r="84" ht="12.75" customHeight="1">
      <c r="A84" s="173" t="inlineStr">
        <is>
          <t>4730000</t>
        </is>
      </c>
      <c r="B84" s="174" t="inlineStr">
        <is>
          <t>AFKN Afschrijvingskosten Vastgoedbeleggingen</t>
        </is>
      </c>
      <c r="D84" s="313" t="n">
        <v>654502</v>
      </c>
      <c r="E84" s="313" t="n">
        <v>667313</v>
      </c>
      <c r="F84" s="313" t="n">
        <v>666766</v>
      </c>
      <c r="G84" s="313" t="n">
        <v>679632</v>
      </c>
      <c r="H84" s="315">
        <f>SUM(C84:G84)</f>
        <v/>
      </c>
    </row>
    <row r="85" ht="12.75" customHeight="1">
      <c r="A85" s="173" t="inlineStr">
        <is>
          <t>4730200</t>
        </is>
      </c>
      <c r="B85" s="174" t="inlineStr">
        <is>
          <t>AFKN Boekresultaat Vastgoedbeleggingen</t>
        </is>
      </c>
      <c r="D85" s="313" t="n">
        <v>-746028</v>
      </c>
      <c r="E85" s="313" t="n">
        <v>-1978183</v>
      </c>
      <c r="F85" s="313" t="n">
        <v>-222065</v>
      </c>
      <c r="G85" s="313" t="n">
        <v>-1362473</v>
      </c>
      <c r="H85" s="315">
        <f>SUM(C85:G85)</f>
        <v/>
      </c>
    </row>
    <row r="86" ht="12.75" customHeight="1">
      <c r="A86" s="174" t="inlineStr">
        <is>
          <t>Totaal Afschrijvingen vastgoedbeleggingen</t>
        </is>
      </c>
      <c r="D86" s="313">
        <f>SUM(D84:D85)</f>
        <v/>
      </c>
      <c r="E86" s="313">
        <f>SUM(E84:E85)</f>
        <v/>
      </c>
      <c r="F86" s="313">
        <f>SUM(F84:F85)</f>
        <v/>
      </c>
      <c r="G86" s="313">
        <f>SUM(G84:G85)</f>
        <v/>
      </c>
      <c r="H86" s="315">
        <f>SUM(C86:G86)</f>
        <v/>
      </c>
    </row>
    <row r="88" ht="12.75" customHeight="1">
      <c r="A88" s="173" t="n">
        <v>4100400</v>
      </c>
      <c r="B88" s="174" t="inlineStr">
        <is>
          <t>KN Onderhoud gebouwen</t>
        </is>
      </c>
      <c r="D88" s="313">
        <f>92418+K4</f>
        <v/>
      </c>
      <c r="E88" s="313">
        <f>194822+L4</f>
        <v/>
      </c>
      <c r="F88" s="313">
        <f>134619.1+M4</f>
        <v/>
      </c>
      <c r="G88" s="321">
        <f>437789.79+N4</f>
        <v/>
      </c>
      <c r="H88" s="315">
        <f>SUM(C88:G88)</f>
        <v/>
      </c>
      <c r="L88" s="225" t="n">
        <v>437789.79</v>
      </c>
    </row>
    <row r="89" ht="12.75" customHeight="1">
      <c r="A89" s="173" t="inlineStr">
        <is>
          <t>4100410</t>
        </is>
      </c>
      <c r="B89" s="174" t="inlineStr">
        <is>
          <t>Verhuurdersheffing</t>
        </is>
      </c>
      <c r="D89" s="313" t="n">
        <v>129402.5</v>
      </c>
      <c r="E89" s="313" t="n">
        <v>129402.5</v>
      </c>
      <c r="F89" s="313" t="n">
        <v>129402.5</v>
      </c>
      <c r="G89" s="313" t="n">
        <v>129402.49</v>
      </c>
      <c r="H89" s="315">
        <f>SUM(C89:G89)</f>
        <v/>
      </c>
    </row>
    <row r="90" ht="12.75" customHeight="1">
      <c r="A90" s="173" t="inlineStr">
        <is>
          <t>4100900</t>
        </is>
      </c>
      <c r="B90" s="174" t="inlineStr">
        <is>
          <t>KN Onroerende zaakbelasting</t>
        </is>
      </c>
      <c r="D90" s="313" t="n">
        <v>83330</v>
      </c>
      <c r="E90" s="313" t="n">
        <v>80091</v>
      </c>
      <c r="F90" s="313" t="n">
        <v>84680.21000000001</v>
      </c>
      <c r="G90" s="313" t="n">
        <v>82972.46000000001</v>
      </c>
      <c r="H90" s="315">
        <f>SUM(C90:G90)</f>
        <v/>
      </c>
      <c r="L90" s="174">
        <f>-57779.9-52965.5</f>
        <v/>
      </c>
      <c r="M90" s="174" t="inlineStr">
        <is>
          <t>ENVASTGOED IN KOSTEN</t>
        </is>
      </c>
    </row>
    <row r="91" ht="12.75" customHeight="1">
      <c r="A91" s="173" t="inlineStr">
        <is>
          <t>4101000</t>
        </is>
      </c>
      <c r="B91" s="174" t="inlineStr">
        <is>
          <t>KN VvE-kosten</t>
        </is>
      </c>
      <c r="D91" s="313">
        <f>87859+85763.82</f>
        <v/>
      </c>
      <c r="E91" s="313" t="n">
        <v>157568</v>
      </c>
      <c r="F91" s="313" t="n">
        <v>107779.2</v>
      </c>
      <c r="G91" s="313" t="n">
        <v>186235.55</v>
      </c>
      <c r="H91" s="315">
        <f>SUM(C91:G91)</f>
        <v/>
      </c>
    </row>
    <row r="92" ht="12.75" customHeight="1">
      <c r="A92" s="173" t="inlineStr">
        <is>
          <t>4101010</t>
        </is>
      </c>
      <c r="B92" s="174" t="inlineStr">
        <is>
          <t>Gemeentelijke belastingen</t>
        </is>
      </c>
      <c r="D92" s="313" t="n">
        <v>31087</v>
      </c>
      <c r="E92" s="313" t="n">
        <v>31441</v>
      </c>
      <c r="F92" s="313" t="n">
        <v>31288.14</v>
      </c>
      <c r="G92" s="313" t="n">
        <v>31086.75</v>
      </c>
      <c r="H92" s="315">
        <f>SUM(C92:G92)</f>
        <v/>
      </c>
      <c r="L92" s="226">
        <f>L88+L90</f>
        <v/>
      </c>
    </row>
    <row r="93" ht="12.75" customHeight="1">
      <c r="A93" s="173" t="inlineStr">
        <is>
          <t>4101020</t>
        </is>
      </c>
      <c r="B93" s="174" t="inlineStr">
        <is>
          <t>Waterschapsbelasting</t>
        </is>
      </c>
      <c r="D93" s="313">
        <f>18355+780</f>
        <v/>
      </c>
      <c r="E93" s="313">
        <f>1582+14862+69</f>
        <v/>
      </c>
      <c r="F93" s="313">
        <f>42842+9256-37236</f>
        <v/>
      </c>
      <c r="G93" s="313" t="n">
        <v>16030.14</v>
      </c>
      <c r="H93" s="315">
        <f>SUM(D93:G93)</f>
        <v/>
      </c>
    </row>
    <row r="94" ht="12.75" customHeight="1">
      <c r="A94" s="173" t="inlineStr">
        <is>
          <t>4101300</t>
        </is>
      </c>
      <c r="B94" s="174" t="inlineStr">
        <is>
          <t>KN Servicekosten leegstand</t>
        </is>
      </c>
      <c r="D94" s="313" t="n">
        <v>-90</v>
      </c>
      <c r="E94" s="313" t="n">
        <v>-348</v>
      </c>
      <c r="F94" s="313" t="n">
        <v>0</v>
      </c>
      <c r="G94" s="313" t="n">
        <v>-22.71</v>
      </c>
      <c r="H94" s="315">
        <f>SUM(C94:G94)</f>
        <v/>
      </c>
    </row>
    <row r="95" ht="12.75" customHeight="1">
      <c r="A95" s="173" t="inlineStr">
        <is>
          <t>4109800</t>
        </is>
      </c>
      <c r="B95" s="174" t="inlineStr">
        <is>
          <t>KN Overige huisvestingskosten</t>
        </is>
      </c>
      <c r="D95" s="313" t="n">
        <v>0</v>
      </c>
      <c r="E95" s="313" t="n">
        <v>0</v>
      </c>
      <c r="F95" s="313" t="n">
        <v>0</v>
      </c>
      <c r="G95" s="313" t="n">
        <v>0</v>
      </c>
      <c r="H95" s="315">
        <f>SUM(C95:G95)</f>
        <v/>
      </c>
    </row>
    <row r="96" ht="12.75" customHeight="1">
      <c r="A96" s="174" t="inlineStr">
        <is>
          <t>Totaal Huisvestingskosten</t>
        </is>
      </c>
      <c r="D96" s="313">
        <f>SUM(D88:D95)</f>
        <v/>
      </c>
      <c r="E96" s="313">
        <f>SUM(E88:E95)</f>
        <v/>
      </c>
      <c r="F96" s="313">
        <f>SUM(F88:F95)</f>
        <v/>
      </c>
      <c r="G96" s="313">
        <f>SUM(G88:G95)</f>
        <v/>
      </c>
      <c r="H96" s="315">
        <f>SUM(C96:G96)</f>
        <v/>
      </c>
    </row>
    <row r="98" ht="12.75" customHeight="1">
      <c r="A98" s="173" t="inlineStr">
        <is>
          <t>4500400</t>
        </is>
      </c>
      <c r="B98" s="174" t="inlineStr">
        <is>
          <t>KN Representatiekosten</t>
        </is>
      </c>
      <c r="D98" s="313" t="n">
        <v>0</v>
      </c>
      <c r="E98" s="313" t="n">
        <v>0</v>
      </c>
      <c r="F98" s="313" t="n">
        <v>0</v>
      </c>
      <c r="G98" s="313" t="n">
        <v>0</v>
      </c>
      <c r="H98" s="315">
        <f>SUM(C98:G98)</f>
        <v/>
      </c>
    </row>
    <row r="99" ht="12.75" customHeight="1">
      <c r="A99" s="173" t="inlineStr">
        <is>
          <t>4501200</t>
        </is>
      </c>
      <c r="B99" s="174" t="inlineStr">
        <is>
          <t>KN Mutatie voorziening dubieuze debiteuren</t>
        </is>
      </c>
      <c r="D99" s="313" t="n">
        <v>0</v>
      </c>
      <c r="E99" s="313" t="n">
        <v>0</v>
      </c>
      <c r="F99" s="313" t="n">
        <v>0</v>
      </c>
      <c r="G99" s="313" t="n">
        <v>0</v>
      </c>
      <c r="H99" s="315">
        <f>SUM(C99:G99)</f>
        <v/>
      </c>
    </row>
    <row r="100" ht="12.75" customHeight="1">
      <c r="A100" s="173" t="inlineStr">
        <is>
          <t>4501300</t>
        </is>
      </c>
      <c r="B100" s="174" t="inlineStr">
        <is>
          <t>KN Afboeking dubieuze debiteuren</t>
        </is>
      </c>
      <c r="D100" s="313" t="n">
        <v>-90</v>
      </c>
      <c r="E100" s="313" t="n">
        <v>-2606</v>
      </c>
      <c r="F100" s="313" t="n">
        <v>461</v>
      </c>
      <c r="G100" s="313" t="n">
        <v>156.38</v>
      </c>
      <c r="H100" s="315">
        <f>SUM(C100:G100)</f>
        <v/>
      </c>
    </row>
    <row r="101" ht="12.75" customHeight="1">
      <c r="A101" s="174" t="inlineStr">
        <is>
          <t>Totaal Verkoopkosten</t>
        </is>
      </c>
      <c r="D101" s="313">
        <f>SUM(D98:D100)</f>
        <v/>
      </c>
      <c r="E101" s="313">
        <f>SUM(E98:E100)</f>
        <v/>
      </c>
      <c r="F101" s="313">
        <f>SUM(F98:F100)</f>
        <v/>
      </c>
      <c r="G101" s="313">
        <f>SUM(G98:G100)</f>
        <v/>
      </c>
      <c r="H101" s="315">
        <f>SUM(C101:G101)</f>
        <v/>
      </c>
    </row>
    <row r="103" ht="12.75" customHeight="1">
      <c r="A103" s="173" t="inlineStr">
        <is>
          <t>4300500</t>
        </is>
      </c>
      <c r="B103" s="174" t="inlineStr">
        <is>
          <t>KN Incassokosten</t>
        </is>
      </c>
      <c r="D103" s="313" t="n">
        <v>0</v>
      </c>
      <c r="E103" s="313" t="n">
        <v>300</v>
      </c>
      <c r="F103" s="313" t="n">
        <v>300</v>
      </c>
      <c r="G103" s="313" t="n">
        <v>340</v>
      </c>
      <c r="H103" s="315">
        <f>SUM(C103:G103)</f>
        <v/>
      </c>
    </row>
    <row r="104" ht="12.75" customHeight="1">
      <c r="A104" s="174" t="inlineStr">
        <is>
          <t>Totaal Kantoorkosten</t>
        </is>
      </c>
      <c r="D104" s="313">
        <f>SUM(D103)</f>
        <v/>
      </c>
      <c r="E104" s="313">
        <f>SUM(E103)</f>
        <v/>
      </c>
      <c r="F104" s="313">
        <f>SUM(F103)</f>
        <v/>
      </c>
      <c r="G104" s="313">
        <f>SUM(G103)</f>
        <v/>
      </c>
      <c r="H104" s="315">
        <f>SUM(C104:G104)</f>
        <v/>
      </c>
    </row>
    <row r="106" ht="12.75" customHeight="1">
      <c r="A106" s="173" t="inlineStr">
        <is>
          <t>4310000</t>
        </is>
      </c>
      <c r="B106" s="174" t="inlineStr">
        <is>
          <t>KN Abonnementen en contributies</t>
        </is>
      </c>
      <c r="D106" s="313" t="n">
        <v>0</v>
      </c>
      <c r="E106" s="313" t="n">
        <v>0</v>
      </c>
      <c r="F106" s="313" t="n">
        <v>0</v>
      </c>
      <c r="G106" s="313" t="n">
        <v>0</v>
      </c>
    </row>
    <row r="107" ht="12.75" customHeight="1">
      <c r="A107" s="173" t="inlineStr">
        <is>
          <t>4310400</t>
        </is>
      </c>
      <c r="B107" s="174" t="inlineStr">
        <is>
          <t>KN Assurantiepremie algemeen</t>
        </is>
      </c>
      <c r="D107" s="313" t="n">
        <v>25616</v>
      </c>
      <c r="E107" s="313" t="n">
        <v>28130</v>
      </c>
      <c r="F107" s="313" t="n">
        <v>28219.25</v>
      </c>
      <c r="G107" s="313" t="n">
        <v>29692.1</v>
      </c>
      <c r="H107" s="315">
        <f>SUM(C107:G107)</f>
        <v/>
      </c>
    </row>
    <row r="108" ht="12.75" customHeight="1">
      <c r="A108" s="173" t="inlineStr">
        <is>
          <t>4310500</t>
        </is>
      </c>
      <c r="B108" s="174" t="inlineStr">
        <is>
          <t>KN Managementvergoeding</t>
        </is>
      </c>
      <c r="D108" s="313" t="n">
        <v>5445</v>
      </c>
      <c r="E108" s="313" t="n">
        <v>5445</v>
      </c>
      <c r="F108" s="313" t="n">
        <v>5445</v>
      </c>
      <c r="G108" s="313" t="n">
        <v>5445</v>
      </c>
      <c r="H108" s="315">
        <f>SUM(C108:G108)</f>
        <v/>
      </c>
    </row>
    <row r="109" ht="12.75" customHeight="1">
      <c r="A109" s="173" t="inlineStr">
        <is>
          <t>4310600</t>
        </is>
      </c>
      <c r="B109" s="174" t="inlineStr">
        <is>
          <t>KN Accountantskosten</t>
        </is>
      </c>
      <c r="D109" s="313" t="n">
        <v>31618</v>
      </c>
      <c r="E109" s="313" t="n">
        <v>31660</v>
      </c>
      <c r="F109" s="313" t="n">
        <v>61669.95</v>
      </c>
      <c r="G109" s="313" t="n">
        <v>2612.6</v>
      </c>
      <c r="H109" s="315">
        <f>SUM(C109:G109)</f>
        <v/>
      </c>
    </row>
    <row r="110" ht="12.75" customHeight="1">
      <c r="A110" s="173" t="inlineStr">
        <is>
          <t>4310700</t>
        </is>
      </c>
      <c r="B110" s="174" t="inlineStr">
        <is>
          <t>KN Administratiekosten</t>
        </is>
      </c>
      <c r="D110" s="313" t="n">
        <v>2420</v>
      </c>
      <c r="E110" s="313" t="n">
        <v>0</v>
      </c>
      <c r="F110" s="313" t="n">
        <v>2420</v>
      </c>
      <c r="G110" s="313" t="n">
        <v>2420</v>
      </c>
      <c r="H110" s="315">
        <f>SUM(C110:G110)</f>
        <v/>
      </c>
    </row>
    <row r="111" ht="12.75" customHeight="1">
      <c r="A111" s="173" t="inlineStr">
        <is>
          <t>4310800</t>
        </is>
      </c>
      <c r="B111" s="174" t="inlineStr">
        <is>
          <t>KN Makelaarskosten</t>
        </is>
      </c>
      <c r="D111" s="313" t="n">
        <v>40646</v>
      </c>
      <c r="E111" s="313" t="n">
        <v>63411</v>
      </c>
      <c r="F111" s="313" t="n">
        <v>50119.65</v>
      </c>
      <c r="G111" s="313" t="n">
        <v>88242.28</v>
      </c>
      <c r="H111" s="315">
        <f>SUM(C111:G111)</f>
        <v/>
      </c>
    </row>
    <row r="112" ht="12.75" customHeight="1">
      <c r="A112" s="173" t="inlineStr">
        <is>
          <t>4311000</t>
        </is>
      </c>
      <c r="B112" s="174" t="inlineStr">
        <is>
          <t>KN Juridische kosten</t>
        </is>
      </c>
      <c r="D112" s="313" t="n">
        <v>2261</v>
      </c>
      <c r="E112" s="313" t="n">
        <v>8170</v>
      </c>
      <c r="F112" s="313" t="n">
        <v>3422.05</v>
      </c>
      <c r="G112" s="313" t="n">
        <v>4094.49</v>
      </c>
      <c r="H112" s="315">
        <f>SUM(C112:G112)</f>
        <v/>
      </c>
    </row>
    <row r="113" ht="12.75" customHeight="1">
      <c r="A113" s="173" t="inlineStr">
        <is>
          <t>4311800</t>
        </is>
      </c>
      <c r="B113" s="174" t="inlineStr">
        <is>
          <t>KN Advieskosten</t>
        </is>
      </c>
      <c r="D113" s="313" t="n">
        <v>0</v>
      </c>
      <c r="E113" s="313" t="n">
        <v>0</v>
      </c>
      <c r="F113" s="313" t="n">
        <v>0</v>
      </c>
      <c r="G113" s="313" t="n">
        <v>0</v>
      </c>
      <c r="H113" s="315">
        <f>SUM(C113:G113)</f>
        <v/>
      </c>
    </row>
    <row r="114" ht="12" customHeight="1">
      <c r="A114" s="173" t="inlineStr">
        <is>
          <t>4311900</t>
        </is>
      </c>
      <c r="B114" s="174" t="inlineStr">
        <is>
          <t>KN Bankkosten</t>
        </is>
      </c>
      <c r="D114" s="313" t="n">
        <v>2025</v>
      </c>
      <c r="E114" s="313">
        <f>1186-3</f>
        <v/>
      </c>
      <c r="F114" s="313" t="n">
        <v>6968.21</v>
      </c>
      <c r="G114" s="313" t="n">
        <v>1225.96</v>
      </c>
      <c r="H114" s="315">
        <f>SUM(D114:G114)</f>
        <v/>
      </c>
    </row>
    <row r="115" ht="12.75" customHeight="1">
      <c r="A115" s="173" t="inlineStr">
        <is>
          <t>4312600</t>
        </is>
      </c>
      <c r="B115" s="174" t="inlineStr">
        <is>
          <t>KN Agent Fee facility</t>
        </is>
      </c>
      <c r="D115" s="313" t="n">
        <v>0</v>
      </c>
      <c r="E115" s="313" t="n">
        <v>20000</v>
      </c>
      <c r="F115" s="313" t="n">
        <v>20000</v>
      </c>
      <c r="G115" s="313" t="n">
        <v>0</v>
      </c>
      <c r="H115" s="315">
        <f>SUM(C115:G115)</f>
        <v/>
      </c>
    </row>
    <row r="116" ht="12.75" customHeight="1">
      <c r="A116" s="173" t="inlineStr">
        <is>
          <t>4319800</t>
        </is>
      </c>
      <c r="B116" s="174" t="inlineStr">
        <is>
          <t>KN Overige algemene kosten</t>
        </is>
      </c>
      <c r="D116" s="313" t="n">
        <v>-1065</v>
      </c>
      <c r="E116" s="313" t="n">
        <v>12363</v>
      </c>
      <c r="F116" s="313">
        <f>-9583+182</f>
        <v/>
      </c>
      <c r="G116" s="313" t="n">
        <v>2560.84</v>
      </c>
      <c r="H116" s="315">
        <f>SUM(D116:G116)</f>
        <v/>
      </c>
    </row>
    <row r="117" ht="12.75" customHeight="1">
      <c r="A117" s="174" t="inlineStr">
        <is>
          <t>Totaal Algemene kosten</t>
        </is>
      </c>
      <c r="D117" s="313">
        <f>SUM(D106:D116)</f>
        <v/>
      </c>
      <c r="E117" s="313">
        <f>SUM(E106:E116)</f>
        <v/>
      </c>
      <c r="F117" s="313">
        <f>SUM(F106:F116)</f>
        <v/>
      </c>
      <c r="G117" s="313">
        <f>SUM(G106:G116)</f>
        <v/>
      </c>
      <c r="H117" s="315">
        <f>SUM(C117:G117)</f>
        <v/>
      </c>
    </row>
    <row r="118" ht="12.75" customHeight="1">
      <c r="D118" s="313" t="n">
        <v>0</v>
      </c>
      <c r="H118" s="315">
        <f>SUM(C118:F118)</f>
        <v/>
      </c>
    </row>
    <row r="119" ht="12.75" customHeight="1">
      <c r="A119" s="173" t="inlineStr">
        <is>
          <t>4623001</t>
        </is>
      </c>
      <c r="B119" s="174" t="inlineStr">
        <is>
          <t>FINBL Rente ABN AMRO Bank NV Senior Facility Agreement</t>
        </is>
      </c>
      <c r="D119" s="313" t="n">
        <v>425610</v>
      </c>
      <c r="E119" s="313" t="n">
        <v>424302</v>
      </c>
      <c r="F119" s="313" t="n">
        <v>420037.6</v>
      </c>
      <c r="G119" s="313" t="n">
        <v>416515.02</v>
      </c>
      <c r="H119" s="315">
        <f>SUM(C119:G119)</f>
        <v/>
      </c>
    </row>
    <row r="120" ht="12.75" customHeight="1">
      <c r="A120" s="173" t="n">
        <v>4611000</v>
      </c>
      <c r="B120" s="174" t="inlineStr">
        <is>
          <t>FINBL Rente RC DMRRP INV - I BV</t>
        </is>
      </c>
      <c r="D120" s="313" t="n">
        <v>0</v>
      </c>
      <c r="E120" s="313" t="n">
        <v>0</v>
      </c>
      <c r="F120" s="313" t="n">
        <v>0</v>
      </c>
      <c r="G120" s="313" t="n">
        <v>4201</v>
      </c>
      <c r="H120" s="315">
        <f>SUM(C120:G120)</f>
        <v/>
      </c>
    </row>
    <row r="121" ht="12.75" customHeight="1">
      <c r="A121" s="173" t="n">
        <v>4630000</v>
      </c>
      <c r="B121" s="174" t="inlineStr">
        <is>
          <t>FINBL Rente belastingen</t>
        </is>
      </c>
      <c r="D121" s="313" t="n">
        <v>0</v>
      </c>
      <c r="E121" s="313" t="n">
        <v>0</v>
      </c>
      <c r="F121" s="313" t="n">
        <v>0</v>
      </c>
      <c r="G121" s="313" t="n">
        <v>0</v>
      </c>
      <c r="H121" s="315">
        <f>SUM(C121:G121)</f>
        <v/>
      </c>
    </row>
    <row r="122" ht="12.75" customHeight="1">
      <c r="A122" s="173" t="inlineStr">
        <is>
          <t>4643000</t>
        </is>
      </c>
      <c r="B122" s="174" t="inlineStr">
        <is>
          <t>FINBL Overige rentelasten</t>
        </is>
      </c>
      <c r="D122" s="313" t="n">
        <v>102784</v>
      </c>
      <c r="E122" s="313" t="n">
        <v>103265</v>
      </c>
      <c r="F122" s="313" t="n">
        <v>103625.3</v>
      </c>
      <c r="G122" s="313" t="n">
        <v>102995.06</v>
      </c>
      <c r="H122" s="315">
        <f>SUM(C122:G122)</f>
        <v/>
      </c>
    </row>
    <row r="123" ht="12.75" customHeight="1">
      <c r="A123" s="173" t="n">
        <v>4642000</v>
      </c>
      <c r="B123" s="174" t="inlineStr">
        <is>
          <t>FINBL overige rentebaten</t>
        </is>
      </c>
      <c r="D123" s="313" t="n">
        <v>0</v>
      </c>
      <c r="E123" s="313" t="n">
        <v>3574</v>
      </c>
      <c r="F123" s="313" t="n">
        <v>0</v>
      </c>
      <c r="G123" s="313" t="n">
        <v>2949.43</v>
      </c>
      <c r="H123" s="315">
        <f>SUM(C123:G123)</f>
        <v/>
      </c>
    </row>
    <row r="124" ht="12.75" customHeight="1">
      <c r="A124" s="173" t="inlineStr">
        <is>
          <t>Totaal Financiële baten en lasten</t>
        </is>
      </c>
      <c r="D124" s="313">
        <f>SUM(D119:D123)</f>
        <v/>
      </c>
      <c r="E124" s="313">
        <f>SUM(E119:E123)</f>
        <v/>
      </c>
      <c r="F124" s="313">
        <f>SUM(F119:F123)</f>
        <v/>
      </c>
      <c r="G124" s="313">
        <f>SUM(G119:G123)</f>
        <v/>
      </c>
      <c r="H124" s="315">
        <f>SUM(C124:G124)</f>
        <v/>
      </c>
    </row>
    <row r="125" ht="12.75" customHeight="1">
      <c r="H125" s="315">
        <f>SUM(C125:F125)</f>
        <v/>
      </c>
    </row>
    <row r="126" ht="12.75" customHeight="1">
      <c r="A126" s="173" t="n">
        <v>9500000</v>
      </c>
      <c r="B126" s="174" t="inlineStr">
        <is>
          <t>VPB Vennootschapsbelasting VPB Huidg jaar</t>
        </is>
      </c>
      <c r="D126" s="313" t="n">
        <v>0</v>
      </c>
      <c r="E126" s="313" t="n">
        <v>0</v>
      </c>
      <c r="F126" s="313" t="n">
        <v>0</v>
      </c>
      <c r="G126" s="313" t="n">
        <v>0</v>
      </c>
      <c r="H126" s="315">
        <f>SUM(C126:G126)</f>
        <v/>
      </c>
    </row>
    <row r="127" ht="12.75" customHeight="1">
      <c r="A127" s="173" t="inlineStr">
        <is>
          <t>9510000</t>
        </is>
      </c>
      <c r="B127" s="174" t="inlineStr">
        <is>
          <t>VPB Mutatie belastinglatentie Mutatie actieve latentie</t>
        </is>
      </c>
      <c r="D127" s="313" t="n">
        <v>0</v>
      </c>
      <c r="E127" s="313" t="n">
        <v>0</v>
      </c>
      <c r="F127" s="313" t="n">
        <v>0</v>
      </c>
      <c r="G127" s="313" t="n">
        <v>0</v>
      </c>
      <c r="H127" s="315">
        <f>SUM(C127:G127)</f>
        <v/>
      </c>
    </row>
    <row r="128" ht="12.75" customHeight="1">
      <c r="A128" s="173" t="n">
        <v>9500100</v>
      </c>
      <c r="B128" s="174" t="inlineStr">
        <is>
          <t>VPB Vennootschapsbelasting VPB voorgaande jaren</t>
        </is>
      </c>
      <c r="D128" s="313" t="n">
        <v>-142740</v>
      </c>
      <c r="E128" s="313" t="n">
        <v>-120923</v>
      </c>
      <c r="F128" s="313" t="n">
        <v>-161798</v>
      </c>
      <c r="G128" s="313" t="n">
        <v>-140246.2</v>
      </c>
      <c r="H128" s="315">
        <f>SUM(C128:G128)</f>
        <v/>
      </c>
    </row>
    <row r="129" ht="12.75" customHeight="1">
      <c r="A129" s="173" t="inlineStr">
        <is>
          <t>Totaal vennootschapsbelasting</t>
        </is>
      </c>
      <c r="C129" s="314" t="n"/>
      <c r="D129" s="314">
        <f>SUM(D126:D128)</f>
        <v/>
      </c>
      <c r="E129" s="314">
        <f>SUM(E126:E128)</f>
        <v/>
      </c>
      <c r="F129" s="314">
        <f>SUM(F126:F128)-2</f>
        <v/>
      </c>
      <c r="G129" s="314">
        <f>SUM(G126:G128)</f>
        <v/>
      </c>
      <c r="H129" s="315">
        <f>SUM(C129:G129)</f>
        <v/>
      </c>
    </row>
    <row r="130" ht="12.75" customHeight="1">
      <c r="H130" s="315">
        <f>SUM(C130:F130)</f>
        <v/>
      </c>
    </row>
    <row r="131" ht="12.75" customHeight="1">
      <c r="A131" s="174" t="inlineStr">
        <is>
          <t>Resultaat na belasting</t>
        </is>
      </c>
      <c r="D131" s="313">
        <f>D74+D79+D82+D86+D96+D101+D104+D117+D124+D129</f>
        <v/>
      </c>
      <c r="E131" s="313">
        <f>E74+E79+E82+E86+E96+E101+E104+E117+E124+E129</f>
        <v/>
      </c>
      <c r="F131" s="313">
        <f>F74+F79+F82+F86+F96+F101+F104+F117+F124+F129</f>
        <v/>
      </c>
      <c r="G131" s="313">
        <f>G74+G79+G82+G86+G96+G101+G104+G117+G124+G129</f>
        <v/>
      </c>
      <c r="H131" s="315">
        <f>SUM(C131:G131)</f>
        <v/>
      </c>
    </row>
    <row r="133" ht="12.75" customHeight="1">
      <c r="C133" s="325" t="n"/>
      <c r="D133" s="325">
        <f>SUM(D4:D68)+D131</f>
        <v/>
      </c>
      <c r="E133" s="325">
        <f>SUM(E4:E68)+E131</f>
        <v/>
      </c>
      <c r="F133" s="325">
        <f>SUM(F4:F68)+F131</f>
        <v/>
      </c>
      <c r="G133" s="325">
        <f>SUM(G4:G68)+G131</f>
        <v/>
      </c>
      <c r="H133" s="316">
        <f>SUM(H4:H68)+H131</f>
        <v/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34"/>
  <sheetViews>
    <sheetView topLeftCell="A38" zoomScale="115" zoomScaleNormal="115" workbookViewId="0">
      <pane xSplit="2" topLeftCell="E1" activePane="topRight" state="frozen"/>
      <selection pane="topRight" activeCell="G89" sqref="G89"/>
    </sheetView>
  </sheetViews>
  <sheetFormatPr baseColWidth="8" defaultRowHeight="12.75" customHeight="1"/>
  <cols>
    <col width="21.109375" bestFit="1" customWidth="1" style="173" min="1" max="1"/>
    <col width="70" bestFit="1" customWidth="1" style="174" min="2" max="2"/>
    <col width="24.5546875" bestFit="1" customWidth="1" style="313" min="3" max="3"/>
    <col width="22.44140625" customWidth="1" style="313" min="4" max="7"/>
    <col width="19.44140625" bestFit="1" customWidth="1" style="315" min="8" max="8"/>
    <col width="26.33203125" bestFit="1" customWidth="1" style="174" min="9" max="9"/>
    <col width="13.5546875" bestFit="1" customWidth="1" style="174" min="10" max="10"/>
    <col width="9.109375" customWidth="1" style="174" min="11" max="13"/>
    <col width="9.5546875" bestFit="1" customWidth="1" style="174" min="14" max="14"/>
    <col width="9.109375" customWidth="1" style="174" min="15" max="16"/>
    <col width="11.33203125" bestFit="1" customWidth="1" style="174" min="17" max="17"/>
    <col width="9.109375" customWidth="1" style="174" min="18" max="256"/>
    <col width="21.109375" bestFit="1" customWidth="1" style="174" min="257" max="257"/>
    <col width="70" bestFit="1" customWidth="1" style="174" min="258" max="258"/>
    <col width="24.5546875" bestFit="1" customWidth="1" style="174" min="259" max="259"/>
    <col width="22.44140625" customWidth="1" style="174" min="260" max="263"/>
    <col width="19.44140625" bestFit="1" customWidth="1" style="174" min="264" max="264"/>
    <col width="26.33203125" bestFit="1" customWidth="1" style="174" min="265" max="265"/>
    <col width="13.5546875" bestFit="1" customWidth="1" style="174" min="266" max="266"/>
    <col width="9.109375" customWidth="1" style="174" min="267" max="512"/>
    <col width="21.109375" bestFit="1" customWidth="1" style="174" min="513" max="513"/>
    <col width="70" bestFit="1" customWidth="1" style="174" min="514" max="514"/>
    <col width="24.5546875" bestFit="1" customWidth="1" style="174" min="515" max="515"/>
    <col width="22.44140625" customWidth="1" style="174" min="516" max="519"/>
    <col width="19.44140625" bestFit="1" customWidth="1" style="174" min="520" max="520"/>
    <col width="26.33203125" bestFit="1" customWidth="1" style="174" min="521" max="521"/>
    <col width="13.5546875" bestFit="1" customWidth="1" style="174" min="522" max="522"/>
    <col width="9.109375" customWidth="1" style="174" min="523" max="768"/>
    <col width="21.109375" bestFit="1" customWidth="1" style="174" min="769" max="769"/>
    <col width="70" bestFit="1" customWidth="1" style="174" min="770" max="770"/>
    <col width="24.5546875" bestFit="1" customWidth="1" style="174" min="771" max="771"/>
    <col width="22.44140625" customWidth="1" style="174" min="772" max="775"/>
    <col width="19.44140625" bestFit="1" customWidth="1" style="174" min="776" max="776"/>
    <col width="26.33203125" bestFit="1" customWidth="1" style="174" min="777" max="777"/>
    <col width="13.5546875" bestFit="1" customWidth="1" style="174" min="778" max="778"/>
    <col width="9.109375" customWidth="1" style="174" min="779" max="1024"/>
    <col width="21.109375" bestFit="1" customWidth="1" style="174" min="1025" max="1025"/>
    <col width="70" bestFit="1" customWidth="1" style="174" min="1026" max="1026"/>
    <col width="24.5546875" bestFit="1" customWidth="1" style="174" min="1027" max="1027"/>
    <col width="22.44140625" customWidth="1" style="174" min="1028" max="1031"/>
    <col width="19.44140625" bestFit="1" customWidth="1" style="174" min="1032" max="1032"/>
    <col width="26.33203125" bestFit="1" customWidth="1" style="174" min="1033" max="1033"/>
    <col width="13.5546875" bestFit="1" customWidth="1" style="174" min="1034" max="1034"/>
    <col width="9.109375" customWidth="1" style="174" min="1035" max="1280"/>
    <col width="21.109375" bestFit="1" customWidth="1" style="174" min="1281" max="1281"/>
    <col width="70" bestFit="1" customWidth="1" style="174" min="1282" max="1282"/>
    <col width="24.5546875" bestFit="1" customWidth="1" style="174" min="1283" max="1283"/>
    <col width="22.44140625" customWidth="1" style="174" min="1284" max="1287"/>
    <col width="19.44140625" bestFit="1" customWidth="1" style="174" min="1288" max="1288"/>
    <col width="26.33203125" bestFit="1" customWidth="1" style="174" min="1289" max="1289"/>
    <col width="13.5546875" bestFit="1" customWidth="1" style="174" min="1290" max="1290"/>
    <col width="9.109375" customWidth="1" style="174" min="1291" max="1536"/>
    <col width="21.109375" bestFit="1" customWidth="1" style="174" min="1537" max="1537"/>
    <col width="70" bestFit="1" customWidth="1" style="174" min="1538" max="1538"/>
    <col width="24.5546875" bestFit="1" customWidth="1" style="174" min="1539" max="1539"/>
    <col width="22.44140625" customWidth="1" style="174" min="1540" max="1543"/>
    <col width="19.44140625" bestFit="1" customWidth="1" style="174" min="1544" max="1544"/>
    <col width="26.33203125" bestFit="1" customWidth="1" style="174" min="1545" max="1545"/>
    <col width="13.5546875" bestFit="1" customWidth="1" style="174" min="1546" max="1546"/>
    <col width="9.109375" customWidth="1" style="174" min="1547" max="1792"/>
    <col width="21.109375" bestFit="1" customWidth="1" style="174" min="1793" max="1793"/>
    <col width="70" bestFit="1" customWidth="1" style="174" min="1794" max="1794"/>
    <col width="24.5546875" bestFit="1" customWidth="1" style="174" min="1795" max="1795"/>
    <col width="22.44140625" customWidth="1" style="174" min="1796" max="1799"/>
    <col width="19.44140625" bestFit="1" customWidth="1" style="174" min="1800" max="1800"/>
    <col width="26.33203125" bestFit="1" customWidth="1" style="174" min="1801" max="1801"/>
    <col width="13.5546875" bestFit="1" customWidth="1" style="174" min="1802" max="1802"/>
    <col width="9.109375" customWidth="1" style="174" min="1803" max="2048"/>
    <col width="21.109375" bestFit="1" customWidth="1" style="174" min="2049" max="2049"/>
    <col width="70" bestFit="1" customWidth="1" style="174" min="2050" max="2050"/>
    <col width="24.5546875" bestFit="1" customWidth="1" style="174" min="2051" max="2051"/>
    <col width="22.44140625" customWidth="1" style="174" min="2052" max="2055"/>
    <col width="19.44140625" bestFit="1" customWidth="1" style="174" min="2056" max="2056"/>
    <col width="26.33203125" bestFit="1" customWidth="1" style="174" min="2057" max="2057"/>
    <col width="13.5546875" bestFit="1" customWidth="1" style="174" min="2058" max="2058"/>
    <col width="9.109375" customWidth="1" style="174" min="2059" max="2304"/>
    <col width="21.109375" bestFit="1" customWidth="1" style="174" min="2305" max="2305"/>
    <col width="70" bestFit="1" customWidth="1" style="174" min="2306" max="2306"/>
    <col width="24.5546875" bestFit="1" customWidth="1" style="174" min="2307" max="2307"/>
    <col width="22.44140625" customWidth="1" style="174" min="2308" max="2311"/>
    <col width="19.44140625" bestFit="1" customWidth="1" style="174" min="2312" max="2312"/>
    <col width="26.33203125" bestFit="1" customWidth="1" style="174" min="2313" max="2313"/>
    <col width="13.5546875" bestFit="1" customWidth="1" style="174" min="2314" max="2314"/>
    <col width="9.109375" customWidth="1" style="174" min="2315" max="2560"/>
    <col width="21.109375" bestFit="1" customWidth="1" style="174" min="2561" max="2561"/>
    <col width="70" bestFit="1" customWidth="1" style="174" min="2562" max="2562"/>
    <col width="24.5546875" bestFit="1" customWidth="1" style="174" min="2563" max="2563"/>
    <col width="22.44140625" customWidth="1" style="174" min="2564" max="2567"/>
    <col width="19.44140625" bestFit="1" customWidth="1" style="174" min="2568" max="2568"/>
    <col width="26.33203125" bestFit="1" customWidth="1" style="174" min="2569" max="2569"/>
    <col width="13.5546875" bestFit="1" customWidth="1" style="174" min="2570" max="2570"/>
    <col width="9.109375" customWidth="1" style="174" min="2571" max="2816"/>
    <col width="21.109375" bestFit="1" customWidth="1" style="174" min="2817" max="2817"/>
    <col width="70" bestFit="1" customWidth="1" style="174" min="2818" max="2818"/>
    <col width="24.5546875" bestFit="1" customWidth="1" style="174" min="2819" max="2819"/>
    <col width="22.44140625" customWidth="1" style="174" min="2820" max="2823"/>
    <col width="19.44140625" bestFit="1" customWidth="1" style="174" min="2824" max="2824"/>
    <col width="26.33203125" bestFit="1" customWidth="1" style="174" min="2825" max="2825"/>
    <col width="13.5546875" bestFit="1" customWidth="1" style="174" min="2826" max="2826"/>
    <col width="9.109375" customWidth="1" style="174" min="2827" max="3072"/>
    <col width="21.109375" bestFit="1" customWidth="1" style="174" min="3073" max="3073"/>
    <col width="70" bestFit="1" customWidth="1" style="174" min="3074" max="3074"/>
    <col width="24.5546875" bestFit="1" customWidth="1" style="174" min="3075" max="3075"/>
    <col width="22.44140625" customWidth="1" style="174" min="3076" max="3079"/>
    <col width="19.44140625" bestFit="1" customWidth="1" style="174" min="3080" max="3080"/>
    <col width="26.33203125" bestFit="1" customWidth="1" style="174" min="3081" max="3081"/>
    <col width="13.5546875" bestFit="1" customWidth="1" style="174" min="3082" max="3082"/>
    <col width="9.109375" customWidth="1" style="174" min="3083" max="3328"/>
    <col width="21.109375" bestFit="1" customWidth="1" style="174" min="3329" max="3329"/>
    <col width="70" bestFit="1" customWidth="1" style="174" min="3330" max="3330"/>
    <col width="24.5546875" bestFit="1" customWidth="1" style="174" min="3331" max="3331"/>
    <col width="22.44140625" customWidth="1" style="174" min="3332" max="3335"/>
    <col width="19.44140625" bestFit="1" customWidth="1" style="174" min="3336" max="3336"/>
    <col width="26.33203125" bestFit="1" customWidth="1" style="174" min="3337" max="3337"/>
    <col width="13.5546875" bestFit="1" customWidth="1" style="174" min="3338" max="3338"/>
    <col width="9.109375" customWidth="1" style="174" min="3339" max="3584"/>
    <col width="21.109375" bestFit="1" customWidth="1" style="174" min="3585" max="3585"/>
    <col width="70" bestFit="1" customWidth="1" style="174" min="3586" max="3586"/>
    <col width="24.5546875" bestFit="1" customWidth="1" style="174" min="3587" max="3587"/>
    <col width="22.44140625" customWidth="1" style="174" min="3588" max="3591"/>
    <col width="19.44140625" bestFit="1" customWidth="1" style="174" min="3592" max="3592"/>
    <col width="26.33203125" bestFit="1" customWidth="1" style="174" min="3593" max="3593"/>
    <col width="13.5546875" bestFit="1" customWidth="1" style="174" min="3594" max="3594"/>
    <col width="9.109375" customWidth="1" style="174" min="3595" max="3840"/>
    <col width="21.109375" bestFit="1" customWidth="1" style="174" min="3841" max="3841"/>
    <col width="70" bestFit="1" customWidth="1" style="174" min="3842" max="3842"/>
    <col width="24.5546875" bestFit="1" customWidth="1" style="174" min="3843" max="3843"/>
    <col width="22.44140625" customWidth="1" style="174" min="3844" max="3847"/>
    <col width="19.44140625" bestFit="1" customWidth="1" style="174" min="3848" max="3848"/>
    <col width="26.33203125" bestFit="1" customWidth="1" style="174" min="3849" max="3849"/>
    <col width="13.5546875" bestFit="1" customWidth="1" style="174" min="3850" max="3850"/>
    <col width="9.109375" customWidth="1" style="174" min="3851" max="4096"/>
    <col width="21.109375" bestFit="1" customWidth="1" style="174" min="4097" max="4097"/>
    <col width="70" bestFit="1" customWidth="1" style="174" min="4098" max="4098"/>
    <col width="24.5546875" bestFit="1" customWidth="1" style="174" min="4099" max="4099"/>
    <col width="22.44140625" customWidth="1" style="174" min="4100" max="4103"/>
    <col width="19.44140625" bestFit="1" customWidth="1" style="174" min="4104" max="4104"/>
    <col width="26.33203125" bestFit="1" customWidth="1" style="174" min="4105" max="4105"/>
    <col width="13.5546875" bestFit="1" customWidth="1" style="174" min="4106" max="4106"/>
    <col width="9.109375" customWidth="1" style="174" min="4107" max="4352"/>
    <col width="21.109375" bestFit="1" customWidth="1" style="174" min="4353" max="4353"/>
    <col width="70" bestFit="1" customWidth="1" style="174" min="4354" max="4354"/>
    <col width="24.5546875" bestFit="1" customWidth="1" style="174" min="4355" max="4355"/>
    <col width="22.44140625" customWidth="1" style="174" min="4356" max="4359"/>
    <col width="19.44140625" bestFit="1" customWidth="1" style="174" min="4360" max="4360"/>
    <col width="26.33203125" bestFit="1" customWidth="1" style="174" min="4361" max="4361"/>
    <col width="13.5546875" bestFit="1" customWidth="1" style="174" min="4362" max="4362"/>
    <col width="9.109375" customWidth="1" style="174" min="4363" max="4608"/>
    <col width="21.109375" bestFit="1" customWidth="1" style="174" min="4609" max="4609"/>
    <col width="70" bestFit="1" customWidth="1" style="174" min="4610" max="4610"/>
    <col width="24.5546875" bestFit="1" customWidth="1" style="174" min="4611" max="4611"/>
    <col width="22.44140625" customWidth="1" style="174" min="4612" max="4615"/>
    <col width="19.44140625" bestFit="1" customWidth="1" style="174" min="4616" max="4616"/>
    <col width="26.33203125" bestFit="1" customWidth="1" style="174" min="4617" max="4617"/>
    <col width="13.5546875" bestFit="1" customWidth="1" style="174" min="4618" max="4618"/>
    <col width="9.109375" customWidth="1" style="174" min="4619" max="4864"/>
    <col width="21.109375" bestFit="1" customWidth="1" style="174" min="4865" max="4865"/>
    <col width="70" bestFit="1" customWidth="1" style="174" min="4866" max="4866"/>
    <col width="24.5546875" bestFit="1" customWidth="1" style="174" min="4867" max="4867"/>
    <col width="22.44140625" customWidth="1" style="174" min="4868" max="4871"/>
    <col width="19.44140625" bestFit="1" customWidth="1" style="174" min="4872" max="4872"/>
    <col width="26.33203125" bestFit="1" customWidth="1" style="174" min="4873" max="4873"/>
    <col width="13.5546875" bestFit="1" customWidth="1" style="174" min="4874" max="4874"/>
    <col width="9.109375" customWidth="1" style="174" min="4875" max="5120"/>
    <col width="21.109375" bestFit="1" customWidth="1" style="174" min="5121" max="5121"/>
    <col width="70" bestFit="1" customWidth="1" style="174" min="5122" max="5122"/>
    <col width="24.5546875" bestFit="1" customWidth="1" style="174" min="5123" max="5123"/>
    <col width="22.44140625" customWidth="1" style="174" min="5124" max="5127"/>
    <col width="19.44140625" bestFit="1" customWidth="1" style="174" min="5128" max="5128"/>
    <col width="26.33203125" bestFit="1" customWidth="1" style="174" min="5129" max="5129"/>
    <col width="13.5546875" bestFit="1" customWidth="1" style="174" min="5130" max="5130"/>
    <col width="9.109375" customWidth="1" style="174" min="5131" max="5376"/>
    <col width="21.109375" bestFit="1" customWidth="1" style="174" min="5377" max="5377"/>
    <col width="70" bestFit="1" customWidth="1" style="174" min="5378" max="5378"/>
    <col width="24.5546875" bestFit="1" customWidth="1" style="174" min="5379" max="5379"/>
    <col width="22.44140625" customWidth="1" style="174" min="5380" max="5383"/>
    <col width="19.44140625" bestFit="1" customWidth="1" style="174" min="5384" max="5384"/>
    <col width="26.33203125" bestFit="1" customWidth="1" style="174" min="5385" max="5385"/>
    <col width="13.5546875" bestFit="1" customWidth="1" style="174" min="5386" max="5386"/>
    <col width="9.109375" customWidth="1" style="174" min="5387" max="5632"/>
    <col width="21.109375" bestFit="1" customWidth="1" style="174" min="5633" max="5633"/>
    <col width="70" bestFit="1" customWidth="1" style="174" min="5634" max="5634"/>
    <col width="24.5546875" bestFit="1" customWidth="1" style="174" min="5635" max="5635"/>
    <col width="22.44140625" customWidth="1" style="174" min="5636" max="5639"/>
    <col width="19.44140625" bestFit="1" customWidth="1" style="174" min="5640" max="5640"/>
    <col width="26.33203125" bestFit="1" customWidth="1" style="174" min="5641" max="5641"/>
    <col width="13.5546875" bestFit="1" customWidth="1" style="174" min="5642" max="5642"/>
    <col width="9.109375" customWidth="1" style="174" min="5643" max="5888"/>
    <col width="21.109375" bestFit="1" customWidth="1" style="174" min="5889" max="5889"/>
    <col width="70" bestFit="1" customWidth="1" style="174" min="5890" max="5890"/>
    <col width="24.5546875" bestFit="1" customWidth="1" style="174" min="5891" max="5891"/>
    <col width="22.44140625" customWidth="1" style="174" min="5892" max="5895"/>
    <col width="19.44140625" bestFit="1" customWidth="1" style="174" min="5896" max="5896"/>
    <col width="26.33203125" bestFit="1" customWidth="1" style="174" min="5897" max="5897"/>
    <col width="13.5546875" bestFit="1" customWidth="1" style="174" min="5898" max="5898"/>
    <col width="9.109375" customWidth="1" style="174" min="5899" max="6144"/>
    <col width="21.109375" bestFit="1" customWidth="1" style="174" min="6145" max="6145"/>
    <col width="70" bestFit="1" customWidth="1" style="174" min="6146" max="6146"/>
    <col width="24.5546875" bestFit="1" customWidth="1" style="174" min="6147" max="6147"/>
    <col width="22.44140625" customWidth="1" style="174" min="6148" max="6151"/>
    <col width="19.44140625" bestFit="1" customWidth="1" style="174" min="6152" max="6152"/>
    <col width="26.33203125" bestFit="1" customWidth="1" style="174" min="6153" max="6153"/>
    <col width="13.5546875" bestFit="1" customWidth="1" style="174" min="6154" max="6154"/>
    <col width="9.109375" customWidth="1" style="174" min="6155" max="6400"/>
    <col width="21.109375" bestFit="1" customWidth="1" style="174" min="6401" max="6401"/>
    <col width="70" bestFit="1" customWidth="1" style="174" min="6402" max="6402"/>
    <col width="24.5546875" bestFit="1" customWidth="1" style="174" min="6403" max="6403"/>
    <col width="22.44140625" customWidth="1" style="174" min="6404" max="6407"/>
    <col width="19.44140625" bestFit="1" customWidth="1" style="174" min="6408" max="6408"/>
    <col width="26.33203125" bestFit="1" customWidth="1" style="174" min="6409" max="6409"/>
    <col width="13.5546875" bestFit="1" customWidth="1" style="174" min="6410" max="6410"/>
    <col width="9.109375" customWidth="1" style="174" min="6411" max="6656"/>
    <col width="21.109375" bestFit="1" customWidth="1" style="174" min="6657" max="6657"/>
    <col width="70" bestFit="1" customWidth="1" style="174" min="6658" max="6658"/>
    <col width="24.5546875" bestFit="1" customWidth="1" style="174" min="6659" max="6659"/>
    <col width="22.44140625" customWidth="1" style="174" min="6660" max="6663"/>
    <col width="19.44140625" bestFit="1" customWidth="1" style="174" min="6664" max="6664"/>
    <col width="26.33203125" bestFit="1" customWidth="1" style="174" min="6665" max="6665"/>
    <col width="13.5546875" bestFit="1" customWidth="1" style="174" min="6666" max="6666"/>
    <col width="9.109375" customWidth="1" style="174" min="6667" max="6912"/>
    <col width="21.109375" bestFit="1" customWidth="1" style="174" min="6913" max="6913"/>
    <col width="70" bestFit="1" customWidth="1" style="174" min="6914" max="6914"/>
    <col width="24.5546875" bestFit="1" customWidth="1" style="174" min="6915" max="6915"/>
    <col width="22.44140625" customWidth="1" style="174" min="6916" max="6919"/>
    <col width="19.44140625" bestFit="1" customWidth="1" style="174" min="6920" max="6920"/>
    <col width="26.33203125" bestFit="1" customWidth="1" style="174" min="6921" max="6921"/>
    <col width="13.5546875" bestFit="1" customWidth="1" style="174" min="6922" max="6922"/>
    <col width="9.109375" customWidth="1" style="174" min="6923" max="7168"/>
    <col width="21.109375" bestFit="1" customWidth="1" style="174" min="7169" max="7169"/>
    <col width="70" bestFit="1" customWidth="1" style="174" min="7170" max="7170"/>
    <col width="24.5546875" bestFit="1" customWidth="1" style="174" min="7171" max="7171"/>
    <col width="22.44140625" customWidth="1" style="174" min="7172" max="7175"/>
    <col width="19.44140625" bestFit="1" customWidth="1" style="174" min="7176" max="7176"/>
    <col width="26.33203125" bestFit="1" customWidth="1" style="174" min="7177" max="7177"/>
    <col width="13.5546875" bestFit="1" customWidth="1" style="174" min="7178" max="7178"/>
    <col width="9.109375" customWidth="1" style="174" min="7179" max="7424"/>
    <col width="21.109375" bestFit="1" customWidth="1" style="174" min="7425" max="7425"/>
    <col width="70" bestFit="1" customWidth="1" style="174" min="7426" max="7426"/>
    <col width="24.5546875" bestFit="1" customWidth="1" style="174" min="7427" max="7427"/>
    <col width="22.44140625" customWidth="1" style="174" min="7428" max="7431"/>
    <col width="19.44140625" bestFit="1" customWidth="1" style="174" min="7432" max="7432"/>
    <col width="26.33203125" bestFit="1" customWidth="1" style="174" min="7433" max="7433"/>
    <col width="13.5546875" bestFit="1" customWidth="1" style="174" min="7434" max="7434"/>
    <col width="9.109375" customWidth="1" style="174" min="7435" max="7680"/>
    <col width="21.109375" bestFit="1" customWidth="1" style="174" min="7681" max="7681"/>
    <col width="70" bestFit="1" customWidth="1" style="174" min="7682" max="7682"/>
    <col width="24.5546875" bestFit="1" customWidth="1" style="174" min="7683" max="7683"/>
    <col width="22.44140625" customWidth="1" style="174" min="7684" max="7687"/>
    <col width="19.44140625" bestFit="1" customWidth="1" style="174" min="7688" max="7688"/>
    <col width="26.33203125" bestFit="1" customWidth="1" style="174" min="7689" max="7689"/>
    <col width="13.5546875" bestFit="1" customWidth="1" style="174" min="7690" max="7690"/>
    <col width="9.109375" customWidth="1" style="174" min="7691" max="7936"/>
    <col width="21.109375" bestFit="1" customWidth="1" style="174" min="7937" max="7937"/>
    <col width="70" bestFit="1" customWidth="1" style="174" min="7938" max="7938"/>
    <col width="24.5546875" bestFit="1" customWidth="1" style="174" min="7939" max="7939"/>
    <col width="22.44140625" customWidth="1" style="174" min="7940" max="7943"/>
    <col width="19.44140625" bestFit="1" customWidth="1" style="174" min="7944" max="7944"/>
    <col width="26.33203125" bestFit="1" customWidth="1" style="174" min="7945" max="7945"/>
    <col width="13.5546875" bestFit="1" customWidth="1" style="174" min="7946" max="7946"/>
    <col width="9.109375" customWidth="1" style="174" min="7947" max="8192"/>
    <col width="21.109375" bestFit="1" customWidth="1" style="174" min="8193" max="8193"/>
    <col width="70" bestFit="1" customWidth="1" style="174" min="8194" max="8194"/>
    <col width="24.5546875" bestFit="1" customWidth="1" style="174" min="8195" max="8195"/>
    <col width="22.44140625" customWidth="1" style="174" min="8196" max="8199"/>
    <col width="19.44140625" bestFit="1" customWidth="1" style="174" min="8200" max="8200"/>
    <col width="26.33203125" bestFit="1" customWidth="1" style="174" min="8201" max="8201"/>
    <col width="13.5546875" bestFit="1" customWidth="1" style="174" min="8202" max="8202"/>
    <col width="9.109375" customWidth="1" style="174" min="8203" max="8448"/>
    <col width="21.109375" bestFit="1" customWidth="1" style="174" min="8449" max="8449"/>
    <col width="70" bestFit="1" customWidth="1" style="174" min="8450" max="8450"/>
    <col width="24.5546875" bestFit="1" customWidth="1" style="174" min="8451" max="8451"/>
    <col width="22.44140625" customWidth="1" style="174" min="8452" max="8455"/>
    <col width="19.44140625" bestFit="1" customWidth="1" style="174" min="8456" max="8456"/>
    <col width="26.33203125" bestFit="1" customWidth="1" style="174" min="8457" max="8457"/>
    <col width="13.5546875" bestFit="1" customWidth="1" style="174" min="8458" max="8458"/>
    <col width="9.109375" customWidth="1" style="174" min="8459" max="8704"/>
    <col width="21.109375" bestFit="1" customWidth="1" style="174" min="8705" max="8705"/>
    <col width="70" bestFit="1" customWidth="1" style="174" min="8706" max="8706"/>
    <col width="24.5546875" bestFit="1" customWidth="1" style="174" min="8707" max="8707"/>
    <col width="22.44140625" customWidth="1" style="174" min="8708" max="8711"/>
    <col width="19.44140625" bestFit="1" customWidth="1" style="174" min="8712" max="8712"/>
    <col width="26.33203125" bestFit="1" customWidth="1" style="174" min="8713" max="8713"/>
    <col width="13.5546875" bestFit="1" customWidth="1" style="174" min="8714" max="8714"/>
    <col width="9.109375" customWidth="1" style="174" min="8715" max="8960"/>
    <col width="21.109375" bestFit="1" customWidth="1" style="174" min="8961" max="8961"/>
    <col width="70" bestFit="1" customWidth="1" style="174" min="8962" max="8962"/>
    <col width="24.5546875" bestFit="1" customWidth="1" style="174" min="8963" max="8963"/>
    <col width="22.44140625" customWidth="1" style="174" min="8964" max="8967"/>
    <col width="19.44140625" bestFit="1" customWidth="1" style="174" min="8968" max="8968"/>
    <col width="26.33203125" bestFit="1" customWidth="1" style="174" min="8969" max="8969"/>
    <col width="13.5546875" bestFit="1" customWidth="1" style="174" min="8970" max="8970"/>
    <col width="9.109375" customWidth="1" style="174" min="8971" max="9216"/>
    <col width="21.109375" bestFit="1" customWidth="1" style="174" min="9217" max="9217"/>
    <col width="70" bestFit="1" customWidth="1" style="174" min="9218" max="9218"/>
    <col width="24.5546875" bestFit="1" customWidth="1" style="174" min="9219" max="9219"/>
    <col width="22.44140625" customWidth="1" style="174" min="9220" max="9223"/>
    <col width="19.44140625" bestFit="1" customWidth="1" style="174" min="9224" max="9224"/>
    <col width="26.33203125" bestFit="1" customWidth="1" style="174" min="9225" max="9225"/>
    <col width="13.5546875" bestFit="1" customWidth="1" style="174" min="9226" max="9226"/>
    <col width="9.109375" customWidth="1" style="174" min="9227" max="9472"/>
    <col width="21.109375" bestFit="1" customWidth="1" style="174" min="9473" max="9473"/>
    <col width="70" bestFit="1" customWidth="1" style="174" min="9474" max="9474"/>
    <col width="24.5546875" bestFit="1" customWidth="1" style="174" min="9475" max="9475"/>
    <col width="22.44140625" customWidth="1" style="174" min="9476" max="9479"/>
    <col width="19.44140625" bestFit="1" customWidth="1" style="174" min="9480" max="9480"/>
    <col width="26.33203125" bestFit="1" customWidth="1" style="174" min="9481" max="9481"/>
    <col width="13.5546875" bestFit="1" customWidth="1" style="174" min="9482" max="9482"/>
    <col width="9.109375" customWidth="1" style="174" min="9483" max="9728"/>
    <col width="21.109375" bestFit="1" customWidth="1" style="174" min="9729" max="9729"/>
    <col width="70" bestFit="1" customWidth="1" style="174" min="9730" max="9730"/>
    <col width="24.5546875" bestFit="1" customWidth="1" style="174" min="9731" max="9731"/>
    <col width="22.44140625" customWidth="1" style="174" min="9732" max="9735"/>
    <col width="19.44140625" bestFit="1" customWidth="1" style="174" min="9736" max="9736"/>
    <col width="26.33203125" bestFit="1" customWidth="1" style="174" min="9737" max="9737"/>
    <col width="13.5546875" bestFit="1" customWidth="1" style="174" min="9738" max="9738"/>
    <col width="9.109375" customWidth="1" style="174" min="9739" max="9984"/>
    <col width="21.109375" bestFit="1" customWidth="1" style="174" min="9985" max="9985"/>
    <col width="70" bestFit="1" customWidth="1" style="174" min="9986" max="9986"/>
    <col width="24.5546875" bestFit="1" customWidth="1" style="174" min="9987" max="9987"/>
    <col width="22.44140625" customWidth="1" style="174" min="9988" max="9991"/>
    <col width="19.44140625" bestFit="1" customWidth="1" style="174" min="9992" max="9992"/>
    <col width="26.33203125" bestFit="1" customWidth="1" style="174" min="9993" max="9993"/>
    <col width="13.5546875" bestFit="1" customWidth="1" style="174" min="9994" max="9994"/>
    <col width="9.109375" customWidth="1" style="174" min="9995" max="10240"/>
    <col width="21.109375" bestFit="1" customWidth="1" style="174" min="10241" max="10241"/>
    <col width="70" bestFit="1" customWidth="1" style="174" min="10242" max="10242"/>
    <col width="24.5546875" bestFit="1" customWidth="1" style="174" min="10243" max="10243"/>
    <col width="22.44140625" customWidth="1" style="174" min="10244" max="10247"/>
    <col width="19.44140625" bestFit="1" customWidth="1" style="174" min="10248" max="10248"/>
    <col width="26.33203125" bestFit="1" customWidth="1" style="174" min="10249" max="10249"/>
    <col width="13.5546875" bestFit="1" customWidth="1" style="174" min="10250" max="10250"/>
    <col width="9.109375" customWidth="1" style="174" min="10251" max="10496"/>
    <col width="21.109375" bestFit="1" customWidth="1" style="174" min="10497" max="10497"/>
    <col width="70" bestFit="1" customWidth="1" style="174" min="10498" max="10498"/>
    <col width="24.5546875" bestFit="1" customWidth="1" style="174" min="10499" max="10499"/>
    <col width="22.44140625" customWidth="1" style="174" min="10500" max="10503"/>
    <col width="19.44140625" bestFit="1" customWidth="1" style="174" min="10504" max="10504"/>
    <col width="26.33203125" bestFit="1" customWidth="1" style="174" min="10505" max="10505"/>
    <col width="13.5546875" bestFit="1" customWidth="1" style="174" min="10506" max="10506"/>
    <col width="9.109375" customWidth="1" style="174" min="10507" max="10752"/>
    <col width="21.109375" bestFit="1" customWidth="1" style="174" min="10753" max="10753"/>
    <col width="70" bestFit="1" customWidth="1" style="174" min="10754" max="10754"/>
    <col width="24.5546875" bestFit="1" customWidth="1" style="174" min="10755" max="10755"/>
    <col width="22.44140625" customWidth="1" style="174" min="10756" max="10759"/>
    <col width="19.44140625" bestFit="1" customWidth="1" style="174" min="10760" max="10760"/>
    <col width="26.33203125" bestFit="1" customWidth="1" style="174" min="10761" max="10761"/>
    <col width="13.5546875" bestFit="1" customWidth="1" style="174" min="10762" max="10762"/>
    <col width="9.109375" customWidth="1" style="174" min="10763" max="11008"/>
    <col width="21.109375" bestFit="1" customWidth="1" style="174" min="11009" max="11009"/>
    <col width="70" bestFit="1" customWidth="1" style="174" min="11010" max="11010"/>
    <col width="24.5546875" bestFit="1" customWidth="1" style="174" min="11011" max="11011"/>
    <col width="22.44140625" customWidth="1" style="174" min="11012" max="11015"/>
    <col width="19.44140625" bestFit="1" customWidth="1" style="174" min="11016" max="11016"/>
    <col width="26.33203125" bestFit="1" customWidth="1" style="174" min="11017" max="11017"/>
    <col width="13.5546875" bestFit="1" customWidth="1" style="174" min="11018" max="11018"/>
    <col width="9.109375" customWidth="1" style="174" min="11019" max="11264"/>
    <col width="21.109375" bestFit="1" customWidth="1" style="174" min="11265" max="11265"/>
    <col width="70" bestFit="1" customWidth="1" style="174" min="11266" max="11266"/>
    <col width="24.5546875" bestFit="1" customWidth="1" style="174" min="11267" max="11267"/>
    <col width="22.44140625" customWidth="1" style="174" min="11268" max="11271"/>
    <col width="19.44140625" bestFit="1" customWidth="1" style="174" min="11272" max="11272"/>
    <col width="26.33203125" bestFit="1" customWidth="1" style="174" min="11273" max="11273"/>
    <col width="13.5546875" bestFit="1" customWidth="1" style="174" min="11274" max="11274"/>
    <col width="9.109375" customWidth="1" style="174" min="11275" max="11520"/>
    <col width="21.109375" bestFit="1" customWidth="1" style="174" min="11521" max="11521"/>
    <col width="70" bestFit="1" customWidth="1" style="174" min="11522" max="11522"/>
    <col width="24.5546875" bestFit="1" customWidth="1" style="174" min="11523" max="11523"/>
    <col width="22.44140625" customWidth="1" style="174" min="11524" max="11527"/>
    <col width="19.44140625" bestFit="1" customWidth="1" style="174" min="11528" max="11528"/>
    <col width="26.33203125" bestFit="1" customWidth="1" style="174" min="11529" max="11529"/>
    <col width="13.5546875" bestFit="1" customWidth="1" style="174" min="11530" max="11530"/>
    <col width="9.109375" customWidth="1" style="174" min="11531" max="11776"/>
    <col width="21.109375" bestFit="1" customWidth="1" style="174" min="11777" max="11777"/>
    <col width="70" bestFit="1" customWidth="1" style="174" min="11778" max="11778"/>
    <col width="24.5546875" bestFit="1" customWidth="1" style="174" min="11779" max="11779"/>
    <col width="22.44140625" customWidth="1" style="174" min="11780" max="11783"/>
    <col width="19.44140625" bestFit="1" customWidth="1" style="174" min="11784" max="11784"/>
    <col width="26.33203125" bestFit="1" customWidth="1" style="174" min="11785" max="11785"/>
    <col width="13.5546875" bestFit="1" customWidth="1" style="174" min="11786" max="11786"/>
    <col width="9.109375" customWidth="1" style="174" min="11787" max="12032"/>
    <col width="21.109375" bestFit="1" customWidth="1" style="174" min="12033" max="12033"/>
    <col width="70" bestFit="1" customWidth="1" style="174" min="12034" max="12034"/>
    <col width="24.5546875" bestFit="1" customWidth="1" style="174" min="12035" max="12035"/>
    <col width="22.44140625" customWidth="1" style="174" min="12036" max="12039"/>
    <col width="19.44140625" bestFit="1" customWidth="1" style="174" min="12040" max="12040"/>
    <col width="26.33203125" bestFit="1" customWidth="1" style="174" min="12041" max="12041"/>
    <col width="13.5546875" bestFit="1" customWidth="1" style="174" min="12042" max="12042"/>
    <col width="9.109375" customWidth="1" style="174" min="12043" max="12288"/>
    <col width="21.109375" bestFit="1" customWidth="1" style="174" min="12289" max="12289"/>
    <col width="70" bestFit="1" customWidth="1" style="174" min="12290" max="12290"/>
    <col width="24.5546875" bestFit="1" customWidth="1" style="174" min="12291" max="12291"/>
    <col width="22.44140625" customWidth="1" style="174" min="12292" max="12295"/>
    <col width="19.44140625" bestFit="1" customWidth="1" style="174" min="12296" max="12296"/>
    <col width="26.33203125" bestFit="1" customWidth="1" style="174" min="12297" max="12297"/>
    <col width="13.5546875" bestFit="1" customWidth="1" style="174" min="12298" max="12298"/>
    <col width="9.109375" customWidth="1" style="174" min="12299" max="12544"/>
    <col width="21.109375" bestFit="1" customWidth="1" style="174" min="12545" max="12545"/>
    <col width="70" bestFit="1" customWidth="1" style="174" min="12546" max="12546"/>
    <col width="24.5546875" bestFit="1" customWidth="1" style="174" min="12547" max="12547"/>
    <col width="22.44140625" customWidth="1" style="174" min="12548" max="12551"/>
    <col width="19.44140625" bestFit="1" customWidth="1" style="174" min="12552" max="12552"/>
    <col width="26.33203125" bestFit="1" customWidth="1" style="174" min="12553" max="12553"/>
    <col width="13.5546875" bestFit="1" customWidth="1" style="174" min="12554" max="12554"/>
    <col width="9.109375" customWidth="1" style="174" min="12555" max="12800"/>
    <col width="21.109375" bestFit="1" customWidth="1" style="174" min="12801" max="12801"/>
    <col width="70" bestFit="1" customWidth="1" style="174" min="12802" max="12802"/>
    <col width="24.5546875" bestFit="1" customWidth="1" style="174" min="12803" max="12803"/>
    <col width="22.44140625" customWidth="1" style="174" min="12804" max="12807"/>
    <col width="19.44140625" bestFit="1" customWidth="1" style="174" min="12808" max="12808"/>
    <col width="26.33203125" bestFit="1" customWidth="1" style="174" min="12809" max="12809"/>
    <col width="13.5546875" bestFit="1" customWidth="1" style="174" min="12810" max="12810"/>
    <col width="9.109375" customWidth="1" style="174" min="12811" max="13056"/>
    <col width="21.109375" bestFit="1" customWidth="1" style="174" min="13057" max="13057"/>
    <col width="70" bestFit="1" customWidth="1" style="174" min="13058" max="13058"/>
    <col width="24.5546875" bestFit="1" customWidth="1" style="174" min="13059" max="13059"/>
    <col width="22.44140625" customWidth="1" style="174" min="13060" max="13063"/>
    <col width="19.44140625" bestFit="1" customWidth="1" style="174" min="13064" max="13064"/>
    <col width="26.33203125" bestFit="1" customWidth="1" style="174" min="13065" max="13065"/>
    <col width="13.5546875" bestFit="1" customWidth="1" style="174" min="13066" max="13066"/>
    <col width="9.109375" customWidth="1" style="174" min="13067" max="13312"/>
    <col width="21.109375" bestFit="1" customWidth="1" style="174" min="13313" max="13313"/>
    <col width="70" bestFit="1" customWidth="1" style="174" min="13314" max="13314"/>
    <col width="24.5546875" bestFit="1" customWidth="1" style="174" min="13315" max="13315"/>
    <col width="22.44140625" customWidth="1" style="174" min="13316" max="13319"/>
    <col width="19.44140625" bestFit="1" customWidth="1" style="174" min="13320" max="13320"/>
    <col width="26.33203125" bestFit="1" customWidth="1" style="174" min="13321" max="13321"/>
    <col width="13.5546875" bestFit="1" customWidth="1" style="174" min="13322" max="13322"/>
    <col width="9.109375" customWidth="1" style="174" min="13323" max="13568"/>
    <col width="21.109375" bestFit="1" customWidth="1" style="174" min="13569" max="13569"/>
    <col width="70" bestFit="1" customWidth="1" style="174" min="13570" max="13570"/>
    <col width="24.5546875" bestFit="1" customWidth="1" style="174" min="13571" max="13571"/>
    <col width="22.44140625" customWidth="1" style="174" min="13572" max="13575"/>
    <col width="19.44140625" bestFit="1" customWidth="1" style="174" min="13576" max="13576"/>
    <col width="26.33203125" bestFit="1" customWidth="1" style="174" min="13577" max="13577"/>
    <col width="13.5546875" bestFit="1" customWidth="1" style="174" min="13578" max="13578"/>
    <col width="9.109375" customWidth="1" style="174" min="13579" max="13824"/>
    <col width="21.109375" bestFit="1" customWidth="1" style="174" min="13825" max="13825"/>
    <col width="70" bestFit="1" customWidth="1" style="174" min="13826" max="13826"/>
    <col width="24.5546875" bestFit="1" customWidth="1" style="174" min="13827" max="13827"/>
    <col width="22.44140625" customWidth="1" style="174" min="13828" max="13831"/>
    <col width="19.44140625" bestFit="1" customWidth="1" style="174" min="13832" max="13832"/>
    <col width="26.33203125" bestFit="1" customWidth="1" style="174" min="13833" max="13833"/>
    <col width="13.5546875" bestFit="1" customWidth="1" style="174" min="13834" max="13834"/>
    <col width="9.109375" customWidth="1" style="174" min="13835" max="14080"/>
    <col width="21.109375" bestFit="1" customWidth="1" style="174" min="14081" max="14081"/>
    <col width="70" bestFit="1" customWidth="1" style="174" min="14082" max="14082"/>
    <col width="24.5546875" bestFit="1" customWidth="1" style="174" min="14083" max="14083"/>
    <col width="22.44140625" customWidth="1" style="174" min="14084" max="14087"/>
    <col width="19.44140625" bestFit="1" customWidth="1" style="174" min="14088" max="14088"/>
    <col width="26.33203125" bestFit="1" customWidth="1" style="174" min="14089" max="14089"/>
    <col width="13.5546875" bestFit="1" customWidth="1" style="174" min="14090" max="14090"/>
    <col width="9.109375" customWidth="1" style="174" min="14091" max="14336"/>
    <col width="21.109375" bestFit="1" customWidth="1" style="174" min="14337" max="14337"/>
    <col width="70" bestFit="1" customWidth="1" style="174" min="14338" max="14338"/>
    <col width="24.5546875" bestFit="1" customWidth="1" style="174" min="14339" max="14339"/>
    <col width="22.44140625" customWidth="1" style="174" min="14340" max="14343"/>
    <col width="19.44140625" bestFit="1" customWidth="1" style="174" min="14344" max="14344"/>
    <col width="26.33203125" bestFit="1" customWidth="1" style="174" min="14345" max="14345"/>
    <col width="13.5546875" bestFit="1" customWidth="1" style="174" min="14346" max="14346"/>
    <col width="9.109375" customWidth="1" style="174" min="14347" max="14592"/>
    <col width="21.109375" bestFit="1" customWidth="1" style="174" min="14593" max="14593"/>
    <col width="70" bestFit="1" customWidth="1" style="174" min="14594" max="14594"/>
    <col width="24.5546875" bestFit="1" customWidth="1" style="174" min="14595" max="14595"/>
    <col width="22.44140625" customWidth="1" style="174" min="14596" max="14599"/>
    <col width="19.44140625" bestFit="1" customWidth="1" style="174" min="14600" max="14600"/>
    <col width="26.33203125" bestFit="1" customWidth="1" style="174" min="14601" max="14601"/>
    <col width="13.5546875" bestFit="1" customWidth="1" style="174" min="14602" max="14602"/>
    <col width="9.109375" customWidth="1" style="174" min="14603" max="14848"/>
    <col width="21.109375" bestFit="1" customWidth="1" style="174" min="14849" max="14849"/>
    <col width="70" bestFit="1" customWidth="1" style="174" min="14850" max="14850"/>
    <col width="24.5546875" bestFit="1" customWidth="1" style="174" min="14851" max="14851"/>
    <col width="22.44140625" customWidth="1" style="174" min="14852" max="14855"/>
    <col width="19.44140625" bestFit="1" customWidth="1" style="174" min="14856" max="14856"/>
    <col width="26.33203125" bestFit="1" customWidth="1" style="174" min="14857" max="14857"/>
    <col width="13.5546875" bestFit="1" customWidth="1" style="174" min="14858" max="14858"/>
    <col width="9.109375" customWidth="1" style="174" min="14859" max="15104"/>
    <col width="21.109375" bestFit="1" customWidth="1" style="174" min="15105" max="15105"/>
    <col width="70" bestFit="1" customWidth="1" style="174" min="15106" max="15106"/>
    <col width="24.5546875" bestFit="1" customWidth="1" style="174" min="15107" max="15107"/>
    <col width="22.44140625" customWidth="1" style="174" min="15108" max="15111"/>
    <col width="19.44140625" bestFit="1" customWidth="1" style="174" min="15112" max="15112"/>
    <col width="26.33203125" bestFit="1" customWidth="1" style="174" min="15113" max="15113"/>
    <col width="13.5546875" bestFit="1" customWidth="1" style="174" min="15114" max="15114"/>
    <col width="9.109375" customWidth="1" style="174" min="15115" max="15360"/>
    <col width="21.109375" bestFit="1" customWidth="1" style="174" min="15361" max="15361"/>
    <col width="70" bestFit="1" customWidth="1" style="174" min="15362" max="15362"/>
    <col width="24.5546875" bestFit="1" customWidth="1" style="174" min="15363" max="15363"/>
    <col width="22.44140625" customWidth="1" style="174" min="15364" max="15367"/>
    <col width="19.44140625" bestFit="1" customWidth="1" style="174" min="15368" max="15368"/>
    <col width="26.33203125" bestFit="1" customWidth="1" style="174" min="15369" max="15369"/>
    <col width="13.5546875" bestFit="1" customWidth="1" style="174" min="15370" max="15370"/>
    <col width="9.109375" customWidth="1" style="174" min="15371" max="15616"/>
    <col width="21.109375" bestFit="1" customWidth="1" style="174" min="15617" max="15617"/>
    <col width="70" bestFit="1" customWidth="1" style="174" min="15618" max="15618"/>
    <col width="24.5546875" bestFit="1" customWidth="1" style="174" min="15619" max="15619"/>
    <col width="22.44140625" customWidth="1" style="174" min="15620" max="15623"/>
    <col width="19.44140625" bestFit="1" customWidth="1" style="174" min="15624" max="15624"/>
    <col width="26.33203125" bestFit="1" customWidth="1" style="174" min="15625" max="15625"/>
    <col width="13.5546875" bestFit="1" customWidth="1" style="174" min="15626" max="15626"/>
    <col width="9.109375" customWidth="1" style="174" min="15627" max="15872"/>
    <col width="21.109375" bestFit="1" customWidth="1" style="174" min="15873" max="15873"/>
    <col width="70" bestFit="1" customWidth="1" style="174" min="15874" max="15874"/>
    <col width="24.5546875" bestFit="1" customWidth="1" style="174" min="15875" max="15875"/>
    <col width="22.44140625" customWidth="1" style="174" min="15876" max="15879"/>
    <col width="19.44140625" bestFit="1" customWidth="1" style="174" min="15880" max="15880"/>
    <col width="26.33203125" bestFit="1" customWidth="1" style="174" min="15881" max="15881"/>
    <col width="13.5546875" bestFit="1" customWidth="1" style="174" min="15882" max="15882"/>
    <col width="9.109375" customWidth="1" style="174" min="15883" max="16128"/>
    <col width="21.109375" bestFit="1" customWidth="1" style="174" min="16129" max="16129"/>
    <col width="70" bestFit="1" customWidth="1" style="174" min="16130" max="16130"/>
    <col width="24.5546875" bestFit="1" customWidth="1" style="174" min="16131" max="16131"/>
    <col width="22.44140625" customWidth="1" style="174" min="16132" max="16135"/>
    <col width="19.44140625" bestFit="1" customWidth="1" style="174" min="16136" max="16136"/>
    <col width="26.33203125" bestFit="1" customWidth="1" style="174" min="16137" max="16137"/>
    <col width="13.5546875" bestFit="1" customWidth="1" style="174" min="16138" max="16138"/>
    <col width="9.109375" customWidth="1" style="174" min="16139" max="16384"/>
  </cols>
  <sheetData>
    <row r="1" ht="12.75" customHeight="1">
      <c r="C1" s="314" t="inlineStr">
        <is>
          <t>Eindbalans per 31-03-2021</t>
        </is>
      </c>
      <c r="D1" s="314" t="inlineStr">
        <is>
          <t>Mutaties Q2 2021</t>
        </is>
      </c>
      <c r="E1" s="314" t="inlineStr">
        <is>
          <t>Mutaties Q3 2021</t>
        </is>
      </c>
      <c r="F1" s="314" t="inlineStr">
        <is>
          <t>Mutaties Q4 2021</t>
        </is>
      </c>
      <c r="G1" s="314" t="inlineStr">
        <is>
          <t>Mutaties Q1 2022</t>
        </is>
      </c>
      <c r="H1" s="315" t="inlineStr">
        <is>
          <t>Saldi per 31-03-2022</t>
        </is>
      </c>
    </row>
    <row r="3" ht="12.75" customHeight="1">
      <c r="A3" s="179" t="inlineStr">
        <is>
          <t>Balans</t>
        </is>
      </c>
    </row>
    <row r="4" ht="12.75" customHeight="1">
      <c r="A4" s="173" t="n">
        <v>1600200</v>
      </c>
      <c r="B4" s="174" t="inlineStr">
        <is>
          <t>VG Vastgoedbeleggingen Verkrijgings- of vervaardigingsprijs</t>
        </is>
      </c>
      <c r="C4" s="313" t="n">
        <v>125676724.45</v>
      </c>
      <c r="F4" s="321">
        <f>496000</f>
        <v/>
      </c>
      <c r="H4" s="315">
        <f>SUM(C4:G4)</f>
        <v/>
      </c>
      <c r="I4" s="313" t="inlineStr">
        <is>
          <t>Aanpassing ivm jaarrekening: Nagekomen facturen 2021 vanuit Hoen</t>
        </is>
      </c>
      <c r="J4" s="332" t="n"/>
      <c r="O4" s="174" t="n">
        <v>238485</v>
      </c>
      <c r="P4" s="174" t="n">
        <v>230282.95</v>
      </c>
      <c r="Q4" s="332">
        <f>694696.68-F4</f>
        <v/>
      </c>
      <c r="R4" s="174" t="n">
        <v>289183.25</v>
      </c>
    </row>
    <row r="5" ht="12.75" customHeight="1">
      <c r="A5" s="173" t="inlineStr">
        <is>
          <t>1600200</t>
        </is>
      </c>
      <c r="B5" s="174" t="inlineStr">
        <is>
          <t>VG Vastgoedbeleggingen Cum afschrijvingen en waardeverm</t>
        </is>
      </c>
      <c r="C5" s="313" t="n">
        <v>-12070533</v>
      </c>
      <c r="D5" s="313" t="n">
        <v>-667313</v>
      </c>
      <c r="E5" s="313" t="n">
        <v>-666766</v>
      </c>
      <c r="F5" s="313" t="n">
        <v>-679632</v>
      </c>
      <c r="G5" s="313" t="n">
        <v>-682456</v>
      </c>
      <c r="H5" s="315">
        <f>SUM(C5:G5)</f>
        <v/>
      </c>
      <c r="I5" s="313" t="n"/>
      <c r="J5" s="332" t="n"/>
    </row>
    <row r="6" ht="12.75" customHeight="1">
      <c r="A6" s="173" t="inlineStr">
        <is>
          <t>1610803</t>
        </is>
      </c>
      <c r="B6" s="174" t="inlineStr">
        <is>
          <t>VG Comm VG in exploitatie Buitengebruikstellingen aanschaffingswaarde</t>
        </is>
      </c>
      <c r="C6" s="313" t="n">
        <v>-706761</v>
      </c>
      <c r="D6" s="317" t="n">
        <v>-1597299</v>
      </c>
      <c r="E6" s="317" t="n">
        <v>-144749</v>
      </c>
      <c r="F6" s="317" t="n">
        <v>-856186</v>
      </c>
      <c r="G6" s="317" t="n">
        <v>-331590</v>
      </c>
      <c r="H6" s="315">
        <f>SUM(C6:G6)</f>
        <v/>
      </c>
      <c r="I6" s="317" t="n"/>
      <c r="J6" s="332" t="n"/>
    </row>
    <row r="7" ht="12.75" customHeight="1">
      <c r="A7" s="173" t="inlineStr">
        <is>
          <t>1611003</t>
        </is>
      </c>
      <c r="B7" s="174" t="inlineStr">
        <is>
          <t>VG Comm VG in exploitatie Buitengebruikstellingen cum. afschr. en waardeverm.</t>
        </is>
      </c>
      <c r="C7" s="313" t="n">
        <v>73789</v>
      </c>
      <c r="D7" s="313" t="n">
        <v>170229</v>
      </c>
      <c r="E7" s="313" t="n">
        <v>16814</v>
      </c>
      <c r="F7" s="313" t="n">
        <v>102659</v>
      </c>
      <c r="G7" s="313" t="n">
        <v>41047</v>
      </c>
      <c r="H7" s="315">
        <f>SUM(C7:G7)</f>
        <v/>
      </c>
    </row>
    <row r="8" ht="12.75" customHeight="1">
      <c r="A8" s="174" t="inlineStr">
        <is>
          <t>Totaal Vastgoedbeleggingen</t>
        </is>
      </c>
      <c r="H8" s="315">
        <f>SUM(C8:G8)</f>
        <v/>
      </c>
    </row>
    <row r="10" ht="12.75" customHeight="1">
      <c r="A10" s="173" t="inlineStr">
        <is>
          <t>1790002</t>
        </is>
      </c>
      <c r="B10" s="174" t="inlineStr">
        <is>
          <t>FVA Latente belastingvordering langlopend</t>
        </is>
      </c>
      <c r="C10" s="313" t="n">
        <v>3706953</v>
      </c>
      <c r="D10" s="313" t="n">
        <v>120923</v>
      </c>
      <c r="E10" s="330" t="n">
        <v>161798</v>
      </c>
      <c r="F10" s="335" t="n">
        <v>273366.2</v>
      </c>
      <c r="G10" s="330" t="n">
        <v>237434</v>
      </c>
      <c r="H10" s="315">
        <f>SUM(C10:G10)</f>
        <v/>
      </c>
      <c r="I10" s="174" t="inlineStr">
        <is>
          <t>Aanpassing ivm jaarrekening: resultaat is aangepast, waardoor latentie ook</t>
        </is>
      </c>
    </row>
    <row r="11" ht="12.75" customHeight="1">
      <c r="A11" s="174" t="inlineStr">
        <is>
          <t>Totaal Financiële vaste activa</t>
        </is>
      </c>
      <c r="H11" s="315">
        <f>SUM(C11:G11)</f>
        <v/>
      </c>
    </row>
    <row r="13" ht="12.75" customHeight="1">
      <c r="A13" s="173" t="inlineStr">
        <is>
          <t>2000000</t>
        </is>
      </c>
      <c r="B13" s="174" t="inlineStr">
        <is>
          <t>VOR Debiteuren</t>
        </is>
      </c>
      <c r="C13" s="313" t="n">
        <v>-48068</v>
      </c>
      <c r="D13" s="313" t="n">
        <v>281344</v>
      </c>
      <c r="E13" s="335">
        <f>748301</f>
        <v/>
      </c>
      <c r="F13" s="330" t="n">
        <v>-866992</v>
      </c>
      <c r="G13" s="330" t="n">
        <v>-10254.87</v>
      </c>
      <c r="H13" s="315">
        <f>SUM(C13:G13)</f>
        <v/>
      </c>
    </row>
    <row r="14" ht="12.75" customHeight="1">
      <c r="A14" s="173" t="inlineStr">
        <is>
          <t>2000300</t>
        </is>
      </c>
      <c r="B14" s="174" t="inlineStr">
        <is>
          <t>VOR Voorziening dubieuze debiteuren</t>
        </is>
      </c>
      <c r="C14" s="313" t="n">
        <v>-31915</v>
      </c>
      <c r="D14" s="313" t="n">
        <v>0</v>
      </c>
      <c r="E14" s="313" t="n">
        <v>0</v>
      </c>
      <c r="F14" s="313" t="n">
        <v>0</v>
      </c>
      <c r="G14" s="313" t="n">
        <v>0</v>
      </c>
      <c r="H14" s="315">
        <f>SUM(C14:G14)</f>
        <v/>
      </c>
    </row>
    <row r="15" ht="12.75" customHeight="1">
      <c r="A15" s="174" t="inlineStr">
        <is>
          <t>Totaal Debiteuren</t>
        </is>
      </c>
      <c r="H15" s="315">
        <f>SUM(C15:G15)</f>
        <v/>
      </c>
    </row>
    <row r="17" ht="12.75" customHeight="1">
      <c r="A17" s="173" t="n">
        <v>2640000</v>
      </c>
      <c r="B17" s="174" t="inlineStr">
        <is>
          <t>RC Kortlopend DMRRP INV - I BV</t>
        </is>
      </c>
      <c r="C17" s="313" t="n">
        <v>-694061</v>
      </c>
      <c r="D17" s="313" t="n">
        <v>550984</v>
      </c>
      <c r="E17" s="313" t="n">
        <v>1407409</v>
      </c>
      <c r="F17" s="321" t="n">
        <v>-1874859.43</v>
      </c>
      <c r="G17" s="313" t="n">
        <v>542643.28</v>
      </c>
      <c r="H17" s="315">
        <f>SUM(C17:G17)</f>
        <v/>
      </c>
      <c r="I17" s="313" t="inlineStr">
        <is>
          <t>Aanpassing ivm jaarrekening: rente + boeking vpb</t>
        </is>
      </c>
    </row>
    <row r="18" ht="12.75" customHeight="1">
      <c r="A18" s="174" t="inlineStr">
        <is>
          <t>Totaal Rekening-courant aandeelhouder</t>
        </is>
      </c>
      <c r="H18" s="315">
        <f>SUM(C18:G18)</f>
        <v/>
      </c>
    </row>
    <row r="20" ht="12.75" customHeight="1">
      <c r="A20" s="173" t="n">
        <v>2040200</v>
      </c>
      <c r="B20" s="174" t="inlineStr">
        <is>
          <t>VOR Te vorderen waarborgsommen kortlopen</t>
        </is>
      </c>
      <c r="C20" s="313" t="n">
        <v>5000</v>
      </c>
      <c r="D20" s="313" t="n">
        <v>0</v>
      </c>
      <c r="E20" s="313" t="n">
        <v>0</v>
      </c>
      <c r="F20" s="313" t="n">
        <v>0</v>
      </c>
      <c r="G20" s="313" t="n">
        <v>0</v>
      </c>
      <c r="H20" s="315">
        <f>SUM(C20:G20)</f>
        <v/>
      </c>
    </row>
    <row r="21" ht="12.75" customHeight="1">
      <c r="A21" s="173" t="n">
        <v>2040500</v>
      </c>
      <c r="B21" s="174" t="inlineStr">
        <is>
          <t>VOR Vooruitbetaalde verzekeringen</t>
        </is>
      </c>
      <c r="C21" s="313" t="n">
        <v>-14411</v>
      </c>
      <c r="D21" s="313" t="n">
        <v>70849</v>
      </c>
      <c r="E21" s="313" t="n">
        <v>-28219.3</v>
      </c>
      <c r="F21" s="313" t="n">
        <v>-28218.89</v>
      </c>
      <c r="G21" s="313" t="n">
        <v>0</v>
      </c>
      <c r="H21" s="315">
        <f>SUM(C21:G21)</f>
        <v/>
      </c>
    </row>
    <row r="22" ht="12.75" customHeight="1">
      <c r="A22" s="173" t="inlineStr">
        <is>
          <t>2040700</t>
        </is>
      </c>
      <c r="B22" s="174" t="inlineStr">
        <is>
          <t>VOR Vooruitbetaalde servicekosten</t>
        </is>
      </c>
      <c r="C22" s="313" t="n">
        <v>0</v>
      </c>
      <c r="D22" s="313" t="n">
        <v>0</v>
      </c>
      <c r="E22" s="313" t="n">
        <v>0</v>
      </c>
      <c r="F22" s="313" t="n">
        <v>1679.29</v>
      </c>
      <c r="G22" s="313" t="n">
        <v>-1679</v>
      </c>
      <c r="H22" s="315">
        <f>SUM(C22:G22)</f>
        <v/>
      </c>
    </row>
    <row r="23" ht="12.75" customHeight="1">
      <c r="A23" s="173" t="inlineStr">
        <is>
          <t>2040900</t>
        </is>
      </c>
      <c r="B23" s="174" t="inlineStr">
        <is>
          <t>VOR Vooruitbetaalde overige kosten</t>
        </is>
      </c>
      <c r="C23" s="313" t="n">
        <v>198983.49</v>
      </c>
      <c r="D23" s="313">
        <f>-121928-129402.51</f>
        <v/>
      </c>
      <c r="E23" s="336">
        <f>-77180+388207.5</f>
        <v/>
      </c>
      <c r="F23" s="336" t="n">
        <v>-258680.49</v>
      </c>
      <c r="G23" s="337" t="n">
        <v>220793.54</v>
      </c>
      <c r="H23" s="315">
        <f>SUM(C23:G23)</f>
        <v/>
      </c>
      <c r="I23" s="174" t="inlineStr">
        <is>
          <t>Betreft vooruitbetaalde OZB/gemeentelijke belastingen 2022</t>
        </is>
      </c>
    </row>
    <row r="24" ht="12.75" customHeight="1">
      <c r="A24" s="174" t="inlineStr">
        <is>
          <t>Totaal overige vorderingen</t>
        </is>
      </c>
      <c r="H24" s="315">
        <f>SUM(C24:G24)</f>
        <v/>
      </c>
    </row>
    <row r="26" ht="12.75" customHeight="1">
      <c r="A26" s="173" t="inlineStr">
        <is>
          <t>2300000</t>
        </is>
      </c>
      <c r="B26" s="174" t="inlineStr">
        <is>
          <t>LM Kruisposten</t>
        </is>
      </c>
      <c r="C26" s="313" t="n">
        <v>-343</v>
      </c>
      <c r="D26" s="313" t="n">
        <v>-3775.5</v>
      </c>
      <c r="E26" s="313" t="n">
        <v>-12957.2</v>
      </c>
      <c r="F26" s="321" t="n">
        <v>17075.97</v>
      </c>
      <c r="G26" s="313" t="n">
        <v>-281</v>
      </c>
      <c r="H26" s="315">
        <f>SUM(C26:G26)</f>
        <v/>
      </c>
      <c r="I26" s="313" t="inlineStr">
        <is>
          <t>Aanpassing ivm jaarrekening: afboeking rest kruisposten</t>
        </is>
      </c>
    </row>
    <row r="27" ht="12.75" customHeight="1">
      <c r="A27" s="173" t="inlineStr">
        <is>
          <t>2400200</t>
        </is>
      </c>
      <c r="B27" s="174" t="inlineStr">
        <is>
          <t>LM ABN AMRO Bank Disposal NL58 ABNA 0818 9180 39</t>
        </is>
      </c>
      <c r="C27" s="313" t="n">
        <v>0</v>
      </c>
      <c r="D27" s="313" t="n">
        <v>0</v>
      </c>
      <c r="E27" s="330" t="n">
        <v>0.91</v>
      </c>
      <c r="F27" s="330" t="n">
        <v>-0.38</v>
      </c>
      <c r="G27" s="330" t="n">
        <v>-0.37</v>
      </c>
      <c r="H27" s="315">
        <f>SUM(C27:G27)</f>
        <v/>
      </c>
    </row>
    <row r="28" ht="12.75" customHeight="1">
      <c r="A28" s="173" t="inlineStr">
        <is>
          <t>2400201</t>
        </is>
      </c>
      <c r="B28" s="174" t="inlineStr">
        <is>
          <t>LM ABN AMRO Bank Deposit NL57 ABNA 0541 6205 68</t>
        </is>
      </c>
      <c r="C28" s="313" t="n">
        <v>36713</v>
      </c>
      <c r="D28" s="313" t="n">
        <v>-19</v>
      </c>
      <c r="E28" s="330" t="n">
        <v>-18.04</v>
      </c>
      <c r="F28" s="330" t="n">
        <v>-18.04</v>
      </c>
      <c r="G28" s="330" t="n">
        <v>-18.32</v>
      </c>
      <c r="H28" s="315">
        <f>SUM(C28:G28)</f>
        <v/>
      </c>
    </row>
    <row r="29" ht="12.75" customHeight="1">
      <c r="A29" s="173" t="inlineStr">
        <is>
          <t>2400202</t>
        </is>
      </c>
      <c r="B29" s="174" t="inlineStr">
        <is>
          <t>LM ABN AMRO Bank General NL93 ABNA 0541 6132 27</t>
        </is>
      </c>
      <c r="C29" s="313" t="n">
        <v>254345</v>
      </c>
      <c r="D29" s="313" t="n">
        <v>-37180</v>
      </c>
      <c r="E29" s="330" t="n">
        <v>-53403.02</v>
      </c>
      <c r="F29" s="330" t="n">
        <v>-8084.34</v>
      </c>
      <c r="G29" s="330" t="n">
        <v>-10036.05</v>
      </c>
      <c r="H29" s="315">
        <f>SUM(C29:G29)</f>
        <v/>
      </c>
    </row>
    <row r="30" ht="12.75" customHeight="1">
      <c r="A30" s="173" t="inlineStr">
        <is>
          <t>2400203</t>
        </is>
      </c>
      <c r="B30" s="174" t="inlineStr">
        <is>
          <t>LM ABN AMRO Bank Maintres NL04 ABNA 0541 6188 06</t>
        </is>
      </c>
      <c r="C30" s="313" t="n">
        <v>95782</v>
      </c>
      <c r="D30" s="313" t="n">
        <v>8473</v>
      </c>
      <c r="E30" s="330" t="n">
        <v>67284.67999999999</v>
      </c>
      <c r="F30" s="330" t="n">
        <v>-89675.55</v>
      </c>
      <c r="G30" s="330" t="n">
        <v>-56453.47</v>
      </c>
      <c r="H30" s="315">
        <f>SUM(C30:G30)</f>
        <v/>
      </c>
    </row>
    <row r="31" ht="12.75" customHeight="1">
      <c r="A31" s="173" t="inlineStr">
        <is>
          <t>2400204</t>
        </is>
      </c>
      <c r="B31" s="174" t="inlineStr">
        <is>
          <t>LM ABN AMRO Bank Rent NL46 ABNA 0541 6088 35</t>
        </is>
      </c>
      <c r="C31" s="313" t="n">
        <v>1821558</v>
      </c>
      <c r="D31" s="313" t="n">
        <v>-722443</v>
      </c>
      <c r="E31" s="330" t="n">
        <v>-877600.4399999999</v>
      </c>
      <c r="F31" s="330" t="n">
        <v>228072.92</v>
      </c>
      <c r="G31" s="330" t="n">
        <v>280038.53</v>
      </c>
      <c r="H31" s="315">
        <f>SUM(C31:G31)</f>
        <v/>
      </c>
    </row>
    <row r="32" ht="12.75" customHeight="1">
      <c r="A32" s="173" t="inlineStr">
        <is>
          <t>2400205</t>
        </is>
      </c>
      <c r="B32" s="174" t="inlineStr">
        <is>
          <t>LM ABN AMRO Bank SR EXP NL88 ABNA 0541 6205 92</t>
        </is>
      </c>
      <c r="C32" s="313" t="n">
        <v>113355</v>
      </c>
      <c r="D32" s="313" t="n">
        <v>-72522</v>
      </c>
      <c r="E32" s="330" t="n">
        <v>32976.39</v>
      </c>
      <c r="F32" s="330" t="n">
        <v>-48621.34</v>
      </c>
      <c r="G32" s="330" t="n">
        <v>84669.55</v>
      </c>
      <c r="H32" s="315">
        <f>SUM(C32:G32)</f>
        <v/>
      </c>
      <c r="I32" s="315">
        <f>H13+H54</f>
        <v/>
      </c>
    </row>
    <row r="33" ht="12.75" customHeight="1">
      <c r="A33" s="174" t="inlineStr">
        <is>
          <t>Totaal Liquide middelen</t>
        </is>
      </c>
      <c r="H33" s="315">
        <f>SUM(C33:G33)</f>
        <v/>
      </c>
    </row>
    <row r="35" ht="12.75" customHeight="1">
      <c r="A35" s="173" t="n">
        <v>1000002</v>
      </c>
      <c r="B35" s="174" t="inlineStr">
        <is>
          <t>EV Normale aandelen Saldo</t>
        </is>
      </c>
      <c r="C35" s="313" t="n">
        <v>-1</v>
      </c>
      <c r="D35" s="313" t="n">
        <v>0</v>
      </c>
      <c r="E35" s="313" t="n">
        <v>0</v>
      </c>
      <c r="F35" s="313" t="n">
        <v>0</v>
      </c>
      <c r="G35" s="313" t="n">
        <v>0</v>
      </c>
      <c r="H35" s="315">
        <f>SUM(C35:G35)</f>
        <v/>
      </c>
    </row>
    <row r="36" ht="12.75" customHeight="1">
      <c r="A36" s="173" t="n">
        <v>1100000</v>
      </c>
      <c r="B36" s="174" t="inlineStr">
        <is>
          <t>EV Agioreserve Agio aandelen</t>
        </is>
      </c>
      <c r="C36" s="313" t="n">
        <v>-19231219</v>
      </c>
      <c r="D36" s="313" t="n">
        <v>200000</v>
      </c>
      <c r="E36" s="313" t="n">
        <v>0</v>
      </c>
      <c r="F36" s="313" t="n">
        <v>0</v>
      </c>
      <c r="G36" s="313" t="n">
        <v>0</v>
      </c>
      <c r="H36" s="315">
        <f>SUM(C36:G36)</f>
        <v/>
      </c>
    </row>
    <row r="37" ht="12.75" customHeight="1">
      <c r="A37" s="173" t="n">
        <v>1160000</v>
      </c>
      <c r="B37" s="174" t="inlineStr">
        <is>
          <t>EV Overige reserve Reserve aandelen</t>
        </is>
      </c>
      <c r="C37" s="313" t="n">
        <v>10426894</v>
      </c>
      <c r="D37" s="313" t="n">
        <v>0</v>
      </c>
      <c r="E37" s="313" t="n">
        <v>0</v>
      </c>
      <c r="F37" s="313" t="n">
        <v>0</v>
      </c>
      <c r="G37" s="313" t="n">
        <v>0</v>
      </c>
      <c r="H37" s="315">
        <f>SUM(C37:G37)</f>
        <v/>
      </c>
    </row>
    <row r="38" ht="12.75" customHeight="1">
      <c r="A38" s="173" t="inlineStr">
        <is>
          <t>1160100</t>
        </is>
      </c>
      <c r="B38" s="174" t="inlineStr">
        <is>
          <t>EV Overige reserve  Dividenduitkeringen aandelen</t>
        </is>
      </c>
      <c r="D38" s="313" t="n">
        <v>2000000</v>
      </c>
      <c r="E38" s="313" t="n">
        <v>0</v>
      </c>
      <c r="F38" s="313" t="n">
        <v>1100000</v>
      </c>
      <c r="G38" s="313" t="n">
        <v>0</v>
      </c>
      <c r="H38" s="315">
        <f>SUM(C38:G38)</f>
        <v/>
      </c>
    </row>
    <row r="39" ht="12.75" customHeight="1">
      <c r="A39" s="174" t="inlineStr">
        <is>
          <t>Totaal Eigen vermogen</t>
        </is>
      </c>
      <c r="H39" s="315">
        <f>SUM(C39:G39)</f>
        <v/>
      </c>
    </row>
    <row r="41" ht="12.75" customHeight="1">
      <c r="A41" s="173" t="n">
        <v>1930001</v>
      </c>
      <c r="B41" s="174" t="inlineStr">
        <is>
          <t>LLS Hoofdsom ABN AMRO Bank NV Senior Facility Agreement</t>
        </is>
      </c>
      <c r="C41" s="313" t="n">
        <v>-130000000</v>
      </c>
      <c r="D41" s="313" t="n">
        <v>0</v>
      </c>
      <c r="E41" s="313" t="n">
        <v>0</v>
      </c>
      <c r="F41" s="313" t="n">
        <v>0</v>
      </c>
      <c r="H41" s="315">
        <f>SUM(C41:G41)</f>
        <v/>
      </c>
    </row>
    <row r="42" ht="12.75" customHeight="1">
      <c r="A42" s="173" t="inlineStr">
        <is>
          <t>1930101</t>
        </is>
      </c>
      <c r="B42" s="174" t="inlineStr">
        <is>
          <t>LLS Cum aflossingen ABN AMRO Bank NV Senior Facility Agreement</t>
        </is>
      </c>
      <c r="C42" s="313" t="n">
        <v>21705853</v>
      </c>
      <c r="D42" s="313" t="n">
        <v>2253796</v>
      </c>
      <c r="E42" s="330" t="n">
        <v>889295.98</v>
      </c>
      <c r="F42" s="330" t="n">
        <v>1579956.98</v>
      </c>
      <c r="G42" s="330" t="n">
        <v>979503.98</v>
      </c>
      <c r="H42" s="315">
        <f>SUM(C42:G42)</f>
        <v/>
      </c>
    </row>
    <row r="43" ht="12.75" customHeight="1">
      <c r="A43" s="174" t="inlineStr">
        <is>
          <t>Totaal Langlopende schulden</t>
        </is>
      </c>
      <c r="H43" s="315">
        <f>SUM(C43:G43)</f>
        <v/>
      </c>
    </row>
    <row r="45" ht="12.75" customHeight="1">
      <c r="A45" s="173" t="inlineStr">
        <is>
          <t>2730000</t>
        </is>
      </c>
      <c r="B45" s="174" t="inlineStr">
        <is>
          <t>KLS Crediteuren</t>
        </is>
      </c>
      <c r="C45" s="313" t="n">
        <v>-430271</v>
      </c>
      <c r="D45" s="314" t="n">
        <v>411485</v>
      </c>
      <c r="E45" s="314" t="n">
        <v>6778.95</v>
      </c>
      <c r="F45" s="321" t="n">
        <v>-530169.95</v>
      </c>
      <c r="G45" s="314" t="n">
        <v>-26012.24</v>
      </c>
      <c r="H45" s="315">
        <f>SUM(C45:G45)</f>
        <v/>
      </c>
      <c r="I45" s="313" t="inlineStr">
        <is>
          <t>Aanpassing ivm jaarrekening: Nagekomen facturen 2021 vanuit Hoen</t>
        </is>
      </c>
    </row>
    <row r="46" ht="12.75" customHeight="1">
      <c r="A46" s="173" t="inlineStr">
        <is>
          <t>2730001</t>
        </is>
      </c>
      <c r="B46" s="174" t="inlineStr">
        <is>
          <t>KLS Crediteuren intercompany</t>
        </is>
      </c>
      <c r="C46" s="313" t="n">
        <v>0</v>
      </c>
      <c r="D46" s="313" t="n">
        <v>0</v>
      </c>
      <c r="E46" s="313" t="n">
        <v>0</v>
      </c>
      <c r="F46" s="313" t="n">
        <v>0</v>
      </c>
      <c r="G46" s="313" t="n">
        <v>-12100</v>
      </c>
      <c r="H46" s="315">
        <f>SUM(C46:G46)</f>
        <v/>
      </c>
    </row>
    <row r="47" ht="12.75" customHeight="1">
      <c r="A47" s="174" t="inlineStr">
        <is>
          <t>Totaal Crediteuren</t>
        </is>
      </c>
      <c r="H47" s="315">
        <f>SUM(C47:G47)</f>
        <v/>
      </c>
    </row>
    <row r="49" ht="12.75" customHeight="1">
      <c r="A49" s="173" t="inlineStr">
        <is>
          <t>2512100</t>
        </is>
      </c>
      <c r="B49" s="174" t="inlineStr">
        <is>
          <t>BEL Afgedragen/ontvangen BTW</t>
        </is>
      </c>
      <c r="C49" s="313" t="n">
        <v>0</v>
      </c>
      <c r="D49" s="313" t="n">
        <v>-3898</v>
      </c>
      <c r="E49" s="313">
        <f>-828.56+460</f>
        <v/>
      </c>
      <c r="F49" s="313" t="n">
        <v>-858.91</v>
      </c>
      <c r="G49" s="313" t="n">
        <v>525.91</v>
      </c>
      <c r="H49" s="315">
        <f>SUM(C49:G49)</f>
        <v/>
      </c>
    </row>
    <row r="50" ht="12.75" customHeight="1">
      <c r="A50" s="173" t="inlineStr">
        <is>
          <t>2530000</t>
        </is>
      </c>
      <c r="B50" s="174" t="inlineStr">
        <is>
          <t>BEL Te betalen vennootschapsbelasting</t>
        </is>
      </c>
      <c r="C50" s="313" t="n">
        <v>0</v>
      </c>
      <c r="D50" s="313" t="n">
        <v>0</v>
      </c>
      <c r="E50" s="313" t="n">
        <v>0</v>
      </c>
      <c r="F50" s="313" t="n">
        <v>0</v>
      </c>
      <c r="G50" s="313" t="n">
        <v>0</v>
      </c>
      <c r="H50" s="315">
        <f>SUM(C50:G50)</f>
        <v/>
      </c>
    </row>
    <row r="51" ht="12.75" customHeight="1">
      <c r="A51" s="173" t="inlineStr">
        <is>
          <t>2550000</t>
        </is>
      </c>
      <c r="B51" s="174" t="inlineStr">
        <is>
          <t>BEL Te betalen overige belastingen</t>
        </is>
      </c>
      <c r="C51" s="313" t="n">
        <v>0</v>
      </c>
      <c r="D51" s="313" t="n">
        <v>0</v>
      </c>
      <c r="E51" s="313" t="n">
        <v>0</v>
      </c>
      <c r="F51" s="313" t="n">
        <v>0</v>
      </c>
      <c r="G51" s="313" t="n">
        <v>0</v>
      </c>
      <c r="H51" s="315">
        <f>SUM(C51:G51)</f>
        <v/>
      </c>
    </row>
    <row r="52" ht="12.75" customHeight="1">
      <c r="A52" s="174" t="inlineStr">
        <is>
          <t>Totaal Belastingen</t>
        </is>
      </c>
      <c r="H52" s="315">
        <f>SUM(C52:G52)</f>
        <v/>
      </c>
    </row>
    <row r="54" ht="12.75" customHeight="1">
      <c r="A54" s="173" t="n">
        <v>2740100</v>
      </c>
      <c r="B54" s="174" t="inlineStr">
        <is>
          <t>KLS Vooruitgefactureerde huur</t>
        </is>
      </c>
      <c r="D54" s="313" t="n">
        <v>0</v>
      </c>
      <c r="E54" s="313" t="n">
        <v>-990960</v>
      </c>
      <c r="F54" s="321" t="n">
        <v>837333.62</v>
      </c>
      <c r="G54" s="313" t="n">
        <v>42167.89</v>
      </c>
      <c r="H54" s="315">
        <f>SUM(C54:G54)</f>
        <v/>
      </c>
    </row>
    <row r="55" ht="12.75" customHeight="1">
      <c r="A55" s="173" t="inlineStr">
        <is>
          <t>2740300</t>
        </is>
      </c>
      <c r="B55" s="174" t="inlineStr">
        <is>
          <t>KLS Te betalen waarborgsommen kortlopend</t>
        </is>
      </c>
      <c r="C55" s="313" t="n">
        <v>-761799</v>
      </c>
      <c r="D55" s="313">
        <f>-1404+2</f>
        <v/>
      </c>
      <c r="E55" s="313" t="n">
        <v>-43086.2</v>
      </c>
      <c r="F55" s="313" t="n">
        <v>-158.33</v>
      </c>
      <c r="G55" s="313" t="n">
        <v>-10419.51</v>
      </c>
      <c r="H55" s="315">
        <f>SUM(C55:G55)</f>
        <v/>
      </c>
    </row>
    <row r="56" ht="12.75" customHeight="1">
      <c r="A56" s="173" t="n">
        <v>2740500</v>
      </c>
      <c r="B56" s="174" t="inlineStr">
        <is>
          <t>KLS Te betalen accountants- en administratiekosten</t>
        </is>
      </c>
      <c r="C56" s="313" t="n">
        <v>-22500</v>
      </c>
      <c r="D56" s="313" t="n">
        <v>0</v>
      </c>
      <c r="E56" s="313" t="n">
        <v>0</v>
      </c>
      <c r="F56" s="313" t="n">
        <v>0</v>
      </c>
      <c r="G56" s="313" t="n">
        <v>0</v>
      </c>
      <c r="H56" s="315">
        <f>SUM(C56:G56)</f>
        <v/>
      </c>
    </row>
    <row r="57" ht="12.75" customHeight="1">
      <c r="A57" s="173" t="inlineStr">
        <is>
          <t>2740600</t>
        </is>
      </c>
      <c r="B57" s="174" t="inlineStr">
        <is>
          <t>KLS Te betalen rente</t>
        </is>
      </c>
      <c r="C57" s="313" t="n">
        <v>0</v>
      </c>
      <c r="D57" s="313" t="n">
        <v>0</v>
      </c>
      <c r="E57" s="313" t="n">
        <v>0</v>
      </c>
      <c r="F57" s="313" t="n">
        <v>0</v>
      </c>
      <c r="G57" s="313" t="n">
        <v>0</v>
      </c>
      <c r="H57" s="315">
        <f>SUM(C57:G57)</f>
        <v/>
      </c>
    </row>
    <row r="58" ht="12.75" customHeight="1">
      <c r="A58" s="173" t="inlineStr">
        <is>
          <t>2740700</t>
        </is>
      </c>
      <c r="B58" s="174" t="inlineStr">
        <is>
          <t>KLS Te betalen verzekeringen</t>
        </is>
      </c>
      <c r="C58" s="313" t="n">
        <v>0</v>
      </c>
      <c r="D58" s="313" t="n">
        <v>0</v>
      </c>
      <c r="E58" s="313" t="n">
        <v>0</v>
      </c>
      <c r="F58" s="313" t="n">
        <v>0</v>
      </c>
      <c r="H58" s="315">
        <f>SUM(C58:G58)</f>
        <v/>
      </c>
    </row>
    <row r="59" ht="12.75" customHeight="1">
      <c r="A59" s="173" t="inlineStr">
        <is>
          <t>2741000</t>
        </is>
      </c>
      <c r="B59" s="174" t="inlineStr">
        <is>
          <t>KLS Te betalen servicekosten</t>
        </is>
      </c>
      <c r="C59" s="313" t="n">
        <v>0</v>
      </c>
      <c r="D59" s="313" t="n">
        <v>0</v>
      </c>
      <c r="E59" s="313" t="n">
        <v>0</v>
      </c>
      <c r="F59" s="321" t="n">
        <v>-13460</v>
      </c>
      <c r="G59" s="313" t="n">
        <v>13460</v>
      </c>
      <c r="H59" s="315">
        <f>SUM(C59:G59)</f>
        <v/>
      </c>
      <c r="I59" s="313" t="inlineStr">
        <is>
          <t>Aanpassing ivm jaarrekening: Overloop</t>
        </is>
      </c>
    </row>
    <row r="60" ht="12.75" customHeight="1">
      <c r="A60" s="173" t="inlineStr">
        <is>
          <t>2741001</t>
        </is>
      </c>
      <c r="B60" s="174" t="inlineStr">
        <is>
          <t>KLS Te betalen exploitatiekosten</t>
        </is>
      </c>
      <c r="C60" s="313" t="n">
        <v>0</v>
      </c>
      <c r="D60" s="313" t="n">
        <v>0</v>
      </c>
      <c r="E60" s="313" t="n">
        <v>0</v>
      </c>
      <c r="F60" s="321" t="n">
        <v>-1149.13</v>
      </c>
      <c r="G60" s="313" t="n">
        <v>1149</v>
      </c>
      <c r="H60" s="315">
        <f>SUM(C60:G60)</f>
        <v/>
      </c>
      <c r="I60" s="313" t="inlineStr">
        <is>
          <t>Aanpassing ivm jaarrekening: Overloop</t>
        </is>
      </c>
    </row>
    <row r="61" ht="12.75" customHeight="1">
      <c r="A61" s="173" t="inlineStr">
        <is>
          <t>2741002</t>
        </is>
      </c>
      <c r="B61" s="174" t="inlineStr">
        <is>
          <t>KLS Te betalen VVE</t>
        </is>
      </c>
      <c r="C61" s="313" t="n">
        <v>0</v>
      </c>
      <c r="D61" s="313" t="n">
        <v>0</v>
      </c>
      <c r="E61" s="313" t="n">
        <v>0</v>
      </c>
      <c r="F61" s="321" t="n">
        <v>-392.3</v>
      </c>
      <c r="G61" s="313" t="n">
        <v>392</v>
      </c>
      <c r="H61" s="315">
        <f>SUM(C61:G61)</f>
        <v/>
      </c>
      <c r="I61" s="313" t="inlineStr">
        <is>
          <t>Aanpassing ivm jaarrekening: Overloop</t>
        </is>
      </c>
    </row>
    <row r="62" ht="12.75" customHeight="1">
      <c r="A62" s="173" t="inlineStr">
        <is>
          <t>2741004</t>
        </is>
      </c>
      <c r="B62" s="174" t="inlineStr">
        <is>
          <t>KLS Te betalen Hoen</t>
        </is>
      </c>
      <c r="C62" s="313" t="n">
        <v>-124068</v>
      </c>
      <c r="D62" s="313" t="n">
        <v>-122526</v>
      </c>
      <c r="E62" s="313" t="n">
        <v>121338.8</v>
      </c>
      <c r="F62" s="321" t="n">
        <v>84505.55</v>
      </c>
      <c r="G62" s="313" t="n">
        <v>-40947</v>
      </c>
      <c r="H62" s="315">
        <f>SUM(C62:G62)</f>
        <v/>
      </c>
      <c r="I62" s="313" t="inlineStr">
        <is>
          <t>Aanpassing ivm jaarrekening: Nagekomen facturen 2021 vanuit Hoen</t>
        </is>
      </c>
    </row>
    <row r="63" ht="12.75" customHeight="1">
      <c r="A63" s="173" t="inlineStr">
        <is>
          <t>2741005</t>
        </is>
      </c>
      <c r="B63" s="174" t="inlineStr">
        <is>
          <t>KLS Te betalen managementvergoedingen</t>
        </is>
      </c>
      <c r="C63" s="313" t="n">
        <v>0</v>
      </c>
      <c r="D63" s="313" t="n">
        <v>0</v>
      </c>
      <c r="E63" s="313" t="n">
        <v>0</v>
      </c>
      <c r="F63" s="313" t="n">
        <v>0</v>
      </c>
      <c r="H63" s="315">
        <f>SUM(C63:G63)</f>
        <v/>
      </c>
    </row>
    <row r="64" ht="12.75" customHeight="1">
      <c r="A64" s="173" t="inlineStr">
        <is>
          <t>2741200</t>
        </is>
      </c>
      <c r="B64" s="174" t="inlineStr">
        <is>
          <t>KLS Te betalen agency fee</t>
        </is>
      </c>
      <c r="C64" s="313" t="n">
        <v>20000</v>
      </c>
      <c r="D64" s="313" t="n">
        <v>-20000</v>
      </c>
      <c r="E64" s="313" t="n">
        <v>20000</v>
      </c>
      <c r="F64" s="313" t="n">
        <v>0</v>
      </c>
      <c r="G64" s="313" t="n">
        <v>0</v>
      </c>
      <c r="H64" s="315">
        <f>SUM(C64:G64)</f>
        <v/>
      </c>
    </row>
    <row r="65" ht="12.75" customHeight="1">
      <c r="A65" s="173" t="inlineStr">
        <is>
          <t>2741900</t>
        </is>
      </c>
      <c r="B65" s="174" t="inlineStr">
        <is>
          <t>KLS Nog uit te zoeken posten MT940</t>
        </is>
      </c>
      <c r="C65" s="313" t="n">
        <v>0</v>
      </c>
      <c r="D65" s="313" t="n">
        <v>0</v>
      </c>
      <c r="E65" s="313" t="n">
        <v>0</v>
      </c>
      <c r="F65" s="313" t="n">
        <v>0</v>
      </c>
      <c r="G65" s="313" t="n">
        <v>0</v>
      </c>
      <c r="H65" s="315">
        <f>SUM(C65:G65)</f>
        <v/>
      </c>
    </row>
    <row r="66" ht="12.75" customHeight="1">
      <c r="A66" s="173" t="inlineStr">
        <is>
          <t>2742200</t>
        </is>
      </c>
      <c r="B66" s="174" t="inlineStr">
        <is>
          <t>KLS Vooruitontvangen bedragen</t>
        </is>
      </c>
      <c r="C66" s="313" t="n">
        <v>0</v>
      </c>
      <c r="D66" s="313" t="n">
        <v>0</v>
      </c>
      <c r="E66" s="313" t="n">
        <v>0</v>
      </c>
      <c r="F66" s="313" t="n">
        <v>0</v>
      </c>
      <c r="G66" s="313" t="n">
        <v>0</v>
      </c>
      <c r="H66" s="315">
        <f>SUM(C66:G66)</f>
        <v/>
      </c>
    </row>
    <row r="67" ht="12.75" customHeight="1">
      <c r="A67" s="174" t="inlineStr">
        <is>
          <t>Totaal Overige schulden</t>
        </is>
      </c>
    </row>
    <row r="71" ht="12.75" customHeight="1">
      <c r="A71" s="179" t="inlineStr">
        <is>
          <t>Winst- en verliesrekening (baten zijn positief, kosten negatief)</t>
        </is>
      </c>
    </row>
    <row r="72" ht="12.75" customHeight="1">
      <c r="A72" s="173" t="inlineStr">
        <is>
          <t>8000003</t>
        </is>
      </c>
      <c r="B72" s="174" t="inlineStr">
        <is>
          <t>OPB Netto-omzet Theoretische huuropbrengsten</t>
        </is>
      </c>
      <c r="D72" s="313" t="n">
        <v>-2863530</v>
      </c>
      <c r="E72" s="313" t="n">
        <v>-2860507</v>
      </c>
      <c r="F72" s="313" t="n">
        <v>-2862440.42</v>
      </c>
      <c r="G72" s="313" t="n">
        <v>-2870089</v>
      </c>
      <c r="H72" s="315">
        <f>SUM(C72:G72)</f>
        <v/>
      </c>
      <c r="M72" s="174" t="n">
        <v>-11456566.42</v>
      </c>
      <c r="N72" s="315">
        <f>M72-H72</f>
        <v/>
      </c>
    </row>
    <row r="73" ht="12.75" customHeight="1">
      <c r="A73" s="173" t="inlineStr">
        <is>
          <t>8000004</t>
        </is>
      </c>
      <c r="B73" s="174" t="inlineStr">
        <is>
          <t>OPB Netto-omzet Leegstand huuropbrengsten</t>
        </is>
      </c>
      <c r="D73" s="313" t="n">
        <v>62447</v>
      </c>
      <c r="E73" s="313" t="n">
        <v>59646.21</v>
      </c>
      <c r="F73" s="321" t="n">
        <v>38520.4</v>
      </c>
      <c r="G73" s="313" t="n">
        <v>32888</v>
      </c>
      <c r="H73" s="315">
        <f>SUM(C73:G73)</f>
        <v/>
      </c>
      <c r="I73" s="313" t="inlineStr">
        <is>
          <t>Aanpassing ivm jaarrekening</t>
        </is>
      </c>
      <c r="M73" s="174" t="n">
        <v>193501.61</v>
      </c>
      <c r="N73" s="315">
        <f>M73-H73</f>
        <v/>
      </c>
    </row>
    <row r="74" ht="12.75" customHeight="1">
      <c r="A74" s="174" t="inlineStr">
        <is>
          <t>Totaal Netto-omzet</t>
        </is>
      </c>
      <c r="D74" s="313">
        <f>SUM(D72:D73)</f>
        <v/>
      </c>
      <c r="E74" s="313">
        <f>SUM(E72:E73)</f>
        <v/>
      </c>
      <c r="F74" s="313">
        <f>SUM(F72:F73)</f>
        <v/>
      </c>
      <c r="G74" s="313">
        <f>SUM(G72:G73)</f>
        <v/>
      </c>
      <c r="H74" s="315">
        <f>SUM(C74:G74)</f>
        <v/>
      </c>
      <c r="M74" s="174" t="n">
        <v>-11263064.81</v>
      </c>
      <c r="N74" s="315">
        <f>M74-H74</f>
        <v/>
      </c>
    </row>
    <row r="75" ht="12.75" customHeight="1">
      <c r="H75" s="315">
        <f>SUM(C75:G75)</f>
        <v/>
      </c>
      <c r="M75" s="174" t="n">
        <v>0</v>
      </c>
      <c r="N75" s="315">
        <f>M75-H75</f>
        <v/>
      </c>
    </row>
    <row r="76" ht="12.75" customHeight="1">
      <c r="A76" s="173" t="n">
        <v>8400400</v>
      </c>
      <c r="B76" s="174" t="inlineStr">
        <is>
          <t xml:space="preserve">OPB Overige bedrijfsopbrengsten </t>
        </is>
      </c>
      <c r="D76" s="313" t="n">
        <v>0</v>
      </c>
      <c r="E76" s="313" t="n">
        <v>0</v>
      </c>
      <c r="F76" s="321" t="n">
        <v>13460</v>
      </c>
      <c r="G76" s="313" t="n">
        <v>-13460</v>
      </c>
      <c r="H76" s="315">
        <f>SUM(C76:G76)</f>
        <v/>
      </c>
      <c r="I76" s="313" t="inlineStr">
        <is>
          <t>Aanpassing ivm jaarrekening: Overloop</t>
        </is>
      </c>
      <c r="M76" s="174" t="n">
        <v>0</v>
      </c>
      <c r="N76" s="315">
        <f>M76-H76</f>
        <v/>
      </c>
    </row>
    <row r="77" ht="12.75" customHeight="1">
      <c r="A77" s="173" t="inlineStr">
        <is>
          <t>8400600</t>
        </is>
      </c>
      <c r="B77" s="174" t="inlineStr">
        <is>
          <t>OPB Overige bedrijfsopbrengsten Totale servicekosten</t>
        </is>
      </c>
      <c r="D77" s="313" t="n">
        <v>-164913</v>
      </c>
      <c r="E77" s="313" t="n">
        <v>-163178</v>
      </c>
      <c r="F77" s="313" t="n">
        <v>-165060.65</v>
      </c>
      <c r="G77" s="313" t="n">
        <v>-164313</v>
      </c>
      <c r="H77" s="315">
        <f>SUM(C77:G77)</f>
        <v/>
      </c>
      <c r="M77" s="174" t="n">
        <v>-657464.65</v>
      </c>
      <c r="N77" s="315">
        <f>M77-H77</f>
        <v/>
      </c>
    </row>
    <row r="78" ht="12.75" customHeight="1">
      <c r="A78" s="173" t="inlineStr">
        <is>
          <t>8400700</t>
        </is>
      </c>
      <c r="B78" s="174" t="inlineStr">
        <is>
          <t>OPB Overige bedrijfsopbrengsten Servicekosten leegstand</t>
        </is>
      </c>
      <c r="D78" s="313" t="n">
        <v>5322</v>
      </c>
      <c r="E78" s="313" t="n">
        <v>6288.75</v>
      </c>
      <c r="F78" s="321" t="n">
        <v>5967.41</v>
      </c>
      <c r="G78" s="313" t="n">
        <v>1453</v>
      </c>
      <c r="H78" s="315">
        <f>SUM(C78:G78)</f>
        <v/>
      </c>
      <c r="I78" s="313" t="inlineStr">
        <is>
          <t>Aanpassing ivm jaarrekening: Nagekomen facturen 2021 vanuit Hoen</t>
        </is>
      </c>
      <c r="M78" s="174" t="n">
        <v>19031.16</v>
      </c>
      <c r="N78" s="315">
        <f>M78-H78</f>
        <v/>
      </c>
    </row>
    <row r="79" ht="12.75" customHeight="1">
      <c r="A79" s="173" t="inlineStr">
        <is>
          <t>8400800</t>
        </is>
      </c>
      <c r="B79" s="174" t="inlineStr">
        <is>
          <t>OPB Overige bedrijfsopbrengsten Gerealiseerde servicekosten</t>
        </is>
      </c>
      <c r="D79" s="313" t="n">
        <v>155500</v>
      </c>
      <c r="E79" s="313" t="n">
        <v>161869.1</v>
      </c>
      <c r="F79" s="313" t="n">
        <v>191429.47</v>
      </c>
      <c r="G79" s="313" t="n">
        <v>271928</v>
      </c>
      <c r="H79" s="315">
        <f>SUM(C79:G79)</f>
        <v/>
      </c>
      <c r="M79" s="174" t="n">
        <v>780726.5699999999</v>
      </c>
      <c r="N79" s="315">
        <f>M79-H79</f>
        <v/>
      </c>
    </row>
    <row r="80" ht="12.75" customHeight="1">
      <c r="A80" s="174" t="inlineStr">
        <is>
          <t>Totaal Overige bedrijfsopbrengsten</t>
        </is>
      </c>
      <c r="D80" s="313">
        <f>SUM(D77:D79)</f>
        <v/>
      </c>
      <c r="E80" s="313">
        <f>SUM(E77:E79)</f>
        <v/>
      </c>
      <c r="F80" s="313">
        <f>SUM(F76:F79)</f>
        <v/>
      </c>
      <c r="G80" s="313">
        <f>SUM(G76:G79)</f>
        <v/>
      </c>
      <c r="H80" s="315">
        <f>SUM(C80:G80)</f>
        <v/>
      </c>
      <c r="M80" s="174" t="n">
        <v>142293.08</v>
      </c>
      <c r="N80" s="315">
        <f>M80-H80</f>
        <v/>
      </c>
    </row>
    <row r="81" ht="12.75" customHeight="1">
      <c r="N81" s="315">
        <f>M81-H81</f>
        <v/>
      </c>
    </row>
    <row r="82" ht="12.75" customHeight="1">
      <c r="A82" s="173" t="inlineStr">
        <is>
          <t>4051400</t>
        </is>
      </c>
      <c r="B82" s="174" t="inlineStr">
        <is>
          <t>KN Diensten door derden</t>
        </is>
      </c>
      <c r="D82" s="313" t="n">
        <v>121422</v>
      </c>
      <c r="E82" s="313" t="n">
        <v>121881.5</v>
      </c>
      <c r="F82" s="313" t="n">
        <v>121294.6</v>
      </c>
      <c r="G82" s="313" t="n">
        <v>121679.68</v>
      </c>
      <c r="H82" s="315">
        <f>SUM(C82:G82)</f>
        <v/>
      </c>
      <c r="M82" s="174" t="n">
        <v>486277.78</v>
      </c>
      <c r="N82" s="315">
        <f>M82-H82</f>
        <v/>
      </c>
    </row>
    <row r="83" ht="12.75" customHeight="1">
      <c r="A83" s="174" t="inlineStr">
        <is>
          <t>Totaal overige personeelskosten</t>
        </is>
      </c>
      <c r="D83" s="313">
        <f>SUM(D82)</f>
        <v/>
      </c>
      <c r="E83" s="313">
        <f>SUM(E82)</f>
        <v/>
      </c>
      <c r="F83" s="313">
        <f>SUM(F82)</f>
        <v/>
      </c>
      <c r="G83" s="313">
        <f>SUM(G82)</f>
        <v/>
      </c>
      <c r="H83" s="315">
        <f>SUM(C83:G83)</f>
        <v/>
      </c>
      <c r="M83" s="174" t="n">
        <v>486277.78</v>
      </c>
      <c r="N83" s="315">
        <f>M83-H83</f>
        <v/>
      </c>
    </row>
    <row r="84" ht="12.75" customHeight="1">
      <c r="N84" s="315">
        <f>M84-H84</f>
        <v/>
      </c>
    </row>
    <row r="85" ht="12.75" customHeight="1">
      <c r="A85" s="173" t="inlineStr">
        <is>
          <t>4730000</t>
        </is>
      </c>
      <c r="B85" s="174" t="inlineStr">
        <is>
          <t>AFKN Afschrijvingskosten Vastgoedbeleggingen</t>
        </is>
      </c>
      <c r="D85" s="313" t="n">
        <v>667313</v>
      </c>
      <c r="E85" s="313" t="n">
        <v>666766</v>
      </c>
      <c r="F85" s="313" t="n">
        <v>679632</v>
      </c>
      <c r="G85" s="313" t="n">
        <v>682456</v>
      </c>
      <c r="H85" s="315">
        <f>SUM(C85:G85)</f>
        <v/>
      </c>
      <c r="M85" s="174" t="n">
        <v>2696167</v>
      </c>
      <c r="N85" s="315">
        <f>M85-H85</f>
        <v/>
      </c>
    </row>
    <row r="86" ht="12.75" customHeight="1">
      <c r="A86" s="173" t="inlineStr">
        <is>
          <t>4730200</t>
        </is>
      </c>
      <c r="B86" s="174" t="inlineStr">
        <is>
          <t>AFKN Boekresultaat Vastgoedbeleggingen</t>
        </is>
      </c>
      <c r="D86" s="313" t="n">
        <v>-1978183</v>
      </c>
      <c r="E86" s="313" t="n">
        <v>-222065</v>
      </c>
      <c r="F86" s="313" t="n">
        <v>-1362473</v>
      </c>
      <c r="G86" s="313" t="n">
        <v>-490457</v>
      </c>
      <c r="H86" s="315">
        <f>SUM(C86:G86)</f>
        <v/>
      </c>
      <c r="M86" s="174" t="n">
        <v>-4053178</v>
      </c>
      <c r="N86" s="315">
        <f>M86-H86</f>
        <v/>
      </c>
    </row>
    <row r="87" ht="12.75" customHeight="1">
      <c r="A87" s="174" t="inlineStr">
        <is>
          <t>Totaal Afschrijvingen vastgoedbeleggingen</t>
        </is>
      </c>
      <c r="D87" s="313">
        <f>SUM(D85:D86)</f>
        <v/>
      </c>
      <c r="E87" s="313">
        <f>SUM(E85:E86)</f>
        <v/>
      </c>
      <c r="F87" s="313">
        <f>SUM(F85:F86)</f>
        <v/>
      </c>
      <c r="G87" s="313">
        <f>SUM(G85:G86)</f>
        <v/>
      </c>
      <c r="H87" s="315">
        <f>SUM(C87:G87)</f>
        <v/>
      </c>
      <c r="M87" s="174" t="n">
        <v>-1357011</v>
      </c>
      <c r="N87" s="315">
        <f>M87-H87</f>
        <v/>
      </c>
    </row>
    <row r="88" ht="12.75" customHeight="1">
      <c r="N88" s="315">
        <f>M88-H88</f>
        <v/>
      </c>
    </row>
    <row r="89" ht="12.75" customHeight="1">
      <c r="A89" s="173" t="inlineStr">
        <is>
          <t>4100400</t>
        </is>
      </c>
      <c r="B89" s="174" t="inlineStr">
        <is>
          <t>KN Onderhoud gebouwen</t>
        </is>
      </c>
      <c r="D89" s="313">
        <f>194822+O4</f>
        <v/>
      </c>
      <c r="E89" s="313">
        <f>134619.1+P4</f>
        <v/>
      </c>
      <c r="F89" s="321">
        <f>510329.85+Q4</f>
        <v/>
      </c>
      <c r="G89" s="313">
        <f>178607+R4</f>
        <v/>
      </c>
      <c r="H89" s="315">
        <f>SUM(C89:G89)</f>
        <v/>
      </c>
      <c r="I89" s="313" t="inlineStr">
        <is>
          <t>Aanpassing ivm jaarrekening: Nagekomen facturen 2021 vanuit Hoen</t>
        </is>
      </c>
      <c r="M89" s="174" t="n">
        <v>1018377.95</v>
      </c>
      <c r="N89" s="315">
        <f>M89-H89</f>
        <v/>
      </c>
    </row>
    <row r="90" ht="12.75" customHeight="1">
      <c r="A90" s="173" t="inlineStr">
        <is>
          <t>4100410</t>
        </is>
      </c>
      <c r="B90" s="174" t="inlineStr">
        <is>
          <t>Verhuurdersheffing</t>
        </is>
      </c>
      <c r="D90" s="313" t="n">
        <v>129402.5</v>
      </c>
      <c r="E90" s="313" t="n">
        <v>129402.5</v>
      </c>
      <c r="F90" s="313" t="n">
        <v>129402.49</v>
      </c>
      <c r="G90" s="313" t="n">
        <v>127275</v>
      </c>
      <c r="H90" s="315">
        <f>SUM(C90:G90)</f>
        <v/>
      </c>
      <c r="M90" s="174" t="n">
        <v>515482.49</v>
      </c>
      <c r="N90" s="315">
        <f>M90-H90</f>
        <v/>
      </c>
    </row>
    <row r="91" ht="12.75" customHeight="1">
      <c r="A91" s="173" t="inlineStr">
        <is>
          <t>4100900</t>
        </is>
      </c>
      <c r="B91" s="174" t="inlineStr">
        <is>
          <t>KN Onroerende zaakbelasting</t>
        </is>
      </c>
      <c r="D91" s="313" t="n">
        <v>80091</v>
      </c>
      <c r="E91" s="313" t="n">
        <v>84680.21000000001</v>
      </c>
      <c r="F91" s="313" t="n">
        <v>82972.46000000001</v>
      </c>
      <c r="G91" s="313" t="n">
        <v>54979.46</v>
      </c>
      <c r="H91" s="315">
        <f>SUM(C91:G91)</f>
        <v/>
      </c>
      <c r="M91" s="174" t="n">
        <v>302723.1300000001</v>
      </c>
      <c r="N91" s="315">
        <f>M91-H91</f>
        <v/>
      </c>
    </row>
    <row r="92" ht="12.75" customHeight="1">
      <c r="A92" s="173" t="inlineStr">
        <is>
          <t>4101000</t>
        </is>
      </c>
      <c r="B92" s="174" t="inlineStr">
        <is>
          <t>KN VvE-kosten</t>
        </is>
      </c>
      <c r="D92" s="313" t="n">
        <v>157568</v>
      </c>
      <c r="E92" s="313" t="n">
        <v>107779.2</v>
      </c>
      <c r="F92" s="321" t="n">
        <v>221370.06</v>
      </c>
      <c r="G92" s="313" t="n">
        <v>167096</v>
      </c>
      <c r="H92" s="315">
        <f>SUM(C92:G92)</f>
        <v/>
      </c>
      <c r="I92" s="313" t="inlineStr">
        <is>
          <t>Aanpassing ivm jaarrekening: Nagekomen facturen 2021 vanuit Hoen</t>
        </is>
      </c>
      <c r="M92" s="174" t="n">
        <v>653813.26</v>
      </c>
      <c r="N92" s="315">
        <f>M92-H92</f>
        <v/>
      </c>
    </row>
    <row r="93" ht="12.75" customHeight="1">
      <c r="A93" s="173" t="inlineStr">
        <is>
          <t>4101010</t>
        </is>
      </c>
      <c r="B93" s="174" t="inlineStr">
        <is>
          <t>Gemeentelijke belastingen</t>
        </is>
      </c>
      <c r="D93" s="313" t="n">
        <v>31441</v>
      </c>
      <c r="E93" s="313" t="n">
        <v>31288.14</v>
      </c>
      <c r="F93" s="313" t="n">
        <v>31086.75</v>
      </c>
      <c r="G93" s="313" t="n">
        <v>17584.71</v>
      </c>
      <c r="H93" s="315">
        <f>SUM(C93:G93)</f>
        <v/>
      </c>
      <c r="M93" s="174" t="n">
        <v>111400.6</v>
      </c>
      <c r="N93" s="315">
        <f>M93-H93</f>
        <v/>
      </c>
    </row>
    <row r="94" ht="12.75" customHeight="1">
      <c r="A94" s="173" t="inlineStr">
        <is>
          <t>4101020</t>
        </is>
      </c>
      <c r="B94" s="174" t="inlineStr">
        <is>
          <t>Waterschapsbelasting</t>
        </is>
      </c>
      <c r="D94" s="313">
        <f>1582+14862+69</f>
        <v/>
      </c>
      <c r="E94" s="313">
        <f>42842+9256-37236</f>
        <v/>
      </c>
      <c r="F94" s="313" t="n">
        <v>16030.14</v>
      </c>
      <c r="G94" s="313" t="n">
        <v>1077.52</v>
      </c>
      <c r="H94" s="315">
        <f>SUM(C94:G94)</f>
        <v/>
      </c>
      <c r="M94" s="174" t="n">
        <v>48482.66</v>
      </c>
      <c r="N94" s="315">
        <f>M94-H94</f>
        <v/>
      </c>
    </row>
    <row r="95" ht="12.75" customHeight="1">
      <c r="A95" s="173" t="inlineStr">
        <is>
          <t>4101300</t>
        </is>
      </c>
      <c r="B95" s="174" t="inlineStr">
        <is>
          <t>KN Servicekosten leegstand</t>
        </is>
      </c>
      <c r="D95" s="313" t="n">
        <v>-348</v>
      </c>
      <c r="E95" s="313" t="n">
        <v>0</v>
      </c>
      <c r="F95" s="313" t="n">
        <v>-22.71</v>
      </c>
      <c r="H95" s="315">
        <f>SUM(C95:G95)</f>
        <v/>
      </c>
      <c r="M95" s="174" t="n">
        <v>-370.71</v>
      </c>
      <c r="N95" s="315">
        <f>M95-H95</f>
        <v/>
      </c>
    </row>
    <row r="96" ht="12.75" customHeight="1">
      <c r="A96" s="173" t="inlineStr">
        <is>
          <t>4109800</t>
        </is>
      </c>
      <c r="B96" s="174" t="inlineStr">
        <is>
          <t>KN Overige huisvestingskosten</t>
        </is>
      </c>
      <c r="D96" s="313" t="n">
        <v>0</v>
      </c>
      <c r="E96" s="313" t="n">
        <v>0</v>
      </c>
      <c r="F96" s="313" t="n">
        <v>0</v>
      </c>
      <c r="H96" s="315">
        <f>SUM(C96:G96)</f>
        <v/>
      </c>
      <c r="M96" s="174" t="n">
        <v>0</v>
      </c>
      <c r="N96" s="315">
        <f>M96-H96</f>
        <v/>
      </c>
    </row>
    <row r="97" ht="12.75" customHeight="1">
      <c r="A97" s="174" t="inlineStr">
        <is>
          <t>Totaal Huisvestingskosten</t>
        </is>
      </c>
      <c r="D97" s="313">
        <f>SUM(D89:D96)</f>
        <v/>
      </c>
      <c r="E97" s="313">
        <f>SUM(E89:E96)</f>
        <v/>
      </c>
      <c r="F97" s="313">
        <f>SUM(F89:F96)</f>
        <v/>
      </c>
      <c r="G97" s="313">
        <f>SUM(G89:G96)</f>
        <v/>
      </c>
      <c r="H97" s="315">
        <f>SUM(C97:G97)</f>
        <v/>
      </c>
      <c r="M97" s="174" t="n">
        <v>2649909.38</v>
      </c>
      <c r="N97" s="315">
        <f>M97-H97</f>
        <v/>
      </c>
    </row>
    <row r="98" ht="12.75" customHeight="1">
      <c r="N98" s="315">
        <f>M98-H98</f>
        <v/>
      </c>
    </row>
    <row r="99" ht="12.75" customHeight="1">
      <c r="A99" s="173" t="inlineStr">
        <is>
          <t>4500400</t>
        </is>
      </c>
      <c r="B99" s="174" t="inlineStr">
        <is>
          <t>KN Representatiekosten</t>
        </is>
      </c>
      <c r="D99" s="313" t="n">
        <v>0</v>
      </c>
      <c r="E99" s="313" t="n">
        <v>0</v>
      </c>
      <c r="F99" s="313" t="n">
        <v>0</v>
      </c>
      <c r="N99" s="315">
        <f>M99-H99</f>
        <v/>
      </c>
    </row>
    <row r="100" ht="12.75" customHeight="1">
      <c r="A100" s="173" t="inlineStr">
        <is>
          <t>4501200</t>
        </is>
      </c>
      <c r="B100" s="174" t="inlineStr">
        <is>
          <t>KN Mutatie voorziening dubieuze debiteuren</t>
        </is>
      </c>
      <c r="D100" s="313" t="n">
        <v>0</v>
      </c>
      <c r="E100" s="313" t="n">
        <v>0</v>
      </c>
      <c r="F100" s="313" t="n">
        <v>0</v>
      </c>
      <c r="H100" s="315">
        <f>SUM(C100:G100)</f>
        <v/>
      </c>
      <c r="M100" s="174" t="n">
        <v>0</v>
      </c>
      <c r="N100" s="315">
        <f>M100-H100</f>
        <v/>
      </c>
    </row>
    <row r="101" ht="12.75" customHeight="1">
      <c r="A101" s="173" t="inlineStr">
        <is>
          <t>4501300</t>
        </is>
      </c>
      <c r="B101" s="174" t="inlineStr">
        <is>
          <t>KN Afboeking dubieuze debiteuren</t>
        </is>
      </c>
      <c r="D101" s="313" t="n">
        <v>-2606</v>
      </c>
      <c r="E101" s="313" t="n">
        <v>461</v>
      </c>
      <c r="F101" s="321" t="n">
        <v>238.16</v>
      </c>
      <c r="G101" s="313" t="n">
        <v>-3681</v>
      </c>
      <c r="H101" s="315">
        <f>SUM(C101:G101)</f>
        <v/>
      </c>
      <c r="I101" s="313" t="inlineStr">
        <is>
          <t>Aanpassing ivm jaarrekening: Nagekomen facturen 2021 vanuit Hoen</t>
        </is>
      </c>
      <c r="M101" s="174" t="n">
        <v>-5587.84</v>
      </c>
      <c r="N101" s="315">
        <f>M101-H101</f>
        <v/>
      </c>
    </row>
    <row r="102" ht="12.75" customHeight="1">
      <c r="A102" s="174" t="inlineStr">
        <is>
          <t>Totaal Verkoopkosten</t>
        </is>
      </c>
      <c r="D102" s="313">
        <f>SUM(D99:D101)</f>
        <v/>
      </c>
      <c r="E102" s="313">
        <f>SUM(E99:E101)</f>
        <v/>
      </c>
      <c r="F102" s="313">
        <f>SUM(F99:F101)</f>
        <v/>
      </c>
      <c r="G102" s="313">
        <f>SUM(G99:G101)</f>
        <v/>
      </c>
      <c r="H102" s="315">
        <f>SUM(C102:G102)</f>
        <v/>
      </c>
      <c r="M102" s="174" t="n">
        <v>-5587.84</v>
      </c>
      <c r="N102" s="315">
        <f>M102-H102</f>
        <v/>
      </c>
    </row>
    <row r="103" ht="12.75" customHeight="1">
      <c r="N103" s="315">
        <f>M103-H103</f>
        <v/>
      </c>
    </row>
    <row r="104" ht="12.75" customHeight="1">
      <c r="A104" s="173" t="inlineStr">
        <is>
          <t>4300500</t>
        </is>
      </c>
      <c r="B104" s="174" t="inlineStr">
        <is>
          <t>KN Incassokosten</t>
        </is>
      </c>
      <c r="D104" s="313" t="n">
        <v>300</v>
      </c>
      <c r="E104" s="313" t="n">
        <v>300</v>
      </c>
      <c r="F104" s="313" t="n">
        <v>340</v>
      </c>
      <c r="G104" s="313" t="n">
        <v>307</v>
      </c>
      <c r="H104" s="315">
        <f>SUM(C104:G104)</f>
        <v/>
      </c>
      <c r="M104" s="174" t="n">
        <v>1247</v>
      </c>
      <c r="N104" s="315">
        <f>M104-H104</f>
        <v/>
      </c>
    </row>
    <row r="105" ht="12.75" customHeight="1">
      <c r="A105" s="174" t="inlineStr">
        <is>
          <t>Totaal Kantoorkosten</t>
        </is>
      </c>
      <c r="D105" s="313">
        <f>SUM(D104)</f>
        <v/>
      </c>
      <c r="E105" s="313">
        <f>SUM(E104)</f>
        <v/>
      </c>
      <c r="F105" s="313">
        <f>SUM(F104)</f>
        <v/>
      </c>
      <c r="G105" s="313">
        <f>SUM(G104)</f>
        <v/>
      </c>
      <c r="H105" s="315">
        <f>SUM(C105:G105)</f>
        <v/>
      </c>
      <c r="M105" s="174" t="n">
        <v>1247</v>
      </c>
      <c r="N105" s="315">
        <f>M105-H105</f>
        <v/>
      </c>
    </row>
    <row r="106" ht="12.75" customHeight="1">
      <c r="N106" s="315">
        <f>M106-H106</f>
        <v/>
      </c>
    </row>
    <row r="107" ht="12.75" customHeight="1">
      <c r="A107" s="173" t="inlineStr">
        <is>
          <t>4310000</t>
        </is>
      </c>
      <c r="B107" s="174" t="inlineStr">
        <is>
          <t>KN Abonnementen en contributies</t>
        </is>
      </c>
      <c r="D107" s="313" t="n">
        <v>0</v>
      </c>
      <c r="E107" s="313" t="n">
        <v>0</v>
      </c>
      <c r="F107" s="313" t="n">
        <v>0</v>
      </c>
      <c r="H107" s="315">
        <f>SUM(C107:G107)</f>
        <v/>
      </c>
      <c r="M107" s="174" t="n">
        <v>0</v>
      </c>
      <c r="N107" s="315">
        <f>M107-H107</f>
        <v/>
      </c>
    </row>
    <row r="108" ht="12.75" customHeight="1">
      <c r="A108" s="173" t="inlineStr">
        <is>
          <t>4310400</t>
        </is>
      </c>
      <c r="B108" s="174" t="inlineStr">
        <is>
          <t>KN Assurantiepremie algemeen</t>
        </is>
      </c>
      <c r="D108" s="313" t="n">
        <v>28130</v>
      </c>
      <c r="E108" s="313" t="n">
        <v>28219.25</v>
      </c>
      <c r="F108" s="313" t="n">
        <v>29692.1</v>
      </c>
      <c r="G108" s="313" t="n">
        <v>377.53</v>
      </c>
      <c r="H108" s="315">
        <f>SUM(C108:G108)</f>
        <v/>
      </c>
      <c r="M108" s="174" t="n">
        <v>86418.88</v>
      </c>
      <c r="N108" s="315">
        <f>M108-H108</f>
        <v/>
      </c>
    </row>
    <row r="109" ht="12.75" customHeight="1">
      <c r="A109" s="173" t="inlineStr">
        <is>
          <t>4310500</t>
        </is>
      </c>
      <c r="B109" s="174" t="inlineStr">
        <is>
          <t>KN Managementvergoeding</t>
        </is>
      </c>
      <c r="D109" s="313" t="n">
        <v>5445</v>
      </c>
      <c r="E109" s="313" t="n">
        <v>5445</v>
      </c>
      <c r="F109" s="313" t="n">
        <v>5445</v>
      </c>
      <c r="G109" s="313" t="n">
        <v>5445</v>
      </c>
      <c r="H109" s="315">
        <f>SUM(C109:G109)</f>
        <v/>
      </c>
      <c r="M109" s="174" t="n">
        <v>21780</v>
      </c>
      <c r="N109" s="315">
        <f>M109-H109</f>
        <v/>
      </c>
    </row>
    <row r="110" ht="12.75" customHeight="1">
      <c r="A110" s="173" t="inlineStr">
        <is>
          <t>4310600</t>
        </is>
      </c>
      <c r="B110" s="174" t="inlineStr">
        <is>
          <t>KN Accountantskosten</t>
        </is>
      </c>
      <c r="D110" s="313" t="n">
        <v>31660</v>
      </c>
      <c r="E110" s="313" t="n">
        <v>61669.95</v>
      </c>
      <c r="F110" s="313" t="n">
        <v>2612.6</v>
      </c>
      <c r="G110" s="313" t="n">
        <v>4564</v>
      </c>
      <c r="H110" s="315">
        <f>SUM(C110:G110)</f>
        <v/>
      </c>
      <c r="M110" s="174" t="n">
        <v>100506.55</v>
      </c>
      <c r="N110" s="315">
        <f>M110-H110</f>
        <v/>
      </c>
    </row>
    <row r="111" ht="12.75" customHeight="1">
      <c r="A111" s="173" t="inlineStr">
        <is>
          <t>4310700</t>
        </is>
      </c>
      <c r="B111" s="174" t="inlineStr">
        <is>
          <t>KN Administratiekosten</t>
        </is>
      </c>
      <c r="D111" s="313" t="n">
        <v>0</v>
      </c>
      <c r="E111" s="313" t="n">
        <v>2420</v>
      </c>
      <c r="F111" s="313" t="n">
        <v>2420</v>
      </c>
      <c r="H111" s="315">
        <f>SUM(C111:G111)</f>
        <v/>
      </c>
      <c r="M111" s="174" t="n">
        <v>4840</v>
      </c>
      <c r="N111" s="315">
        <f>M111-H111</f>
        <v/>
      </c>
    </row>
    <row r="112" ht="12.75" customHeight="1">
      <c r="A112" s="173" t="inlineStr">
        <is>
          <t>4310800</t>
        </is>
      </c>
      <c r="B112" s="174" t="inlineStr">
        <is>
          <t>KN Makelaarskosten</t>
        </is>
      </c>
      <c r="D112" s="313" t="n">
        <v>63411</v>
      </c>
      <c r="E112" s="313" t="n">
        <v>50119.65</v>
      </c>
      <c r="F112" s="321" t="n">
        <v>94401.17999999999</v>
      </c>
      <c r="G112" s="313" t="n">
        <v>41825</v>
      </c>
      <c r="H112" s="315">
        <f>SUM(C112:G112)</f>
        <v/>
      </c>
      <c r="I112" s="313" t="inlineStr">
        <is>
          <t>Aanpassing ivm jaarrekening: Nagekomen facturen 2021 vanuit Hoen</t>
        </is>
      </c>
      <c r="M112" s="174" t="n">
        <v>249756.83</v>
      </c>
      <c r="N112" s="315">
        <f>M112-H112</f>
        <v/>
      </c>
    </row>
    <row r="113" ht="12.75" customHeight="1">
      <c r="A113" s="173" t="inlineStr">
        <is>
          <t>4311000</t>
        </is>
      </c>
      <c r="B113" s="174" t="inlineStr">
        <is>
          <t>KN Juridische kosten</t>
        </is>
      </c>
      <c r="D113" s="313" t="n">
        <v>8170</v>
      </c>
      <c r="E113" s="313" t="n">
        <v>3422.05</v>
      </c>
      <c r="F113" s="321" t="n">
        <v>4699.49</v>
      </c>
      <c r="G113" s="313" t="n">
        <v>901</v>
      </c>
      <c r="H113" s="315">
        <f>SUM(C113:G113)</f>
        <v/>
      </c>
      <c r="I113" s="313" t="inlineStr">
        <is>
          <t>Aanpassing ivm jaarrekening: Nagekomen facturen 2021 vanuit Hoen</t>
        </is>
      </c>
      <c r="M113" s="174" t="n">
        <v>17192.54</v>
      </c>
      <c r="N113" s="315">
        <f>M113-H113</f>
        <v/>
      </c>
    </row>
    <row r="114" ht="12.75" customHeight="1">
      <c r="A114" s="173" t="inlineStr">
        <is>
          <t>4311800</t>
        </is>
      </c>
      <c r="B114" s="174" t="inlineStr">
        <is>
          <t>KN Advieskosten</t>
        </is>
      </c>
      <c r="D114" s="313" t="n">
        <v>0</v>
      </c>
      <c r="E114" s="313" t="n">
        <v>0</v>
      </c>
      <c r="F114" s="313" t="n">
        <v>0</v>
      </c>
      <c r="G114" s="313" t="n">
        <v>12100</v>
      </c>
      <c r="H114" s="315">
        <f>SUM(C114:G114)</f>
        <v/>
      </c>
      <c r="M114" s="174" t="n">
        <v>12100</v>
      </c>
      <c r="N114" s="315">
        <f>M114-H114</f>
        <v/>
      </c>
    </row>
    <row r="115" ht="12" customHeight="1">
      <c r="A115" s="173" t="inlineStr">
        <is>
          <t>4311900</t>
        </is>
      </c>
      <c r="B115" s="174" t="inlineStr">
        <is>
          <t>KN Bankkosten</t>
        </is>
      </c>
      <c r="D115" s="313">
        <f>1186-3</f>
        <v/>
      </c>
      <c r="E115" s="313" t="n">
        <v>6968.21</v>
      </c>
      <c r="F115" s="313" t="n">
        <v>1225.96</v>
      </c>
      <c r="G115" s="313" t="n">
        <v>4218</v>
      </c>
      <c r="H115" s="315">
        <f>SUM(C115:G115)</f>
        <v/>
      </c>
      <c r="M115" s="174" t="n">
        <v>13595.17</v>
      </c>
      <c r="N115" s="315">
        <f>M115-H115</f>
        <v/>
      </c>
    </row>
    <row r="116" ht="12.75" customHeight="1">
      <c r="A116" s="173" t="inlineStr">
        <is>
          <t>4312600</t>
        </is>
      </c>
      <c r="B116" s="174" t="inlineStr">
        <is>
          <t>KN Agent Fee facility</t>
        </is>
      </c>
      <c r="D116" s="313" t="n">
        <v>20000</v>
      </c>
      <c r="E116" s="313" t="n">
        <v>20000</v>
      </c>
      <c r="F116" s="313" t="n">
        <v>0</v>
      </c>
      <c r="G116" s="313" t="n">
        <v>0</v>
      </c>
      <c r="H116" s="315">
        <f>SUM(C116:G116)</f>
        <v/>
      </c>
      <c r="M116" s="174" t="n">
        <v>40000</v>
      </c>
      <c r="N116" s="315">
        <f>M116-H116</f>
        <v/>
      </c>
    </row>
    <row r="117" ht="12.75" customHeight="1">
      <c r="A117" s="173" t="inlineStr">
        <is>
          <t>4319800</t>
        </is>
      </c>
      <c r="B117" s="174" t="inlineStr">
        <is>
          <t>KN Overige algemene kosten</t>
        </is>
      </c>
      <c r="D117" s="313" t="n">
        <v>12363</v>
      </c>
      <c r="E117" s="313">
        <f>-9583+182</f>
        <v/>
      </c>
      <c r="F117" s="321" t="n">
        <v>1050.28</v>
      </c>
      <c r="G117" s="313" t="n">
        <v>550</v>
      </c>
      <c r="H117" s="315">
        <f>SUM(C117:G117)</f>
        <v/>
      </c>
      <c r="I117" s="313" t="inlineStr">
        <is>
          <t>Aanpassing ivm jaarrekening</t>
        </is>
      </c>
      <c r="M117" s="174" t="n">
        <v>4562.28</v>
      </c>
      <c r="N117" s="315">
        <f>M117-H117</f>
        <v/>
      </c>
    </row>
    <row r="118" ht="12.75" customHeight="1">
      <c r="A118" s="174" t="inlineStr">
        <is>
          <t>Totaal Algemene kosten</t>
        </is>
      </c>
      <c r="D118" s="313">
        <f>SUM(D107:D117)</f>
        <v/>
      </c>
      <c r="E118" s="313">
        <f>SUM(E107:E117)</f>
        <v/>
      </c>
      <c r="F118" s="313">
        <f>SUM(F107:F117)</f>
        <v/>
      </c>
      <c r="G118" s="313">
        <f>SUM(G107:G117)</f>
        <v/>
      </c>
      <c r="H118" s="315">
        <f>SUM(C118:G118)</f>
        <v/>
      </c>
      <c r="M118" s="174" t="n">
        <v>550752.25</v>
      </c>
      <c r="N118" s="315">
        <f>M118-H118</f>
        <v/>
      </c>
    </row>
    <row r="119" ht="12.75" customHeight="1">
      <c r="N119" s="315">
        <f>M119-H119</f>
        <v/>
      </c>
    </row>
    <row r="120" ht="12.75" customHeight="1">
      <c r="A120" s="173" t="inlineStr">
        <is>
          <t>4623001</t>
        </is>
      </c>
      <c r="B120" s="174" t="inlineStr">
        <is>
          <t>FINBL Rente ABN AMRO Bank NV Senior Facility Agreement</t>
        </is>
      </c>
      <c r="D120" s="313" t="n">
        <v>424302</v>
      </c>
      <c r="E120" s="313" t="n">
        <v>420037.6</v>
      </c>
      <c r="F120" s="313" t="n">
        <v>416515.02</v>
      </c>
      <c r="G120" s="313" t="n">
        <v>401338</v>
      </c>
      <c r="H120" s="315">
        <f>SUM(C120:G120)</f>
        <v/>
      </c>
      <c r="M120" s="174" t="n">
        <v>1662192.62</v>
      </c>
      <c r="N120" s="315">
        <f>M120-H120</f>
        <v/>
      </c>
    </row>
    <row r="121" ht="12.75" customHeight="1">
      <c r="A121" s="173" t="n">
        <v>4611000</v>
      </c>
      <c r="B121" s="174" t="inlineStr">
        <is>
          <t>FINBL Rente RC DMRRP INV - I BV</t>
        </is>
      </c>
      <c r="D121" s="313" t="n">
        <v>0</v>
      </c>
      <c r="E121" s="313" t="n">
        <v>0</v>
      </c>
      <c r="F121" s="313" t="n">
        <v>4201</v>
      </c>
      <c r="H121" s="315">
        <f>SUM(C121:G121)</f>
        <v/>
      </c>
      <c r="M121" s="174" t="n">
        <v>4201</v>
      </c>
      <c r="N121" s="315">
        <f>M121-H121</f>
        <v/>
      </c>
    </row>
    <row r="122" ht="12.75" customHeight="1">
      <c r="A122" s="173" t="n">
        <v>4630000</v>
      </c>
      <c r="B122" s="174" t="inlineStr">
        <is>
          <t>FINBL Rente belastingen</t>
        </is>
      </c>
      <c r="D122" s="313" t="n">
        <v>0</v>
      </c>
      <c r="E122" s="313" t="n">
        <v>0</v>
      </c>
      <c r="F122" s="313" t="n">
        <v>0</v>
      </c>
      <c r="G122" s="313" t="n">
        <v>0</v>
      </c>
      <c r="H122" s="315">
        <f>SUM(C122:G122)</f>
        <v/>
      </c>
      <c r="M122" s="174" t="n">
        <v>0</v>
      </c>
      <c r="N122" s="315">
        <f>M122-H122</f>
        <v/>
      </c>
    </row>
    <row r="123" ht="12.75" customHeight="1">
      <c r="A123" s="173" t="inlineStr">
        <is>
          <t>4643000</t>
        </is>
      </c>
      <c r="B123" s="174" t="inlineStr">
        <is>
          <t>FINBL Overige rentelasten</t>
        </is>
      </c>
      <c r="D123" s="313" t="n">
        <v>103265</v>
      </c>
      <c r="E123" s="313" t="n">
        <v>103625.3</v>
      </c>
      <c r="F123" s="313" t="n">
        <v>102995.06</v>
      </c>
      <c r="G123" s="313" t="n">
        <v>100023.25</v>
      </c>
      <c r="H123" s="315">
        <f>SUM(C123:G123)</f>
        <v/>
      </c>
      <c r="M123" s="174" t="n">
        <v>409908.36</v>
      </c>
      <c r="N123" s="315">
        <f>M123-H123</f>
        <v/>
      </c>
    </row>
    <row r="124" ht="12.75" customHeight="1">
      <c r="A124" s="173" t="n">
        <v>4642000</v>
      </c>
      <c r="B124" s="174" t="inlineStr">
        <is>
          <t>FINBL overige rentebaten</t>
        </is>
      </c>
      <c r="D124" s="313" t="n">
        <v>3574</v>
      </c>
      <c r="E124" s="313" t="n">
        <v>0</v>
      </c>
      <c r="F124" s="313" t="n">
        <v>2949.43</v>
      </c>
      <c r="G124" s="313" t="n">
        <v>0</v>
      </c>
      <c r="H124" s="315">
        <f>SUM(C124:G124)</f>
        <v/>
      </c>
      <c r="M124" s="174" t="n">
        <v>6523.43</v>
      </c>
      <c r="N124" s="315">
        <f>M124-H124</f>
        <v/>
      </c>
    </row>
    <row r="125" ht="12.75" customHeight="1">
      <c r="A125" s="173" t="inlineStr">
        <is>
          <t>Totaal Financiële baten en lasten</t>
        </is>
      </c>
      <c r="D125" s="313">
        <f>SUM(D120:D124)</f>
        <v/>
      </c>
      <c r="E125" s="313">
        <f>SUM(E120:E124)</f>
        <v/>
      </c>
      <c r="F125" s="313">
        <f>SUM(F120:F124)</f>
        <v/>
      </c>
      <c r="G125" s="313">
        <f>SUM(G120:G124)</f>
        <v/>
      </c>
      <c r="H125" s="315">
        <f>SUM(C125:G125)</f>
        <v/>
      </c>
      <c r="M125" s="174" t="n">
        <v>2082825.41</v>
      </c>
      <c r="N125" s="315">
        <f>M125-H125</f>
        <v/>
      </c>
    </row>
    <row r="126" ht="12.75" customHeight="1">
      <c r="N126" s="315">
        <f>M126-H126</f>
        <v/>
      </c>
    </row>
    <row r="127" ht="12.75" customHeight="1">
      <c r="A127" s="173" t="n">
        <v>9500000</v>
      </c>
      <c r="B127" s="174" t="inlineStr">
        <is>
          <t>VPB Vennootschapsbelasting VPB Huidg jaar</t>
        </is>
      </c>
      <c r="D127" s="313" t="n">
        <v>0</v>
      </c>
      <c r="E127" s="313" t="n">
        <v>0</v>
      </c>
      <c r="F127" s="321" t="n">
        <v>2290893</v>
      </c>
      <c r="G127" s="313" t="n">
        <v>0</v>
      </c>
      <c r="H127" s="315">
        <f>SUM(C127:G127)</f>
        <v/>
      </c>
      <c r="I127" s="174" t="inlineStr">
        <is>
          <t>Aanpassing ivm jaarrekening: VPB boeking</t>
        </is>
      </c>
      <c r="M127" s="174" t="n">
        <v>2290893</v>
      </c>
      <c r="N127" s="315">
        <f>M127-H127</f>
        <v/>
      </c>
    </row>
    <row r="128" ht="12.75" customHeight="1">
      <c r="A128" s="173" t="inlineStr">
        <is>
          <t>9510000</t>
        </is>
      </c>
      <c r="B128" s="174" t="inlineStr">
        <is>
          <t>VPB Mutatie belastinglatentie Mutatie actieve latentie</t>
        </is>
      </c>
      <c r="D128" s="313" t="n">
        <v>-120923</v>
      </c>
      <c r="E128" s="313" t="n">
        <v>-161798</v>
      </c>
      <c r="F128" s="321" t="n">
        <v>-273366.2</v>
      </c>
      <c r="G128" s="313" t="n">
        <v>-237434</v>
      </c>
      <c r="H128" s="315">
        <f>SUM(C128:G128)</f>
        <v/>
      </c>
      <c r="I128" s="174" t="inlineStr">
        <is>
          <t>Aanpassing ivm jaarrekening: resultaat is aangepast, waardoor latentie ook</t>
        </is>
      </c>
      <c r="M128" s="174" t="n">
        <v>-793521.2</v>
      </c>
      <c r="N128" s="315">
        <f>M128-H128</f>
        <v/>
      </c>
    </row>
    <row r="129" ht="12.75" customHeight="1">
      <c r="A129" s="173" t="n">
        <v>9500100</v>
      </c>
      <c r="B129" s="174" t="inlineStr">
        <is>
          <t>VPB Vennootschapsbelasting VPB voorgaande jaren</t>
        </is>
      </c>
      <c r="D129" s="313" t="n">
        <v>0</v>
      </c>
      <c r="E129" s="313" t="n">
        <v>0</v>
      </c>
      <c r="F129" s="313" t="n">
        <v>0</v>
      </c>
      <c r="G129" s="313" t="n">
        <v>0</v>
      </c>
      <c r="H129" s="315">
        <f>SUM(C129:G129)</f>
        <v/>
      </c>
      <c r="M129" s="174" t="n">
        <v>0</v>
      </c>
      <c r="N129" s="315">
        <f>M129-H129</f>
        <v/>
      </c>
    </row>
    <row r="130" ht="12.75" customHeight="1">
      <c r="A130" s="173" t="inlineStr">
        <is>
          <t>Totaal vennootschapsbelasting</t>
        </is>
      </c>
      <c r="C130" s="314" t="n"/>
      <c r="D130" s="314">
        <f>SUM(D127:D129)</f>
        <v/>
      </c>
      <c r="E130" s="314">
        <f>SUM(E127:E128)-2</f>
        <v/>
      </c>
      <c r="F130" s="314">
        <f>SUM(F127:F129)</f>
        <v/>
      </c>
      <c r="G130" s="314">
        <f>SUM(G127:G129)</f>
        <v/>
      </c>
      <c r="H130" s="315">
        <f>SUM(C130:G130)</f>
        <v/>
      </c>
      <c r="M130" s="174" t="n">
        <v>1497369.8</v>
      </c>
      <c r="N130" s="315">
        <f>M130-H130</f>
        <v/>
      </c>
    </row>
    <row r="131" ht="12.75" customHeight="1">
      <c r="H131" s="315">
        <f>SUM(C131:G131)</f>
        <v/>
      </c>
      <c r="M131" s="174" t="n">
        <v>0</v>
      </c>
      <c r="N131" s="315">
        <f>M131-H131</f>
        <v/>
      </c>
    </row>
    <row r="132" ht="12.75" customHeight="1">
      <c r="A132" s="174" t="inlineStr">
        <is>
          <t>Resultaat na belasting</t>
        </is>
      </c>
      <c r="D132" s="313">
        <f>D74+D80+D83+D87+D97+D102+D105+D118+D125+D130</f>
        <v/>
      </c>
      <c r="E132" s="313">
        <f>E74+E80+E83+E87+E97+E102+E105+E118+E125+E130</f>
        <v/>
      </c>
      <c r="F132" s="313">
        <f>F74+F80+F83+F87+F97+F102+F105+F118+F125+F130</f>
        <v/>
      </c>
      <c r="G132" s="313">
        <f>G74+G80+G83+G87+G97+G102+G105+G118+G125+G130</f>
        <v/>
      </c>
      <c r="H132" s="315">
        <f>SUM(C132:G132)</f>
        <v/>
      </c>
      <c r="M132" s="174" t="n">
        <v>-5214988.95</v>
      </c>
      <c r="N132" s="315">
        <f>M132-H132</f>
        <v/>
      </c>
    </row>
    <row r="133" ht="12.75" customHeight="1">
      <c r="N133" s="315">
        <f>M133-H133</f>
        <v/>
      </c>
    </row>
    <row r="134" ht="12.75" customHeight="1">
      <c r="C134" s="325" t="n"/>
      <c r="D134" s="325">
        <f>SUM(D4:D67)+D132</f>
        <v/>
      </c>
      <c r="E134" s="325">
        <f>SUM(E4:E67)+E132</f>
        <v/>
      </c>
      <c r="F134" s="325">
        <f>SUM(F4:F67)+F132</f>
        <v/>
      </c>
      <c r="G134" s="325">
        <f>SUM(G4:G67)+G132</f>
        <v/>
      </c>
      <c r="H134" s="316">
        <f>SUM(H4:H67)+H132</f>
        <v/>
      </c>
      <c r="M134" s="174" t="n">
        <v>0.9599999962374568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42"/>
  <sheetViews>
    <sheetView topLeftCell="A21" zoomScale="115" zoomScaleNormal="115" workbookViewId="0">
      <selection activeCell="E4" sqref="E4"/>
    </sheetView>
  </sheetViews>
  <sheetFormatPr baseColWidth="8" defaultRowHeight="14.4"/>
  <cols>
    <col width="21.109375" bestFit="1" customWidth="1" style="114" min="1" max="1"/>
    <col width="70" bestFit="1" customWidth="1" style="112" min="2" max="2"/>
    <col width="24.5546875" bestFit="1" customWidth="1" style="313" min="3" max="3"/>
    <col width="22.44140625" customWidth="1" style="313" min="4" max="7"/>
    <col width="19.44140625" bestFit="1" customWidth="1" style="296" min="8" max="8"/>
    <col width="15" bestFit="1" customWidth="1" style="112" min="9" max="9"/>
    <col width="12.88671875" bestFit="1" customWidth="1" style="112" min="10" max="10"/>
    <col width="11" bestFit="1" customWidth="1" style="112" min="11" max="11"/>
    <col width="9.109375" customWidth="1" style="112" min="12" max="12"/>
    <col width="11.33203125" bestFit="1" customWidth="1" style="112" min="13" max="15"/>
    <col width="9.109375" customWidth="1" style="112" min="16" max="256"/>
    <col width="21.109375" bestFit="1" customWidth="1" style="112" min="257" max="257"/>
    <col width="70" bestFit="1" customWidth="1" style="112" min="258" max="258"/>
    <col width="24.5546875" bestFit="1" customWidth="1" style="112" min="259" max="259"/>
    <col width="22.44140625" customWidth="1" style="112" min="260" max="263"/>
    <col width="19.44140625" bestFit="1" customWidth="1" style="112" min="264" max="264"/>
    <col width="15" bestFit="1" customWidth="1" style="112" min="265" max="265"/>
    <col width="12.88671875" bestFit="1" customWidth="1" style="112" min="266" max="266"/>
    <col width="9.109375" customWidth="1" style="112" min="267" max="512"/>
    <col width="21.109375" bestFit="1" customWidth="1" style="112" min="513" max="513"/>
    <col width="70" bestFit="1" customWidth="1" style="112" min="514" max="514"/>
    <col width="24.5546875" bestFit="1" customWidth="1" style="112" min="515" max="515"/>
    <col width="22.44140625" customWidth="1" style="112" min="516" max="519"/>
    <col width="19.44140625" bestFit="1" customWidth="1" style="112" min="520" max="520"/>
    <col width="15" bestFit="1" customWidth="1" style="112" min="521" max="521"/>
    <col width="12.88671875" bestFit="1" customWidth="1" style="112" min="522" max="522"/>
    <col width="9.109375" customWidth="1" style="112" min="523" max="768"/>
    <col width="21.109375" bestFit="1" customWidth="1" style="112" min="769" max="769"/>
    <col width="70" bestFit="1" customWidth="1" style="112" min="770" max="770"/>
    <col width="24.5546875" bestFit="1" customWidth="1" style="112" min="771" max="771"/>
    <col width="22.44140625" customWidth="1" style="112" min="772" max="775"/>
    <col width="19.44140625" bestFit="1" customWidth="1" style="112" min="776" max="776"/>
    <col width="15" bestFit="1" customWidth="1" style="112" min="777" max="777"/>
    <col width="12.88671875" bestFit="1" customWidth="1" style="112" min="778" max="778"/>
    <col width="9.109375" customWidth="1" style="112" min="779" max="1024"/>
    <col width="21.109375" bestFit="1" customWidth="1" style="112" min="1025" max="1025"/>
    <col width="70" bestFit="1" customWidth="1" style="112" min="1026" max="1026"/>
    <col width="24.5546875" bestFit="1" customWidth="1" style="112" min="1027" max="1027"/>
    <col width="22.44140625" customWidth="1" style="112" min="1028" max="1031"/>
    <col width="19.44140625" bestFit="1" customWidth="1" style="112" min="1032" max="1032"/>
    <col width="15" bestFit="1" customWidth="1" style="112" min="1033" max="1033"/>
    <col width="12.88671875" bestFit="1" customWidth="1" style="112" min="1034" max="1034"/>
    <col width="9.109375" customWidth="1" style="112" min="1035" max="1280"/>
    <col width="21.109375" bestFit="1" customWidth="1" style="112" min="1281" max="1281"/>
    <col width="70" bestFit="1" customWidth="1" style="112" min="1282" max="1282"/>
    <col width="24.5546875" bestFit="1" customWidth="1" style="112" min="1283" max="1283"/>
    <col width="22.44140625" customWidth="1" style="112" min="1284" max="1287"/>
    <col width="19.44140625" bestFit="1" customWidth="1" style="112" min="1288" max="1288"/>
    <col width="15" bestFit="1" customWidth="1" style="112" min="1289" max="1289"/>
    <col width="12.88671875" bestFit="1" customWidth="1" style="112" min="1290" max="1290"/>
    <col width="9.109375" customWidth="1" style="112" min="1291" max="1536"/>
    <col width="21.109375" bestFit="1" customWidth="1" style="112" min="1537" max="1537"/>
    <col width="70" bestFit="1" customWidth="1" style="112" min="1538" max="1538"/>
    <col width="24.5546875" bestFit="1" customWidth="1" style="112" min="1539" max="1539"/>
    <col width="22.44140625" customWidth="1" style="112" min="1540" max="1543"/>
    <col width="19.44140625" bestFit="1" customWidth="1" style="112" min="1544" max="1544"/>
    <col width="15" bestFit="1" customWidth="1" style="112" min="1545" max="1545"/>
    <col width="12.88671875" bestFit="1" customWidth="1" style="112" min="1546" max="1546"/>
    <col width="9.109375" customWidth="1" style="112" min="1547" max="1792"/>
    <col width="21.109375" bestFit="1" customWidth="1" style="112" min="1793" max="1793"/>
    <col width="70" bestFit="1" customWidth="1" style="112" min="1794" max="1794"/>
    <col width="24.5546875" bestFit="1" customWidth="1" style="112" min="1795" max="1795"/>
    <col width="22.44140625" customWidth="1" style="112" min="1796" max="1799"/>
    <col width="19.44140625" bestFit="1" customWidth="1" style="112" min="1800" max="1800"/>
    <col width="15" bestFit="1" customWidth="1" style="112" min="1801" max="1801"/>
    <col width="12.88671875" bestFit="1" customWidth="1" style="112" min="1802" max="1802"/>
    <col width="9.109375" customWidth="1" style="112" min="1803" max="2048"/>
    <col width="21.109375" bestFit="1" customWidth="1" style="112" min="2049" max="2049"/>
    <col width="70" bestFit="1" customWidth="1" style="112" min="2050" max="2050"/>
    <col width="24.5546875" bestFit="1" customWidth="1" style="112" min="2051" max="2051"/>
    <col width="22.44140625" customWidth="1" style="112" min="2052" max="2055"/>
    <col width="19.44140625" bestFit="1" customWidth="1" style="112" min="2056" max="2056"/>
    <col width="15" bestFit="1" customWidth="1" style="112" min="2057" max="2057"/>
    <col width="12.88671875" bestFit="1" customWidth="1" style="112" min="2058" max="2058"/>
    <col width="9.109375" customWidth="1" style="112" min="2059" max="2304"/>
    <col width="21.109375" bestFit="1" customWidth="1" style="112" min="2305" max="2305"/>
    <col width="70" bestFit="1" customWidth="1" style="112" min="2306" max="2306"/>
    <col width="24.5546875" bestFit="1" customWidth="1" style="112" min="2307" max="2307"/>
    <col width="22.44140625" customWidth="1" style="112" min="2308" max="2311"/>
    <col width="19.44140625" bestFit="1" customWidth="1" style="112" min="2312" max="2312"/>
    <col width="15" bestFit="1" customWidth="1" style="112" min="2313" max="2313"/>
    <col width="12.88671875" bestFit="1" customWidth="1" style="112" min="2314" max="2314"/>
    <col width="9.109375" customWidth="1" style="112" min="2315" max="2560"/>
    <col width="21.109375" bestFit="1" customWidth="1" style="112" min="2561" max="2561"/>
    <col width="70" bestFit="1" customWidth="1" style="112" min="2562" max="2562"/>
    <col width="24.5546875" bestFit="1" customWidth="1" style="112" min="2563" max="2563"/>
    <col width="22.44140625" customWidth="1" style="112" min="2564" max="2567"/>
    <col width="19.44140625" bestFit="1" customWidth="1" style="112" min="2568" max="2568"/>
    <col width="15" bestFit="1" customWidth="1" style="112" min="2569" max="2569"/>
    <col width="12.88671875" bestFit="1" customWidth="1" style="112" min="2570" max="2570"/>
    <col width="9.109375" customWidth="1" style="112" min="2571" max="2816"/>
    <col width="21.109375" bestFit="1" customWidth="1" style="112" min="2817" max="2817"/>
    <col width="70" bestFit="1" customWidth="1" style="112" min="2818" max="2818"/>
    <col width="24.5546875" bestFit="1" customWidth="1" style="112" min="2819" max="2819"/>
    <col width="22.44140625" customWidth="1" style="112" min="2820" max="2823"/>
    <col width="19.44140625" bestFit="1" customWidth="1" style="112" min="2824" max="2824"/>
    <col width="15" bestFit="1" customWidth="1" style="112" min="2825" max="2825"/>
    <col width="12.88671875" bestFit="1" customWidth="1" style="112" min="2826" max="2826"/>
    <col width="9.109375" customWidth="1" style="112" min="2827" max="3072"/>
    <col width="21.109375" bestFit="1" customWidth="1" style="112" min="3073" max="3073"/>
    <col width="70" bestFit="1" customWidth="1" style="112" min="3074" max="3074"/>
    <col width="24.5546875" bestFit="1" customWidth="1" style="112" min="3075" max="3075"/>
    <col width="22.44140625" customWidth="1" style="112" min="3076" max="3079"/>
    <col width="19.44140625" bestFit="1" customWidth="1" style="112" min="3080" max="3080"/>
    <col width="15" bestFit="1" customWidth="1" style="112" min="3081" max="3081"/>
    <col width="12.88671875" bestFit="1" customWidth="1" style="112" min="3082" max="3082"/>
    <col width="9.109375" customWidth="1" style="112" min="3083" max="3328"/>
    <col width="21.109375" bestFit="1" customWidth="1" style="112" min="3329" max="3329"/>
    <col width="70" bestFit="1" customWidth="1" style="112" min="3330" max="3330"/>
    <col width="24.5546875" bestFit="1" customWidth="1" style="112" min="3331" max="3331"/>
    <col width="22.44140625" customWidth="1" style="112" min="3332" max="3335"/>
    <col width="19.44140625" bestFit="1" customWidth="1" style="112" min="3336" max="3336"/>
    <col width="15" bestFit="1" customWidth="1" style="112" min="3337" max="3337"/>
    <col width="12.88671875" bestFit="1" customWidth="1" style="112" min="3338" max="3338"/>
    <col width="9.109375" customWidth="1" style="112" min="3339" max="3584"/>
    <col width="21.109375" bestFit="1" customWidth="1" style="112" min="3585" max="3585"/>
    <col width="70" bestFit="1" customWidth="1" style="112" min="3586" max="3586"/>
    <col width="24.5546875" bestFit="1" customWidth="1" style="112" min="3587" max="3587"/>
    <col width="22.44140625" customWidth="1" style="112" min="3588" max="3591"/>
    <col width="19.44140625" bestFit="1" customWidth="1" style="112" min="3592" max="3592"/>
    <col width="15" bestFit="1" customWidth="1" style="112" min="3593" max="3593"/>
    <col width="12.88671875" bestFit="1" customWidth="1" style="112" min="3594" max="3594"/>
    <col width="9.109375" customWidth="1" style="112" min="3595" max="3840"/>
    <col width="21.109375" bestFit="1" customWidth="1" style="112" min="3841" max="3841"/>
    <col width="70" bestFit="1" customWidth="1" style="112" min="3842" max="3842"/>
    <col width="24.5546875" bestFit="1" customWidth="1" style="112" min="3843" max="3843"/>
    <col width="22.44140625" customWidth="1" style="112" min="3844" max="3847"/>
    <col width="19.44140625" bestFit="1" customWidth="1" style="112" min="3848" max="3848"/>
    <col width="15" bestFit="1" customWidth="1" style="112" min="3849" max="3849"/>
    <col width="12.88671875" bestFit="1" customWidth="1" style="112" min="3850" max="3850"/>
    <col width="9.109375" customWidth="1" style="112" min="3851" max="4096"/>
    <col width="21.109375" bestFit="1" customWidth="1" style="112" min="4097" max="4097"/>
    <col width="70" bestFit="1" customWidth="1" style="112" min="4098" max="4098"/>
    <col width="24.5546875" bestFit="1" customWidth="1" style="112" min="4099" max="4099"/>
    <col width="22.44140625" customWidth="1" style="112" min="4100" max="4103"/>
    <col width="19.44140625" bestFit="1" customWidth="1" style="112" min="4104" max="4104"/>
    <col width="15" bestFit="1" customWidth="1" style="112" min="4105" max="4105"/>
    <col width="12.88671875" bestFit="1" customWidth="1" style="112" min="4106" max="4106"/>
    <col width="9.109375" customWidth="1" style="112" min="4107" max="4352"/>
    <col width="21.109375" bestFit="1" customWidth="1" style="112" min="4353" max="4353"/>
    <col width="70" bestFit="1" customWidth="1" style="112" min="4354" max="4354"/>
    <col width="24.5546875" bestFit="1" customWidth="1" style="112" min="4355" max="4355"/>
    <col width="22.44140625" customWidth="1" style="112" min="4356" max="4359"/>
    <col width="19.44140625" bestFit="1" customWidth="1" style="112" min="4360" max="4360"/>
    <col width="15" bestFit="1" customWidth="1" style="112" min="4361" max="4361"/>
    <col width="12.88671875" bestFit="1" customWidth="1" style="112" min="4362" max="4362"/>
    <col width="9.109375" customWidth="1" style="112" min="4363" max="4608"/>
    <col width="21.109375" bestFit="1" customWidth="1" style="112" min="4609" max="4609"/>
    <col width="70" bestFit="1" customWidth="1" style="112" min="4610" max="4610"/>
    <col width="24.5546875" bestFit="1" customWidth="1" style="112" min="4611" max="4611"/>
    <col width="22.44140625" customWidth="1" style="112" min="4612" max="4615"/>
    <col width="19.44140625" bestFit="1" customWidth="1" style="112" min="4616" max="4616"/>
    <col width="15" bestFit="1" customWidth="1" style="112" min="4617" max="4617"/>
    <col width="12.88671875" bestFit="1" customWidth="1" style="112" min="4618" max="4618"/>
    <col width="9.109375" customWidth="1" style="112" min="4619" max="4864"/>
    <col width="21.109375" bestFit="1" customWidth="1" style="112" min="4865" max="4865"/>
    <col width="70" bestFit="1" customWidth="1" style="112" min="4866" max="4866"/>
    <col width="24.5546875" bestFit="1" customWidth="1" style="112" min="4867" max="4867"/>
    <col width="22.44140625" customWidth="1" style="112" min="4868" max="4871"/>
    <col width="19.44140625" bestFit="1" customWidth="1" style="112" min="4872" max="4872"/>
    <col width="15" bestFit="1" customWidth="1" style="112" min="4873" max="4873"/>
    <col width="12.88671875" bestFit="1" customWidth="1" style="112" min="4874" max="4874"/>
    <col width="9.109375" customWidth="1" style="112" min="4875" max="5120"/>
    <col width="21.109375" bestFit="1" customWidth="1" style="112" min="5121" max="5121"/>
    <col width="70" bestFit="1" customWidth="1" style="112" min="5122" max="5122"/>
    <col width="24.5546875" bestFit="1" customWidth="1" style="112" min="5123" max="5123"/>
    <col width="22.44140625" customWidth="1" style="112" min="5124" max="5127"/>
    <col width="19.44140625" bestFit="1" customWidth="1" style="112" min="5128" max="5128"/>
    <col width="15" bestFit="1" customWidth="1" style="112" min="5129" max="5129"/>
    <col width="12.88671875" bestFit="1" customWidth="1" style="112" min="5130" max="5130"/>
    <col width="9.109375" customWidth="1" style="112" min="5131" max="5376"/>
    <col width="21.109375" bestFit="1" customWidth="1" style="112" min="5377" max="5377"/>
    <col width="70" bestFit="1" customWidth="1" style="112" min="5378" max="5378"/>
    <col width="24.5546875" bestFit="1" customWidth="1" style="112" min="5379" max="5379"/>
    <col width="22.44140625" customWidth="1" style="112" min="5380" max="5383"/>
    <col width="19.44140625" bestFit="1" customWidth="1" style="112" min="5384" max="5384"/>
    <col width="15" bestFit="1" customWidth="1" style="112" min="5385" max="5385"/>
    <col width="12.88671875" bestFit="1" customWidth="1" style="112" min="5386" max="5386"/>
    <col width="9.109375" customWidth="1" style="112" min="5387" max="5632"/>
    <col width="21.109375" bestFit="1" customWidth="1" style="112" min="5633" max="5633"/>
    <col width="70" bestFit="1" customWidth="1" style="112" min="5634" max="5634"/>
    <col width="24.5546875" bestFit="1" customWidth="1" style="112" min="5635" max="5635"/>
    <col width="22.44140625" customWidth="1" style="112" min="5636" max="5639"/>
    <col width="19.44140625" bestFit="1" customWidth="1" style="112" min="5640" max="5640"/>
    <col width="15" bestFit="1" customWidth="1" style="112" min="5641" max="5641"/>
    <col width="12.88671875" bestFit="1" customWidth="1" style="112" min="5642" max="5642"/>
    <col width="9.109375" customWidth="1" style="112" min="5643" max="5888"/>
    <col width="21.109375" bestFit="1" customWidth="1" style="112" min="5889" max="5889"/>
    <col width="70" bestFit="1" customWidth="1" style="112" min="5890" max="5890"/>
    <col width="24.5546875" bestFit="1" customWidth="1" style="112" min="5891" max="5891"/>
    <col width="22.44140625" customWidth="1" style="112" min="5892" max="5895"/>
    <col width="19.44140625" bestFit="1" customWidth="1" style="112" min="5896" max="5896"/>
    <col width="15" bestFit="1" customWidth="1" style="112" min="5897" max="5897"/>
    <col width="12.88671875" bestFit="1" customWidth="1" style="112" min="5898" max="5898"/>
    <col width="9.109375" customWidth="1" style="112" min="5899" max="6144"/>
    <col width="21.109375" bestFit="1" customWidth="1" style="112" min="6145" max="6145"/>
    <col width="70" bestFit="1" customWidth="1" style="112" min="6146" max="6146"/>
    <col width="24.5546875" bestFit="1" customWidth="1" style="112" min="6147" max="6147"/>
    <col width="22.44140625" customWidth="1" style="112" min="6148" max="6151"/>
    <col width="19.44140625" bestFit="1" customWidth="1" style="112" min="6152" max="6152"/>
    <col width="15" bestFit="1" customWidth="1" style="112" min="6153" max="6153"/>
    <col width="12.88671875" bestFit="1" customWidth="1" style="112" min="6154" max="6154"/>
    <col width="9.109375" customWidth="1" style="112" min="6155" max="6400"/>
    <col width="21.109375" bestFit="1" customWidth="1" style="112" min="6401" max="6401"/>
    <col width="70" bestFit="1" customWidth="1" style="112" min="6402" max="6402"/>
    <col width="24.5546875" bestFit="1" customWidth="1" style="112" min="6403" max="6403"/>
    <col width="22.44140625" customWidth="1" style="112" min="6404" max="6407"/>
    <col width="19.44140625" bestFit="1" customWidth="1" style="112" min="6408" max="6408"/>
    <col width="15" bestFit="1" customWidth="1" style="112" min="6409" max="6409"/>
    <col width="12.88671875" bestFit="1" customWidth="1" style="112" min="6410" max="6410"/>
    <col width="9.109375" customWidth="1" style="112" min="6411" max="6656"/>
    <col width="21.109375" bestFit="1" customWidth="1" style="112" min="6657" max="6657"/>
    <col width="70" bestFit="1" customWidth="1" style="112" min="6658" max="6658"/>
    <col width="24.5546875" bestFit="1" customWidth="1" style="112" min="6659" max="6659"/>
    <col width="22.44140625" customWidth="1" style="112" min="6660" max="6663"/>
    <col width="19.44140625" bestFit="1" customWidth="1" style="112" min="6664" max="6664"/>
    <col width="15" bestFit="1" customWidth="1" style="112" min="6665" max="6665"/>
    <col width="12.88671875" bestFit="1" customWidth="1" style="112" min="6666" max="6666"/>
    <col width="9.109375" customWidth="1" style="112" min="6667" max="6912"/>
    <col width="21.109375" bestFit="1" customWidth="1" style="112" min="6913" max="6913"/>
    <col width="70" bestFit="1" customWidth="1" style="112" min="6914" max="6914"/>
    <col width="24.5546875" bestFit="1" customWidth="1" style="112" min="6915" max="6915"/>
    <col width="22.44140625" customWidth="1" style="112" min="6916" max="6919"/>
    <col width="19.44140625" bestFit="1" customWidth="1" style="112" min="6920" max="6920"/>
    <col width="15" bestFit="1" customWidth="1" style="112" min="6921" max="6921"/>
    <col width="12.88671875" bestFit="1" customWidth="1" style="112" min="6922" max="6922"/>
    <col width="9.109375" customWidth="1" style="112" min="6923" max="7168"/>
    <col width="21.109375" bestFit="1" customWidth="1" style="112" min="7169" max="7169"/>
    <col width="70" bestFit="1" customWidth="1" style="112" min="7170" max="7170"/>
    <col width="24.5546875" bestFit="1" customWidth="1" style="112" min="7171" max="7171"/>
    <col width="22.44140625" customWidth="1" style="112" min="7172" max="7175"/>
    <col width="19.44140625" bestFit="1" customWidth="1" style="112" min="7176" max="7176"/>
    <col width="15" bestFit="1" customWidth="1" style="112" min="7177" max="7177"/>
    <col width="12.88671875" bestFit="1" customWidth="1" style="112" min="7178" max="7178"/>
    <col width="9.109375" customWidth="1" style="112" min="7179" max="7424"/>
    <col width="21.109375" bestFit="1" customWidth="1" style="112" min="7425" max="7425"/>
    <col width="70" bestFit="1" customWidth="1" style="112" min="7426" max="7426"/>
    <col width="24.5546875" bestFit="1" customWidth="1" style="112" min="7427" max="7427"/>
    <col width="22.44140625" customWidth="1" style="112" min="7428" max="7431"/>
    <col width="19.44140625" bestFit="1" customWidth="1" style="112" min="7432" max="7432"/>
    <col width="15" bestFit="1" customWidth="1" style="112" min="7433" max="7433"/>
    <col width="12.88671875" bestFit="1" customWidth="1" style="112" min="7434" max="7434"/>
    <col width="9.109375" customWidth="1" style="112" min="7435" max="7680"/>
    <col width="21.109375" bestFit="1" customWidth="1" style="112" min="7681" max="7681"/>
    <col width="70" bestFit="1" customWidth="1" style="112" min="7682" max="7682"/>
    <col width="24.5546875" bestFit="1" customWidth="1" style="112" min="7683" max="7683"/>
    <col width="22.44140625" customWidth="1" style="112" min="7684" max="7687"/>
    <col width="19.44140625" bestFit="1" customWidth="1" style="112" min="7688" max="7688"/>
    <col width="15" bestFit="1" customWidth="1" style="112" min="7689" max="7689"/>
    <col width="12.88671875" bestFit="1" customWidth="1" style="112" min="7690" max="7690"/>
    <col width="9.109375" customWidth="1" style="112" min="7691" max="7936"/>
    <col width="21.109375" bestFit="1" customWidth="1" style="112" min="7937" max="7937"/>
    <col width="70" bestFit="1" customWidth="1" style="112" min="7938" max="7938"/>
    <col width="24.5546875" bestFit="1" customWidth="1" style="112" min="7939" max="7939"/>
    <col width="22.44140625" customWidth="1" style="112" min="7940" max="7943"/>
    <col width="19.44140625" bestFit="1" customWidth="1" style="112" min="7944" max="7944"/>
    <col width="15" bestFit="1" customWidth="1" style="112" min="7945" max="7945"/>
    <col width="12.88671875" bestFit="1" customWidth="1" style="112" min="7946" max="7946"/>
    <col width="9.109375" customWidth="1" style="112" min="7947" max="8192"/>
    <col width="21.109375" bestFit="1" customWidth="1" style="112" min="8193" max="8193"/>
    <col width="70" bestFit="1" customWidth="1" style="112" min="8194" max="8194"/>
    <col width="24.5546875" bestFit="1" customWidth="1" style="112" min="8195" max="8195"/>
    <col width="22.44140625" customWidth="1" style="112" min="8196" max="8199"/>
    <col width="19.44140625" bestFit="1" customWidth="1" style="112" min="8200" max="8200"/>
    <col width="15" bestFit="1" customWidth="1" style="112" min="8201" max="8201"/>
    <col width="12.88671875" bestFit="1" customWidth="1" style="112" min="8202" max="8202"/>
    <col width="9.109375" customWidth="1" style="112" min="8203" max="8448"/>
    <col width="21.109375" bestFit="1" customWidth="1" style="112" min="8449" max="8449"/>
    <col width="70" bestFit="1" customWidth="1" style="112" min="8450" max="8450"/>
    <col width="24.5546875" bestFit="1" customWidth="1" style="112" min="8451" max="8451"/>
    <col width="22.44140625" customWidth="1" style="112" min="8452" max="8455"/>
    <col width="19.44140625" bestFit="1" customWidth="1" style="112" min="8456" max="8456"/>
    <col width="15" bestFit="1" customWidth="1" style="112" min="8457" max="8457"/>
    <col width="12.88671875" bestFit="1" customWidth="1" style="112" min="8458" max="8458"/>
    <col width="9.109375" customWidth="1" style="112" min="8459" max="8704"/>
    <col width="21.109375" bestFit="1" customWidth="1" style="112" min="8705" max="8705"/>
    <col width="70" bestFit="1" customWidth="1" style="112" min="8706" max="8706"/>
    <col width="24.5546875" bestFit="1" customWidth="1" style="112" min="8707" max="8707"/>
    <col width="22.44140625" customWidth="1" style="112" min="8708" max="8711"/>
    <col width="19.44140625" bestFit="1" customWidth="1" style="112" min="8712" max="8712"/>
    <col width="15" bestFit="1" customWidth="1" style="112" min="8713" max="8713"/>
    <col width="12.88671875" bestFit="1" customWidth="1" style="112" min="8714" max="8714"/>
    <col width="9.109375" customWidth="1" style="112" min="8715" max="8960"/>
    <col width="21.109375" bestFit="1" customWidth="1" style="112" min="8961" max="8961"/>
    <col width="70" bestFit="1" customWidth="1" style="112" min="8962" max="8962"/>
    <col width="24.5546875" bestFit="1" customWidth="1" style="112" min="8963" max="8963"/>
    <col width="22.44140625" customWidth="1" style="112" min="8964" max="8967"/>
    <col width="19.44140625" bestFit="1" customWidth="1" style="112" min="8968" max="8968"/>
    <col width="15" bestFit="1" customWidth="1" style="112" min="8969" max="8969"/>
    <col width="12.88671875" bestFit="1" customWidth="1" style="112" min="8970" max="8970"/>
    <col width="9.109375" customWidth="1" style="112" min="8971" max="9216"/>
    <col width="21.109375" bestFit="1" customWidth="1" style="112" min="9217" max="9217"/>
    <col width="70" bestFit="1" customWidth="1" style="112" min="9218" max="9218"/>
    <col width="24.5546875" bestFit="1" customWidth="1" style="112" min="9219" max="9219"/>
    <col width="22.44140625" customWidth="1" style="112" min="9220" max="9223"/>
    <col width="19.44140625" bestFit="1" customWidth="1" style="112" min="9224" max="9224"/>
    <col width="15" bestFit="1" customWidth="1" style="112" min="9225" max="9225"/>
    <col width="12.88671875" bestFit="1" customWidth="1" style="112" min="9226" max="9226"/>
    <col width="9.109375" customWidth="1" style="112" min="9227" max="9472"/>
    <col width="21.109375" bestFit="1" customWidth="1" style="112" min="9473" max="9473"/>
    <col width="70" bestFit="1" customWidth="1" style="112" min="9474" max="9474"/>
    <col width="24.5546875" bestFit="1" customWidth="1" style="112" min="9475" max="9475"/>
    <col width="22.44140625" customWidth="1" style="112" min="9476" max="9479"/>
    <col width="19.44140625" bestFit="1" customWidth="1" style="112" min="9480" max="9480"/>
    <col width="15" bestFit="1" customWidth="1" style="112" min="9481" max="9481"/>
    <col width="12.88671875" bestFit="1" customWidth="1" style="112" min="9482" max="9482"/>
    <col width="9.109375" customWidth="1" style="112" min="9483" max="9728"/>
    <col width="21.109375" bestFit="1" customWidth="1" style="112" min="9729" max="9729"/>
    <col width="70" bestFit="1" customWidth="1" style="112" min="9730" max="9730"/>
    <col width="24.5546875" bestFit="1" customWidth="1" style="112" min="9731" max="9731"/>
    <col width="22.44140625" customWidth="1" style="112" min="9732" max="9735"/>
    <col width="19.44140625" bestFit="1" customWidth="1" style="112" min="9736" max="9736"/>
    <col width="15" bestFit="1" customWidth="1" style="112" min="9737" max="9737"/>
    <col width="12.88671875" bestFit="1" customWidth="1" style="112" min="9738" max="9738"/>
    <col width="9.109375" customWidth="1" style="112" min="9739" max="9984"/>
    <col width="21.109375" bestFit="1" customWidth="1" style="112" min="9985" max="9985"/>
    <col width="70" bestFit="1" customWidth="1" style="112" min="9986" max="9986"/>
    <col width="24.5546875" bestFit="1" customWidth="1" style="112" min="9987" max="9987"/>
    <col width="22.44140625" customWidth="1" style="112" min="9988" max="9991"/>
    <col width="19.44140625" bestFit="1" customWidth="1" style="112" min="9992" max="9992"/>
    <col width="15" bestFit="1" customWidth="1" style="112" min="9993" max="9993"/>
    <col width="12.88671875" bestFit="1" customWidth="1" style="112" min="9994" max="9994"/>
    <col width="9.109375" customWidth="1" style="112" min="9995" max="10240"/>
    <col width="21.109375" bestFit="1" customWidth="1" style="112" min="10241" max="10241"/>
    <col width="70" bestFit="1" customWidth="1" style="112" min="10242" max="10242"/>
    <col width="24.5546875" bestFit="1" customWidth="1" style="112" min="10243" max="10243"/>
    <col width="22.44140625" customWidth="1" style="112" min="10244" max="10247"/>
    <col width="19.44140625" bestFit="1" customWidth="1" style="112" min="10248" max="10248"/>
    <col width="15" bestFit="1" customWidth="1" style="112" min="10249" max="10249"/>
    <col width="12.88671875" bestFit="1" customWidth="1" style="112" min="10250" max="10250"/>
    <col width="9.109375" customWidth="1" style="112" min="10251" max="10496"/>
    <col width="21.109375" bestFit="1" customWidth="1" style="112" min="10497" max="10497"/>
    <col width="70" bestFit="1" customWidth="1" style="112" min="10498" max="10498"/>
    <col width="24.5546875" bestFit="1" customWidth="1" style="112" min="10499" max="10499"/>
    <col width="22.44140625" customWidth="1" style="112" min="10500" max="10503"/>
    <col width="19.44140625" bestFit="1" customWidth="1" style="112" min="10504" max="10504"/>
    <col width="15" bestFit="1" customWidth="1" style="112" min="10505" max="10505"/>
    <col width="12.88671875" bestFit="1" customWidth="1" style="112" min="10506" max="10506"/>
    <col width="9.109375" customWidth="1" style="112" min="10507" max="10752"/>
    <col width="21.109375" bestFit="1" customWidth="1" style="112" min="10753" max="10753"/>
    <col width="70" bestFit="1" customWidth="1" style="112" min="10754" max="10754"/>
    <col width="24.5546875" bestFit="1" customWidth="1" style="112" min="10755" max="10755"/>
    <col width="22.44140625" customWidth="1" style="112" min="10756" max="10759"/>
    <col width="19.44140625" bestFit="1" customWidth="1" style="112" min="10760" max="10760"/>
    <col width="15" bestFit="1" customWidth="1" style="112" min="10761" max="10761"/>
    <col width="12.88671875" bestFit="1" customWidth="1" style="112" min="10762" max="10762"/>
    <col width="9.109375" customWidth="1" style="112" min="10763" max="11008"/>
    <col width="21.109375" bestFit="1" customWidth="1" style="112" min="11009" max="11009"/>
    <col width="70" bestFit="1" customWidth="1" style="112" min="11010" max="11010"/>
    <col width="24.5546875" bestFit="1" customWidth="1" style="112" min="11011" max="11011"/>
    <col width="22.44140625" customWidth="1" style="112" min="11012" max="11015"/>
    <col width="19.44140625" bestFit="1" customWidth="1" style="112" min="11016" max="11016"/>
    <col width="15" bestFit="1" customWidth="1" style="112" min="11017" max="11017"/>
    <col width="12.88671875" bestFit="1" customWidth="1" style="112" min="11018" max="11018"/>
    <col width="9.109375" customWidth="1" style="112" min="11019" max="11264"/>
    <col width="21.109375" bestFit="1" customWidth="1" style="112" min="11265" max="11265"/>
    <col width="70" bestFit="1" customWidth="1" style="112" min="11266" max="11266"/>
    <col width="24.5546875" bestFit="1" customWidth="1" style="112" min="11267" max="11267"/>
    <col width="22.44140625" customWidth="1" style="112" min="11268" max="11271"/>
    <col width="19.44140625" bestFit="1" customWidth="1" style="112" min="11272" max="11272"/>
    <col width="15" bestFit="1" customWidth="1" style="112" min="11273" max="11273"/>
    <col width="12.88671875" bestFit="1" customWidth="1" style="112" min="11274" max="11274"/>
    <col width="9.109375" customWidth="1" style="112" min="11275" max="11520"/>
    <col width="21.109375" bestFit="1" customWidth="1" style="112" min="11521" max="11521"/>
    <col width="70" bestFit="1" customWidth="1" style="112" min="11522" max="11522"/>
    <col width="24.5546875" bestFit="1" customWidth="1" style="112" min="11523" max="11523"/>
    <col width="22.44140625" customWidth="1" style="112" min="11524" max="11527"/>
    <col width="19.44140625" bestFit="1" customWidth="1" style="112" min="11528" max="11528"/>
    <col width="15" bestFit="1" customWidth="1" style="112" min="11529" max="11529"/>
    <col width="12.88671875" bestFit="1" customWidth="1" style="112" min="11530" max="11530"/>
    <col width="9.109375" customWidth="1" style="112" min="11531" max="11776"/>
    <col width="21.109375" bestFit="1" customWidth="1" style="112" min="11777" max="11777"/>
    <col width="70" bestFit="1" customWidth="1" style="112" min="11778" max="11778"/>
    <col width="24.5546875" bestFit="1" customWidth="1" style="112" min="11779" max="11779"/>
    <col width="22.44140625" customWidth="1" style="112" min="11780" max="11783"/>
    <col width="19.44140625" bestFit="1" customWidth="1" style="112" min="11784" max="11784"/>
    <col width="15" bestFit="1" customWidth="1" style="112" min="11785" max="11785"/>
    <col width="12.88671875" bestFit="1" customWidth="1" style="112" min="11786" max="11786"/>
    <col width="9.109375" customWidth="1" style="112" min="11787" max="12032"/>
    <col width="21.109375" bestFit="1" customWidth="1" style="112" min="12033" max="12033"/>
    <col width="70" bestFit="1" customWidth="1" style="112" min="12034" max="12034"/>
    <col width="24.5546875" bestFit="1" customWidth="1" style="112" min="12035" max="12035"/>
    <col width="22.44140625" customWidth="1" style="112" min="12036" max="12039"/>
    <col width="19.44140625" bestFit="1" customWidth="1" style="112" min="12040" max="12040"/>
    <col width="15" bestFit="1" customWidth="1" style="112" min="12041" max="12041"/>
    <col width="12.88671875" bestFit="1" customWidth="1" style="112" min="12042" max="12042"/>
    <col width="9.109375" customWidth="1" style="112" min="12043" max="12288"/>
    <col width="21.109375" bestFit="1" customWidth="1" style="112" min="12289" max="12289"/>
    <col width="70" bestFit="1" customWidth="1" style="112" min="12290" max="12290"/>
    <col width="24.5546875" bestFit="1" customWidth="1" style="112" min="12291" max="12291"/>
    <col width="22.44140625" customWidth="1" style="112" min="12292" max="12295"/>
    <col width="19.44140625" bestFit="1" customWidth="1" style="112" min="12296" max="12296"/>
    <col width="15" bestFit="1" customWidth="1" style="112" min="12297" max="12297"/>
    <col width="12.88671875" bestFit="1" customWidth="1" style="112" min="12298" max="12298"/>
    <col width="9.109375" customWidth="1" style="112" min="12299" max="12544"/>
    <col width="21.109375" bestFit="1" customWidth="1" style="112" min="12545" max="12545"/>
    <col width="70" bestFit="1" customWidth="1" style="112" min="12546" max="12546"/>
    <col width="24.5546875" bestFit="1" customWidth="1" style="112" min="12547" max="12547"/>
    <col width="22.44140625" customWidth="1" style="112" min="12548" max="12551"/>
    <col width="19.44140625" bestFit="1" customWidth="1" style="112" min="12552" max="12552"/>
    <col width="15" bestFit="1" customWidth="1" style="112" min="12553" max="12553"/>
    <col width="12.88671875" bestFit="1" customWidth="1" style="112" min="12554" max="12554"/>
    <col width="9.109375" customWidth="1" style="112" min="12555" max="12800"/>
    <col width="21.109375" bestFit="1" customWidth="1" style="112" min="12801" max="12801"/>
    <col width="70" bestFit="1" customWidth="1" style="112" min="12802" max="12802"/>
    <col width="24.5546875" bestFit="1" customWidth="1" style="112" min="12803" max="12803"/>
    <col width="22.44140625" customWidth="1" style="112" min="12804" max="12807"/>
    <col width="19.44140625" bestFit="1" customWidth="1" style="112" min="12808" max="12808"/>
    <col width="15" bestFit="1" customWidth="1" style="112" min="12809" max="12809"/>
    <col width="12.88671875" bestFit="1" customWidth="1" style="112" min="12810" max="12810"/>
    <col width="9.109375" customWidth="1" style="112" min="12811" max="13056"/>
    <col width="21.109375" bestFit="1" customWidth="1" style="112" min="13057" max="13057"/>
    <col width="70" bestFit="1" customWidth="1" style="112" min="13058" max="13058"/>
    <col width="24.5546875" bestFit="1" customWidth="1" style="112" min="13059" max="13059"/>
    <col width="22.44140625" customWidth="1" style="112" min="13060" max="13063"/>
    <col width="19.44140625" bestFit="1" customWidth="1" style="112" min="13064" max="13064"/>
    <col width="15" bestFit="1" customWidth="1" style="112" min="13065" max="13065"/>
    <col width="12.88671875" bestFit="1" customWidth="1" style="112" min="13066" max="13066"/>
    <col width="9.109375" customWidth="1" style="112" min="13067" max="13312"/>
    <col width="21.109375" bestFit="1" customWidth="1" style="112" min="13313" max="13313"/>
    <col width="70" bestFit="1" customWidth="1" style="112" min="13314" max="13314"/>
    <col width="24.5546875" bestFit="1" customWidth="1" style="112" min="13315" max="13315"/>
    <col width="22.44140625" customWidth="1" style="112" min="13316" max="13319"/>
    <col width="19.44140625" bestFit="1" customWidth="1" style="112" min="13320" max="13320"/>
    <col width="15" bestFit="1" customWidth="1" style="112" min="13321" max="13321"/>
    <col width="12.88671875" bestFit="1" customWidth="1" style="112" min="13322" max="13322"/>
    <col width="9.109375" customWidth="1" style="112" min="13323" max="13568"/>
    <col width="21.109375" bestFit="1" customWidth="1" style="112" min="13569" max="13569"/>
    <col width="70" bestFit="1" customWidth="1" style="112" min="13570" max="13570"/>
    <col width="24.5546875" bestFit="1" customWidth="1" style="112" min="13571" max="13571"/>
    <col width="22.44140625" customWidth="1" style="112" min="13572" max="13575"/>
    <col width="19.44140625" bestFit="1" customWidth="1" style="112" min="13576" max="13576"/>
    <col width="15" bestFit="1" customWidth="1" style="112" min="13577" max="13577"/>
    <col width="12.88671875" bestFit="1" customWidth="1" style="112" min="13578" max="13578"/>
    <col width="9.109375" customWidth="1" style="112" min="13579" max="13824"/>
    <col width="21.109375" bestFit="1" customWidth="1" style="112" min="13825" max="13825"/>
    <col width="70" bestFit="1" customWidth="1" style="112" min="13826" max="13826"/>
    <col width="24.5546875" bestFit="1" customWidth="1" style="112" min="13827" max="13827"/>
    <col width="22.44140625" customWidth="1" style="112" min="13828" max="13831"/>
    <col width="19.44140625" bestFit="1" customWidth="1" style="112" min="13832" max="13832"/>
    <col width="15" bestFit="1" customWidth="1" style="112" min="13833" max="13833"/>
    <col width="12.88671875" bestFit="1" customWidth="1" style="112" min="13834" max="13834"/>
    <col width="9.109375" customWidth="1" style="112" min="13835" max="14080"/>
    <col width="21.109375" bestFit="1" customWidth="1" style="112" min="14081" max="14081"/>
    <col width="70" bestFit="1" customWidth="1" style="112" min="14082" max="14082"/>
    <col width="24.5546875" bestFit="1" customWidth="1" style="112" min="14083" max="14083"/>
    <col width="22.44140625" customWidth="1" style="112" min="14084" max="14087"/>
    <col width="19.44140625" bestFit="1" customWidth="1" style="112" min="14088" max="14088"/>
    <col width="15" bestFit="1" customWidth="1" style="112" min="14089" max="14089"/>
    <col width="12.88671875" bestFit="1" customWidth="1" style="112" min="14090" max="14090"/>
    <col width="9.109375" customWidth="1" style="112" min="14091" max="14336"/>
    <col width="21.109375" bestFit="1" customWidth="1" style="112" min="14337" max="14337"/>
    <col width="70" bestFit="1" customWidth="1" style="112" min="14338" max="14338"/>
    <col width="24.5546875" bestFit="1" customWidth="1" style="112" min="14339" max="14339"/>
    <col width="22.44140625" customWidth="1" style="112" min="14340" max="14343"/>
    <col width="19.44140625" bestFit="1" customWidth="1" style="112" min="14344" max="14344"/>
    <col width="15" bestFit="1" customWidth="1" style="112" min="14345" max="14345"/>
    <col width="12.88671875" bestFit="1" customWidth="1" style="112" min="14346" max="14346"/>
    <col width="9.109375" customWidth="1" style="112" min="14347" max="14592"/>
    <col width="21.109375" bestFit="1" customWidth="1" style="112" min="14593" max="14593"/>
    <col width="70" bestFit="1" customWidth="1" style="112" min="14594" max="14594"/>
    <col width="24.5546875" bestFit="1" customWidth="1" style="112" min="14595" max="14595"/>
    <col width="22.44140625" customWidth="1" style="112" min="14596" max="14599"/>
    <col width="19.44140625" bestFit="1" customWidth="1" style="112" min="14600" max="14600"/>
    <col width="15" bestFit="1" customWidth="1" style="112" min="14601" max="14601"/>
    <col width="12.88671875" bestFit="1" customWidth="1" style="112" min="14602" max="14602"/>
    <col width="9.109375" customWidth="1" style="112" min="14603" max="14848"/>
    <col width="21.109375" bestFit="1" customWidth="1" style="112" min="14849" max="14849"/>
    <col width="70" bestFit="1" customWidth="1" style="112" min="14850" max="14850"/>
    <col width="24.5546875" bestFit="1" customWidth="1" style="112" min="14851" max="14851"/>
    <col width="22.44140625" customWidth="1" style="112" min="14852" max="14855"/>
    <col width="19.44140625" bestFit="1" customWidth="1" style="112" min="14856" max="14856"/>
    <col width="15" bestFit="1" customWidth="1" style="112" min="14857" max="14857"/>
    <col width="12.88671875" bestFit="1" customWidth="1" style="112" min="14858" max="14858"/>
    <col width="9.109375" customWidth="1" style="112" min="14859" max="15104"/>
    <col width="21.109375" bestFit="1" customWidth="1" style="112" min="15105" max="15105"/>
    <col width="70" bestFit="1" customWidth="1" style="112" min="15106" max="15106"/>
    <col width="24.5546875" bestFit="1" customWidth="1" style="112" min="15107" max="15107"/>
    <col width="22.44140625" customWidth="1" style="112" min="15108" max="15111"/>
    <col width="19.44140625" bestFit="1" customWidth="1" style="112" min="15112" max="15112"/>
    <col width="15" bestFit="1" customWidth="1" style="112" min="15113" max="15113"/>
    <col width="12.88671875" bestFit="1" customWidth="1" style="112" min="15114" max="15114"/>
    <col width="9.109375" customWidth="1" style="112" min="15115" max="15360"/>
    <col width="21.109375" bestFit="1" customWidth="1" style="112" min="15361" max="15361"/>
    <col width="70" bestFit="1" customWidth="1" style="112" min="15362" max="15362"/>
    <col width="24.5546875" bestFit="1" customWidth="1" style="112" min="15363" max="15363"/>
    <col width="22.44140625" customWidth="1" style="112" min="15364" max="15367"/>
    <col width="19.44140625" bestFit="1" customWidth="1" style="112" min="15368" max="15368"/>
    <col width="15" bestFit="1" customWidth="1" style="112" min="15369" max="15369"/>
    <col width="12.88671875" bestFit="1" customWidth="1" style="112" min="15370" max="15370"/>
    <col width="9.109375" customWidth="1" style="112" min="15371" max="15616"/>
    <col width="21.109375" bestFit="1" customWidth="1" style="112" min="15617" max="15617"/>
    <col width="70" bestFit="1" customWidth="1" style="112" min="15618" max="15618"/>
    <col width="24.5546875" bestFit="1" customWidth="1" style="112" min="15619" max="15619"/>
    <col width="22.44140625" customWidth="1" style="112" min="15620" max="15623"/>
    <col width="19.44140625" bestFit="1" customWidth="1" style="112" min="15624" max="15624"/>
    <col width="15" bestFit="1" customWidth="1" style="112" min="15625" max="15625"/>
    <col width="12.88671875" bestFit="1" customWidth="1" style="112" min="15626" max="15626"/>
    <col width="9.109375" customWidth="1" style="112" min="15627" max="15872"/>
    <col width="21.109375" bestFit="1" customWidth="1" style="112" min="15873" max="15873"/>
    <col width="70" bestFit="1" customWidth="1" style="112" min="15874" max="15874"/>
    <col width="24.5546875" bestFit="1" customWidth="1" style="112" min="15875" max="15875"/>
    <col width="22.44140625" customWidth="1" style="112" min="15876" max="15879"/>
    <col width="19.44140625" bestFit="1" customWidth="1" style="112" min="15880" max="15880"/>
    <col width="15" bestFit="1" customWidth="1" style="112" min="15881" max="15881"/>
    <col width="12.88671875" bestFit="1" customWidth="1" style="112" min="15882" max="15882"/>
    <col width="9.109375" customWidth="1" style="112" min="15883" max="16128"/>
    <col width="21.109375" bestFit="1" customWidth="1" style="112" min="16129" max="16129"/>
    <col width="70" bestFit="1" customWidth="1" style="112" min="16130" max="16130"/>
    <col width="24.5546875" bestFit="1" customWidth="1" style="112" min="16131" max="16131"/>
    <col width="22.44140625" customWidth="1" style="112" min="16132" max="16135"/>
    <col width="19.44140625" bestFit="1" customWidth="1" style="112" min="16136" max="16136"/>
    <col width="15" bestFit="1" customWidth="1" style="112" min="16137" max="16137"/>
    <col width="12.88671875" bestFit="1" customWidth="1" style="112" min="16138" max="16138"/>
    <col width="9.109375" customWidth="1" style="112" min="16139" max="16384"/>
  </cols>
  <sheetData>
    <row r="1" ht="12.75" customHeight="1">
      <c r="C1" s="314" t="inlineStr">
        <is>
          <t>Eindbalans per 30-06-2021</t>
        </is>
      </c>
      <c r="D1" s="314" t="inlineStr">
        <is>
          <t>Mutaties Q3 2021</t>
        </is>
      </c>
      <c r="E1" s="314" t="inlineStr">
        <is>
          <t>Mutaties Q4 2021</t>
        </is>
      </c>
      <c r="F1" s="314" t="inlineStr">
        <is>
          <t>Mutaties Q1 2022</t>
        </is>
      </c>
      <c r="G1" s="314" t="inlineStr">
        <is>
          <t>Mutaties Q2 2022</t>
        </is>
      </c>
      <c r="H1" s="296" t="inlineStr">
        <is>
          <t>Saldi per 30-06-2022</t>
        </is>
      </c>
    </row>
    <row r="2" ht="12.75" customHeight="1"/>
    <row r="3" ht="12.75" customHeight="1">
      <c r="A3" s="113" t="inlineStr">
        <is>
          <t>Balans</t>
        </is>
      </c>
    </row>
    <row r="4" ht="12.75" customHeight="1">
      <c r="A4" s="114" t="n">
        <v>1600000</v>
      </c>
      <c r="B4" s="112" t="inlineStr">
        <is>
          <t>VG Vastgoedbeleggingen Verkrijgings- of vervaardigingsprijs</t>
        </is>
      </c>
      <c r="C4" s="313" t="n">
        <v>125915209.45</v>
      </c>
      <c r="E4" s="321" t="n">
        <v>496000</v>
      </c>
      <c r="F4" s="332" t="n"/>
      <c r="H4" s="296">
        <f>SUM(C4:G4)</f>
        <v/>
      </c>
      <c r="I4" s="338" t="n"/>
      <c r="L4" s="174" t="n">
        <v>230282.95</v>
      </c>
      <c r="M4" s="332" t="n">
        <v>198696.6800000001</v>
      </c>
      <c r="N4" s="339" t="n">
        <v>289183.25</v>
      </c>
      <c r="O4" s="313" t="n">
        <v>291783.9</v>
      </c>
    </row>
    <row r="5" ht="12.75" customHeight="1">
      <c r="A5" s="114" t="inlineStr">
        <is>
          <t>1600200</t>
        </is>
      </c>
      <c r="B5" s="112" t="inlineStr">
        <is>
          <t>VG Vastgoedbeleggingen Cum afschrijvingen en waardeverm</t>
        </is>
      </c>
      <c r="C5" s="313" t="n">
        <v>-12737846</v>
      </c>
      <c r="D5" s="313" t="n">
        <v>-666766</v>
      </c>
      <c r="E5" s="313" t="n">
        <v>-679632</v>
      </c>
      <c r="F5" s="313" t="n">
        <v>-682456</v>
      </c>
      <c r="G5" s="313" t="n">
        <v>-682714</v>
      </c>
      <c r="H5" s="296">
        <f>SUM(C5:G5)</f>
        <v/>
      </c>
      <c r="I5" s="338" t="n"/>
    </row>
    <row r="6" ht="12.75" customHeight="1">
      <c r="A6" s="114" t="inlineStr">
        <is>
          <t>1610803</t>
        </is>
      </c>
      <c r="B6" s="112" t="inlineStr">
        <is>
          <t>VG Comm VG in exploitatie Buitengebruikstellingen aanschaffingswaarde</t>
        </is>
      </c>
      <c r="C6" s="313" t="n">
        <v>-2304060</v>
      </c>
      <c r="D6" s="317" t="n">
        <v>-144749</v>
      </c>
      <c r="E6" s="317" t="n">
        <v>-856186</v>
      </c>
      <c r="F6" s="317" t="n">
        <v>-331590</v>
      </c>
      <c r="G6" s="317" t="n">
        <v>-276183</v>
      </c>
      <c r="H6" s="296">
        <f>SUM(C6:G6)</f>
        <v/>
      </c>
      <c r="I6" s="338" t="n"/>
    </row>
    <row r="7" ht="12.75" customHeight="1">
      <c r="A7" s="114" t="inlineStr">
        <is>
          <t>1611003</t>
        </is>
      </c>
      <c r="B7" s="112" t="inlineStr">
        <is>
          <t>VG Comm VG in exploitatie Buitengebruikstellingen cum. afschr. en waardeverm.</t>
        </is>
      </c>
      <c r="C7" s="313" t="n">
        <v>244018</v>
      </c>
      <c r="D7" s="313" t="n">
        <v>16814</v>
      </c>
      <c r="E7" s="313" t="n">
        <v>102659</v>
      </c>
      <c r="F7" s="313" t="n">
        <v>41047</v>
      </c>
      <c r="G7" s="313" t="n">
        <v>36141</v>
      </c>
      <c r="H7" s="296">
        <f>SUM(C7:G7)</f>
        <v/>
      </c>
    </row>
    <row r="8" ht="12.75" customHeight="1">
      <c r="A8" s="112" t="inlineStr">
        <is>
          <t>Totaal Vastgoedbeleggingen</t>
        </is>
      </c>
      <c r="C8" s="313" t="n">
        <v>0</v>
      </c>
      <c r="H8" s="296">
        <f>SUM(C8:F8)</f>
        <v/>
      </c>
    </row>
    <row r="9" ht="12.75" customHeight="1">
      <c r="C9" s="313" t="n">
        <v>0</v>
      </c>
    </row>
    <row r="10" ht="12.75" customHeight="1">
      <c r="A10" s="114" t="inlineStr">
        <is>
          <t>1790002</t>
        </is>
      </c>
      <c r="B10" s="112" t="inlineStr">
        <is>
          <t>FVA Latente belastingvordering langlopend</t>
        </is>
      </c>
      <c r="C10" s="313" t="n">
        <v>3827876</v>
      </c>
      <c r="D10" s="330" t="n">
        <v>161798</v>
      </c>
      <c r="E10" s="336" t="n">
        <v>273366.2</v>
      </c>
      <c r="F10" s="330" t="n">
        <v>237434</v>
      </c>
      <c r="G10" s="330" t="n">
        <v>121126</v>
      </c>
      <c r="H10" s="296">
        <f>SUM(C10:G10)</f>
        <v/>
      </c>
    </row>
    <row r="11" ht="12.75" customHeight="1">
      <c r="A11" s="112" t="inlineStr">
        <is>
          <t>Totaal Financiële vaste activa</t>
        </is>
      </c>
      <c r="C11" s="313" t="n">
        <v>0</v>
      </c>
      <c r="H11" s="296">
        <f>SUM(C11:F11)</f>
        <v/>
      </c>
    </row>
    <row r="12" ht="12.75" customHeight="1">
      <c r="C12" s="313" t="n">
        <v>0</v>
      </c>
    </row>
    <row r="13" ht="12.75" customHeight="1">
      <c r="A13" s="114" t="inlineStr">
        <is>
          <t>2000000</t>
        </is>
      </c>
      <c r="B13" s="112" t="inlineStr">
        <is>
          <t>VOR Debiteuren</t>
        </is>
      </c>
      <c r="C13" s="313" t="n">
        <v>233276</v>
      </c>
      <c r="D13" s="336" t="n">
        <v>748299.62</v>
      </c>
      <c r="E13" s="330" t="n">
        <v>-866992</v>
      </c>
      <c r="F13" s="330" t="n">
        <v>-10254.87</v>
      </c>
      <c r="G13" s="330" t="n">
        <v>-9192.360000000001</v>
      </c>
      <c r="H13" s="296">
        <f>SUM(C13:G13)</f>
        <v/>
      </c>
    </row>
    <row r="14" ht="12.75" customHeight="1">
      <c r="A14" s="114" t="inlineStr">
        <is>
          <t>2000300</t>
        </is>
      </c>
      <c r="B14" s="112" t="inlineStr">
        <is>
          <t>VOR Voorziening dubieuze debiteuren</t>
        </is>
      </c>
      <c r="C14" s="313" t="n">
        <v>-31915</v>
      </c>
      <c r="D14" s="313" t="n">
        <v>0</v>
      </c>
      <c r="E14" s="321" t="n">
        <v>-59966.86</v>
      </c>
      <c r="F14" s="313" t="n">
        <v>0</v>
      </c>
      <c r="G14" s="313" t="n">
        <v>0</v>
      </c>
      <c r="H14" s="296">
        <f>SUM(C14:G14)</f>
        <v/>
      </c>
      <c r="I14" s="112" t="inlineStr">
        <is>
          <t>Correctie nav definitieve jaarrekening</t>
        </is>
      </c>
    </row>
    <row r="15" ht="12.75" customHeight="1">
      <c r="A15" s="112" t="inlineStr">
        <is>
          <t>Totaal Debiteuren</t>
        </is>
      </c>
      <c r="C15" s="313" t="n">
        <v>0</v>
      </c>
      <c r="H15" s="296">
        <f>SUM(C15:F15)</f>
        <v/>
      </c>
    </row>
    <row r="16" ht="12.75" customHeight="1"/>
    <row r="17" ht="12.75" customHeight="1">
      <c r="A17" s="114" t="n">
        <v>2640000</v>
      </c>
      <c r="B17" s="112" t="inlineStr">
        <is>
          <t>RC Kortlopend DMRRP INV - I BV</t>
        </is>
      </c>
      <c r="C17" s="313" t="n">
        <v>-143077</v>
      </c>
      <c r="D17" s="313" t="n">
        <v>1407409</v>
      </c>
      <c r="E17" s="321" t="n">
        <v>-1860053.43</v>
      </c>
      <c r="F17" s="313" t="n">
        <v>542643.28</v>
      </c>
      <c r="G17" s="313" t="n">
        <v>1293310.92</v>
      </c>
      <c r="H17" s="296">
        <f>SUM(C17:G17)</f>
        <v/>
      </c>
      <c r="I17" s="112" t="inlineStr">
        <is>
          <t>Correctie nav definitieve jaarrekening</t>
        </is>
      </c>
    </row>
    <row r="18" ht="12.75" customHeight="1">
      <c r="A18" s="112" t="inlineStr">
        <is>
          <t>Totaal Rekening-courant aandeelhouder</t>
        </is>
      </c>
      <c r="C18" s="313" t="n">
        <v>0</v>
      </c>
      <c r="H18" s="296">
        <f>SUM(C18:F18)</f>
        <v/>
      </c>
    </row>
    <row r="19" ht="12.75" customHeight="1">
      <c r="C19" s="313" t="n">
        <v>0</v>
      </c>
    </row>
    <row r="20" ht="12.75" customHeight="1">
      <c r="A20" s="114" t="n">
        <v>2040200</v>
      </c>
      <c r="B20" s="112" t="inlineStr">
        <is>
          <t>VOR Te vorderen waarborgsommen kortlopen</t>
        </is>
      </c>
      <c r="C20" s="313" t="n">
        <v>5000</v>
      </c>
      <c r="D20" s="313" t="n">
        <v>0</v>
      </c>
      <c r="E20" s="313" t="n">
        <v>0</v>
      </c>
      <c r="F20" s="313" t="n">
        <v>0</v>
      </c>
      <c r="G20" s="313" t="n">
        <v>0</v>
      </c>
      <c r="H20" s="296">
        <f>SUM(C20:G20)</f>
        <v/>
      </c>
    </row>
    <row r="21" ht="12.75" customHeight="1">
      <c r="A21" s="114" t="n">
        <v>2040500</v>
      </c>
      <c r="B21" s="112" t="inlineStr">
        <is>
          <t>VOR Vooruitbetaalde verzekeringen</t>
        </is>
      </c>
      <c r="C21" s="313" t="n">
        <v>56438</v>
      </c>
      <c r="D21" s="313" t="n">
        <v>-28219.3</v>
      </c>
      <c r="E21" s="313" t="n">
        <v>-28218.89</v>
      </c>
      <c r="F21" s="321" t="n">
        <v>-29220.54</v>
      </c>
      <c r="G21" s="313" t="n">
        <v>87661.64</v>
      </c>
      <c r="H21" s="296">
        <f>SUM(C21:G21)</f>
        <v/>
      </c>
      <c r="I21" s="112" t="inlineStr">
        <is>
          <t>Verdelen verzekering over heel 2022</t>
        </is>
      </c>
    </row>
    <row r="22" ht="12.75" customHeight="1">
      <c r="A22" s="114" t="inlineStr">
        <is>
          <t>2040700</t>
        </is>
      </c>
      <c r="B22" s="112" t="inlineStr">
        <is>
          <t>VOR Vooruitbetaalde servicekosten</t>
        </is>
      </c>
      <c r="C22" s="313" t="n">
        <v>0</v>
      </c>
      <c r="D22" s="313" t="n">
        <v>0</v>
      </c>
      <c r="E22" s="313" t="n">
        <v>1679.29</v>
      </c>
      <c r="F22" s="313" t="n">
        <v>-1679</v>
      </c>
      <c r="G22" s="313" t="n">
        <v>0</v>
      </c>
      <c r="H22" s="296">
        <f>SUM(C22:G22)</f>
        <v/>
      </c>
    </row>
    <row r="23" ht="12.75" customHeight="1">
      <c r="A23" s="114" t="inlineStr">
        <is>
          <t>2040900</t>
        </is>
      </c>
      <c r="B23" s="112" t="inlineStr">
        <is>
          <t>VOR Vooruitbetaalde overige kosten</t>
        </is>
      </c>
      <c r="C23" s="313" t="n">
        <v>-52347.02000000002</v>
      </c>
      <c r="D23" s="336">
        <f>-77180+388207.5</f>
        <v/>
      </c>
      <c r="E23" s="336" t="n">
        <v>-258680.49</v>
      </c>
      <c r="F23" s="335" t="n">
        <v>302583.68</v>
      </c>
      <c r="G23" s="313" t="n">
        <v>-64419.13</v>
      </c>
      <c r="H23" s="296">
        <f>SUM(C23:G23)</f>
        <v/>
      </c>
      <c r="I23" s="112" t="inlineStr">
        <is>
          <t>Kosten verdelen over heel 2022</t>
        </is>
      </c>
    </row>
    <row r="24" ht="12.75" customHeight="1">
      <c r="A24" s="112" t="inlineStr">
        <is>
          <t>Totaal overige vorderingen</t>
        </is>
      </c>
      <c r="C24" s="313" t="n">
        <v>0</v>
      </c>
      <c r="H24" s="296">
        <f>SUM(C24:F24)</f>
        <v/>
      </c>
    </row>
    <row r="25" ht="12.75" customHeight="1">
      <c r="C25" s="313" t="n">
        <v>0</v>
      </c>
    </row>
    <row r="26" ht="12.75" customHeight="1">
      <c r="A26" s="114" t="inlineStr">
        <is>
          <t>2300000</t>
        </is>
      </c>
      <c r="B26" s="112" t="inlineStr">
        <is>
          <t>LM Kruisposten</t>
        </is>
      </c>
      <c r="C26" s="313" t="n">
        <v>-4118.5</v>
      </c>
      <c r="D26" s="313" t="n">
        <v>-12957.2</v>
      </c>
      <c r="E26" s="313" t="n">
        <v>17075.97</v>
      </c>
      <c r="F26" s="313" t="n">
        <v>-281</v>
      </c>
      <c r="G26" s="313" t="n">
        <v>-1981.76</v>
      </c>
      <c r="H26" s="296">
        <f>SUM(C26:G26)</f>
        <v/>
      </c>
    </row>
    <row r="27" ht="12.75" customHeight="1">
      <c r="A27" s="114" t="inlineStr">
        <is>
          <t>2400200</t>
        </is>
      </c>
      <c r="B27" s="112" t="inlineStr">
        <is>
          <t>LM ABN AMRO Bank Disposal NL58 ABNA 0818 9180 39</t>
        </is>
      </c>
      <c r="C27" s="313" t="n">
        <v>0</v>
      </c>
      <c r="D27" s="330" t="n">
        <v>0.91</v>
      </c>
      <c r="E27" s="330" t="n">
        <v>-0.38</v>
      </c>
      <c r="F27" s="330" t="n">
        <v>-0.37</v>
      </c>
      <c r="G27" s="330" t="n">
        <v>0.1</v>
      </c>
      <c r="H27" s="296">
        <f>SUM(C27:G27)</f>
        <v/>
      </c>
    </row>
    <row r="28" ht="12.75" customHeight="1">
      <c r="A28" s="114" t="inlineStr">
        <is>
          <t>2400201</t>
        </is>
      </c>
      <c r="B28" s="112" t="inlineStr">
        <is>
          <t>LM ABN AMRO Bank Deposit NL57 ABNA 0541 6205 68</t>
        </is>
      </c>
      <c r="C28" s="313" t="n">
        <v>36694</v>
      </c>
      <c r="D28" s="330" t="n">
        <v>-18.04</v>
      </c>
      <c r="E28" s="330" t="n">
        <v>-18.04</v>
      </c>
      <c r="F28" s="330" t="n">
        <v>-18.32</v>
      </c>
      <c r="G28" s="330" t="n">
        <v>-18.48</v>
      </c>
      <c r="H28" s="296">
        <f>SUM(C28:G28)</f>
        <v/>
      </c>
    </row>
    <row r="29" ht="12.75" customHeight="1">
      <c r="A29" s="114" t="inlineStr">
        <is>
          <t>2400202</t>
        </is>
      </c>
      <c r="B29" s="112" t="inlineStr">
        <is>
          <t>LM ABN AMRO Bank General NL93 ABNA 0541 6132 27</t>
        </is>
      </c>
      <c r="C29" s="313" t="n">
        <v>217165</v>
      </c>
      <c r="D29" s="330" t="n">
        <v>-53403.02</v>
      </c>
      <c r="E29" s="330" t="n">
        <v>-8084.34</v>
      </c>
      <c r="F29" s="330" t="n">
        <v>-10036.05</v>
      </c>
      <c r="G29" s="330" t="n">
        <v>-95658.58</v>
      </c>
      <c r="H29" s="296">
        <f>SUM(C29:G29)</f>
        <v/>
      </c>
    </row>
    <row r="30" ht="12.75" customHeight="1">
      <c r="A30" s="114" t="inlineStr">
        <is>
          <t>2400203</t>
        </is>
      </c>
      <c r="B30" s="112" t="inlineStr">
        <is>
          <t>LM ABN AMRO Bank Maintres NL04 ABNA 0541 6188 06</t>
        </is>
      </c>
      <c r="C30" s="313" t="n">
        <v>104255</v>
      </c>
      <c r="D30" s="330" t="n">
        <v>67284.67999999999</v>
      </c>
      <c r="E30" s="330" t="n">
        <v>-89675.55</v>
      </c>
      <c r="F30" s="330" t="n">
        <v>-56453.47</v>
      </c>
      <c r="G30" s="330" t="n">
        <v>17670.91</v>
      </c>
      <c r="H30" s="296">
        <f>SUM(C30:G30)</f>
        <v/>
      </c>
    </row>
    <row r="31" ht="12.75" customHeight="1">
      <c r="A31" s="114" t="inlineStr">
        <is>
          <t>2400204</t>
        </is>
      </c>
      <c r="B31" s="112" t="inlineStr">
        <is>
          <t>LM ABN AMRO Bank Rent NL46 ABNA 0541 6088 35</t>
        </is>
      </c>
      <c r="C31" s="313" t="n">
        <v>1099115</v>
      </c>
      <c r="D31" s="330" t="n">
        <v>-877600.4399999999</v>
      </c>
      <c r="E31" s="330" t="n">
        <v>228072.92</v>
      </c>
      <c r="F31" s="330" t="n">
        <v>280038.53</v>
      </c>
      <c r="G31" s="330" t="n">
        <v>367648.53</v>
      </c>
      <c r="H31" s="296">
        <f>SUM(C31:G31)</f>
        <v/>
      </c>
    </row>
    <row r="32" ht="12.75" customHeight="1">
      <c r="A32" s="114" t="inlineStr">
        <is>
          <t>2400205</t>
        </is>
      </c>
      <c r="B32" s="112" t="inlineStr">
        <is>
          <t>LM ABN AMRO Bank SR EXP NL88 ABNA 0541 6205 92</t>
        </is>
      </c>
      <c r="C32" s="313" t="n">
        <v>40833</v>
      </c>
      <c r="D32" s="330" t="n">
        <v>32976.39</v>
      </c>
      <c r="E32" s="330" t="n">
        <v>-48621.34</v>
      </c>
      <c r="F32" s="330" t="n">
        <v>84669.55</v>
      </c>
      <c r="G32" s="330" t="n">
        <v>-105672.08</v>
      </c>
      <c r="H32" s="296">
        <f>SUM(C32:G32)</f>
        <v/>
      </c>
    </row>
    <row r="33" ht="12.75" customHeight="1">
      <c r="A33" s="112" t="inlineStr">
        <is>
          <t>Totaal Liquide middelen</t>
        </is>
      </c>
      <c r="C33" s="313" t="n">
        <v>0</v>
      </c>
      <c r="H33" s="296">
        <f>SUM(C33:F33)</f>
        <v/>
      </c>
    </row>
    <row r="34" ht="12.75" customHeight="1">
      <c r="C34" s="313" t="n">
        <v>0</v>
      </c>
    </row>
    <row r="35" ht="12.75" customHeight="1">
      <c r="A35" s="114" t="n">
        <v>1000002</v>
      </c>
      <c r="B35" s="112" t="inlineStr">
        <is>
          <t>EV Normale aandelen Saldo</t>
        </is>
      </c>
      <c r="C35" s="313" t="n">
        <v>-1</v>
      </c>
      <c r="D35" s="313" t="n">
        <v>0</v>
      </c>
      <c r="E35" s="313" t="n">
        <v>0</v>
      </c>
      <c r="F35" s="313" t="n">
        <v>0</v>
      </c>
      <c r="G35" s="313" t="n">
        <v>0</v>
      </c>
      <c r="H35" s="296">
        <f>SUM(C35:G35)</f>
        <v/>
      </c>
    </row>
    <row r="36" ht="12.75" customHeight="1">
      <c r="A36" s="114" t="n">
        <v>1100000</v>
      </c>
      <c r="B36" s="112" t="inlineStr">
        <is>
          <t>EV Agioreserve Agio aandelen</t>
        </is>
      </c>
      <c r="C36" s="313" t="n">
        <v>-19031219</v>
      </c>
      <c r="D36" s="313" t="n">
        <v>0</v>
      </c>
      <c r="E36" s="321" t="n">
        <v>100000</v>
      </c>
      <c r="F36" s="313" t="n">
        <v>0</v>
      </c>
      <c r="G36" s="313" t="n">
        <v>0</v>
      </c>
      <c r="H36" s="296">
        <f>SUM(C36:G36)</f>
        <v/>
      </c>
      <c r="I36" s="112" t="inlineStr">
        <is>
          <t>Correctie nav definitieve jaarrekening</t>
        </is>
      </c>
    </row>
    <row r="37" ht="12.75" customHeight="1">
      <c r="A37" s="114" t="n">
        <v>1160000</v>
      </c>
      <c r="B37" s="112" t="inlineStr">
        <is>
          <t>EV Overige reserve Reserve aandelen</t>
        </is>
      </c>
      <c r="C37" s="313" t="n">
        <v>7620034.07</v>
      </c>
      <c r="D37" s="313" t="n">
        <v>0</v>
      </c>
      <c r="E37" s="313" t="n">
        <v>0</v>
      </c>
      <c r="F37" s="313" t="n">
        <v>0</v>
      </c>
      <c r="G37" s="313" t="n">
        <v>0</v>
      </c>
      <c r="H37" s="296">
        <f>SUM(C37:G37)</f>
        <v/>
      </c>
      <c r="I37" s="338" t="n"/>
      <c r="J37" s="338" t="n"/>
    </row>
    <row r="38" ht="12.75" customHeight="1">
      <c r="A38" s="114" t="inlineStr">
        <is>
          <t>1160100</t>
        </is>
      </c>
      <c r="B38" s="112" t="inlineStr">
        <is>
          <t>EV Overige reserve  Dividenduitkeringen aandelen</t>
        </is>
      </c>
      <c r="C38" s="313" t="n">
        <v>2000000</v>
      </c>
      <c r="D38" s="313" t="n">
        <v>0</v>
      </c>
      <c r="E38" s="321" t="n">
        <v>1000000</v>
      </c>
      <c r="F38" s="313" t="n">
        <v>0</v>
      </c>
      <c r="G38" s="313" t="n">
        <v>0</v>
      </c>
      <c r="H38" s="296">
        <f>SUM(C38:G38)</f>
        <v/>
      </c>
      <c r="I38" s="112" t="inlineStr">
        <is>
          <t>Correctie nav definitieve jaarrekening</t>
        </is>
      </c>
    </row>
    <row r="39" ht="12.75" customHeight="1">
      <c r="A39" s="112" t="inlineStr">
        <is>
          <t>Totaal Eigen vermogen</t>
        </is>
      </c>
      <c r="C39" s="313" t="n">
        <v>0</v>
      </c>
      <c r="H39" s="296">
        <f>SUM(C39:F39)</f>
        <v/>
      </c>
    </row>
    <row r="40" ht="12.75" customHeight="1">
      <c r="C40" s="313" t="n">
        <v>0</v>
      </c>
    </row>
    <row r="41" ht="12.75" customHeight="1">
      <c r="A41" s="114" t="n">
        <v>1930001</v>
      </c>
      <c r="B41" s="112" t="inlineStr">
        <is>
          <t>LLS Hoofdsom ABN AMRO Bank NV Senior Facility Agreement</t>
        </is>
      </c>
      <c r="C41" s="313" t="n">
        <v>-130000000</v>
      </c>
      <c r="D41" s="313" t="n">
        <v>0</v>
      </c>
      <c r="E41" s="313" t="n">
        <v>0</v>
      </c>
      <c r="G41" s="313" t="n">
        <v>0</v>
      </c>
      <c r="H41" s="296">
        <f>SUM(C41:G41)</f>
        <v/>
      </c>
    </row>
    <row r="42" ht="12.75" customHeight="1">
      <c r="A42" s="114" t="inlineStr">
        <is>
          <t>1930101</t>
        </is>
      </c>
      <c r="B42" s="112" t="inlineStr">
        <is>
          <t>LLS Cum aflossingen ABN AMRO Bank NV Senior Facility Agreement</t>
        </is>
      </c>
      <c r="C42" s="313" t="n">
        <v>23959649</v>
      </c>
      <c r="D42" s="330" t="n">
        <v>889295.98</v>
      </c>
      <c r="E42" s="330" t="n">
        <v>1579956.98</v>
      </c>
      <c r="F42" s="330" t="n">
        <v>979503.98</v>
      </c>
      <c r="G42" s="330" t="n">
        <v>948219.98</v>
      </c>
      <c r="H42" s="296">
        <f>SUM(C42:G42)</f>
        <v/>
      </c>
    </row>
    <row r="43" ht="12.75" customHeight="1">
      <c r="A43" s="112" t="inlineStr">
        <is>
          <t>Totaal Langlopende schulden</t>
        </is>
      </c>
      <c r="C43" s="313" t="n">
        <v>0</v>
      </c>
      <c r="H43" s="296">
        <f>SUM(C43:F43)</f>
        <v/>
      </c>
    </row>
    <row r="44" ht="12.75" customHeight="1">
      <c r="C44" s="313" t="n">
        <v>0</v>
      </c>
    </row>
    <row r="45" ht="12.75" customHeight="1">
      <c r="A45" s="114" t="inlineStr">
        <is>
          <t>2730000</t>
        </is>
      </c>
      <c r="B45" s="112" t="inlineStr">
        <is>
          <t>KLS Crediteuren</t>
        </is>
      </c>
      <c r="C45" s="313" t="n">
        <v>-18786</v>
      </c>
      <c r="D45" s="314" t="n">
        <v>6778.95</v>
      </c>
      <c r="E45" s="313" t="n">
        <v>-530169.95</v>
      </c>
      <c r="F45" s="314" t="n">
        <v>-26012.24</v>
      </c>
      <c r="G45" s="314" t="n">
        <v>394615.53</v>
      </c>
      <c r="H45" s="296">
        <f>SUM(C45:G45)</f>
        <v/>
      </c>
    </row>
    <row r="46" ht="12.75" customHeight="1">
      <c r="A46" s="114" t="inlineStr">
        <is>
          <t>2730001</t>
        </is>
      </c>
      <c r="B46" s="112" t="inlineStr">
        <is>
          <t>KLS Crediteuren intercompany</t>
        </is>
      </c>
      <c r="C46" s="313" t="n">
        <v>0</v>
      </c>
      <c r="D46" s="313" t="n">
        <v>0</v>
      </c>
      <c r="E46" s="313" t="n">
        <v>0</v>
      </c>
      <c r="F46" s="313" t="n">
        <v>-12100</v>
      </c>
      <c r="G46" s="313" t="n">
        <v>0</v>
      </c>
      <c r="H46" s="296">
        <f>SUM(C46:G46)</f>
        <v/>
      </c>
    </row>
    <row r="47" ht="12.75" customHeight="1">
      <c r="A47" s="112" t="inlineStr">
        <is>
          <t>Totaal Crediteuren</t>
        </is>
      </c>
      <c r="C47" s="313" t="n">
        <v>0</v>
      </c>
      <c r="H47" s="296">
        <f>SUM(C47:F47)</f>
        <v/>
      </c>
    </row>
    <row r="48" ht="12.75" customHeight="1">
      <c r="C48" s="313" t="n">
        <v>0</v>
      </c>
    </row>
    <row r="49" ht="12.75" customHeight="1">
      <c r="A49" s="114" t="inlineStr">
        <is>
          <t>2512100</t>
        </is>
      </c>
      <c r="B49" s="112" t="inlineStr">
        <is>
          <t>BEL Afgedragen/ontvangen BTW</t>
        </is>
      </c>
      <c r="C49" s="313" t="n">
        <v>-3898</v>
      </c>
      <c r="D49" s="313">
        <f>-828.56+460</f>
        <v/>
      </c>
      <c r="E49" s="313" t="n">
        <v>-858.91</v>
      </c>
      <c r="F49" s="313" t="n">
        <v>525.91</v>
      </c>
      <c r="G49" s="313" t="n">
        <v>101.01</v>
      </c>
      <c r="H49" s="296">
        <f>SUM(C49:G49)</f>
        <v/>
      </c>
    </row>
    <row r="50" ht="12.75" customHeight="1">
      <c r="A50" s="114" t="inlineStr">
        <is>
          <t>2530000</t>
        </is>
      </c>
      <c r="B50" s="112" t="inlineStr">
        <is>
          <t>BEL Te betalen vennootschapsbelasting</t>
        </is>
      </c>
      <c r="C50" s="313" t="n">
        <v>0</v>
      </c>
      <c r="D50" s="313" t="n">
        <v>0</v>
      </c>
      <c r="E50" s="313" t="n">
        <v>0</v>
      </c>
      <c r="F50" s="313" t="n">
        <v>0</v>
      </c>
      <c r="G50" s="313" t="n">
        <v>0</v>
      </c>
      <c r="H50" s="296">
        <f>SUM(C50:G50)</f>
        <v/>
      </c>
    </row>
    <row r="51" ht="12.75" customHeight="1">
      <c r="A51" s="114" t="inlineStr">
        <is>
          <t>2550000</t>
        </is>
      </c>
      <c r="B51" s="112" t="inlineStr">
        <is>
          <t>BEL Te betalen overige belastingen</t>
        </is>
      </c>
      <c r="C51" s="313" t="n">
        <v>0</v>
      </c>
      <c r="D51" s="313" t="n">
        <v>0</v>
      </c>
      <c r="E51" s="313" t="n">
        <v>0</v>
      </c>
      <c r="F51" s="313" t="n">
        <v>0</v>
      </c>
      <c r="G51" s="313" t="n">
        <v>0</v>
      </c>
      <c r="H51" s="296">
        <f>SUM(C51:G51)</f>
        <v/>
      </c>
    </row>
    <row r="52" ht="12.75" customHeight="1">
      <c r="A52" s="112" t="inlineStr">
        <is>
          <t>Totaal Belastingen</t>
        </is>
      </c>
      <c r="C52" s="313" t="n">
        <v>0</v>
      </c>
      <c r="H52" s="296">
        <f>SUM(C52:F52)</f>
        <v/>
      </c>
    </row>
    <row r="53" ht="12.75" customHeight="1">
      <c r="C53" s="313" t="n">
        <v>0</v>
      </c>
    </row>
    <row r="54" ht="12.75" customHeight="1">
      <c r="A54" s="114" t="n">
        <v>2740100</v>
      </c>
      <c r="B54" s="112" t="inlineStr">
        <is>
          <t>KLS Vooruitgefactureerde huur</t>
        </is>
      </c>
      <c r="C54" s="313" t="n">
        <v>0</v>
      </c>
      <c r="D54" s="313" t="n">
        <v>-990959.87</v>
      </c>
      <c r="E54" s="313" t="n">
        <v>837333.62</v>
      </c>
      <c r="F54" s="313" t="n">
        <v>42167.89</v>
      </c>
      <c r="G54" s="313" t="n">
        <v>-796644.01</v>
      </c>
      <c r="H54" s="296">
        <f>SUM(C54:G54)</f>
        <v/>
      </c>
    </row>
    <row r="55" ht="12.75" customHeight="1">
      <c r="A55" s="114" t="inlineStr">
        <is>
          <t>2740300</t>
        </is>
      </c>
      <c r="B55" s="112" t="inlineStr">
        <is>
          <t>KLS Te betalen waarborgsommen kortlopend</t>
        </is>
      </c>
      <c r="C55" s="313" t="n">
        <v>-763201</v>
      </c>
      <c r="D55" s="313" t="n">
        <v>-43086.2</v>
      </c>
      <c r="E55" s="313" t="n">
        <v>-158.33</v>
      </c>
      <c r="F55" s="313" t="n">
        <v>-10419.51</v>
      </c>
      <c r="G55" s="313" t="n">
        <v>-23268.06</v>
      </c>
      <c r="H55" s="296">
        <f>SUM(C55:G55)</f>
        <v/>
      </c>
    </row>
    <row r="56" ht="12.75" customHeight="1">
      <c r="A56" s="114" t="n">
        <v>2740500</v>
      </c>
      <c r="B56" s="112" t="inlineStr">
        <is>
          <t>KLS Te betalen accountants- en administratiekosten</t>
        </is>
      </c>
      <c r="C56" s="313" t="n">
        <v>-22500</v>
      </c>
      <c r="D56" s="313" t="n">
        <v>0</v>
      </c>
      <c r="E56" s="313" t="n">
        <v>0</v>
      </c>
      <c r="F56" s="313" t="n">
        <v>0</v>
      </c>
      <c r="G56" s="313" t="n">
        <v>0</v>
      </c>
      <c r="H56" s="296">
        <f>SUM(C56:G56)</f>
        <v/>
      </c>
    </row>
    <row r="57" ht="12.75" customHeight="1">
      <c r="A57" s="114" t="inlineStr">
        <is>
          <t>2740600</t>
        </is>
      </c>
      <c r="B57" s="112" t="inlineStr">
        <is>
          <t>KLS Te betalen rente</t>
        </is>
      </c>
      <c r="C57" s="313" t="n">
        <v>0</v>
      </c>
      <c r="D57" s="313" t="n">
        <v>0</v>
      </c>
      <c r="E57" s="313" t="n">
        <v>0</v>
      </c>
      <c r="F57" s="313" t="n">
        <v>0</v>
      </c>
      <c r="G57" s="313" t="n">
        <v>0</v>
      </c>
      <c r="H57" s="296">
        <f>SUM(C57:G57)</f>
        <v/>
      </c>
      <c r="I57" s="313" t="n"/>
    </row>
    <row r="58" ht="12.75" customHeight="1">
      <c r="A58" s="114" t="inlineStr">
        <is>
          <t>2740700</t>
        </is>
      </c>
      <c r="B58" s="112" t="inlineStr">
        <is>
          <t>KLS Te betalen verzekeringen</t>
        </is>
      </c>
      <c r="C58" s="313" t="n">
        <v>0</v>
      </c>
      <c r="D58" s="313" t="n">
        <v>0</v>
      </c>
      <c r="E58" s="313" t="n">
        <v>0</v>
      </c>
      <c r="F58" s="313" t="n">
        <v>0</v>
      </c>
      <c r="G58" s="313" t="n">
        <v>0</v>
      </c>
      <c r="H58" s="296">
        <f>SUM(C58:G58)</f>
        <v/>
      </c>
    </row>
    <row r="59" ht="12.75" customHeight="1">
      <c r="A59" s="114" t="inlineStr">
        <is>
          <t>2741000</t>
        </is>
      </c>
      <c r="B59" s="112" t="inlineStr">
        <is>
          <t>KLS Te betalen servicekosten</t>
        </is>
      </c>
      <c r="C59" s="313" t="n">
        <v>0</v>
      </c>
      <c r="D59" s="313" t="n">
        <v>0</v>
      </c>
      <c r="E59" s="313" t="n">
        <v>-13460</v>
      </c>
      <c r="F59" s="313" t="n">
        <v>13460</v>
      </c>
      <c r="G59" s="313" t="n">
        <v>0</v>
      </c>
      <c r="H59" s="296">
        <f>SUM(C59:G59)</f>
        <v/>
      </c>
      <c r="I59" s="338" t="n"/>
    </row>
    <row r="60" ht="12.75" customHeight="1">
      <c r="A60" s="114" t="inlineStr">
        <is>
          <t>2741001</t>
        </is>
      </c>
      <c r="B60" s="112" t="inlineStr">
        <is>
          <t>KLS Te betalen exploitatiekosten</t>
        </is>
      </c>
      <c r="C60" s="313" t="n">
        <v>0</v>
      </c>
      <c r="D60" s="313" t="n">
        <v>0</v>
      </c>
      <c r="E60" s="313" t="n">
        <v>-1149.13</v>
      </c>
      <c r="F60" s="313" t="n">
        <v>1149</v>
      </c>
      <c r="G60" s="313" t="n">
        <v>0</v>
      </c>
      <c r="H60" s="296">
        <f>SUM(C60:G60)</f>
        <v/>
      </c>
    </row>
    <row r="61" ht="12.75" customHeight="1">
      <c r="A61" s="114" t="inlineStr">
        <is>
          <t>2741002</t>
        </is>
      </c>
      <c r="B61" s="112" t="inlineStr">
        <is>
          <t>KLS Te betalen VVE</t>
        </is>
      </c>
      <c r="C61" s="313" t="n">
        <v>0</v>
      </c>
      <c r="D61" s="313" t="n">
        <v>0</v>
      </c>
      <c r="E61" s="313" t="n">
        <v>-392.3</v>
      </c>
      <c r="F61" s="313" t="n">
        <v>392</v>
      </c>
      <c r="G61" s="313" t="n">
        <v>0</v>
      </c>
      <c r="H61" s="296">
        <f>SUM(C61:G61)</f>
        <v/>
      </c>
    </row>
    <row r="62" ht="12.75" customHeight="1">
      <c r="A62" s="114" t="inlineStr">
        <is>
          <t>2741004</t>
        </is>
      </c>
      <c r="B62" s="112" t="inlineStr">
        <is>
          <t>KLS Te betalen Hoen</t>
        </is>
      </c>
      <c r="C62" s="313" t="n">
        <v>-246594</v>
      </c>
      <c r="D62" s="313" t="n">
        <v>121338.8</v>
      </c>
      <c r="E62" s="313" t="n">
        <v>84505.55</v>
      </c>
      <c r="F62" s="313" t="n">
        <v>-40947</v>
      </c>
      <c r="G62" s="313" t="n">
        <v>-123710.23</v>
      </c>
      <c r="H62" s="296">
        <f>SUM(C62:G62)</f>
        <v/>
      </c>
    </row>
    <row r="63" ht="12.75" customHeight="1">
      <c r="A63" s="114" t="inlineStr">
        <is>
          <t>2741005</t>
        </is>
      </c>
      <c r="B63" s="112" t="inlineStr">
        <is>
          <t>KLS Te betalen managementvergoedingen</t>
        </is>
      </c>
      <c r="C63" s="313" t="n">
        <v>0</v>
      </c>
      <c r="D63" s="313" t="n">
        <v>0</v>
      </c>
      <c r="E63" s="313" t="n">
        <v>0</v>
      </c>
      <c r="F63" s="313" t="n">
        <v>0</v>
      </c>
      <c r="G63" s="313" t="n">
        <v>0</v>
      </c>
      <c r="H63" s="296">
        <f>SUM(C63:G63)</f>
        <v/>
      </c>
    </row>
    <row r="64" ht="12.75" customHeight="1">
      <c r="A64" s="114" t="inlineStr">
        <is>
          <t>2741200</t>
        </is>
      </c>
      <c r="B64" s="112" t="inlineStr">
        <is>
          <t>KLS Te betalen agency fee</t>
        </is>
      </c>
      <c r="C64" s="313" t="n">
        <v>0</v>
      </c>
      <c r="D64" s="313" t="n">
        <v>20000</v>
      </c>
      <c r="E64" s="313" t="n">
        <v>0</v>
      </c>
      <c r="F64" s="313" t="n">
        <v>0</v>
      </c>
      <c r="G64" s="313" t="n">
        <v>-20000</v>
      </c>
      <c r="H64" s="296">
        <f>SUM(C64:G64)</f>
        <v/>
      </c>
    </row>
    <row r="65" ht="12.75" customHeight="1">
      <c r="A65" s="114" t="inlineStr">
        <is>
          <t>2741900</t>
        </is>
      </c>
      <c r="B65" s="112" t="inlineStr">
        <is>
          <t>KLS Nog uit te zoeken posten MT940</t>
        </is>
      </c>
      <c r="C65" s="313" t="n">
        <v>0</v>
      </c>
      <c r="D65" s="313" t="n">
        <v>0</v>
      </c>
      <c r="E65" s="313" t="n">
        <v>0</v>
      </c>
      <c r="F65" s="313" t="n">
        <v>0</v>
      </c>
      <c r="G65" s="313" t="n">
        <v>0</v>
      </c>
      <c r="H65" s="296">
        <f>SUM(C65:G65)</f>
        <v/>
      </c>
    </row>
    <row r="66" ht="12.75" customHeight="1">
      <c r="A66" s="114" t="inlineStr">
        <is>
          <t>2742200</t>
        </is>
      </c>
      <c r="B66" s="112" t="inlineStr">
        <is>
          <t>KLS Vooruitontvangen bedragen</t>
        </is>
      </c>
      <c r="C66" s="313" t="n">
        <v>0</v>
      </c>
      <c r="D66" s="313" t="n">
        <v>0</v>
      </c>
      <c r="E66" s="313" t="n">
        <v>0</v>
      </c>
      <c r="F66" s="313" t="n">
        <v>0</v>
      </c>
      <c r="G66" s="313" t="n">
        <v>0</v>
      </c>
      <c r="H66" s="296">
        <f>SUM(C66:G66)</f>
        <v/>
      </c>
    </row>
    <row r="67" ht="12.75" customHeight="1">
      <c r="A67" s="112" t="inlineStr">
        <is>
          <t>Totaal Overige schulden</t>
        </is>
      </c>
    </row>
    <row r="68" ht="12.75" customHeight="1"/>
    <row r="69" ht="12.75" customHeight="1"/>
    <row r="70" ht="12.75" customHeight="1"/>
    <row r="71" ht="12.75" customHeight="1">
      <c r="A71" s="113" t="inlineStr">
        <is>
          <t>Winst- en verliesrekening (baten zijn positief, kosten negatief)</t>
        </is>
      </c>
    </row>
    <row r="72" ht="12.75" customHeight="1">
      <c r="A72" s="114" t="inlineStr">
        <is>
          <t>8000003</t>
        </is>
      </c>
      <c r="B72" s="112" t="inlineStr">
        <is>
          <t>OPB Netto-omzet Theoretische huuropbrengsten</t>
        </is>
      </c>
      <c r="D72" s="313" t="n">
        <v>-2860507</v>
      </c>
      <c r="E72" s="313" t="n">
        <v>-2862440.42</v>
      </c>
      <c r="F72" s="313" t="n">
        <v>-2870089</v>
      </c>
      <c r="G72" s="313" t="n">
        <v>-2871329.16</v>
      </c>
      <c r="H72" s="296">
        <f>SUM(C72:G72)</f>
        <v/>
      </c>
    </row>
    <row r="73" ht="12.75" customHeight="1">
      <c r="A73" s="114" t="inlineStr">
        <is>
          <t>8000004</t>
        </is>
      </c>
      <c r="B73" s="112" t="inlineStr">
        <is>
          <t>OPB Netto-omzet Leegstand huuropbrengsten</t>
        </is>
      </c>
      <c r="D73" s="313" t="n">
        <v>59646.21</v>
      </c>
      <c r="E73" s="313" t="n">
        <v>38520.4</v>
      </c>
      <c r="F73" s="313" t="n">
        <v>32888</v>
      </c>
      <c r="G73" s="313" t="n">
        <v>39968.65</v>
      </c>
      <c r="H73" s="296">
        <f>SUM(C73:G73)</f>
        <v/>
      </c>
    </row>
    <row r="74" ht="12.75" customHeight="1">
      <c r="A74" s="112" t="inlineStr">
        <is>
          <t>Totaal Netto-omzet</t>
        </is>
      </c>
      <c r="D74" s="313">
        <f>SUM(D72:D73)</f>
        <v/>
      </c>
      <c r="E74" s="313">
        <f>SUM(E72:E73)</f>
        <v/>
      </c>
      <c r="F74" s="313">
        <f>SUM(F72:F73)</f>
        <v/>
      </c>
      <c r="G74" s="313">
        <f>SUM(G72:G73)</f>
        <v/>
      </c>
      <c r="H74" s="296">
        <f>SUM(C74:G74)</f>
        <v/>
      </c>
    </row>
    <row r="75" ht="12.75" customHeight="1"/>
    <row r="76" ht="12.75" customHeight="1">
      <c r="A76" s="114" t="n">
        <v>8400400</v>
      </c>
      <c r="B76" s="112" t="inlineStr">
        <is>
          <t xml:space="preserve">OPB Overige bedrijfsopbrengsten </t>
        </is>
      </c>
      <c r="D76" s="313" t="n">
        <v>0</v>
      </c>
      <c r="E76" s="313" t="n">
        <v>13460</v>
      </c>
      <c r="F76" s="313" t="n">
        <v>-13460</v>
      </c>
      <c r="G76" s="313" t="n">
        <v>0</v>
      </c>
      <c r="H76" s="296">
        <f>SUM(C76:G76)</f>
        <v/>
      </c>
    </row>
    <row r="77" ht="12.75" customHeight="1">
      <c r="A77" s="114" t="inlineStr">
        <is>
          <t>8400600</t>
        </is>
      </c>
      <c r="B77" s="112" t="inlineStr">
        <is>
          <t>OPB Overige bedrijfsopbrengsten Totale servicekosten</t>
        </is>
      </c>
      <c r="D77" s="313" t="n">
        <v>-163178</v>
      </c>
      <c r="E77" s="313" t="n">
        <v>-165060.65</v>
      </c>
      <c r="F77" s="313" t="n">
        <v>-164313</v>
      </c>
      <c r="G77" s="313" t="n">
        <v>-164598.62</v>
      </c>
      <c r="H77" s="296">
        <f>SUM(C77:G77)</f>
        <v/>
      </c>
    </row>
    <row r="78" ht="12.75" customHeight="1">
      <c r="A78" s="114" t="inlineStr">
        <is>
          <t>8400700</t>
        </is>
      </c>
      <c r="B78" s="112" t="inlineStr">
        <is>
          <t>OPB Overige bedrijfsopbrengsten Servicekosten leegstand</t>
        </is>
      </c>
      <c r="D78" s="313" t="n">
        <v>6288.75</v>
      </c>
      <c r="E78" s="313" t="n">
        <v>5967.41</v>
      </c>
      <c r="F78" s="313" t="n">
        <v>1453</v>
      </c>
      <c r="G78" s="313" t="n">
        <v>6011.91</v>
      </c>
      <c r="H78" s="296">
        <f>SUM(C78:G78)</f>
        <v/>
      </c>
    </row>
    <row r="79" ht="12.75" customHeight="1">
      <c r="A79" s="114" t="inlineStr">
        <is>
          <t>8400800</t>
        </is>
      </c>
      <c r="B79" s="112" t="inlineStr">
        <is>
          <t>OPB Overige bedrijfsopbrengsten Gerealiseerde servicekosten</t>
        </is>
      </c>
      <c r="D79" s="313" t="n">
        <v>161869.1</v>
      </c>
      <c r="E79" s="313" t="n">
        <v>191429.47</v>
      </c>
      <c r="F79" s="313" t="n">
        <v>271928</v>
      </c>
      <c r="G79" s="313" t="n">
        <v>195259.97</v>
      </c>
      <c r="H79" s="296">
        <f>SUM(C79:G79)</f>
        <v/>
      </c>
    </row>
    <row r="80" ht="12.75" customHeight="1">
      <c r="A80" s="112" t="inlineStr">
        <is>
          <t>Totaal Overige bedrijfsopbrengsten</t>
        </is>
      </c>
      <c r="D80" s="313">
        <f>SUM(D77:D79)</f>
        <v/>
      </c>
      <c r="E80" s="313">
        <f>SUM(E76:E79)</f>
        <v/>
      </c>
      <c r="F80" s="313">
        <f>SUM(F76:F79)</f>
        <v/>
      </c>
      <c r="G80" s="313">
        <f>SUM(G76:G79)</f>
        <v/>
      </c>
      <c r="H80" s="296">
        <f>SUM(C80:G80)</f>
        <v/>
      </c>
    </row>
    <row r="81" ht="12.75" customHeight="1"/>
    <row r="82" ht="12.75" customHeight="1">
      <c r="A82" s="114" t="inlineStr">
        <is>
          <t>4051400</t>
        </is>
      </c>
      <c r="B82" s="112" t="inlineStr">
        <is>
          <t>KN Diensten door derden</t>
        </is>
      </c>
      <c r="D82" s="313" t="n">
        <v>121881.5</v>
      </c>
      <c r="E82" s="313" t="n">
        <v>121294.6</v>
      </c>
      <c r="F82" s="313" t="n">
        <v>121679.68</v>
      </c>
      <c r="G82" s="313" t="n">
        <v>121956.77</v>
      </c>
      <c r="H82" s="296">
        <f>SUM(C82:G82)</f>
        <v/>
      </c>
    </row>
    <row r="83" ht="12.75" customHeight="1">
      <c r="A83" s="112" t="inlineStr">
        <is>
          <t>Totaal overige personeelskosten</t>
        </is>
      </c>
      <c r="D83" s="313">
        <f>SUM(D82)</f>
        <v/>
      </c>
      <c r="E83" s="313">
        <f>SUM(E82)</f>
        <v/>
      </c>
      <c r="F83" s="313">
        <f>SUM(F82)</f>
        <v/>
      </c>
      <c r="G83" s="313">
        <f>SUM(G82)</f>
        <v/>
      </c>
      <c r="H83" s="296">
        <f>SUM(C83:G83)</f>
        <v/>
      </c>
    </row>
    <row r="84" ht="12.75" customHeight="1"/>
    <row r="85" ht="12.75" customHeight="1">
      <c r="A85" s="114" t="inlineStr">
        <is>
          <t>4730000</t>
        </is>
      </c>
      <c r="B85" s="112" t="inlineStr">
        <is>
          <t>AFKN Afschrijvingskosten Vastgoedbeleggingen</t>
        </is>
      </c>
      <c r="D85" s="313" t="n">
        <v>666766</v>
      </c>
      <c r="E85" s="313" t="n">
        <v>679632</v>
      </c>
      <c r="F85" s="313" t="n">
        <v>682456</v>
      </c>
      <c r="G85" s="313" t="n">
        <v>682714</v>
      </c>
      <c r="H85" s="296">
        <f>SUM(C85:G85)</f>
        <v/>
      </c>
    </row>
    <row r="86" ht="12.75" customHeight="1">
      <c r="A86" s="114" t="inlineStr">
        <is>
          <t>4730200</t>
        </is>
      </c>
      <c r="B86" s="112" t="inlineStr">
        <is>
          <t>AFKN Boekresultaat Vastgoedbeleggingen</t>
        </is>
      </c>
      <c r="D86" s="313" t="n">
        <v>-222065</v>
      </c>
      <c r="E86" s="313" t="n">
        <v>-1362473</v>
      </c>
      <c r="F86" s="313" t="n">
        <v>-490457</v>
      </c>
      <c r="G86" s="313" t="n">
        <v>-423958</v>
      </c>
      <c r="H86" s="296">
        <f>SUM(C86:G86)</f>
        <v/>
      </c>
    </row>
    <row r="87" ht="12.75" customHeight="1">
      <c r="A87" s="112" t="inlineStr">
        <is>
          <t>Totaal Afschrijvingen vastgoedbeleggingen</t>
        </is>
      </c>
      <c r="D87" s="313">
        <f>SUM(D85:D86)</f>
        <v/>
      </c>
      <c r="E87" s="313">
        <f>SUM(E85:E86)</f>
        <v/>
      </c>
      <c r="F87" s="313">
        <f>SUM(F85:F86)</f>
        <v/>
      </c>
      <c r="G87" s="313">
        <f>SUM(G85:G86)</f>
        <v/>
      </c>
      <c r="H87" s="296">
        <f>SUM(C87:G87)</f>
        <v/>
      </c>
    </row>
    <row r="88" ht="12.75" customHeight="1"/>
    <row r="89" ht="12.75" customHeight="1">
      <c r="A89" s="114" t="n">
        <v>4100400</v>
      </c>
      <c r="B89" s="112" t="inlineStr">
        <is>
          <t>KN Onderhoud gebouwen</t>
        </is>
      </c>
      <c r="D89" s="313">
        <f>134619.1+L4</f>
        <v/>
      </c>
      <c r="E89" s="313">
        <f>510329.85+M4</f>
        <v/>
      </c>
      <c r="F89" s="313">
        <f>178607+N4</f>
        <v/>
      </c>
      <c r="G89" s="313">
        <f>230456.52+O4</f>
        <v/>
      </c>
      <c r="H89" s="296">
        <f>SUM(C89:G89)</f>
        <v/>
      </c>
    </row>
    <row r="90" ht="12.75" customHeight="1">
      <c r="A90" s="114" t="inlineStr">
        <is>
          <t>4100410</t>
        </is>
      </c>
      <c r="B90" s="112" t="inlineStr">
        <is>
          <t>Verhuurdersheffing</t>
        </is>
      </c>
      <c r="D90" s="313" t="n">
        <v>129402.5</v>
      </c>
      <c r="E90" s="313" t="n">
        <v>129402.49</v>
      </c>
      <c r="F90" s="321" t="n">
        <v>31818.72</v>
      </c>
      <c r="G90" s="313" t="n">
        <v>31818.72</v>
      </c>
      <c r="H90" s="296">
        <f>SUM(C90:G90)</f>
        <v/>
      </c>
      <c r="I90" s="112" t="inlineStr">
        <is>
          <t>Kosten verdelen over heel 2022</t>
        </is>
      </c>
    </row>
    <row r="91" ht="12.75" customHeight="1">
      <c r="A91" s="114" t="inlineStr">
        <is>
          <t>4100900</t>
        </is>
      </c>
      <c r="B91" s="112" t="inlineStr">
        <is>
          <t>KN Onroerende zaakbelasting</t>
        </is>
      </c>
      <c r="D91" s="313" t="n">
        <v>84680.21000000001</v>
      </c>
      <c r="E91" s="313" t="n">
        <v>82972.46000000001</v>
      </c>
      <c r="F91" s="313" t="n">
        <v>54979.46</v>
      </c>
      <c r="G91" s="313" t="n">
        <v>61017.04</v>
      </c>
      <c r="H91" s="296">
        <f>SUM(C91:G91)</f>
        <v/>
      </c>
    </row>
    <row r="92" ht="12.75" customHeight="1">
      <c r="A92" s="114" t="inlineStr">
        <is>
          <t>4101000</t>
        </is>
      </c>
      <c r="B92" s="112" t="inlineStr">
        <is>
          <t>KN VvE-kosten</t>
        </is>
      </c>
      <c r="D92" s="313" t="n">
        <v>107779.2</v>
      </c>
      <c r="E92" s="313" t="n">
        <v>221370.06</v>
      </c>
      <c r="F92" s="313" t="n">
        <v>167096</v>
      </c>
      <c r="G92" s="313" t="n">
        <v>146899.4</v>
      </c>
      <c r="H92" s="296">
        <f>SUM(C92:G92)</f>
        <v/>
      </c>
    </row>
    <row r="93" ht="12.75" customHeight="1">
      <c r="A93" s="114" t="inlineStr">
        <is>
          <t>4101010</t>
        </is>
      </c>
      <c r="B93" s="112" t="inlineStr">
        <is>
          <t>Gemeentelijke belastingen</t>
        </is>
      </c>
      <c r="D93" s="313" t="n">
        <v>31288.14</v>
      </c>
      <c r="E93" s="313" t="n">
        <v>31086.75</v>
      </c>
      <c r="F93" s="313" t="n">
        <v>17584.71</v>
      </c>
      <c r="G93" s="313" t="n">
        <v>22504.3</v>
      </c>
      <c r="H93" s="296">
        <f>SUM(C93:G93)</f>
        <v/>
      </c>
    </row>
    <row r="94" ht="12.75" customHeight="1">
      <c r="A94" s="114" t="inlineStr">
        <is>
          <t>4101020</t>
        </is>
      </c>
      <c r="B94" s="112" t="inlineStr">
        <is>
          <t>Waterschapsbelasting</t>
        </is>
      </c>
      <c r="D94" s="313">
        <f>42842+9256-37236</f>
        <v/>
      </c>
      <c r="E94" s="313" t="n">
        <v>16030.14</v>
      </c>
      <c r="F94" s="321" t="n">
        <v>14743.33</v>
      </c>
      <c r="G94" s="313" t="n">
        <v>24087.56</v>
      </c>
      <c r="H94" s="296">
        <f>SUM(C94:G94)</f>
        <v/>
      </c>
      <c r="I94" s="112" t="inlineStr">
        <is>
          <t>Kosten verdelen over heel 2022</t>
        </is>
      </c>
    </row>
    <row r="95" ht="12.75" customHeight="1">
      <c r="A95" s="114" t="inlineStr">
        <is>
          <t>4101300</t>
        </is>
      </c>
      <c r="B95" s="112" t="inlineStr">
        <is>
          <t>KN Servicekosten leegstand</t>
        </is>
      </c>
      <c r="D95" s="313" t="n">
        <v>0</v>
      </c>
      <c r="E95" s="313" t="n">
        <v>-22.71</v>
      </c>
      <c r="G95" s="313" t="n">
        <v>0</v>
      </c>
      <c r="H95" s="296">
        <f>SUM(C95:G95)</f>
        <v/>
      </c>
    </row>
    <row r="96" ht="12.75" customHeight="1">
      <c r="A96" s="114" t="inlineStr">
        <is>
          <t>4109800</t>
        </is>
      </c>
      <c r="B96" s="112" t="inlineStr">
        <is>
          <t>KN Overige huisvestingskosten</t>
        </is>
      </c>
      <c r="D96" s="313" t="n">
        <v>0</v>
      </c>
      <c r="E96" s="313" t="n">
        <v>0</v>
      </c>
      <c r="G96" s="313" t="n">
        <v>0</v>
      </c>
      <c r="H96" s="296">
        <f>SUM(C96:G96)</f>
        <v/>
      </c>
    </row>
    <row r="97" ht="12.75" customHeight="1">
      <c r="A97" s="112" t="inlineStr">
        <is>
          <t>Totaal Huisvestingskosten</t>
        </is>
      </c>
      <c r="D97" s="313">
        <f>SUM(D89:D96)</f>
        <v/>
      </c>
      <c r="E97" s="313">
        <f>SUM(E89:E96)</f>
        <v/>
      </c>
      <c r="F97" s="313">
        <f>SUM(F89:F96)</f>
        <v/>
      </c>
      <c r="G97" s="313">
        <f>SUM(G89:G96)</f>
        <v/>
      </c>
      <c r="H97" s="296">
        <f>SUM(C97:G97)</f>
        <v/>
      </c>
    </row>
    <row r="98" ht="12.75" customHeight="1"/>
    <row r="99" ht="12.75" customHeight="1">
      <c r="A99" s="114" t="inlineStr">
        <is>
          <t>4500400</t>
        </is>
      </c>
      <c r="B99" s="112" t="inlineStr">
        <is>
          <t>KN Representatiekosten</t>
        </is>
      </c>
      <c r="D99" s="313" t="n">
        <v>0</v>
      </c>
      <c r="E99" s="313" t="n">
        <v>0</v>
      </c>
      <c r="H99" s="296">
        <f>SUM(C99:G99)</f>
        <v/>
      </c>
    </row>
    <row r="100" ht="12.75" customHeight="1">
      <c r="A100" s="114" t="inlineStr">
        <is>
          <t>4501200</t>
        </is>
      </c>
      <c r="B100" s="112" t="inlineStr">
        <is>
          <t>KN Mutatie voorziening dubieuze debiteuren</t>
        </is>
      </c>
      <c r="D100" s="313" t="n">
        <v>0</v>
      </c>
      <c r="E100" s="313" t="n">
        <v>59966.86</v>
      </c>
      <c r="H100" s="296">
        <f>SUM(C100:G100)</f>
        <v/>
      </c>
    </row>
    <row r="101" ht="12.75" customHeight="1">
      <c r="A101" s="114" t="inlineStr">
        <is>
          <t>4501300</t>
        </is>
      </c>
      <c r="B101" s="112" t="inlineStr">
        <is>
          <t>KN Afboeking dubieuze debiteuren</t>
        </is>
      </c>
      <c r="D101" s="313" t="n">
        <v>461</v>
      </c>
      <c r="E101" s="313" t="n">
        <v>238.16</v>
      </c>
      <c r="F101" s="313" t="n">
        <v>-3681</v>
      </c>
      <c r="G101" s="313" t="n">
        <v>1678.58</v>
      </c>
      <c r="H101" s="296">
        <f>SUM(C101:G101)</f>
        <v/>
      </c>
    </row>
    <row r="102" ht="12.75" customHeight="1">
      <c r="A102" s="112" t="inlineStr">
        <is>
          <t>Totaal Verkoopkosten</t>
        </is>
      </c>
      <c r="D102" s="313">
        <f>SUM(D99:D101)</f>
        <v/>
      </c>
      <c r="E102" s="313">
        <f>SUM(E99:E101)</f>
        <v/>
      </c>
      <c r="F102" s="313">
        <f>SUM(F99:F101)</f>
        <v/>
      </c>
      <c r="G102" s="313">
        <f>SUM(G99:G101)</f>
        <v/>
      </c>
      <c r="H102" s="296">
        <f>SUM(C102:G102)</f>
        <v/>
      </c>
    </row>
    <row r="103" ht="12.75" customHeight="1"/>
    <row r="104" ht="12.75" customHeight="1">
      <c r="A104" s="114" t="inlineStr">
        <is>
          <t>4300500</t>
        </is>
      </c>
      <c r="B104" s="112" t="inlineStr">
        <is>
          <t>KN Incassokosten</t>
        </is>
      </c>
      <c r="D104" s="313" t="n">
        <v>300</v>
      </c>
      <c r="E104" s="313" t="n">
        <v>340</v>
      </c>
      <c r="F104" s="313" t="n">
        <v>307</v>
      </c>
      <c r="G104" s="313" t="n">
        <v>300</v>
      </c>
      <c r="H104" s="296">
        <f>SUM(C104:G104)</f>
        <v/>
      </c>
    </row>
    <row r="105" ht="12.75" customHeight="1">
      <c r="A105" s="112" t="inlineStr">
        <is>
          <t>Totaal Kantoorkosten</t>
        </is>
      </c>
      <c r="D105" s="313">
        <f>SUM(D104)</f>
        <v/>
      </c>
      <c r="E105" s="313">
        <f>SUM(E104)</f>
        <v/>
      </c>
      <c r="F105" s="313">
        <f>SUM(F104)</f>
        <v/>
      </c>
      <c r="G105" s="313">
        <f>SUM(G104)</f>
        <v/>
      </c>
      <c r="H105" s="296">
        <f>SUM(C105:G105)</f>
        <v/>
      </c>
    </row>
    <row r="106" ht="12.75" customHeight="1"/>
    <row r="107" ht="12.75" customHeight="1">
      <c r="A107" s="114" t="inlineStr">
        <is>
          <t>4310000</t>
        </is>
      </c>
      <c r="B107" s="112" t="inlineStr">
        <is>
          <t>KN Abonnementen en contributies</t>
        </is>
      </c>
      <c r="D107" s="313" t="n">
        <v>0</v>
      </c>
      <c r="E107" s="313" t="n">
        <v>0</v>
      </c>
      <c r="F107" s="313" t="n">
        <v>0</v>
      </c>
      <c r="G107" s="313" t="n">
        <v>0</v>
      </c>
      <c r="H107" s="296">
        <f>SUM(C107:G107)</f>
        <v/>
      </c>
    </row>
    <row r="108" ht="12.75" customHeight="1">
      <c r="A108" s="114" t="inlineStr">
        <is>
          <t>4310400</t>
        </is>
      </c>
      <c r="B108" s="112" t="inlineStr">
        <is>
          <t>KN Assurantiepremie algemeen</t>
        </is>
      </c>
      <c r="D108" s="313" t="n">
        <v>28219.25</v>
      </c>
      <c r="E108" s="313" t="n">
        <v>29692.1</v>
      </c>
      <c r="F108" s="321" t="n">
        <v>29598.07</v>
      </c>
      <c r="G108" s="313" t="n">
        <v>29220.54</v>
      </c>
      <c r="H108" s="296">
        <f>SUM(C108:G108)</f>
        <v/>
      </c>
      <c r="I108" s="112" t="inlineStr">
        <is>
          <t>Verdelen verzekering over heel 2022</t>
        </is>
      </c>
    </row>
    <row r="109" ht="12.75" customHeight="1">
      <c r="A109" s="114" t="inlineStr">
        <is>
          <t>4310500</t>
        </is>
      </c>
      <c r="B109" s="112" t="inlineStr">
        <is>
          <t>KN Managementvergoeding</t>
        </is>
      </c>
      <c r="D109" s="313" t="n">
        <v>5445</v>
      </c>
      <c r="E109" s="313" t="n">
        <v>5445</v>
      </c>
      <c r="F109" s="313" t="n">
        <v>5445</v>
      </c>
      <c r="G109" s="313" t="n">
        <v>1815</v>
      </c>
      <c r="H109" s="296">
        <f>SUM(C109:G109)</f>
        <v/>
      </c>
    </row>
    <row r="110" ht="12.75" customHeight="1">
      <c r="A110" s="114" t="inlineStr">
        <is>
          <t>4310600</t>
        </is>
      </c>
      <c r="B110" s="112" t="inlineStr">
        <is>
          <t>KN Accountantskosten</t>
        </is>
      </c>
      <c r="D110" s="313" t="n">
        <v>61669.95</v>
      </c>
      <c r="E110" s="313" t="n">
        <v>2612.6</v>
      </c>
      <c r="F110" s="313" t="n">
        <v>4564</v>
      </c>
      <c r="G110" s="313" t="n">
        <v>17202.63</v>
      </c>
      <c r="H110" s="296">
        <f>SUM(C110:G110)</f>
        <v/>
      </c>
    </row>
    <row r="111" ht="12.75" customHeight="1">
      <c r="A111" s="114" t="inlineStr">
        <is>
          <t>4310700</t>
        </is>
      </c>
      <c r="B111" s="112" t="inlineStr">
        <is>
          <t>KN Administratiekosten</t>
        </is>
      </c>
      <c r="D111" s="313" t="n">
        <v>2420</v>
      </c>
      <c r="E111" s="313" t="n">
        <v>2420</v>
      </c>
      <c r="G111" s="313" t="n">
        <v>2420</v>
      </c>
      <c r="H111" s="296">
        <f>SUM(C111:G111)</f>
        <v/>
      </c>
    </row>
    <row r="112" ht="12.75" customHeight="1">
      <c r="A112" s="114" t="inlineStr">
        <is>
          <t>4310800</t>
        </is>
      </c>
      <c r="B112" s="112" t="inlineStr">
        <is>
          <t>KN Makelaarskosten</t>
        </is>
      </c>
      <c r="D112" s="313" t="n">
        <v>50119.65</v>
      </c>
      <c r="E112" s="313" t="n">
        <v>94401.17999999999</v>
      </c>
      <c r="F112" s="313" t="n">
        <v>41825</v>
      </c>
      <c r="G112" s="313" t="n">
        <v>56676.4</v>
      </c>
      <c r="H112" s="296">
        <f>SUM(C112:G112)</f>
        <v/>
      </c>
    </row>
    <row r="113" ht="12.75" customHeight="1">
      <c r="A113" s="114" t="inlineStr">
        <is>
          <t>4311000</t>
        </is>
      </c>
      <c r="B113" s="112" t="inlineStr">
        <is>
          <t>KN Juridische kosten</t>
        </is>
      </c>
      <c r="D113" s="313" t="n">
        <v>3422.05</v>
      </c>
      <c r="E113" s="313" t="n">
        <v>4699.49</v>
      </c>
      <c r="F113" s="313" t="n">
        <v>901</v>
      </c>
      <c r="G113" s="313" t="n">
        <v>11908.13</v>
      </c>
      <c r="H113" s="296">
        <f>SUM(C113:G113)</f>
        <v/>
      </c>
    </row>
    <row r="114" ht="12.75" customHeight="1">
      <c r="A114" s="114" t="inlineStr">
        <is>
          <t>4311800</t>
        </is>
      </c>
      <c r="B114" s="112" t="inlineStr">
        <is>
          <t>KN Advieskosten</t>
        </is>
      </c>
      <c r="D114" s="313" t="n">
        <v>0</v>
      </c>
      <c r="E114" s="313" t="n">
        <v>0</v>
      </c>
      <c r="F114" s="313" t="n">
        <v>12100</v>
      </c>
      <c r="G114" s="313" t="n">
        <v>10587.5</v>
      </c>
      <c r="H114" s="296">
        <f>SUM(C114:G114)</f>
        <v/>
      </c>
    </row>
    <row r="115" ht="12" customHeight="1">
      <c r="A115" s="114" t="inlineStr">
        <is>
          <t>4311900</t>
        </is>
      </c>
      <c r="B115" s="112" t="inlineStr">
        <is>
          <t>KN Bankkosten</t>
        </is>
      </c>
      <c r="D115" s="313" t="n">
        <v>6968.21</v>
      </c>
      <c r="E115" s="313" t="n">
        <v>1225.96</v>
      </c>
      <c r="F115" s="313" t="n">
        <v>4218</v>
      </c>
      <c r="G115" s="313" t="n">
        <v>3987.94</v>
      </c>
      <c r="H115" s="296">
        <f>SUM(C115:G115)</f>
        <v/>
      </c>
    </row>
    <row r="116" ht="12.75" customHeight="1">
      <c r="A116" s="114" t="inlineStr">
        <is>
          <t>4312600</t>
        </is>
      </c>
      <c r="B116" s="112" t="inlineStr">
        <is>
          <t>KN Agent Fee facility</t>
        </is>
      </c>
      <c r="D116" s="313" t="n">
        <v>20000</v>
      </c>
      <c r="E116" s="313" t="n">
        <v>0</v>
      </c>
      <c r="F116" s="313" t="n">
        <v>0</v>
      </c>
      <c r="G116" s="313" t="n">
        <v>20000</v>
      </c>
      <c r="H116" s="296">
        <f>SUM(C116:G116)</f>
        <v/>
      </c>
    </row>
    <row r="117" ht="12.75" customHeight="1">
      <c r="A117" s="114" t="inlineStr">
        <is>
          <t>4319800</t>
        </is>
      </c>
      <c r="B117" s="112" t="inlineStr">
        <is>
          <t>KN Overige algemene kosten</t>
        </is>
      </c>
      <c r="D117" s="313">
        <f>-9583+182</f>
        <v/>
      </c>
      <c r="E117" s="313" t="n">
        <v>1050.28</v>
      </c>
      <c r="F117" s="313" t="n">
        <v>550</v>
      </c>
      <c r="G117" s="313" t="n">
        <v>1290.22</v>
      </c>
      <c r="H117" s="296">
        <f>SUM(C117:G117)</f>
        <v/>
      </c>
    </row>
    <row r="118" ht="12.75" customHeight="1">
      <c r="A118" s="112" t="inlineStr">
        <is>
          <t>Totaal Algemene kosten</t>
        </is>
      </c>
      <c r="D118" s="313">
        <f>SUM(D107:D117)</f>
        <v/>
      </c>
      <c r="E118" s="313">
        <f>SUM(E107:E117)</f>
        <v/>
      </c>
      <c r="F118" s="313">
        <f>SUM(F107:F117)</f>
        <v/>
      </c>
      <c r="G118" s="313">
        <f>SUM(G107:G117)</f>
        <v/>
      </c>
      <c r="H118" s="296">
        <f>SUM(C118:G118)</f>
        <v/>
      </c>
    </row>
    <row r="119" ht="12.75" customHeight="1"/>
    <row r="120" ht="12.75" customHeight="1">
      <c r="A120" s="114" t="inlineStr">
        <is>
          <t>4623001</t>
        </is>
      </c>
      <c r="B120" s="112" t="inlineStr">
        <is>
          <t>FINBL Rente ABN AMRO Bank NV Senior Facility Agreement</t>
        </is>
      </c>
      <c r="D120" s="313" t="n">
        <v>420037.6</v>
      </c>
      <c r="E120" s="313" t="n">
        <v>416515.02</v>
      </c>
      <c r="F120" s="313" t="n">
        <v>401338</v>
      </c>
      <c r="G120" s="313" t="n">
        <v>401959.7</v>
      </c>
      <c r="H120" s="296">
        <f>SUM(C120:G120)</f>
        <v/>
      </c>
    </row>
    <row r="121" ht="12.75" customHeight="1">
      <c r="A121" s="114" t="n">
        <v>4611000</v>
      </c>
      <c r="B121" s="112" t="inlineStr">
        <is>
          <t>FINBL Rente RC DMRRP INV - I BV</t>
        </is>
      </c>
      <c r="D121" s="313" t="n">
        <v>0</v>
      </c>
      <c r="E121" s="313" t="n">
        <v>4201</v>
      </c>
      <c r="F121" s="313" t="n">
        <v>0</v>
      </c>
      <c r="G121" s="313" t="n">
        <v>0</v>
      </c>
      <c r="H121" s="296">
        <f>SUM(C121:G121)</f>
        <v/>
      </c>
    </row>
    <row r="122" ht="12.75" customHeight="1">
      <c r="A122" s="114" t="n">
        <v>4630000</v>
      </c>
      <c r="B122" s="112" t="inlineStr">
        <is>
          <t>FINBL Rente belastingen</t>
        </is>
      </c>
      <c r="D122" s="313" t="n">
        <v>0</v>
      </c>
      <c r="E122" s="313" t="n">
        <v>0</v>
      </c>
      <c r="F122" s="313" t="n">
        <v>0</v>
      </c>
      <c r="G122" s="313" t="n">
        <v>0</v>
      </c>
      <c r="H122" s="296">
        <f>SUM(C122:G122)</f>
        <v/>
      </c>
    </row>
    <row r="123" ht="12.75" customHeight="1">
      <c r="A123" s="114" t="inlineStr">
        <is>
          <t>4643000</t>
        </is>
      </c>
      <c r="B123" s="112" t="inlineStr">
        <is>
          <t>FINBL Overige rentelasten</t>
        </is>
      </c>
      <c r="D123" s="313" t="n">
        <v>103625.3</v>
      </c>
      <c r="E123" s="313" t="n">
        <v>102995.06</v>
      </c>
      <c r="F123" s="313" t="n">
        <v>100023.25</v>
      </c>
      <c r="G123" s="313" t="n">
        <v>100452.6</v>
      </c>
      <c r="H123" s="296">
        <f>SUM(C123:G123)</f>
        <v/>
      </c>
    </row>
    <row r="124" ht="12.75" customHeight="1">
      <c r="A124" s="114" t="n">
        <v>4642000</v>
      </c>
      <c r="B124" s="112" t="inlineStr">
        <is>
          <t>FINBL overige rentebaten</t>
        </is>
      </c>
      <c r="D124" s="313" t="n">
        <v>0</v>
      </c>
      <c r="E124" s="313" t="n">
        <v>2949.43</v>
      </c>
      <c r="F124" s="313" t="n">
        <v>0</v>
      </c>
      <c r="G124" s="313" t="n">
        <v>0</v>
      </c>
      <c r="H124" s="296">
        <f>SUM(C124:G124)</f>
        <v/>
      </c>
    </row>
    <row r="125" ht="12.75" customHeight="1">
      <c r="A125" s="114" t="inlineStr">
        <is>
          <t>Totaal Financiële baten en lasten</t>
        </is>
      </c>
      <c r="D125" s="313">
        <f>SUM(D120:D124)</f>
        <v/>
      </c>
      <c r="E125" s="313">
        <f>SUM(E120:E124)</f>
        <v/>
      </c>
      <c r="F125" s="313">
        <f>SUM(F120:F124)</f>
        <v/>
      </c>
      <c r="G125" s="313">
        <f>SUM(G120:G124)</f>
        <v/>
      </c>
      <c r="H125" s="296">
        <f>SUM(C125:G125)</f>
        <v/>
      </c>
    </row>
    <row r="126" ht="12.75" customHeight="1"/>
    <row r="127" ht="12.75" customHeight="1">
      <c r="A127" s="114" t="n">
        <v>9500000</v>
      </c>
      <c r="B127" s="112" t="inlineStr">
        <is>
          <t>VPB Vennootschapsbelasting VPB Huidg jaar</t>
        </is>
      </c>
      <c r="D127" s="313" t="n">
        <v>0</v>
      </c>
      <c r="E127" s="321" t="n">
        <v>2276087</v>
      </c>
      <c r="F127" s="313" t="n">
        <v>0</v>
      </c>
      <c r="G127" s="313" t="n">
        <v>0</v>
      </c>
      <c r="H127" s="296">
        <f>SUM(C127:G127)</f>
        <v/>
      </c>
      <c r="I127" s="112" t="inlineStr">
        <is>
          <t>Correctie nav definitieve jaarrekening</t>
        </is>
      </c>
    </row>
    <row r="128" ht="12.75" customHeight="1">
      <c r="A128" s="114" t="inlineStr">
        <is>
          <t>9510000</t>
        </is>
      </c>
      <c r="B128" s="112" t="inlineStr">
        <is>
          <t>VPB Mutatie belastinglatentie Mutatie actieve latentie</t>
        </is>
      </c>
      <c r="D128" s="313" t="n">
        <v>-161798</v>
      </c>
      <c r="E128" s="313" t="n">
        <v>-273366.2</v>
      </c>
      <c r="F128" s="313" t="n">
        <v>-237434</v>
      </c>
      <c r="G128" s="313" t="n">
        <v>-121126</v>
      </c>
      <c r="H128" s="296">
        <f>SUM(C128:G128)</f>
        <v/>
      </c>
    </row>
    <row r="129" ht="12.75" customHeight="1">
      <c r="A129" s="114" t="n">
        <v>9500100</v>
      </c>
      <c r="B129" s="112" t="inlineStr">
        <is>
          <t>VPB Vennootschapsbelasting VPB voorgaande jaren</t>
        </is>
      </c>
      <c r="D129" s="313" t="n">
        <v>0</v>
      </c>
      <c r="E129" s="313" t="n">
        <v>0</v>
      </c>
      <c r="F129" s="313" t="n">
        <v>0</v>
      </c>
      <c r="G129" s="313" t="n">
        <v>0</v>
      </c>
      <c r="H129" s="296">
        <f>SUM(C129:G129)</f>
        <v/>
      </c>
    </row>
    <row r="130" ht="12.75" customHeight="1">
      <c r="A130" s="114" t="inlineStr">
        <is>
          <t>Totaal vennootschapsbelasting</t>
        </is>
      </c>
      <c r="C130" s="314" t="n"/>
      <c r="D130" s="314">
        <f>SUM(D127:D128)-2</f>
        <v/>
      </c>
      <c r="E130" s="314">
        <f>SUM(E127:E129)</f>
        <v/>
      </c>
      <c r="F130" s="314">
        <f>SUM(F127:F129)</f>
        <v/>
      </c>
      <c r="G130" s="314">
        <f>SUM(G127:G128)-2</f>
        <v/>
      </c>
      <c r="H130" s="296">
        <f>SUM(C130:G130)</f>
        <v/>
      </c>
    </row>
    <row r="131" ht="12.75" customHeight="1">
      <c r="H131" s="296">
        <f>SUM(C131:G131)</f>
        <v/>
      </c>
    </row>
    <row r="132" ht="12.75" customHeight="1">
      <c r="A132" s="112" t="inlineStr">
        <is>
          <t>Resultaat na belasting</t>
        </is>
      </c>
      <c r="D132" s="313">
        <f>D74+D80+D83+D87+D97+D102+D105+D118+D125+D130</f>
        <v/>
      </c>
      <c r="E132" s="313">
        <f>E74+E80+E83+E87+E97+E102+E105+E118+E125+E130</f>
        <v/>
      </c>
      <c r="F132" s="313">
        <f>F74+F80+F83+F87+F97+F102+F105+F118+F125+F130</f>
        <v/>
      </c>
      <c r="G132" s="313">
        <f>G74+G80+G83+G87+G97+G102+G105+G118+G125+G130</f>
        <v/>
      </c>
      <c r="H132" s="340">
        <f>H74+H80+H83+H87+H97+H102+H105+H118+H125+H130</f>
        <v/>
      </c>
      <c r="I132" s="313" t="n"/>
      <c r="J132" s="296" t="n"/>
      <c r="K132" s="296" t="n"/>
    </row>
    <row r="133" ht="12.75" customHeight="1"/>
    <row r="134" ht="12.75" customHeight="1">
      <c r="C134" s="325" t="n"/>
      <c r="D134" s="325">
        <f>SUM(D4:D67)+D132</f>
        <v/>
      </c>
      <c r="E134" s="325">
        <f>SUM(E4:E67)+E132</f>
        <v/>
      </c>
      <c r="F134" s="325">
        <f>SUM(F4:F67)+F132</f>
        <v/>
      </c>
      <c r="G134" s="325">
        <f>SUM(G4:G67)+G132</f>
        <v/>
      </c>
      <c r="H134" s="296">
        <f>SUM(C132:G132)</f>
        <v/>
      </c>
      <c r="I134" s="112" t="inlineStr">
        <is>
          <t>Afronding</t>
        </is>
      </c>
    </row>
    <row r="135" ht="12.75" customHeight="1"/>
    <row r="136" ht="12.75" customHeight="1">
      <c r="H136" s="296">
        <f>SUM(C134:G134)</f>
        <v/>
      </c>
    </row>
    <row r="137" ht="12.75" customHeight="1"/>
    <row r="138" ht="12.75" customHeight="1"/>
    <row r="139" ht="12.75" customHeight="1">
      <c r="H139" s="296">
        <f>SUM(H4:H67)</f>
        <v/>
      </c>
    </row>
    <row r="140" ht="12.75" customHeight="1"/>
    <row r="141" ht="12.75" customHeight="1"/>
    <row r="142" ht="12.75" customHeight="1">
      <c r="H142" s="296">
        <f>-H134-H139</f>
        <v/>
      </c>
    </row>
    <row r="143" ht="12.75" customHeight="1"/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33"/>
  <sheetViews>
    <sheetView topLeftCell="A67" zoomScale="115" zoomScaleNormal="115" workbookViewId="0">
      <pane xSplit="2" topLeftCell="C1" activePane="topRight" state="frozen"/>
      <selection pane="topRight" activeCell="L4" sqref="L4"/>
    </sheetView>
  </sheetViews>
  <sheetFormatPr baseColWidth="8" defaultRowHeight="12.75" customHeight="1"/>
  <cols>
    <col width="21.109375" bestFit="1" customWidth="1" style="130" min="1" max="1"/>
    <col width="70" bestFit="1" customWidth="1" style="1" min="2" max="2"/>
    <col width="24.5546875" bestFit="1" customWidth="1" style="341" min="3" max="3"/>
    <col width="22.44140625" customWidth="1" style="341" min="4" max="7"/>
    <col width="19.44140625" bestFit="1" customWidth="1" style="290" min="8" max="8"/>
    <col width="12.88671875" bestFit="1" customWidth="1" style="1" min="9" max="9"/>
    <col width="11.33203125" bestFit="1" customWidth="1" style="1" min="10" max="10"/>
    <col width="9.109375" customWidth="1" style="1" min="11" max="256"/>
    <col width="21.109375" bestFit="1" customWidth="1" style="1" min="257" max="257"/>
    <col width="70" bestFit="1" customWidth="1" style="1" min="258" max="258"/>
    <col width="24.5546875" bestFit="1" customWidth="1" style="1" min="259" max="259"/>
    <col width="22.44140625" customWidth="1" style="1" min="260" max="263"/>
    <col width="19.44140625" bestFit="1" customWidth="1" style="1" min="264" max="264"/>
    <col width="12.88671875" bestFit="1" customWidth="1" style="1" min="265" max="265"/>
    <col width="9.109375" customWidth="1" style="1" min="266" max="512"/>
    <col width="21.109375" bestFit="1" customWidth="1" style="1" min="513" max="513"/>
    <col width="70" bestFit="1" customWidth="1" style="1" min="514" max="514"/>
    <col width="24.5546875" bestFit="1" customWidth="1" style="1" min="515" max="515"/>
    <col width="22.44140625" customWidth="1" style="1" min="516" max="519"/>
    <col width="19.44140625" bestFit="1" customWidth="1" style="1" min="520" max="520"/>
    <col width="12.88671875" bestFit="1" customWidth="1" style="1" min="521" max="521"/>
    <col width="9.109375" customWidth="1" style="1" min="522" max="768"/>
    <col width="21.109375" bestFit="1" customWidth="1" style="1" min="769" max="769"/>
    <col width="70" bestFit="1" customWidth="1" style="1" min="770" max="770"/>
    <col width="24.5546875" bestFit="1" customWidth="1" style="1" min="771" max="771"/>
    <col width="22.44140625" customWidth="1" style="1" min="772" max="775"/>
    <col width="19.44140625" bestFit="1" customWidth="1" style="1" min="776" max="776"/>
    <col width="12.88671875" bestFit="1" customWidth="1" style="1" min="777" max="777"/>
    <col width="9.109375" customWidth="1" style="1" min="778" max="1024"/>
    <col width="21.109375" bestFit="1" customWidth="1" style="1" min="1025" max="1025"/>
    <col width="70" bestFit="1" customWidth="1" style="1" min="1026" max="1026"/>
    <col width="24.5546875" bestFit="1" customWidth="1" style="1" min="1027" max="1027"/>
    <col width="22.44140625" customWidth="1" style="1" min="1028" max="1031"/>
    <col width="19.44140625" bestFit="1" customWidth="1" style="1" min="1032" max="1032"/>
    <col width="12.88671875" bestFit="1" customWidth="1" style="1" min="1033" max="1033"/>
    <col width="9.109375" customWidth="1" style="1" min="1034" max="1280"/>
    <col width="21.109375" bestFit="1" customWidth="1" style="1" min="1281" max="1281"/>
    <col width="70" bestFit="1" customWidth="1" style="1" min="1282" max="1282"/>
    <col width="24.5546875" bestFit="1" customWidth="1" style="1" min="1283" max="1283"/>
    <col width="22.44140625" customWidth="1" style="1" min="1284" max="1287"/>
    <col width="19.44140625" bestFit="1" customWidth="1" style="1" min="1288" max="1288"/>
    <col width="12.88671875" bestFit="1" customWidth="1" style="1" min="1289" max="1289"/>
    <col width="9.109375" customWidth="1" style="1" min="1290" max="1536"/>
    <col width="21.109375" bestFit="1" customWidth="1" style="1" min="1537" max="1537"/>
    <col width="70" bestFit="1" customWidth="1" style="1" min="1538" max="1538"/>
    <col width="24.5546875" bestFit="1" customWidth="1" style="1" min="1539" max="1539"/>
    <col width="22.44140625" customWidth="1" style="1" min="1540" max="1543"/>
    <col width="19.44140625" bestFit="1" customWidth="1" style="1" min="1544" max="1544"/>
    <col width="12.88671875" bestFit="1" customWidth="1" style="1" min="1545" max="1545"/>
    <col width="9.109375" customWidth="1" style="1" min="1546" max="1792"/>
    <col width="21.109375" bestFit="1" customWidth="1" style="1" min="1793" max="1793"/>
    <col width="70" bestFit="1" customWidth="1" style="1" min="1794" max="1794"/>
    <col width="24.5546875" bestFit="1" customWidth="1" style="1" min="1795" max="1795"/>
    <col width="22.44140625" customWidth="1" style="1" min="1796" max="1799"/>
    <col width="19.44140625" bestFit="1" customWidth="1" style="1" min="1800" max="1800"/>
    <col width="12.88671875" bestFit="1" customWidth="1" style="1" min="1801" max="1801"/>
    <col width="9.109375" customWidth="1" style="1" min="1802" max="2048"/>
    <col width="21.109375" bestFit="1" customWidth="1" style="1" min="2049" max="2049"/>
    <col width="70" bestFit="1" customWidth="1" style="1" min="2050" max="2050"/>
    <col width="24.5546875" bestFit="1" customWidth="1" style="1" min="2051" max="2051"/>
    <col width="22.44140625" customWidth="1" style="1" min="2052" max="2055"/>
    <col width="19.44140625" bestFit="1" customWidth="1" style="1" min="2056" max="2056"/>
    <col width="12.88671875" bestFit="1" customWidth="1" style="1" min="2057" max="2057"/>
    <col width="9.109375" customWidth="1" style="1" min="2058" max="2304"/>
    <col width="21.109375" bestFit="1" customWidth="1" style="1" min="2305" max="2305"/>
    <col width="70" bestFit="1" customWidth="1" style="1" min="2306" max="2306"/>
    <col width="24.5546875" bestFit="1" customWidth="1" style="1" min="2307" max="2307"/>
    <col width="22.44140625" customWidth="1" style="1" min="2308" max="2311"/>
    <col width="19.44140625" bestFit="1" customWidth="1" style="1" min="2312" max="2312"/>
    <col width="12.88671875" bestFit="1" customWidth="1" style="1" min="2313" max="2313"/>
    <col width="9.109375" customWidth="1" style="1" min="2314" max="2560"/>
    <col width="21.109375" bestFit="1" customWidth="1" style="1" min="2561" max="2561"/>
    <col width="70" bestFit="1" customWidth="1" style="1" min="2562" max="2562"/>
    <col width="24.5546875" bestFit="1" customWidth="1" style="1" min="2563" max="2563"/>
    <col width="22.44140625" customWidth="1" style="1" min="2564" max="2567"/>
    <col width="19.44140625" bestFit="1" customWidth="1" style="1" min="2568" max="2568"/>
    <col width="12.88671875" bestFit="1" customWidth="1" style="1" min="2569" max="2569"/>
    <col width="9.109375" customWidth="1" style="1" min="2570" max="2816"/>
    <col width="21.109375" bestFit="1" customWidth="1" style="1" min="2817" max="2817"/>
    <col width="70" bestFit="1" customWidth="1" style="1" min="2818" max="2818"/>
    <col width="24.5546875" bestFit="1" customWidth="1" style="1" min="2819" max="2819"/>
    <col width="22.44140625" customWidth="1" style="1" min="2820" max="2823"/>
    <col width="19.44140625" bestFit="1" customWidth="1" style="1" min="2824" max="2824"/>
    <col width="12.88671875" bestFit="1" customWidth="1" style="1" min="2825" max="2825"/>
    <col width="9.109375" customWidth="1" style="1" min="2826" max="3072"/>
    <col width="21.109375" bestFit="1" customWidth="1" style="1" min="3073" max="3073"/>
    <col width="70" bestFit="1" customWidth="1" style="1" min="3074" max="3074"/>
    <col width="24.5546875" bestFit="1" customWidth="1" style="1" min="3075" max="3075"/>
    <col width="22.44140625" customWidth="1" style="1" min="3076" max="3079"/>
    <col width="19.44140625" bestFit="1" customWidth="1" style="1" min="3080" max="3080"/>
    <col width="12.88671875" bestFit="1" customWidth="1" style="1" min="3081" max="3081"/>
    <col width="9.109375" customWidth="1" style="1" min="3082" max="3328"/>
    <col width="21.109375" bestFit="1" customWidth="1" style="1" min="3329" max="3329"/>
    <col width="70" bestFit="1" customWidth="1" style="1" min="3330" max="3330"/>
    <col width="24.5546875" bestFit="1" customWidth="1" style="1" min="3331" max="3331"/>
    <col width="22.44140625" customWidth="1" style="1" min="3332" max="3335"/>
    <col width="19.44140625" bestFit="1" customWidth="1" style="1" min="3336" max="3336"/>
    <col width="12.88671875" bestFit="1" customWidth="1" style="1" min="3337" max="3337"/>
    <col width="9.109375" customWidth="1" style="1" min="3338" max="3584"/>
    <col width="21.109375" bestFit="1" customWidth="1" style="1" min="3585" max="3585"/>
    <col width="70" bestFit="1" customWidth="1" style="1" min="3586" max="3586"/>
    <col width="24.5546875" bestFit="1" customWidth="1" style="1" min="3587" max="3587"/>
    <col width="22.44140625" customWidth="1" style="1" min="3588" max="3591"/>
    <col width="19.44140625" bestFit="1" customWidth="1" style="1" min="3592" max="3592"/>
    <col width="12.88671875" bestFit="1" customWidth="1" style="1" min="3593" max="3593"/>
    <col width="9.109375" customWidth="1" style="1" min="3594" max="3840"/>
    <col width="21.109375" bestFit="1" customWidth="1" style="1" min="3841" max="3841"/>
    <col width="70" bestFit="1" customWidth="1" style="1" min="3842" max="3842"/>
    <col width="24.5546875" bestFit="1" customWidth="1" style="1" min="3843" max="3843"/>
    <col width="22.44140625" customWidth="1" style="1" min="3844" max="3847"/>
    <col width="19.44140625" bestFit="1" customWidth="1" style="1" min="3848" max="3848"/>
    <col width="12.88671875" bestFit="1" customWidth="1" style="1" min="3849" max="3849"/>
    <col width="9.109375" customWidth="1" style="1" min="3850" max="4096"/>
    <col width="21.109375" bestFit="1" customWidth="1" style="1" min="4097" max="4097"/>
    <col width="70" bestFit="1" customWidth="1" style="1" min="4098" max="4098"/>
    <col width="24.5546875" bestFit="1" customWidth="1" style="1" min="4099" max="4099"/>
    <col width="22.44140625" customWidth="1" style="1" min="4100" max="4103"/>
    <col width="19.44140625" bestFit="1" customWidth="1" style="1" min="4104" max="4104"/>
    <col width="12.88671875" bestFit="1" customWidth="1" style="1" min="4105" max="4105"/>
    <col width="9.109375" customWidth="1" style="1" min="4106" max="4352"/>
    <col width="21.109375" bestFit="1" customWidth="1" style="1" min="4353" max="4353"/>
    <col width="70" bestFit="1" customWidth="1" style="1" min="4354" max="4354"/>
    <col width="24.5546875" bestFit="1" customWidth="1" style="1" min="4355" max="4355"/>
    <col width="22.44140625" customWidth="1" style="1" min="4356" max="4359"/>
    <col width="19.44140625" bestFit="1" customWidth="1" style="1" min="4360" max="4360"/>
    <col width="12.88671875" bestFit="1" customWidth="1" style="1" min="4361" max="4361"/>
    <col width="9.109375" customWidth="1" style="1" min="4362" max="4608"/>
    <col width="21.109375" bestFit="1" customWidth="1" style="1" min="4609" max="4609"/>
    <col width="70" bestFit="1" customWidth="1" style="1" min="4610" max="4610"/>
    <col width="24.5546875" bestFit="1" customWidth="1" style="1" min="4611" max="4611"/>
    <col width="22.44140625" customWidth="1" style="1" min="4612" max="4615"/>
    <col width="19.44140625" bestFit="1" customWidth="1" style="1" min="4616" max="4616"/>
    <col width="12.88671875" bestFit="1" customWidth="1" style="1" min="4617" max="4617"/>
    <col width="9.109375" customWidth="1" style="1" min="4618" max="4864"/>
    <col width="21.109375" bestFit="1" customWidth="1" style="1" min="4865" max="4865"/>
    <col width="70" bestFit="1" customWidth="1" style="1" min="4866" max="4866"/>
    <col width="24.5546875" bestFit="1" customWidth="1" style="1" min="4867" max="4867"/>
    <col width="22.44140625" customWidth="1" style="1" min="4868" max="4871"/>
    <col width="19.44140625" bestFit="1" customWidth="1" style="1" min="4872" max="4872"/>
    <col width="12.88671875" bestFit="1" customWidth="1" style="1" min="4873" max="4873"/>
    <col width="9.109375" customWidth="1" style="1" min="4874" max="5120"/>
    <col width="21.109375" bestFit="1" customWidth="1" style="1" min="5121" max="5121"/>
    <col width="70" bestFit="1" customWidth="1" style="1" min="5122" max="5122"/>
    <col width="24.5546875" bestFit="1" customWidth="1" style="1" min="5123" max="5123"/>
    <col width="22.44140625" customWidth="1" style="1" min="5124" max="5127"/>
    <col width="19.44140625" bestFit="1" customWidth="1" style="1" min="5128" max="5128"/>
    <col width="12.88671875" bestFit="1" customWidth="1" style="1" min="5129" max="5129"/>
    <col width="9.109375" customWidth="1" style="1" min="5130" max="5376"/>
    <col width="21.109375" bestFit="1" customWidth="1" style="1" min="5377" max="5377"/>
    <col width="70" bestFit="1" customWidth="1" style="1" min="5378" max="5378"/>
    <col width="24.5546875" bestFit="1" customWidth="1" style="1" min="5379" max="5379"/>
    <col width="22.44140625" customWidth="1" style="1" min="5380" max="5383"/>
    <col width="19.44140625" bestFit="1" customWidth="1" style="1" min="5384" max="5384"/>
    <col width="12.88671875" bestFit="1" customWidth="1" style="1" min="5385" max="5385"/>
    <col width="9.109375" customWidth="1" style="1" min="5386" max="5632"/>
    <col width="21.109375" bestFit="1" customWidth="1" style="1" min="5633" max="5633"/>
    <col width="70" bestFit="1" customWidth="1" style="1" min="5634" max="5634"/>
    <col width="24.5546875" bestFit="1" customWidth="1" style="1" min="5635" max="5635"/>
    <col width="22.44140625" customWidth="1" style="1" min="5636" max="5639"/>
    <col width="19.44140625" bestFit="1" customWidth="1" style="1" min="5640" max="5640"/>
    <col width="12.88671875" bestFit="1" customWidth="1" style="1" min="5641" max="5641"/>
    <col width="9.109375" customWidth="1" style="1" min="5642" max="5888"/>
    <col width="21.109375" bestFit="1" customWidth="1" style="1" min="5889" max="5889"/>
    <col width="70" bestFit="1" customWidth="1" style="1" min="5890" max="5890"/>
    <col width="24.5546875" bestFit="1" customWidth="1" style="1" min="5891" max="5891"/>
    <col width="22.44140625" customWidth="1" style="1" min="5892" max="5895"/>
    <col width="19.44140625" bestFit="1" customWidth="1" style="1" min="5896" max="5896"/>
    <col width="12.88671875" bestFit="1" customWidth="1" style="1" min="5897" max="5897"/>
    <col width="9.109375" customWidth="1" style="1" min="5898" max="6144"/>
    <col width="21.109375" bestFit="1" customWidth="1" style="1" min="6145" max="6145"/>
    <col width="70" bestFit="1" customWidth="1" style="1" min="6146" max="6146"/>
    <col width="24.5546875" bestFit="1" customWidth="1" style="1" min="6147" max="6147"/>
    <col width="22.44140625" customWidth="1" style="1" min="6148" max="6151"/>
    <col width="19.44140625" bestFit="1" customWidth="1" style="1" min="6152" max="6152"/>
    <col width="12.88671875" bestFit="1" customWidth="1" style="1" min="6153" max="6153"/>
    <col width="9.109375" customWidth="1" style="1" min="6154" max="6400"/>
    <col width="21.109375" bestFit="1" customWidth="1" style="1" min="6401" max="6401"/>
    <col width="70" bestFit="1" customWidth="1" style="1" min="6402" max="6402"/>
    <col width="24.5546875" bestFit="1" customWidth="1" style="1" min="6403" max="6403"/>
    <col width="22.44140625" customWidth="1" style="1" min="6404" max="6407"/>
    <col width="19.44140625" bestFit="1" customWidth="1" style="1" min="6408" max="6408"/>
    <col width="12.88671875" bestFit="1" customWidth="1" style="1" min="6409" max="6409"/>
    <col width="9.109375" customWidth="1" style="1" min="6410" max="6656"/>
    <col width="21.109375" bestFit="1" customWidth="1" style="1" min="6657" max="6657"/>
    <col width="70" bestFit="1" customWidth="1" style="1" min="6658" max="6658"/>
    <col width="24.5546875" bestFit="1" customWidth="1" style="1" min="6659" max="6659"/>
    <col width="22.44140625" customWidth="1" style="1" min="6660" max="6663"/>
    <col width="19.44140625" bestFit="1" customWidth="1" style="1" min="6664" max="6664"/>
    <col width="12.88671875" bestFit="1" customWidth="1" style="1" min="6665" max="6665"/>
    <col width="9.109375" customWidth="1" style="1" min="6666" max="6912"/>
    <col width="21.109375" bestFit="1" customWidth="1" style="1" min="6913" max="6913"/>
    <col width="70" bestFit="1" customWidth="1" style="1" min="6914" max="6914"/>
    <col width="24.5546875" bestFit="1" customWidth="1" style="1" min="6915" max="6915"/>
    <col width="22.44140625" customWidth="1" style="1" min="6916" max="6919"/>
    <col width="19.44140625" bestFit="1" customWidth="1" style="1" min="6920" max="6920"/>
    <col width="12.88671875" bestFit="1" customWidth="1" style="1" min="6921" max="6921"/>
    <col width="9.109375" customWidth="1" style="1" min="6922" max="7168"/>
    <col width="21.109375" bestFit="1" customWidth="1" style="1" min="7169" max="7169"/>
    <col width="70" bestFit="1" customWidth="1" style="1" min="7170" max="7170"/>
    <col width="24.5546875" bestFit="1" customWidth="1" style="1" min="7171" max="7171"/>
    <col width="22.44140625" customWidth="1" style="1" min="7172" max="7175"/>
    <col width="19.44140625" bestFit="1" customWidth="1" style="1" min="7176" max="7176"/>
    <col width="12.88671875" bestFit="1" customWidth="1" style="1" min="7177" max="7177"/>
    <col width="9.109375" customWidth="1" style="1" min="7178" max="7424"/>
    <col width="21.109375" bestFit="1" customWidth="1" style="1" min="7425" max="7425"/>
    <col width="70" bestFit="1" customWidth="1" style="1" min="7426" max="7426"/>
    <col width="24.5546875" bestFit="1" customWidth="1" style="1" min="7427" max="7427"/>
    <col width="22.44140625" customWidth="1" style="1" min="7428" max="7431"/>
    <col width="19.44140625" bestFit="1" customWidth="1" style="1" min="7432" max="7432"/>
    <col width="12.88671875" bestFit="1" customWidth="1" style="1" min="7433" max="7433"/>
    <col width="9.109375" customWidth="1" style="1" min="7434" max="7680"/>
    <col width="21.109375" bestFit="1" customWidth="1" style="1" min="7681" max="7681"/>
    <col width="70" bestFit="1" customWidth="1" style="1" min="7682" max="7682"/>
    <col width="24.5546875" bestFit="1" customWidth="1" style="1" min="7683" max="7683"/>
    <col width="22.44140625" customWidth="1" style="1" min="7684" max="7687"/>
    <col width="19.44140625" bestFit="1" customWidth="1" style="1" min="7688" max="7688"/>
    <col width="12.88671875" bestFit="1" customWidth="1" style="1" min="7689" max="7689"/>
    <col width="9.109375" customWidth="1" style="1" min="7690" max="7936"/>
    <col width="21.109375" bestFit="1" customWidth="1" style="1" min="7937" max="7937"/>
    <col width="70" bestFit="1" customWidth="1" style="1" min="7938" max="7938"/>
    <col width="24.5546875" bestFit="1" customWidth="1" style="1" min="7939" max="7939"/>
    <col width="22.44140625" customWidth="1" style="1" min="7940" max="7943"/>
    <col width="19.44140625" bestFit="1" customWidth="1" style="1" min="7944" max="7944"/>
    <col width="12.88671875" bestFit="1" customWidth="1" style="1" min="7945" max="7945"/>
    <col width="9.109375" customWidth="1" style="1" min="7946" max="8192"/>
    <col width="21.109375" bestFit="1" customWidth="1" style="1" min="8193" max="8193"/>
    <col width="70" bestFit="1" customWidth="1" style="1" min="8194" max="8194"/>
    <col width="24.5546875" bestFit="1" customWidth="1" style="1" min="8195" max="8195"/>
    <col width="22.44140625" customWidth="1" style="1" min="8196" max="8199"/>
    <col width="19.44140625" bestFit="1" customWidth="1" style="1" min="8200" max="8200"/>
    <col width="12.88671875" bestFit="1" customWidth="1" style="1" min="8201" max="8201"/>
    <col width="9.109375" customWidth="1" style="1" min="8202" max="8448"/>
    <col width="21.109375" bestFit="1" customWidth="1" style="1" min="8449" max="8449"/>
    <col width="70" bestFit="1" customWidth="1" style="1" min="8450" max="8450"/>
    <col width="24.5546875" bestFit="1" customWidth="1" style="1" min="8451" max="8451"/>
    <col width="22.44140625" customWidth="1" style="1" min="8452" max="8455"/>
    <col width="19.44140625" bestFit="1" customWidth="1" style="1" min="8456" max="8456"/>
    <col width="12.88671875" bestFit="1" customWidth="1" style="1" min="8457" max="8457"/>
    <col width="9.109375" customWidth="1" style="1" min="8458" max="8704"/>
    <col width="21.109375" bestFit="1" customWidth="1" style="1" min="8705" max="8705"/>
    <col width="70" bestFit="1" customWidth="1" style="1" min="8706" max="8706"/>
    <col width="24.5546875" bestFit="1" customWidth="1" style="1" min="8707" max="8707"/>
    <col width="22.44140625" customWidth="1" style="1" min="8708" max="8711"/>
    <col width="19.44140625" bestFit="1" customWidth="1" style="1" min="8712" max="8712"/>
    <col width="12.88671875" bestFit="1" customWidth="1" style="1" min="8713" max="8713"/>
    <col width="9.109375" customWidth="1" style="1" min="8714" max="8960"/>
    <col width="21.109375" bestFit="1" customWidth="1" style="1" min="8961" max="8961"/>
    <col width="70" bestFit="1" customWidth="1" style="1" min="8962" max="8962"/>
    <col width="24.5546875" bestFit="1" customWidth="1" style="1" min="8963" max="8963"/>
    <col width="22.44140625" customWidth="1" style="1" min="8964" max="8967"/>
    <col width="19.44140625" bestFit="1" customWidth="1" style="1" min="8968" max="8968"/>
    <col width="12.88671875" bestFit="1" customWidth="1" style="1" min="8969" max="8969"/>
    <col width="9.109375" customWidth="1" style="1" min="8970" max="9216"/>
    <col width="21.109375" bestFit="1" customWidth="1" style="1" min="9217" max="9217"/>
    <col width="70" bestFit="1" customWidth="1" style="1" min="9218" max="9218"/>
    <col width="24.5546875" bestFit="1" customWidth="1" style="1" min="9219" max="9219"/>
    <col width="22.44140625" customWidth="1" style="1" min="9220" max="9223"/>
    <col width="19.44140625" bestFit="1" customWidth="1" style="1" min="9224" max="9224"/>
    <col width="12.88671875" bestFit="1" customWidth="1" style="1" min="9225" max="9225"/>
    <col width="9.109375" customWidth="1" style="1" min="9226" max="9472"/>
    <col width="21.109375" bestFit="1" customWidth="1" style="1" min="9473" max="9473"/>
    <col width="70" bestFit="1" customWidth="1" style="1" min="9474" max="9474"/>
    <col width="24.5546875" bestFit="1" customWidth="1" style="1" min="9475" max="9475"/>
    <col width="22.44140625" customWidth="1" style="1" min="9476" max="9479"/>
    <col width="19.44140625" bestFit="1" customWidth="1" style="1" min="9480" max="9480"/>
    <col width="12.88671875" bestFit="1" customWidth="1" style="1" min="9481" max="9481"/>
    <col width="9.109375" customWidth="1" style="1" min="9482" max="9728"/>
    <col width="21.109375" bestFit="1" customWidth="1" style="1" min="9729" max="9729"/>
    <col width="70" bestFit="1" customWidth="1" style="1" min="9730" max="9730"/>
    <col width="24.5546875" bestFit="1" customWidth="1" style="1" min="9731" max="9731"/>
    <col width="22.44140625" customWidth="1" style="1" min="9732" max="9735"/>
    <col width="19.44140625" bestFit="1" customWidth="1" style="1" min="9736" max="9736"/>
    <col width="12.88671875" bestFit="1" customWidth="1" style="1" min="9737" max="9737"/>
    <col width="9.109375" customWidth="1" style="1" min="9738" max="9984"/>
    <col width="21.109375" bestFit="1" customWidth="1" style="1" min="9985" max="9985"/>
    <col width="70" bestFit="1" customWidth="1" style="1" min="9986" max="9986"/>
    <col width="24.5546875" bestFit="1" customWidth="1" style="1" min="9987" max="9987"/>
    <col width="22.44140625" customWidth="1" style="1" min="9988" max="9991"/>
    <col width="19.44140625" bestFit="1" customWidth="1" style="1" min="9992" max="9992"/>
    <col width="12.88671875" bestFit="1" customWidth="1" style="1" min="9993" max="9993"/>
    <col width="9.109375" customWidth="1" style="1" min="9994" max="10240"/>
    <col width="21.109375" bestFit="1" customWidth="1" style="1" min="10241" max="10241"/>
    <col width="70" bestFit="1" customWidth="1" style="1" min="10242" max="10242"/>
    <col width="24.5546875" bestFit="1" customWidth="1" style="1" min="10243" max="10243"/>
    <col width="22.44140625" customWidth="1" style="1" min="10244" max="10247"/>
    <col width="19.44140625" bestFit="1" customWidth="1" style="1" min="10248" max="10248"/>
    <col width="12.88671875" bestFit="1" customWidth="1" style="1" min="10249" max="10249"/>
    <col width="9.109375" customWidth="1" style="1" min="10250" max="10496"/>
    <col width="21.109375" bestFit="1" customWidth="1" style="1" min="10497" max="10497"/>
    <col width="70" bestFit="1" customWidth="1" style="1" min="10498" max="10498"/>
    <col width="24.5546875" bestFit="1" customWidth="1" style="1" min="10499" max="10499"/>
    <col width="22.44140625" customWidth="1" style="1" min="10500" max="10503"/>
    <col width="19.44140625" bestFit="1" customWidth="1" style="1" min="10504" max="10504"/>
    <col width="12.88671875" bestFit="1" customWidth="1" style="1" min="10505" max="10505"/>
    <col width="9.109375" customWidth="1" style="1" min="10506" max="10752"/>
    <col width="21.109375" bestFit="1" customWidth="1" style="1" min="10753" max="10753"/>
    <col width="70" bestFit="1" customWidth="1" style="1" min="10754" max="10754"/>
    <col width="24.5546875" bestFit="1" customWidth="1" style="1" min="10755" max="10755"/>
    <col width="22.44140625" customWidth="1" style="1" min="10756" max="10759"/>
    <col width="19.44140625" bestFit="1" customWidth="1" style="1" min="10760" max="10760"/>
    <col width="12.88671875" bestFit="1" customWidth="1" style="1" min="10761" max="10761"/>
    <col width="9.109375" customWidth="1" style="1" min="10762" max="11008"/>
    <col width="21.109375" bestFit="1" customWidth="1" style="1" min="11009" max="11009"/>
    <col width="70" bestFit="1" customWidth="1" style="1" min="11010" max="11010"/>
    <col width="24.5546875" bestFit="1" customWidth="1" style="1" min="11011" max="11011"/>
    <col width="22.44140625" customWidth="1" style="1" min="11012" max="11015"/>
    <col width="19.44140625" bestFit="1" customWidth="1" style="1" min="11016" max="11016"/>
    <col width="12.88671875" bestFit="1" customWidth="1" style="1" min="11017" max="11017"/>
    <col width="9.109375" customWidth="1" style="1" min="11018" max="11264"/>
    <col width="21.109375" bestFit="1" customWidth="1" style="1" min="11265" max="11265"/>
    <col width="70" bestFit="1" customWidth="1" style="1" min="11266" max="11266"/>
    <col width="24.5546875" bestFit="1" customWidth="1" style="1" min="11267" max="11267"/>
    <col width="22.44140625" customWidth="1" style="1" min="11268" max="11271"/>
    <col width="19.44140625" bestFit="1" customWidth="1" style="1" min="11272" max="11272"/>
    <col width="12.88671875" bestFit="1" customWidth="1" style="1" min="11273" max="11273"/>
    <col width="9.109375" customWidth="1" style="1" min="11274" max="11520"/>
    <col width="21.109375" bestFit="1" customWidth="1" style="1" min="11521" max="11521"/>
    <col width="70" bestFit="1" customWidth="1" style="1" min="11522" max="11522"/>
    <col width="24.5546875" bestFit="1" customWidth="1" style="1" min="11523" max="11523"/>
    <col width="22.44140625" customWidth="1" style="1" min="11524" max="11527"/>
    <col width="19.44140625" bestFit="1" customWidth="1" style="1" min="11528" max="11528"/>
    <col width="12.88671875" bestFit="1" customWidth="1" style="1" min="11529" max="11529"/>
    <col width="9.109375" customWidth="1" style="1" min="11530" max="11776"/>
    <col width="21.109375" bestFit="1" customWidth="1" style="1" min="11777" max="11777"/>
    <col width="70" bestFit="1" customWidth="1" style="1" min="11778" max="11778"/>
    <col width="24.5546875" bestFit="1" customWidth="1" style="1" min="11779" max="11779"/>
    <col width="22.44140625" customWidth="1" style="1" min="11780" max="11783"/>
    <col width="19.44140625" bestFit="1" customWidth="1" style="1" min="11784" max="11784"/>
    <col width="12.88671875" bestFit="1" customWidth="1" style="1" min="11785" max="11785"/>
    <col width="9.109375" customWidth="1" style="1" min="11786" max="12032"/>
    <col width="21.109375" bestFit="1" customWidth="1" style="1" min="12033" max="12033"/>
    <col width="70" bestFit="1" customWidth="1" style="1" min="12034" max="12034"/>
    <col width="24.5546875" bestFit="1" customWidth="1" style="1" min="12035" max="12035"/>
    <col width="22.44140625" customWidth="1" style="1" min="12036" max="12039"/>
    <col width="19.44140625" bestFit="1" customWidth="1" style="1" min="12040" max="12040"/>
    <col width="12.88671875" bestFit="1" customWidth="1" style="1" min="12041" max="12041"/>
    <col width="9.109375" customWidth="1" style="1" min="12042" max="12288"/>
    <col width="21.109375" bestFit="1" customWidth="1" style="1" min="12289" max="12289"/>
    <col width="70" bestFit="1" customWidth="1" style="1" min="12290" max="12290"/>
    <col width="24.5546875" bestFit="1" customWidth="1" style="1" min="12291" max="12291"/>
    <col width="22.44140625" customWidth="1" style="1" min="12292" max="12295"/>
    <col width="19.44140625" bestFit="1" customWidth="1" style="1" min="12296" max="12296"/>
    <col width="12.88671875" bestFit="1" customWidth="1" style="1" min="12297" max="12297"/>
    <col width="9.109375" customWidth="1" style="1" min="12298" max="12544"/>
    <col width="21.109375" bestFit="1" customWidth="1" style="1" min="12545" max="12545"/>
    <col width="70" bestFit="1" customWidth="1" style="1" min="12546" max="12546"/>
    <col width="24.5546875" bestFit="1" customWidth="1" style="1" min="12547" max="12547"/>
    <col width="22.44140625" customWidth="1" style="1" min="12548" max="12551"/>
    <col width="19.44140625" bestFit="1" customWidth="1" style="1" min="12552" max="12552"/>
    <col width="12.88671875" bestFit="1" customWidth="1" style="1" min="12553" max="12553"/>
    <col width="9.109375" customWidth="1" style="1" min="12554" max="12800"/>
    <col width="21.109375" bestFit="1" customWidth="1" style="1" min="12801" max="12801"/>
    <col width="70" bestFit="1" customWidth="1" style="1" min="12802" max="12802"/>
    <col width="24.5546875" bestFit="1" customWidth="1" style="1" min="12803" max="12803"/>
    <col width="22.44140625" customWidth="1" style="1" min="12804" max="12807"/>
    <col width="19.44140625" bestFit="1" customWidth="1" style="1" min="12808" max="12808"/>
    <col width="12.88671875" bestFit="1" customWidth="1" style="1" min="12809" max="12809"/>
    <col width="9.109375" customWidth="1" style="1" min="12810" max="13056"/>
    <col width="21.109375" bestFit="1" customWidth="1" style="1" min="13057" max="13057"/>
    <col width="70" bestFit="1" customWidth="1" style="1" min="13058" max="13058"/>
    <col width="24.5546875" bestFit="1" customWidth="1" style="1" min="13059" max="13059"/>
    <col width="22.44140625" customWidth="1" style="1" min="13060" max="13063"/>
    <col width="19.44140625" bestFit="1" customWidth="1" style="1" min="13064" max="13064"/>
    <col width="12.88671875" bestFit="1" customWidth="1" style="1" min="13065" max="13065"/>
    <col width="9.109375" customWidth="1" style="1" min="13066" max="13312"/>
    <col width="21.109375" bestFit="1" customWidth="1" style="1" min="13313" max="13313"/>
    <col width="70" bestFit="1" customWidth="1" style="1" min="13314" max="13314"/>
    <col width="24.5546875" bestFit="1" customWidth="1" style="1" min="13315" max="13315"/>
    <col width="22.44140625" customWidth="1" style="1" min="13316" max="13319"/>
    <col width="19.44140625" bestFit="1" customWidth="1" style="1" min="13320" max="13320"/>
    <col width="12.88671875" bestFit="1" customWidth="1" style="1" min="13321" max="13321"/>
    <col width="9.109375" customWidth="1" style="1" min="13322" max="13568"/>
    <col width="21.109375" bestFit="1" customWidth="1" style="1" min="13569" max="13569"/>
    <col width="70" bestFit="1" customWidth="1" style="1" min="13570" max="13570"/>
    <col width="24.5546875" bestFit="1" customWidth="1" style="1" min="13571" max="13571"/>
    <col width="22.44140625" customWidth="1" style="1" min="13572" max="13575"/>
    <col width="19.44140625" bestFit="1" customWidth="1" style="1" min="13576" max="13576"/>
    <col width="12.88671875" bestFit="1" customWidth="1" style="1" min="13577" max="13577"/>
    <col width="9.109375" customWidth="1" style="1" min="13578" max="13824"/>
    <col width="21.109375" bestFit="1" customWidth="1" style="1" min="13825" max="13825"/>
    <col width="70" bestFit="1" customWidth="1" style="1" min="13826" max="13826"/>
    <col width="24.5546875" bestFit="1" customWidth="1" style="1" min="13827" max="13827"/>
    <col width="22.44140625" customWidth="1" style="1" min="13828" max="13831"/>
    <col width="19.44140625" bestFit="1" customWidth="1" style="1" min="13832" max="13832"/>
    <col width="12.88671875" bestFit="1" customWidth="1" style="1" min="13833" max="13833"/>
    <col width="9.109375" customWidth="1" style="1" min="13834" max="14080"/>
    <col width="21.109375" bestFit="1" customWidth="1" style="1" min="14081" max="14081"/>
    <col width="70" bestFit="1" customWidth="1" style="1" min="14082" max="14082"/>
    <col width="24.5546875" bestFit="1" customWidth="1" style="1" min="14083" max="14083"/>
    <col width="22.44140625" customWidth="1" style="1" min="14084" max="14087"/>
    <col width="19.44140625" bestFit="1" customWidth="1" style="1" min="14088" max="14088"/>
    <col width="12.88671875" bestFit="1" customWidth="1" style="1" min="14089" max="14089"/>
    <col width="9.109375" customWidth="1" style="1" min="14090" max="14336"/>
    <col width="21.109375" bestFit="1" customWidth="1" style="1" min="14337" max="14337"/>
    <col width="70" bestFit="1" customWidth="1" style="1" min="14338" max="14338"/>
    <col width="24.5546875" bestFit="1" customWidth="1" style="1" min="14339" max="14339"/>
    <col width="22.44140625" customWidth="1" style="1" min="14340" max="14343"/>
    <col width="19.44140625" bestFit="1" customWidth="1" style="1" min="14344" max="14344"/>
    <col width="12.88671875" bestFit="1" customWidth="1" style="1" min="14345" max="14345"/>
    <col width="9.109375" customWidth="1" style="1" min="14346" max="14592"/>
    <col width="21.109375" bestFit="1" customWidth="1" style="1" min="14593" max="14593"/>
    <col width="70" bestFit="1" customWidth="1" style="1" min="14594" max="14594"/>
    <col width="24.5546875" bestFit="1" customWidth="1" style="1" min="14595" max="14595"/>
    <col width="22.44140625" customWidth="1" style="1" min="14596" max="14599"/>
    <col width="19.44140625" bestFit="1" customWidth="1" style="1" min="14600" max="14600"/>
    <col width="12.88671875" bestFit="1" customWidth="1" style="1" min="14601" max="14601"/>
    <col width="9.109375" customWidth="1" style="1" min="14602" max="14848"/>
    <col width="21.109375" bestFit="1" customWidth="1" style="1" min="14849" max="14849"/>
    <col width="70" bestFit="1" customWidth="1" style="1" min="14850" max="14850"/>
    <col width="24.5546875" bestFit="1" customWidth="1" style="1" min="14851" max="14851"/>
    <col width="22.44140625" customWidth="1" style="1" min="14852" max="14855"/>
    <col width="19.44140625" bestFit="1" customWidth="1" style="1" min="14856" max="14856"/>
    <col width="12.88671875" bestFit="1" customWidth="1" style="1" min="14857" max="14857"/>
    <col width="9.109375" customWidth="1" style="1" min="14858" max="15104"/>
    <col width="21.109375" bestFit="1" customWidth="1" style="1" min="15105" max="15105"/>
    <col width="70" bestFit="1" customWidth="1" style="1" min="15106" max="15106"/>
    <col width="24.5546875" bestFit="1" customWidth="1" style="1" min="15107" max="15107"/>
    <col width="22.44140625" customWidth="1" style="1" min="15108" max="15111"/>
    <col width="19.44140625" bestFit="1" customWidth="1" style="1" min="15112" max="15112"/>
    <col width="12.88671875" bestFit="1" customWidth="1" style="1" min="15113" max="15113"/>
    <col width="9.109375" customWidth="1" style="1" min="15114" max="15360"/>
    <col width="21.109375" bestFit="1" customWidth="1" style="1" min="15361" max="15361"/>
    <col width="70" bestFit="1" customWidth="1" style="1" min="15362" max="15362"/>
    <col width="24.5546875" bestFit="1" customWidth="1" style="1" min="15363" max="15363"/>
    <col width="22.44140625" customWidth="1" style="1" min="15364" max="15367"/>
    <col width="19.44140625" bestFit="1" customWidth="1" style="1" min="15368" max="15368"/>
    <col width="12.88671875" bestFit="1" customWidth="1" style="1" min="15369" max="15369"/>
    <col width="9.109375" customWidth="1" style="1" min="15370" max="15616"/>
    <col width="21.109375" bestFit="1" customWidth="1" style="1" min="15617" max="15617"/>
    <col width="70" bestFit="1" customWidth="1" style="1" min="15618" max="15618"/>
    <col width="24.5546875" bestFit="1" customWidth="1" style="1" min="15619" max="15619"/>
    <col width="22.44140625" customWidth="1" style="1" min="15620" max="15623"/>
    <col width="19.44140625" bestFit="1" customWidth="1" style="1" min="15624" max="15624"/>
    <col width="12.88671875" bestFit="1" customWidth="1" style="1" min="15625" max="15625"/>
    <col width="9.109375" customWidth="1" style="1" min="15626" max="15872"/>
    <col width="21.109375" bestFit="1" customWidth="1" style="1" min="15873" max="15873"/>
    <col width="70" bestFit="1" customWidth="1" style="1" min="15874" max="15874"/>
    <col width="24.5546875" bestFit="1" customWidth="1" style="1" min="15875" max="15875"/>
    <col width="22.44140625" customWidth="1" style="1" min="15876" max="15879"/>
    <col width="19.44140625" bestFit="1" customWidth="1" style="1" min="15880" max="15880"/>
    <col width="12.88671875" bestFit="1" customWidth="1" style="1" min="15881" max="15881"/>
    <col width="9.109375" customWidth="1" style="1" min="15882" max="16128"/>
    <col width="21.109375" bestFit="1" customWidth="1" style="1" min="16129" max="16129"/>
    <col width="70" bestFit="1" customWidth="1" style="1" min="16130" max="16130"/>
    <col width="24.5546875" bestFit="1" customWidth="1" style="1" min="16131" max="16131"/>
    <col width="22.44140625" customWidth="1" style="1" min="16132" max="16135"/>
    <col width="19.44140625" bestFit="1" customWidth="1" style="1" min="16136" max="16136"/>
    <col width="12.88671875" bestFit="1" customWidth="1" style="1" min="16137" max="16137"/>
    <col width="9.109375" customWidth="1" style="1" min="16138" max="16384"/>
  </cols>
  <sheetData>
    <row r="1" ht="12.75" customHeight="1">
      <c r="C1" s="302" t="inlineStr">
        <is>
          <t>Eindbalans per 30-09-2021</t>
        </is>
      </c>
      <c r="D1" s="302" t="inlineStr">
        <is>
          <t>Mutaties Q4 2021</t>
        </is>
      </c>
      <c r="E1" s="302" t="inlineStr">
        <is>
          <t>Mutaties Q1 2022</t>
        </is>
      </c>
      <c r="F1" s="302" t="inlineStr">
        <is>
          <t>Mutaties Q2 2022</t>
        </is>
      </c>
      <c r="G1" s="302" t="inlineStr">
        <is>
          <t>Mutaties Q3 2022</t>
        </is>
      </c>
      <c r="H1" s="290" t="inlineStr">
        <is>
          <t>Saldi per 30-09-2022</t>
        </is>
      </c>
    </row>
    <row r="3" ht="12.75" customHeight="1">
      <c r="A3" s="132" t="inlineStr">
        <is>
          <t>Balans</t>
        </is>
      </c>
    </row>
    <row r="4" ht="12.75" customHeight="1">
      <c r="A4" s="130" t="n">
        <v>1600000</v>
      </c>
      <c r="B4" s="1" t="inlineStr">
        <is>
          <t>VG Vastgoedbeleggingen Verkrijgings- of vervaardigingsprijs</t>
        </is>
      </c>
      <c r="C4" s="341" t="n">
        <v>126145492.4</v>
      </c>
      <c r="D4" s="342" t="n">
        <v>496000</v>
      </c>
      <c r="H4" s="290">
        <f>SUM(C4:G4)</f>
        <v/>
      </c>
      <c r="J4" s="332" t="n">
        <v>198696.6800000001</v>
      </c>
      <c r="K4" s="1" t="n">
        <v>289183.25</v>
      </c>
      <c r="L4" s="1" t="n">
        <v>291783.9</v>
      </c>
      <c r="M4" s="1" t="n">
        <v>243593.77</v>
      </c>
    </row>
    <row r="5" ht="12.75" customHeight="1">
      <c r="A5" s="130" t="inlineStr">
        <is>
          <t>1600200</t>
        </is>
      </c>
      <c r="B5" s="1" t="inlineStr">
        <is>
          <t>VG Vastgoedbeleggingen Cum afschrijvingen en waardeverm</t>
        </is>
      </c>
      <c r="C5" s="341" t="n">
        <v>-13404612</v>
      </c>
      <c r="D5" s="341" t="n">
        <v>-679632</v>
      </c>
      <c r="E5" s="341" t="n">
        <v>-682456</v>
      </c>
      <c r="F5" s="341" t="n">
        <v>-682714</v>
      </c>
      <c r="G5" s="341" t="n">
        <v>-695326</v>
      </c>
      <c r="H5" s="290">
        <f>SUM(C5:G5)</f>
        <v/>
      </c>
    </row>
    <row r="6" ht="12.75" customHeight="1">
      <c r="A6" s="130" t="inlineStr">
        <is>
          <t>1610803</t>
        </is>
      </c>
      <c r="B6" s="1" t="inlineStr">
        <is>
          <t>VG Comm VG in exploitatie Buitengebruikstellingen aanschaffingswaarde</t>
        </is>
      </c>
      <c r="C6" s="341" t="n">
        <v>-2448809</v>
      </c>
      <c r="D6" s="309" t="n">
        <v>-856186</v>
      </c>
      <c r="E6" s="309" t="n">
        <v>-331590</v>
      </c>
      <c r="F6" s="309" t="n">
        <v>-276183</v>
      </c>
      <c r="G6" s="309" t="n">
        <v>-363436</v>
      </c>
      <c r="H6" s="290">
        <f>SUM(C6:G6)</f>
        <v/>
      </c>
    </row>
    <row r="7" ht="12.75" customHeight="1">
      <c r="A7" s="130" t="inlineStr">
        <is>
          <t>1611003</t>
        </is>
      </c>
      <c r="B7" s="1" t="inlineStr">
        <is>
          <t>VG Comm VG in exploitatie Buitengebruikstellingen cum. afschr. en waardeverm.</t>
        </is>
      </c>
      <c r="C7" s="341" t="n">
        <v>260832</v>
      </c>
      <c r="D7" s="341" t="n">
        <v>102659</v>
      </c>
      <c r="E7" s="341" t="n">
        <v>41047</v>
      </c>
      <c r="F7" s="341" t="n">
        <v>36141</v>
      </c>
      <c r="G7" s="341" t="n">
        <v>49532</v>
      </c>
      <c r="H7" s="290">
        <f>SUM(C7:G7)</f>
        <v/>
      </c>
    </row>
    <row r="8" ht="12.75" customHeight="1">
      <c r="A8" s="1" t="inlineStr">
        <is>
          <t>Totaal Vastgoedbeleggingen</t>
        </is>
      </c>
      <c r="C8" s="341" t="n">
        <v>0</v>
      </c>
      <c r="H8" s="290">
        <f>SUM(C8:G8)</f>
        <v/>
      </c>
    </row>
    <row r="9" ht="12.75" customHeight="1">
      <c r="C9" s="341" t="n">
        <v>0</v>
      </c>
      <c r="H9" s="290">
        <f>SUM(C9:G9)</f>
        <v/>
      </c>
    </row>
    <row r="10" ht="12.75" customHeight="1">
      <c r="A10" s="130" t="inlineStr">
        <is>
          <t>1790002</t>
        </is>
      </c>
      <c r="B10" s="1" t="inlineStr">
        <is>
          <t>FVA Latente belastingvordering langlopend</t>
        </is>
      </c>
      <c r="C10" s="341" t="n">
        <v>3989674</v>
      </c>
      <c r="D10" s="343" t="n">
        <v>273366.2</v>
      </c>
      <c r="E10" s="344" t="n">
        <v>237434</v>
      </c>
      <c r="F10" s="344" t="n">
        <v>121126</v>
      </c>
      <c r="G10" s="344" t="n">
        <v>165568</v>
      </c>
      <c r="H10" s="290">
        <f>SUM(C10:G10)</f>
        <v/>
      </c>
    </row>
    <row r="11" ht="12.75" customHeight="1">
      <c r="A11" s="1" t="inlineStr">
        <is>
          <t>Totaal Financiële vaste activa</t>
        </is>
      </c>
      <c r="C11" s="341" t="n">
        <v>0</v>
      </c>
      <c r="H11" s="290">
        <f>SUM(C11:G11)</f>
        <v/>
      </c>
    </row>
    <row r="12" ht="12.75" customHeight="1">
      <c r="C12" s="341" t="n">
        <v>0</v>
      </c>
      <c r="H12" s="290">
        <f>SUM(C12:G12)</f>
        <v/>
      </c>
    </row>
    <row r="13" ht="12.75" customHeight="1">
      <c r="A13" s="130" t="inlineStr">
        <is>
          <t>2000000</t>
        </is>
      </c>
      <c r="B13" s="1" t="inlineStr">
        <is>
          <t>VOR Debiteuren</t>
        </is>
      </c>
      <c r="C13" s="341" t="n">
        <v>981575.62</v>
      </c>
      <c r="D13" s="344" t="n">
        <v>-866992</v>
      </c>
      <c r="E13" s="344" t="n">
        <v>-10254.87</v>
      </c>
      <c r="F13" s="344" t="n">
        <v>-9192.360000000001</v>
      </c>
      <c r="G13" s="344" t="n">
        <v>1191082.16</v>
      </c>
      <c r="H13" s="290">
        <f>SUM(C13:G13)</f>
        <v/>
      </c>
    </row>
    <row r="14" ht="12.75" customHeight="1">
      <c r="A14" s="130" t="inlineStr">
        <is>
          <t>2000300</t>
        </is>
      </c>
      <c r="B14" s="1" t="inlineStr">
        <is>
          <t>VOR Voorziening dubieuze debiteuren</t>
        </is>
      </c>
      <c r="C14" s="341" t="n">
        <v>-31915</v>
      </c>
      <c r="D14" s="341" t="n">
        <v>-59966.86</v>
      </c>
      <c r="E14" s="341" t="n">
        <v>0</v>
      </c>
      <c r="F14" s="341" t="n">
        <v>0</v>
      </c>
      <c r="G14" s="341" t="n">
        <v>0</v>
      </c>
      <c r="H14" s="290">
        <f>SUM(C14:G14)</f>
        <v/>
      </c>
    </row>
    <row r="15" ht="12.75" customHeight="1">
      <c r="A15" s="1" t="inlineStr">
        <is>
          <t>Totaal Debiteuren</t>
        </is>
      </c>
      <c r="C15" s="341" t="n">
        <v>0</v>
      </c>
      <c r="H15" s="290">
        <f>SUM(C15:G15)</f>
        <v/>
      </c>
    </row>
    <row r="16" ht="12.75" customHeight="1">
      <c r="C16" s="341" t="n">
        <v>0</v>
      </c>
      <c r="H16" s="290">
        <f>SUM(C16:G16)</f>
        <v/>
      </c>
    </row>
    <row r="17" ht="12.75" customHeight="1">
      <c r="A17" s="130" t="n">
        <v>2640000</v>
      </c>
      <c r="B17" s="1" t="inlineStr">
        <is>
          <t>RC Kortlopend DMRRP INV - I BV</t>
        </is>
      </c>
      <c r="C17" s="341" t="n">
        <v>1264332</v>
      </c>
      <c r="D17" s="341" t="n">
        <v>-1860053.43</v>
      </c>
      <c r="E17" s="341" t="n">
        <v>542643.28</v>
      </c>
      <c r="F17" s="341" t="n">
        <v>1293310.92</v>
      </c>
      <c r="G17" s="341" t="n">
        <v>570839.92</v>
      </c>
      <c r="H17" s="290">
        <f>SUM(C17:G17)</f>
        <v/>
      </c>
    </row>
    <row r="18" ht="12.75" customHeight="1">
      <c r="A18" s="1" t="inlineStr">
        <is>
          <t>Totaal Rekening-courant aandeelhouder</t>
        </is>
      </c>
      <c r="C18" s="341" t="n">
        <v>0</v>
      </c>
      <c r="H18" s="290">
        <f>SUM(C18:G18)</f>
        <v/>
      </c>
    </row>
    <row r="19" ht="12.75" customHeight="1">
      <c r="C19" s="341" t="n">
        <v>0</v>
      </c>
      <c r="H19" s="290">
        <f>SUM(C19:G19)</f>
        <v/>
      </c>
    </row>
    <row r="20" ht="12.75" customHeight="1">
      <c r="A20" s="130" t="n">
        <v>2040200</v>
      </c>
      <c r="B20" s="1" t="inlineStr">
        <is>
          <t>VOR Te vorderen waarborgsommen kortlopen</t>
        </is>
      </c>
      <c r="C20" s="341" t="n">
        <v>5000</v>
      </c>
      <c r="D20" s="341" t="n">
        <v>0</v>
      </c>
      <c r="E20" s="341" t="n">
        <v>0</v>
      </c>
      <c r="F20" s="341" t="n">
        <v>0</v>
      </c>
      <c r="G20" s="341" t="n">
        <v>0</v>
      </c>
      <c r="H20" s="290">
        <f>SUM(C20:G20)</f>
        <v/>
      </c>
    </row>
    <row r="21" ht="12.75" customHeight="1">
      <c r="A21" s="130" t="n">
        <v>2040500</v>
      </c>
      <c r="B21" s="1" t="inlineStr">
        <is>
          <t>VOR Vooruitbetaalde verzekeringen</t>
        </is>
      </c>
      <c r="C21" s="341" t="n">
        <v>28218.7</v>
      </c>
      <c r="D21" s="341" t="n">
        <v>-28218.89</v>
      </c>
      <c r="E21" s="341" t="n">
        <v>-29220.54</v>
      </c>
      <c r="F21" s="341" t="n">
        <v>87661.64</v>
      </c>
      <c r="G21" s="341" t="n">
        <v>-29220.56</v>
      </c>
      <c r="H21" s="290">
        <f>SUM(C21:G21)</f>
        <v/>
      </c>
    </row>
    <row r="22" ht="12.75" customHeight="1">
      <c r="A22" s="130" t="inlineStr">
        <is>
          <t>2040700</t>
        </is>
      </c>
      <c r="B22" s="1" t="inlineStr">
        <is>
          <t>VOR Vooruitbetaalde servicekosten</t>
        </is>
      </c>
      <c r="C22" s="341" t="n">
        <v>0</v>
      </c>
      <c r="D22" s="341" t="n">
        <v>1679.29</v>
      </c>
      <c r="E22" s="341" t="n">
        <v>-1679</v>
      </c>
      <c r="F22" s="341" t="n">
        <v>0</v>
      </c>
      <c r="G22" s="341" t="n">
        <v>0</v>
      </c>
      <c r="H22" s="290">
        <f>SUM(C22:G22)</f>
        <v/>
      </c>
    </row>
    <row r="23" ht="12.75" customHeight="1">
      <c r="A23" s="130" t="inlineStr">
        <is>
          <t>2040900</t>
        </is>
      </c>
      <c r="B23" s="1" t="inlineStr">
        <is>
          <t>VOR Vooruitbetaalde overige kosten</t>
        </is>
      </c>
      <c r="C23" s="341" t="n">
        <v>258680.48</v>
      </c>
      <c r="D23" s="343" t="n">
        <v>-258680.49</v>
      </c>
      <c r="E23" s="345" t="n">
        <v>-6334.13</v>
      </c>
      <c r="F23" s="342" t="n">
        <v>-78945.78999999999</v>
      </c>
      <c r="G23" s="341" t="n">
        <v>218888.96</v>
      </c>
      <c r="H23" s="290">
        <f>SUM(C23:G23)</f>
        <v/>
      </c>
      <c r="I23" s="1" t="inlineStr">
        <is>
          <t>Verdelen over periodes</t>
        </is>
      </c>
    </row>
    <row r="24" ht="12.75" customHeight="1">
      <c r="A24" s="1" t="inlineStr">
        <is>
          <t>Totaal overige vorderingen</t>
        </is>
      </c>
      <c r="C24" s="341" t="n">
        <v>0</v>
      </c>
      <c r="H24" s="290">
        <f>SUM(C24:G24)</f>
        <v/>
      </c>
    </row>
    <row r="25" ht="12.75" customHeight="1">
      <c r="C25" s="341" t="n">
        <v>0</v>
      </c>
      <c r="H25" s="290">
        <f>SUM(C25:G25)</f>
        <v/>
      </c>
    </row>
    <row r="26" ht="12.75" customHeight="1">
      <c r="A26" s="130" t="inlineStr">
        <is>
          <t>2300000</t>
        </is>
      </c>
      <c r="B26" s="1" t="inlineStr">
        <is>
          <t>LM Kruisposten</t>
        </is>
      </c>
      <c r="C26" s="341" t="n">
        <v>-17075.7</v>
      </c>
      <c r="D26" s="341" t="n">
        <v>17075.97</v>
      </c>
      <c r="E26" s="341" t="n">
        <v>-281</v>
      </c>
      <c r="F26" s="341" t="n">
        <v>-1981.76</v>
      </c>
      <c r="G26" s="341" t="n">
        <v>1168.16</v>
      </c>
      <c r="H26" s="290">
        <f>SUM(C26:G26)</f>
        <v/>
      </c>
    </row>
    <row r="27" ht="12.75" customHeight="1">
      <c r="A27" s="130" t="inlineStr">
        <is>
          <t>2400200</t>
        </is>
      </c>
      <c r="B27" s="1" t="inlineStr">
        <is>
          <t>LM ABN AMRO Bank Disposal NL58 ABNA 0818 9180 39</t>
        </is>
      </c>
      <c r="C27" s="341" t="n">
        <v>0.91</v>
      </c>
      <c r="D27" s="344" t="n">
        <v>-0.38</v>
      </c>
      <c r="E27" s="344" t="n">
        <v>-0.37</v>
      </c>
      <c r="F27" s="344" t="n">
        <v>0.1</v>
      </c>
      <c r="G27" s="344" t="n">
        <v>276380.24</v>
      </c>
      <c r="H27" s="290">
        <f>SUM(C27:G27)</f>
        <v/>
      </c>
    </row>
    <row r="28" ht="12.75" customHeight="1">
      <c r="A28" s="130" t="inlineStr">
        <is>
          <t>2400201</t>
        </is>
      </c>
      <c r="B28" s="1" t="inlineStr">
        <is>
          <t>LM ABN AMRO Bank Deposit NL57 ABNA 0541 6205 68</t>
        </is>
      </c>
      <c r="C28" s="341" t="n">
        <v>36675.96</v>
      </c>
      <c r="D28" s="344" t="n">
        <v>-18.04</v>
      </c>
      <c r="E28" s="344" t="n">
        <v>-18.32</v>
      </c>
      <c r="F28" s="344" t="n">
        <v>-18.48</v>
      </c>
      <c r="G28" s="344" t="n">
        <v>-633966.34</v>
      </c>
      <c r="H28" s="290">
        <f>SUM(C28:G28)</f>
        <v/>
      </c>
    </row>
    <row r="29" ht="12.75" customHeight="1">
      <c r="A29" s="130" t="inlineStr">
        <is>
          <t>2400202</t>
        </is>
      </c>
      <c r="B29" s="1" t="inlineStr">
        <is>
          <t>LM ABN AMRO Bank General NL93 ABNA 0541 6132 27</t>
        </is>
      </c>
      <c r="C29" s="341" t="n">
        <v>163761.98</v>
      </c>
      <c r="D29" s="344" t="n">
        <v>-8084.34</v>
      </c>
      <c r="E29" s="344" t="n">
        <v>-10036.05</v>
      </c>
      <c r="F29" s="344" t="n">
        <v>-95658.58</v>
      </c>
      <c r="G29" s="344" t="n">
        <v>-49793.26</v>
      </c>
      <c r="H29" s="290">
        <f>SUM(C29:G29)</f>
        <v/>
      </c>
    </row>
    <row r="30" ht="12.75" customHeight="1">
      <c r="A30" s="130" t="inlineStr">
        <is>
          <t>2400203</t>
        </is>
      </c>
      <c r="B30" s="1" t="inlineStr">
        <is>
          <t>LM ABN AMRO Bank Maintres NL04 ABNA 0541 6188 06</t>
        </is>
      </c>
      <c r="C30" s="341" t="n">
        <v>171539.68</v>
      </c>
      <c r="D30" s="344" t="n">
        <v>-89675.55</v>
      </c>
      <c r="E30" s="344" t="n">
        <v>-56453.47</v>
      </c>
      <c r="F30" s="344" t="n">
        <v>17670.91</v>
      </c>
      <c r="G30" s="344" t="n">
        <v>139682.05</v>
      </c>
      <c r="H30" s="290">
        <f>SUM(C30:G30)</f>
        <v/>
      </c>
    </row>
    <row r="31" ht="12.75" customHeight="1">
      <c r="A31" s="130" t="inlineStr">
        <is>
          <t>2400204</t>
        </is>
      </c>
      <c r="B31" s="1" t="inlineStr">
        <is>
          <t>LM ABN AMRO Bank Rent NL46 ABNA 0541 6088 35</t>
        </is>
      </c>
      <c r="C31" s="341" t="n">
        <v>221514.5600000001</v>
      </c>
      <c r="D31" s="344" t="n">
        <v>228072.92</v>
      </c>
      <c r="E31" s="344" t="n">
        <v>280038.53</v>
      </c>
      <c r="F31" s="344" t="n">
        <v>367648.53</v>
      </c>
      <c r="G31" s="344" t="n">
        <v>323121.93</v>
      </c>
      <c r="H31" s="290">
        <f>SUM(C31:G31)</f>
        <v/>
      </c>
    </row>
    <row r="32" ht="12.75" customHeight="1">
      <c r="A32" s="130" t="inlineStr">
        <is>
          <t>2400205</t>
        </is>
      </c>
      <c r="B32" s="1" t="inlineStr">
        <is>
          <t>LM ABN AMRO Bank SR EXP NL88 ABNA 0541 6205 92</t>
        </is>
      </c>
      <c r="C32" s="341" t="n">
        <v>73809.39</v>
      </c>
      <c r="D32" s="344" t="n">
        <v>-48621.34</v>
      </c>
      <c r="E32" s="344" t="n">
        <v>84669.55</v>
      </c>
      <c r="F32" s="344" t="n">
        <v>-105672.08</v>
      </c>
      <c r="G32" s="344" t="n">
        <v>98531.57000000001</v>
      </c>
      <c r="H32" s="290">
        <f>SUM(C32:G32)</f>
        <v/>
      </c>
    </row>
    <row r="33" ht="12.75" customHeight="1">
      <c r="A33" s="1" t="inlineStr">
        <is>
          <t>Totaal Liquide middelen</t>
        </is>
      </c>
      <c r="C33" s="341" t="n">
        <v>0</v>
      </c>
      <c r="H33" s="290">
        <f>SUM(C33:G33)</f>
        <v/>
      </c>
    </row>
    <row r="34" ht="12.75" customHeight="1">
      <c r="C34" s="341" t="n">
        <v>0</v>
      </c>
      <c r="H34" s="290">
        <f>SUM(C34:G34)</f>
        <v/>
      </c>
    </row>
    <row r="35" ht="12.75" customHeight="1">
      <c r="A35" s="130" t="n">
        <v>1000002</v>
      </c>
      <c r="B35" s="1" t="inlineStr">
        <is>
          <t>EV Normale aandelen Saldo</t>
        </is>
      </c>
      <c r="C35" s="341" t="n">
        <v>-1</v>
      </c>
      <c r="D35" s="341" t="n">
        <v>0</v>
      </c>
      <c r="E35" s="341" t="n">
        <v>0</v>
      </c>
      <c r="F35" s="341" t="n">
        <v>0</v>
      </c>
      <c r="G35" s="341" t="n">
        <v>0</v>
      </c>
      <c r="H35" s="290">
        <f>SUM(C35:G35)</f>
        <v/>
      </c>
    </row>
    <row r="36" ht="12.75" customHeight="1">
      <c r="A36" s="130" t="n">
        <v>1100000</v>
      </c>
      <c r="B36" s="1" t="inlineStr">
        <is>
          <t>EV Agioreserve Agio aandelen</t>
        </is>
      </c>
      <c r="C36" s="341" t="n">
        <v>-19031219</v>
      </c>
      <c r="D36" s="341" t="n">
        <v>100000</v>
      </c>
      <c r="E36" s="341" t="n">
        <v>0</v>
      </c>
      <c r="F36" s="341" t="n">
        <v>0</v>
      </c>
      <c r="G36" s="341" t="n">
        <v>0</v>
      </c>
      <c r="H36" s="290">
        <f>SUM(C36:G36)</f>
        <v/>
      </c>
    </row>
    <row r="37" ht="12.75" customHeight="1">
      <c r="A37" s="130" t="n">
        <v>1160000</v>
      </c>
      <c r="B37" s="1" t="inlineStr">
        <is>
          <t>EV Overige reserve Reserve aandelen</t>
        </is>
      </c>
      <c r="C37" s="341" t="n">
        <v>6424854.92</v>
      </c>
      <c r="D37" s="341" t="n">
        <v>0</v>
      </c>
      <c r="E37" s="341" t="n">
        <v>0</v>
      </c>
      <c r="F37" s="341" t="n">
        <v>0</v>
      </c>
      <c r="G37" s="341" t="n">
        <v>0</v>
      </c>
      <c r="H37" s="290">
        <f>SUM(C37:G37)</f>
        <v/>
      </c>
      <c r="I37" s="299" t="n"/>
    </row>
    <row r="38" ht="12.75" customHeight="1">
      <c r="A38" s="130" t="inlineStr">
        <is>
          <t>1160100</t>
        </is>
      </c>
      <c r="B38" s="1" t="inlineStr">
        <is>
          <t>EV Overige reserve  Dividenduitkeringen aandelen</t>
        </is>
      </c>
      <c r="C38" s="341" t="n">
        <v>2000000</v>
      </c>
      <c r="D38" s="341" t="n">
        <v>1000000</v>
      </c>
      <c r="E38" s="341" t="n">
        <v>0</v>
      </c>
      <c r="F38" s="341" t="n">
        <v>0</v>
      </c>
      <c r="G38" s="341" t="n">
        <v>0</v>
      </c>
      <c r="H38" s="290">
        <f>SUM(C38:G38)</f>
        <v/>
      </c>
    </row>
    <row r="39" ht="12.75" customHeight="1">
      <c r="A39" s="1" t="inlineStr">
        <is>
          <t>Totaal Eigen vermogen</t>
        </is>
      </c>
      <c r="C39" s="341" t="n">
        <v>0</v>
      </c>
      <c r="H39" s="290">
        <f>SUM(C39:G39)</f>
        <v/>
      </c>
    </row>
    <row r="40" ht="12.75" customHeight="1">
      <c r="C40" s="341" t="n">
        <v>0</v>
      </c>
      <c r="H40" s="290">
        <f>SUM(C40:G40)</f>
        <v/>
      </c>
    </row>
    <row r="41" ht="12.75" customHeight="1">
      <c r="A41" s="130" t="n">
        <v>1930001</v>
      </c>
      <c r="B41" s="1" t="inlineStr">
        <is>
          <t>LLS Hoofdsom ABN AMRO Bank NV Senior Facility Agreement</t>
        </is>
      </c>
      <c r="C41" s="341" t="n">
        <v>-130000000</v>
      </c>
      <c r="D41" s="341" t="n">
        <v>0</v>
      </c>
      <c r="F41" s="341" t="n">
        <v>0</v>
      </c>
      <c r="G41" s="341" t="n">
        <v>0</v>
      </c>
      <c r="H41" s="290">
        <f>SUM(C41:G41)</f>
        <v/>
      </c>
    </row>
    <row r="42" ht="12.75" customHeight="1">
      <c r="A42" s="130" t="inlineStr">
        <is>
          <t>1930101</t>
        </is>
      </c>
      <c r="B42" s="1" t="inlineStr">
        <is>
          <t>LLS Cum aflossingen ABN AMRO Bank NV Senior Facility Agreement</t>
        </is>
      </c>
      <c r="C42" s="341" t="n">
        <v>24848944.98</v>
      </c>
      <c r="D42" s="344" t="n">
        <v>1579956.98</v>
      </c>
      <c r="E42" s="344" t="n">
        <v>979503.98</v>
      </c>
      <c r="F42" s="344" t="n">
        <v>948219.98</v>
      </c>
      <c r="G42" s="344" t="n">
        <v>601183.98</v>
      </c>
      <c r="H42" s="290">
        <f>SUM(C42:G42)</f>
        <v/>
      </c>
    </row>
    <row r="43" ht="12.75" customHeight="1">
      <c r="A43" s="1" t="inlineStr">
        <is>
          <t>Totaal Langlopende schulden</t>
        </is>
      </c>
      <c r="C43" s="341" t="n">
        <v>0</v>
      </c>
    </row>
    <row r="44" ht="12.75" customHeight="1">
      <c r="C44" s="341" t="n">
        <v>0</v>
      </c>
    </row>
    <row r="45" ht="12.75" customHeight="1">
      <c r="A45" s="130" t="inlineStr">
        <is>
          <t>2730000</t>
        </is>
      </c>
      <c r="B45" s="1" t="inlineStr">
        <is>
          <t>KLS Crediteuren</t>
        </is>
      </c>
      <c r="C45" s="341" t="n">
        <v>-12007.05</v>
      </c>
      <c r="D45" s="341" t="n">
        <v>-530169.95</v>
      </c>
      <c r="E45" s="302" t="n">
        <v>-26012.24</v>
      </c>
      <c r="F45" s="302" t="n">
        <v>394615.53</v>
      </c>
      <c r="G45" s="302" t="n">
        <v>-377746.56</v>
      </c>
      <c r="H45" s="290">
        <f>SUM(C45:G45)</f>
        <v/>
      </c>
    </row>
    <row r="46" ht="12.75" customHeight="1">
      <c r="A46" s="130" t="inlineStr">
        <is>
          <t>2730001</t>
        </is>
      </c>
      <c r="B46" s="1" t="inlineStr">
        <is>
          <t>KLS Crediteuren intercompany</t>
        </is>
      </c>
      <c r="C46" s="341" t="n">
        <v>0</v>
      </c>
      <c r="D46" s="341" t="n">
        <v>0</v>
      </c>
      <c r="E46" s="341" t="n">
        <v>-12100</v>
      </c>
      <c r="F46" s="341" t="n">
        <v>0</v>
      </c>
      <c r="G46" s="341" t="n">
        <v>-24200</v>
      </c>
      <c r="H46" s="290">
        <f>SUM(C46:G46)</f>
        <v/>
      </c>
    </row>
    <row r="47" ht="12.75" customHeight="1">
      <c r="A47" s="1" t="inlineStr">
        <is>
          <t>Totaal Crediteuren</t>
        </is>
      </c>
      <c r="C47" s="341" t="n">
        <v>0</v>
      </c>
    </row>
    <row r="48" ht="12.75" customHeight="1">
      <c r="C48" s="341" t="n">
        <v>0</v>
      </c>
    </row>
    <row r="49" ht="12.75" customHeight="1">
      <c r="A49" s="130" t="inlineStr">
        <is>
          <t>2512100</t>
        </is>
      </c>
      <c r="B49" s="1" t="inlineStr">
        <is>
          <t>BEL Afgedragen/ontvangen BTW</t>
        </is>
      </c>
      <c r="C49" s="341" t="n">
        <v>-4266.559999999999</v>
      </c>
      <c r="D49" s="341" t="n">
        <v>-858.91</v>
      </c>
      <c r="E49" s="341" t="n">
        <v>525.91</v>
      </c>
      <c r="F49" s="341" t="n">
        <v>101.01</v>
      </c>
      <c r="G49" s="341" t="n">
        <v>-230.48</v>
      </c>
      <c r="H49" s="290">
        <f>SUM(C49:G49)</f>
        <v/>
      </c>
    </row>
    <row r="50" ht="12.75" customHeight="1">
      <c r="A50" s="130" t="inlineStr">
        <is>
          <t>2530000</t>
        </is>
      </c>
      <c r="B50" s="1" t="inlineStr">
        <is>
          <t>BEL Te betalen vennootschapsbelasting</t>
        </is>
      </c>
      <c r="C50" s="341" t="n">
        <v>0</v>
      </c>
      <c r="D50" s="341" t="n">
        <v>0</v>
      </c>
      <c r="E50" s="341" t="n">
        <v>0</v>
      </c>
      <c r="F50" s="341" t="n">
        <v>0</v>
      </c>
      <c r="G50" s="341" t="n">
        <v>0</v>
      </c>
      <c r="H50" s="290">
        <f>SUM(C50:G50)</f>
        <v/>
      </c>
    </row>
    <row r="51" ht="12.75" customHeight="1">
      <c r="A51" s="130" t="inlineStr">
        <is>
          <t>2550000</t>
        </is>
      </c>
      <c r="B51" s="1" t="inlineStr">
        <is>
          <t>BEL Te betalen overige belastingen</t>
        </is>
      </c>
      <c r="C51" s="341" t="n">
        <v>0</v>
      </c>
      <c r="D51" s="341" t="n">
        <v>0</v>
      </c>
      <c r="E51" s="341" t="n">
        <v>0</v>
      </c>
      <c r="F51" s="341" t="n">
        <v>0</v>
      </c>
      <c r="G51" s="341" t="n">
        <v>0</v>
      </c>
      <c r="H51" s="290">
        <f>SUM(C51:G51)</f>
        <v/>
      </c>
    </row>
    <row r="52" ht="12.75" customHeight="1">
      <c r="A52" s="1" t="inlineStr">
        <is>
          <t>Totaal Belastingen</t>
        </is>
      </c>
      <c r="C52" s="341" t="n">
        <v>0</v>
      </c>
    </row>
    <row r="53" ht="12.75" customHeight="1">
      <c r="C53" s="341" t="n">
        <v>0</v>
      </c>
    </row>
    <row r="54" ht="12.75" customHeight="1">
      <c r="A54" s="130" t="n">
        <v>2740100</v>
      </c>
      <c r="B54" s="1" t="inlineStr">
        <is>
          <t>KLS Vooruitgefactureerde huur</t>
        </is>
      </c>
      <c r="C54" s="341" t="n">
        <v>-990959.87</v>
      </c>
      <c r="D54" s="341" t="n">
        <v>837333.62</v>
      </c>
      <c r="E54" s="341" t="n">
        <v>42167.89</v>
      </c>
      <c r="F54" s="341" t="n">
        <v>-796644.01</v>
      </c>
      <c r="G54" s="341" t="n">
        <v>-105259.43</v>
      </c>
      <c r="H54" s="290">
        <f>SUM(C54:G54)</f>
        <v/>
      </c>
    </row>
    <row r="55" ht="12.75" customHeight="1">
      <c r="A55" s="130" t="inlineStr">
        <is>
          <t>2740300</t>
        </is>
      </c>
      <c r="B55" s="1" t="inlineStr">
        <is>
          <t>KLS Te betalen waarborgsommen kortlopend</t>
        </is>
      </c>
      <c r="C55" s="341" t="n">
        <v>-806287.2</v>
      </c>
      <c r="D55" s="341" t="n">
        <v>-158.33</v>
      </c>
      <c r="E55" s="341" t="n">
        <v>-10419.51</v>
      </c>
      <c r="F55" s="341" t="n">
        <v>-23268.06</v>
      </c>
      <c r="G55" s="341" t="n">
        <v>-3189.54</v>
      </c>
      <c r="H55" s="290">
        <f>SUM(C55:G55)</f>
        <v/>
      </c>
    </row>
    <row r="56" ht="12.75" customHeight="1">
      <c r="A56" s="130" t="n">
        <v>2740500</v>
      </c>
      <c r="B56" s="1" t="inlineStr">
        <is>
          <t>KLS Te betalen accountants- en administratiekosten</t>
        </is>
      </c>
      <c r="C56" s="341" t="n">
        <v>-22500</v>
      </c>
      <c r="D56" s="341" t="n">
        <v>0</v>
      </c>
      <c r="E56" s="341" t="n">
        <v>0</v>
      </c>
      <c r="F56" s="341" t="n">
        <v>0</v>
      </c>
      <c r="G56" s="341" t="n">
        <v>0</v>
      </c>
      <c r="H56" s="290">
        <f>SUM(C56:G56)</f>
        <v/>
      </c>
    </row>
    <row r="57" ht="12.75" customHeight="1">
      <c r="A57" s="130" t="inlineStr">
        <is>
          <t>2740600</t>
        </is>
      </c>
      <c r="B57" s="1" t="inlineStr">
        <is>
          <t>KLS Te betalen rente</t>
        </is>
      </c>
      <c r="C57" s="341" t="n">
        <v>0</v>
      </c>
      <c r="D57" s="341" t="n">
        <v>0</v>
      </c>
      <c r="E57" s="341" t="n">
        <v>0</v>
      </c>
      <c r="F57" s="341" t="n">
        <v>0</v>
      </c>
      <c r="G57" s="341" t="n">
        <v>0</v>
      </c>
      <c r="H57" s="290">
        <f>SUM(C57:G57)</f>
        <v/>
      </c>
    </row>
    <row r="58" ht="12.75" customHeight="1">
      <c r="A58" s="130" t="inlineStr">
        <is>
          <t>2740700</t>
        </is>
      </c>
      <c r="B58" s="1" t="inlineStr">
        <is>
          <t>KLS Te betalen verzekeringen</t>
        </is>
      </c>
      <c r="C58" s="341" t="n">
        <v>0</v>
      </c>
      <c r="D58" s="341" t="n">
        <v>0</v>
      </c>
      <c r="E58" s="341" t="n">
        <v>0</v>
      </c>
      <c r="F58" s="341" t="n">
        <v>0</v>
      </c>
      <c r="G58" s="341" t="n">
        <v>0</v>
      </c>
      <c r="H58" s="290">
        <f>SUM(C58:G58)</f>
        <v/>
      </c>
    </row>
    <row r="59" ht="12.75" customHeight="1">
      <c r="A59" s="130" t="inlineStr">
        <is>
          <t>2741000</t>
        </is>
      </c>
      <c r="B59" s="1" t="inlineStr">
        <is>
          <t>KLS Te betalen servicekosten</t>
        </is>
      </c>
      <c r="C59" s="341" t="n">
        <v>0</v>
      </c>
      <c r="D59" s="341" t="n">
        <v>-13460</v>
      </c>
      <c r="E59" s="342" t="n">
        <v>234253.32</v>
      </c>
      <c r="F59" s="342" t="n">
        <v>-73597.84</v>
      </c>
      <c r="G59" s="341" t="n">
        <v>-73597.86</v>
      </c>
      <c r="H59" s="290">
        <f>SUM(C59:G59)</f>
        <v/>
      </c>
      <c r="I59" s="1" t="inlineStr">
        <is>
          <t>Verdelen over periodes</t>
        </is>
      </c>
    </row>
    <row r="60" ht="12.75" customHeight="1">
      <c r="A60" s="130" t="inlineStr">
        <is>
          <t>2741001</t>
        </is>
      </c>
      <c r="B60" s="1" t="inlineStr">
        <is>
          <t>KLS Te betalen exploitatiekosten</t>
        </is>
      </c>
      <c r="C60" s="341" t="n">
        <v>0</v>
      </c>
      <c r="D60" s="341" t="n">
        <v>-1149.13</v>
      </c>
      <c r="E60" s="341" t="n">
        <v>1149</v>
      </c>
      <c r="F60" s="341" t="n">
        <v>0</v>
      </c>
      <c r="G60" s="341" t="n">
        <v>0</v>
      </c>
      <c r="H60" s="290">
        <f>SUM(C60:G60)</f>
        <v/>
      </c>
    </row>
    <row r="61" ht="12.75" customHeight="1">
      <c r="A61" s="130" t="inlineStr">
        <is>
          <t>2741002</t>
        </is>
      </c>
      <c r="B61" s="1" t="inlineStr">
        <is>
          <t>KLS Te betalen VVE</t>
        </is>
      </c>
      <c r="C61" s="341" t="n">
        <v>0</v>
      </c>
      <c r="D61" s="341" t="n">
        <v>-392.3</v>
      </c>
      <c r="E61" s="341" t="n">
        <v>392</v>
      </c>
      <c r="F61" s="341" t="n">
        <v>0</v>
      </c>
      <c r="G61" s="341" t="n">
        <v>0</v>
      </c>
      <c r="H61" s="290">
        <f>SUM(C61:G61)</f>
        <v/>
      </c>
    </row>
    <row r="62" ht="12.75" customHeight="1">
      <c r="A62" s="130" t="inlineStr">
        <is>
          <t>2741004</t>
        </is>
      </c>
      <c r="B62" s="1" t="inlineStr">
        <is>
          <t>KLS Te betalen Hoen</t>
        </is>
      </c>
      <c r="C62" s="341" t="n">
        <v>-125255.2</v>
      </c>
      <c r="D62" s="341" t="n">
        <v>84505.55</v>
      </c>
      <c r="E62" s="341" t="n">
        <v>-40947</v>
      </c>
      <c r="F62" s="341" t="n">
        <v>-123710.23</v>
      </c>
      <c r="G62" s="341" t="n">
        <v>79630.24000000001</v>
      </c>
      <c r="H62" s="290">
        <f>SUM(C62:G62)</f>
        <v/>
      </c>
    </row>
    <row r="63" ht="12.75" customHeight="1">
      <c r="A63" s="130" t="inlineStr">
        <is>
          <t>2741005</t>
        </is>
      </c>
      <c r="B63" s="1" t="inlineStr">
        <is>
          <t>KLS Te betalen managementvergoedingen</t>
        </is>
      </c>
      <c r="C63" s="341" t="n">
        <v>0</v>
      </c>
      <c r="D63" s="341" t="n">
        <v>0</v>
      </c>
      <c r="E63" s="341" t="n">
        <v>0</v>
      </c>
      <c r="F63" s="341" t="n">
        <v>0</v>
      </c>
      <c r="G63" s="341" t="n">
        <v>0</v>
      </c>
      <c r="H63" s="290">
        <f>SUM(C63:G63)</f>
        <v/>
      </c>
    </row>
    <row r="64" ht="12.75" customHeight="1">
      <c r="A64" s="130" t="inlineStr">
        <is>
          <t>2741200</t>
        </is>
      </c>
      <c r="B64" s="1" t="inlineStr">
        <is>
          <t>KLS Te betalen agency fee</t>
        </is>
      </c>
      <c r="C64" s="341" t="n">
        <v>20000</v>
      </c>
      <c r="D64" s="341" t="n">
        <v>0</v>
      </c>
      <c r="E64" s="341" t="n">
        <v>0</v>
      </c>
      <c r="F64" s="341" t="n">
        <v>-20000</v>
      </c>
      <c r="G64" s="341" t="n">
        <v>20000</v>
      </c>
      <c r="H64" s="290">
        <f>SUM(C64:G64)</f>
        <v/>
      </c>
    </row>
    <row r="65" ht="12.75" customHeight="1">
      <c r="A65" s="130" t="inlineStr">
        <is>
          <t>2741900</t>
        </is>
      </c>
      <c r="B65" s="1" t="inlineStr">
        <is>
          <t>KLS Nog uit te zoeken posten MT940</t>
        </is>
      </c>
      <c r="C65" s="341" t="n">
        <v>0</v>
      </c>
      <c r="D65" s="341" t="n">
        <v>0</v>
      </c>
      <c r="E65" s="341" t="n">
        <v>0</v>
      </c>
      <c r="F65" s="341" t="n">
        <v>0</v>
      </c>
      <c r="G65" s="341" t="n">
        <v>0</v>
      </c>
      <c r="H65" s="290">
        <f>SUM(C65:G65)</f>
        <v/>
      </c>
    </row>
    <row r="66" ht="12.75" customHeight="1">
      <c r="A66" s="130" t="inlineStr">
        <is>
          <t>2742200</t>
        </is>
      </c>
      <c r="B66" s="1" t="inlineStr">
        <is>
          <t>KLS Vooruitontvangen bedragen</t>
        </is>
      </c>
      <c r="C66" s="341" t="n">
        <v>0</v>
      </c>
      <c r="D66" s="341" t="n">
        <v>0</v>
      </c>
      <c r="E66" s="341" t="n">
        <v>0</v>
      </c>
      <c r="F66" s="341" t="n">
        <v>0</v>
      </c>
      <c r="G66" s="341" t="n">
        <v>0</v>
      </c>
      <c r="H66" s="290">
        <f>SUM(C66:G66)</f>
        <v/>
      </c>
    </row>
    <row r="67" ht="12.75" customHeight="1">
      <c r="A67" s="1" t="inlineStr">
        <is>
          <t>Totaal Overige schulden</t>
        </is>
      </c>
    </row>
    <row r="70" ht="12.75" customHeight="1">
      <c r="A70" s="132" t="inlineStr">
        <is>
          <t>Winst- en verliesrekening (baten zijn positief, kosten negatief)</t>
        </is>
      </c>
    </row>
    <row r="71" ht="12.75" customHeight="1">
      <c r="A71" s="130" t="inlineStr">
        <is>
          <t>8000003</t>
        </is>
      </c>
      <c r="B71" s="1" t="inlineStr">
        <is>
          <t>OPB Netto-omzet Theoretische huuropbrengsten</t>
        </is>
      </c>
      <c r="D71" s="341" t="n">
        <v>-2862440.42</v>
      </c>
      <c r="E71" s="341" t="n">
        <v>-2870089</v>
      </c>
      <c r="F71" s="341" t="n">
        <v>-2871329.16</v>
      </c>
      <c r="G71" s="341" t="n">
        <v>-2944242.41</v>
      </c>
      <c r="H71" s="290">
        <f>SUM(C71:G71)</f>
        <v/>
      </c>
    </row>
    <row r="72" ht="12.75" customHeight="1">
      <c r="A72" s="130" t="inlineStr">
        <is>
          <t>8000004</t>
        </is>
      </c>
      <c r="B72" s="1" t="inlineStr">
        <is>
          <t>OPB Netto-omzet Leegstand huuropbrengsten</t>
        </is>
      </c>
      <c r="D72" s="341" t="n">
        <v>38520.4</v>
      </c>
      <c r="E72" s="341" t="n">
        <v>32888</v>
      </c>
      <c r="F72" s="341" t="n">
        <v>39968.65</v>
      </c>
      <c r="G72" s="341" t="n">
        <v>55228.45</v>
      </c>
      <c r="H72" s="290">
        <f>SUM(C72:G72)</f>
        <v/>
      </c>
    </row>
    <row r="73" ht="12.75" customHeight="1">
      <c r="A73" s="1" t="inlineStr">
        <is>
          <t>Totaal Netto-omzet</t>
        </is>
      </c>
      <c r="D73" s="341">
        <f>SUM(D71:D72)</f>
        <v/>
      </c>
      <c r="E73" s="341">
        <f>SUM(E71:E72)</f>
        <v/>
      </c>
      <c r="F73" s="341">
        <f>SUM(F71:F72)</f>
        <v/>
      </c>
      <c r="G73" s="341">
        <f>SUM(G71:G72)</f>
        <v/>
      </c>
      <c r="H73" s="290">
        <f>SUM(C73:G73)</f>
        <v/>
      </c>
    </row>
    <row r="74" ht="12.75" customHeight="1">
      <c r="H74" s="290">
        <f>SUM(C74:G74)</f>
        <v/>
      </c>
    </row>
    <row r="75" ht="12.75" customHeight="1">
      <c r="A75" s="130" t="n">
        <v>8400400</v>
      </c>
      <c r="B75" s="1" t="inlineStr">
        <is>
          <t xml:space="preserve">OPB Overige bedrijfsopbrengsten </t>
        </is>
      </c>
      <c r="D75" s="341" t="n">
        <v>13460</v>
      </c>
      <c r="E75" s="341" t="n">
        <v>-13460</v>
      </c>
      <c r="F75" s="341" t="n">
        <v>0</v>
      </c>
      <c r="H75" s="290">
        <f>SUM(C75:G75)</f>
        <v/>
      </c>
    </row>
    <row r="76" ht="12.75" customHeight="1">
      <c r="A76" s="130" t="inlineStr">
        <is>
          <t>8400600</t>
        </is>
      </c>
      <c r="B76" s="1" t="inlineStr">
        <is>
          <t>OPB Overige bedrijfsopbrengsten Totale servicekosten</t>
        </is>
      </c>
      <c r="D76" s="341" t="n">
        <v>-165060.65</v>
      </c>
      <c r="E76" s="341" t="n">
        <v>-164313</v>
      </c>
      <c r="F76" s="341" t="n">
        <v>-164598.62</v>
      </c>
      <c r="G76" s="341" t="n">
        <v>-350659.51</v>
      </c>
      <c r="H76" s="290">
        <f>SUM(C76:G76)</f>
        <v/>
      </c>
    </row>
    <row r="77" ht="12.75" customHeight="1">
      <c r="A77" s="130" t="inlineStr">
        <is>
          <t>8400700</t>
        </is>
      </c>
      <c r="B77" s="1" t="inlineStr">
        <is>
          <t>OPB Overige bedrijfsopbrengsten Servicekosten leegstand</t>
        </is>
      </c>
      <c r="D77" s="341" t="n">
        <v>5967.41</v>
      </c>
      <c r="E77" s="341" t="n">
        <v>1453</v>
      </c>
      <c r="F77" s="341" t="n">
        <v>6011.91</v>
      </c>
      <c r="G77" s="341" t="n">
        <v>7008.044</v>
      </c>
      <c r="H77" s="290">
        <f>SUM(C77:G77)</f>
        <v/>
      </c>
    </row>
    <row r="78" ht="12.75" customHeight="1">
      <c r="A78" s="130" t="inlineStr">
        <is>
          <t>8400800</t>
        </is>
      </c>
      <c r="B78" s="1" t="inlineStr">
        <is>
          <t>OPB Overige bedrijfsopbrengsten Gerealiseerde servicekosten</t>
        </is>
      </c>
      <c r="D78" s="341" t="n">
        <v>191429.47</v>
      </c>
      <c r="E78" s="341" t="n">
        <v>271928</v>
      </c>
      <c r="F78" s="341" t="n">
        <v>195259.97</v>
      </c>
      <c r="G78" s="341" t="n">
        <v>239859.03</v>
      </c>
      <c r="H78" s="290">
        <f>SUM(C78:G78)</f>
        <v/>
      </c>
    </row>
    <row r="79" ht="12.75" customHeight="1">
      <c r="A79" s="1" t="inlineStr">
        <is>
          <t>Totaal Overige bedrijfsopbrengsten</t>
        </is>
      </c>
      <c r="D79" s="341">
        <f>SUM(D75:D78)</f>
        <v/>
      </c>
      <c r="E79" s="341">
        <f>SUM(E75:E78)</f>
        <v/>
      </c>
      <c r="F79" s="341">
        <f>SUM(F75:F78)</f>
        <v/>
      </c>
      <c r="G79" s="341">
        <f>SUM(G75:G78)</f>
        <v/>
      </c>
      <c r="H79" s="290">
        <f>SUM(C79:G79)</f>
        <v/>
      </c>
    </row>
    <row r="80" ht="12.75" customHeight="1">
      <c r="H80" s="290">
        <f>SUM(C80:G80)</f>
        <v/>
      </c>
    </row>
    <row r="81" ht="12.75" customHeight="1">
      <c r="A81" s="130" t="inlineStr">
        <is>
          <t>4051400</t>
        </is>
      </c>
      <c r="B81" s="1" t="inlineStr">
        <is>
          <t>KN Diensten door derden</t>
        </is>
      </c>
      <c r="D81" s="341" t="n">
        <v>121294.6</v>
      </c>
      <c r="E81" s="341" t="n">
        <v>121679.68</v>
      </c>
      <c r="F81" s="341" t="n">
        <v>121956.77</v>
      </c>
      <c r="G81" s="341" t="n">
        <v>124885.89</v>
      </c>
      <c r="H81" s="290">
        <f>SUM(C81:G81)</f>
        <v/>
      </c>
    </row>
    <row r="82" ht="12.75" customHeight="1">
      <c r="A82" s="1" t="inlineStr">
        <is>
          <t>Totaal overige personeelskosten</t>
        </is>
      </c>
      <c r="D82" s="341">
        <f>SUM(D81)</f>
        <v/>
      </c>
      <c r="E82" s="341">
        <f>SUM(E81)</f>
        <v/>
      </c>
      <c r="F82" s="341">
        <f>SUM(F81)</f>
        <v/>
      </c>
      <c r="G82" s="341">
        <f>SUM(G81)</f>
        <v/>
      </c>
      <c r="H82" s="290">
        <f>SUM(C82:G82)</f>
        <v/>
      </c>
    </row>
    <row r="83" ht="12.75" customHeight="1">
      <c r="H83" s="290">
        <f>SUM(C83:G83)</f>
        <v/>
      </c>
    </row>
    <row r="84" ht="12.75" customHeight="1">
      <c r="A84" s="130" t="inlineStr">
        <is>
          <t>4730000</t>
        </is>
      </c>
      <c r="B84" s="1" t="inlineStr">
        <is>
          <t>AFKN Afschrijvingskosten Vastgoedbeleggingen</t>
        </is>
      </c>
      <c r="D84" s="341" t="n">
        <v>679632</v>
      </c>
      <c r="E84" s="341" t="n">
        <v>682456</v>
      </c>
      <c r="F84" s="341" t="n">
        <v>682714</v>
      </c>
      <c r="G84" s="341" t="n">
        <v>695326</v>
      </c>
      <c r="H84" s="290">
        <f>SUM(C84:G84)</f>
        <v/>
      </c>
    </row>
    <row r="85" ht="12.75" customHeight="1">
      <c r="A85" s="130" t="inlineStr">
        <is>
          <t>4730200</t>
        </is>
      </c>
      <c r="B85" s="1" t="inlineStr">
        <is>
          <t>AFKN Boekresultaat Vastgoedbeleggingen</t>
        </is>
      </c>
      <c r="D85" s="341" t="n">
        <v>-1362473</v>
      </c>
      <c r="E85" s="341" t="n">
        <v>-490457</v>
      </c>
      <c r="F85" s="341" t="n">
        <v>-423958</v>
      </c>
      <c r="G85" s="341" t="n">
        <v>-544596</v>
      </c>
      <c r="H85" s="290">
        <f>SUM(C85:G85)</f>
        <v/>
      </c>
    </row>
    <row r="86" ht="12.75" customHeight="1">
      <c r="A86" s="1" t="inlineStr">
        <is>
          <t>Totaal Afschrijvingen vastgoedbeleggingen</t>
        </is>
      </c>
      <c r="D86" s="341">
        <f>SUM(D84:D85)</f>
        <v/>
      </c>
      <c r="E86" s="341">
        <f>SUM(E84:E85)</f>
        <v/>
      </c>
      <c r="F86" s="341">
        <f>SUM(F84:F85)</f>
        <v/>
      </c>
      <c r="G86" s="341">
        <f>SUM(G84:G85)</f>
        <v/>
      </c>
      <c r="H86" s="290">
        <f>SUM(C86:G86)</f>
        <v/>
      </c>
    </row>
    <row r="87" ht="12.75" customHeight="1">
      <c r="H87" s="290">
        <f>SUM(C87:G87)</f>
        <v/>
      </c>
    </row>
    <row r="88" ht="12.75" customHeight="1">
      <c r="A88" s="130" t="n">
        <v>4100400</v>
      </c>
      <c r="B88" s="1" t="inlineStr">
        <is>
          <t>KN Onderhoud gebouwen</t>
        </is>
      </c>
      <c r="D88" s="341">
        <f>510329.85+J4</f>
        <v/>
      </c>
      <c r="E88" s="341">
        <f>178607+K4</f>
        <v/>
      </c>
      <c r="F88" s="341">
        <f>230456.52+L4</f>
        <v/>
      </c>
      <c r="G88" s="341">
        <f>205277.39+M4</f>
        <v/>
      </c>
      <c r="H88" s="290">
        <f>SUM(C88:G88)</f>
        <v/>
      </c>
    </row>
    <row r="89" ht="12.75" customHeight="1">
      <c r="A89" s="130" t="inlineStr">
        <is>
          <t>4100410</t>
        </is>
      </c>
      <c r="B89" s="1" t="inlineStr">
        <is>
          <t>Verhuurdersheffing</t>
        </is>
      </c>
      <c r="D89" s="341" t="n">
        <v>129402.49</v>
      </c>
      <c r="E89" s="342" t="n">
        <v>119943.21</v>
      </c>
      <c r="F89" s="342" t="n">
        <v>119943.22</v>
      </c>
      <c r="G89" s="341" t="n">
        <v>119943.23</v>
      </c>
      <c r="H89" s="290">
        <f>SUM(C89:G89)</f>
        <v/>
      </c>
      <c r="I89" s="1" t="inlineStr">
        <is>
          <t>Verdelen over periodes</t>
        </is>
      </c>
    </row>
    <row r="90" ht="12.75" customHeight="1">
      <c r="A90" s="130" t="inlineStr">
        <is>
          <t>4100900</t>
        </is>
      </c>
      <c r="B90" s="1" t="inlineStr">
        <is>
          <t>KN Onroerende zaakbelasting</t>
        </is>
      </c>
      <c r="D90" s="341" t="n">
        <v>82972.46000000001</v>
      </c>
      <c r="E90" s="341" t="n">
        <v>54979.46</v>
      </c>
      <c r="F90" s="341" t="n">
        <v>61017.04</v>
      </c>
      <c r="G90" s="341" t="n">
        <v>70988.5</v>
      </c>
      <c r="H90" s="290">
        <f>SUM(C90:G90)</f>
        <v/>
      </c>
    </row>
    <row r="91" ht="12.75" customHeight="1">
      <c r="A91" s="130" t="inlineStr">
        <is>
          <t>4101000</t>
        </is>
      </c>
      <c r="B91" s="1" t="inlineStr">
        <is>
          <t>KN VvE-kosten</t>
        </is>
      </c>
      <c r="D91" s="341" t="n">
        <v>221370.06</v>
      </c>
      <c r="E91" s="341" t="n">
        <v>167096</v>
      </c>
      <c r="F91" s="341" t="n">
        <v>146899.4</v>
      </c>
      <c r="G91" s="341" t="n">
        <v>135095.91</v>
      </c>
      <c r="H91" s="290">
        <f>SUM(C91:G91)</f>
        <v/>
      </c>
    </row>
    <row r="92" ht="12.75" customHeight="1">
      <c r="A92" s="130" t="inlineStr">
        <is>
          <t>4101010</t>
        </is>
      </c>
      <c r="B92" s="1" t="inlineStr">
        <is>
          <t>Gemeentelijke belastingen</t>
        </is>
      </c>
      <c r="D92" s="341" t="n">
        <v>31086.75</v>
      </c>
      <c r="E92" s="341" t="n">
        <v>17584.71</v>
      </c>
      <c r="F92" s="341" t="n">
        <v>22504.3</v>
      </c>
      <c r="G92" s="341" t="n">
        <v>26095.63</v>
      </c>
      <c r="H92" s="290">
        <f>SUM(C92:G92)</f>
        <v/>
      </c>
    </row>
    <row r="93" ht="12.75" customHeight="1">
      <c r="A93" s="130" t="inlineStr">
        <is>
          <t>4101020</t>
        </is>
      </c>
      <c r="B93" s="1" t="inlineStr">
        <is>
          <t>Waterschapsbelasting</t>
        </is>
      </c>
      <c r="D93" s="341" t="n">
        <v>16030.14</v>
      </c>
      <c r="E93" s="341" t="n">
        <v>14743.33</v>
      </c>
      <c r="F93" s="341" t="n">
        <v>24087.56</v>
      </c>
      <c r="G93" s="341" t="n">
        <v>28638.46</v>
      </c>
      <c r="H93" s="290">
        <f>SUM(C93:G93)</f>
        <v/>
      </c>
    </row>
    <row r="94" ht="12.75" customHeight="1">
      <c r="A94" s="130" t="inlineStr">
        <is>
          <t>4101300</t>
        </is>
      </c>
      <c r="B94" s="1" t="inlineStr">
        <is>
          <t>KN Servicekosten leegstand</t>
        </is>
      </c>
      <c r="D94" s="341" t="n">
        <v>-22.71</v>
      </c>
      <c r="F94" s="341" t="n">
        <v>0</v>
      </c>
      <c r="G94" s="341" t="n">
        <v>0</v>
      </c>
      <c r="H94" s="290">
        <f>SUM(C94:G94)</f>
        <v/>
      </c>
    </row>
    <row r="95" ht="12.75" customHeight="1">
      <c r="A95" s="130" t="inlineStr">
        <is>
          <t>4109800</t>
        </is>
      </c>
      <c r="B95" s="1" t="inlineStr">
        <is>
          <t>KN Overige huisvestingskosten</t>
        </is>
      </c>
      <c r="D95" s="341" t="n">
        <v>0</v>
      </c>
      <c r="F95" s="341" t="n">
        <v>0</v>
      </c>
      <c r="G95" s="341" t="n">
        <v>0</v>
      </c>
      <c r="H95" s="290">
        <f>SUM(C95:G95)</f>
        <v/>
      </c>
    </row>
    <row r="96" ht="12.75" customHeight="1">
      <c r="A96" s="1" t="inlineStr">
        <is>
          <t>Totaal Huisvestingskosten</t>
        </is>
      </c>
      <c r="D96" s="341">
        <f>SUM(D88:D95)</f>
        <v/>
      </c>
      <c r="E96" s="341">
        <f>SUM(E88:E95)</f>
        <v/>
      </c>
      <c r="F96" s="341">
        <f>SUM(F88:F95)</f>
        <v/>
      </c>
      <c r="G96" s="341">
        <f>SUM(G88:G95)</f>
        <v/>
      </c>
      <c r="H96" s="290">
        <f>SUM(C96:G96)</f>
        <v/>
      </c>
    </row>
    <row r="98" ht="12.75" customHeight="1">
      <c r="A98" s="130" t="inlineStr">
        <is>
          <t>4500400</t>
        </is>
      </c>
      <c r="B98" s="1" t="inlineStr">
        <is>
          <t>KN Representatiekosten</t>
        </is>
      </c>
      <c r="D98" s="341" t="n">
        <v>0</v>
      </c>
      <c r="E98" s="341" t="n">
        <v>0</v>
      </c>
      <c r="F98" s="341" t="n">
        <v>0</v>
      </c>
      <c r="G98" s="341" t="n">
        <v>0</v>
      </c>
      <c r="H98" s="290">
        <f>SUM(C98:G98)</f>
        <v/>
      </c>
    </row>
    <row r="99" ht="12.75" customHeight="1">
      <c r="A99" s="130" t="inlineStr">
        <is>
          <t>4501200</t>
        </is>
      </c>
      <c r="B99" s="1" t="inlineStr">
        <is>
          <t>KN Mutatie voorziening dubieuze debiteuren</t>
        </is>
      </c>
      <c r="D99" s="341" t="n">
        <v>59966.86</v>
      </c>
      <c r="E99" s="341" t="n">
        <v>0</v>
      </c>
      <c r="F99" s="341" t="n">
        <v>0</v>
      </c>
      <c r="G99" s="341" t="n">
        <v>0</v>
      </c>
      <c r="H99" s="290">
        <f>SUM(C99:G99)</f>
        <v/>
      </c>
    </row>
    <row r="100" ht="12.75" customHeight="1">
      <c r="A100" s="130" t="inlineStr">
        <is>
          <t>4501300</t>
        </is>
      </c>
      <c r="B100" s="1" t="inlineStr">
        <is>
          <t>KN Afboeking dubieuze debiteuren</t>
        </is>
      </c>
      <c r="D100" s="341" t="n">
        <v>238.16</v>
      </c>
      <c r="E100" s="341" t="n">
        <v>-3681</v>
      </c>
      <c r="F100" s="341" t="n">
        <v>1678.58</v>
      </c>
      <c r="G100" s="341" t="n">
        <v>765.92</v>
      </c>
      <c r="H100" s="290">
        <f>SUM(C100:G100)</f>
        <v/>
      </c>
    </row>
    <row r="101" ht="12.75" customHeight="1">
      <c r="A101" s="1" t="inlineStr">
        <is>
          <t>Totaal Verkoopkosten</t>
        </is>
      </c>
      <c r="D101" s="341">
        <f>SUM(D98:D100)</f>
        <v/>
      </c>
      <c r="E101" s="341">
        <f>SUM(E98:E100)</f>
        <v/>
      </c>
      <c r="F101" s="341">
        <f>SUM(F98:F100)</f>
        <v/>
      </c>
      <c r="G101" s="341">
        <f>SUM(G98:G100)</f>
        <v/>
      </c>
      <c r="H101" s="290">
        <f>SUM(C101:G101)</f>
        <v/>
      </c>
    </row>
    <row r="102" ht="12.75" customHeight="1">
      <c r="H102" s="290">
        <f>SUM(C102:G102)</f>
        <v/>
      </c>
    </row>
    <row r="103" ht="12.75" customHeight="1">
      <c r="A103" s="130" t="inlineStr">
        <is>
          <t>4300500</t>
        </is>
      </c>
      <c r="B103" s="1" t="inlineStr">
        <is>
          <t>KN Incassokosten</t>
        </is>
      </c>
      <c r="D103" s="341" t="n">
        <v>340</v>
      </c>
      <c r="E103" s="341" t="n">
        <v>307</v>
      </c>
      <c r="F103" s="341" t="n">
        <v>300</v>
      </c>
      <c r="G103" s="341" t="n">
        <v>600</v>
      </c>
      <c r="H103" s="290">
        <f>SUM(C103:G103)</f>
        <v/>
      </c>
    </row>
    <row r="104" ht="12.75" customHeight="1">
      <c r="A104" s="1" t="inlineStr">
        <is>
          <t>Totaal Kantoorkosten</t>
        </is>
      </c>
      <c r="D104" s="341">
        <f>SUM(D103)</f>
        <v/>
      </c>
      <c r="E104" s="341">
        <f>SUM(E103)</f>
        <v/>
      </c>
      <c r="F104" s="341">
        <f>SUM(F103)</f>
        <v/>
      </c>
      <c r="G104" s="341">
        <f>SUM(G103)</f>
        <v/>
      </c>
      <c r="H104" s="290">
        <f>SUM(C104:G104)</f>
        <v/>
      </c>
    </row>
    <row r="105" ht="12.75" customHeight="1">
      <c r="H105" s="290">
        <f>SUM(C105:G105)</f>
        <v/>
      </c>
    </row>
    <row r="106" ht="12.75" customHeight="1">
      <c r="A106" s="130" t="inlineStr">
        <is>
          <t>4310000</t>
        </is>
      </c>
      <c r="B106" s="1" t="inlineStr">
        <is>
          <t>KN Abonnementen en contributies</t>
        </is>
      </c>
      <c r="D106" s="341" t="n">
        <v>0</v>
      </c>
      <c r="E106" s="341" t="n">
        <v>0</v>
      </c>
      <c r="F106" s="341" t="n">
        <v>0</v>
      </c>
      <c r="G106" s="341" t="n">
        <v>0</v>
      </c>
      <c r="H106" s="290">
        <f>SUM(C106:G106)</f>
        <v/>
      </c>
    </row>
    <row r="107" ht="12.75" customHeight="1">
      <c r="A107" s="130" t="inlineStr">
        <is>
          <t>4310400</t>
        </is>
      </c>
      <c r="B107" s="1" t="inlineStr">
        <is>
          <t>KN Assurantiepremie algemeen</t>
        </is>
      </c>
      <c r="D107" s="341" t="n">
        <v>29692.1</v>
      </c>
      <c r="E107" s="341" t="n">
        <v>29598.07</v>
      </c>
      <c r="F107" s="341" t="n">
        <v>29220.54</v>
      </c>
      <c r="G107" s="341" t="n">
        <v>29220.56</v>
      </c>
      <c r="H107" s="290">
        <f>SUM(C107:G107)</f>
        <v/>
      </c>
    </row>
    <row r="108" ht="12.75" customHeight="1">
      <c r="A108" s="130" t="inlineStr">
        <is>
          <t>4310500</t>
        </is>
      </c>
      <c r="B108" s="1" t="inlineStr">
        <is>
          <t>KN Managementvergoeding</t>
        </is>
      </c>
      <c r="D108" s="341" t="n">
        <v>5445</v>
      </c>
      <c r="E108" s="341" t="n">
        <v>5445</v>
      </c>
      <c r="F108" s="341" t="n">
        <v>1815</v>
      </c>
      <c r="G108" s="341" t="n">
        <v>1815</v>
      </c>
      <c r="H108" s="290">
        <f>SUM(C108:G108)</f>
        <v/>
      </c>
    </row>
    <row r="109" ht="12.75" customHeight="1">
      <c r="A109" s="130" t="inlineStr">
        <is>
          <t>4310600</t>
        </is>
      </c>
      <c r="B109" s="1" t="inlineStr">
        <is>
          <t>KN Accountantskosten</t>
        </is>
      </c>
      <c r="D109" s="341" t="n">
        <v>2612.6</v>
      </c>
      <c r="E109" s="341" t="n">
        <v>4564</v>
      </c>
      <c r="F109" s="341" t="n">
        <v>17202.63</v>
      </c>
      <c r="G109" s="341" t="n">
        <v>25189.79</v>
      </c>
      <c r="H109" s="290">
        <f>SUM(C109:G109)</f>
        <v/>
      </c>
    </row>
    <row r="110" ht="12.75" customHeight="1">
      <c r="A110" s="130" t="inlineStr">
        <is>
          <t>4310700</t>
        </is>
      </c>
      <c r="B110" s="1" t="inlineStr">
        <is>
          <t>KN Administratiekosten</t>
        </is>
      </c>
      <c r="D110" s="341" t="n">
        <v>2420</v>
      </c>
      <c r="F110" s="341" t="n">
        <v>2420</v>
      </c>
      <c r="G110" s="341" t="n">
        <v>1210</v>
      </c>
      <c r="H110" s="290">
        <f>SUM(C110:G110)</f>
        <v/>
      </c>
    </row>
    <row r="111" ht="12.75" customHeight="1">
      <c r="A111" s="130" t="inlineStr">
        <is>
          <t>4310800</t>
        </is>
      </c>
      <c r="B111" s="1" t="inlineStr">
        <is>
          <t>KN Makelaarskosten</t>
        </is>
      </c>
      <c r="D111" s="341" t="n">
        <v>94401.17999999999</v>
      </c>
      <c r="E111" s="341" t="n">
        <v>41825</v>
      </c>
      <c r="F111" s="341" t="n">
        <v>56676.4</v>
      </c>
      <c r="G111" s="341" t="n">
        <v>51142.69</v>
      </c>
      <c r="H111" s="290">
        <f>SUM(C111:G111)</f>
        <v/>
      </c>
    </row>
    <row r="112" ht="12.75" customHeight="1">
      <c r="A112" s="130" t="inlineStr">
        <is>
          <t>4311000</t>
        </is>
      </c>
      <c r="B112" s="1" t="inlineStr">
        <is>
          <t>KN Juridische kosten</t>
        </is>
      </c>
      <c r="D112" s="341" t="n">
        <v>4699.49</v>
      </c>
      <c r="E112" s="341" t="n">
        <v>901</v>
      </c>
      <c r="F112" s="341" t="n">
        <v>11908.13</v>
      </c>
      <c r="G112" s="341" t="n">
        <v>10656.91</v>
      </c>
      <c r="H112" s="290">
        <f>SUM(C112:G112)</f>
        <v/>
      </c>
    </row>
    <row r="113" ht="12.75" customHeight="1">
      <c r="A113" s="130" t="inlineStr">
        <is>
          <t>4311800</t>
        </is>
      </c>
      <c r="B113" s="1" t="inlineStr">
        <is>
          <t>KN Advieskosten</t>
        </is>
      </c>
      <c r="D113" s="341" t="n">
        <v>0</v>
      </c>
      <c r="E113" s="341" t="n">
        <v>12100</v>
      </c>
      <c r="F113" s="341" t="n">
        <v>10587.5</v>
      </c>
      <c r="G113" s="341" t="n">
        <v>24200</v>
      </c>
      <c r="H113" s="290">
        <f>SUM(C113:G113)</f>
        <v/>
      </c>
    </row>
    <row r="114" ht="12" customHeight="1">
      <c r="A114" s="130" t="inlineStr">
        <is>
          <t>4311900</t>
        </is>
      </c>
      <c r="B114" s="1" t="inlineStr">
        <is>
          <t>KN Bankkosten</t>
        </is>
      </c>
      <c r="D114" s="341" t="n">
        <v>1225.96</v>
      </c>
      <c r="E114" s="341" t="n">
        <v>4218</v>
      </c>
      <c r="F114" s="341" t="n">
        <v>3987.94</v>
      </c>
      <c r="G114" s="341" t="n">
        <v>3190.89</v>
      </c>
      <c r="H114" s="290">
        <f>SUM(C114:G114)</f>
        <v/>
      </c>
    </row>
    <row r="115" ht="12.75" customHeight="1">
      <c r="A115" s="130" t="inlineStr">
        <is>
          <t>4312600</t>
        </is>
      </c>
      <c r="B115" s="1" t="inlineStr">
        <is>
          <t>KN Agent Fee facility</t>
        </is>
      </c>
      <c r="D115" s="341" t="n">
        <v>0</v>
      </c>
      <c r="E115" s="341" t="n">
        <v>0</v>
      </c>
      <c r="F115" s="341" t="n">
        <v>20000</v>
      </c>
      <c r="G115" s="341" t="n">
        <v>20000</v>
      </c>
      <c r="H115" s="290">
        <f>SUM(C115:G115)</f>
        <v/>
      </c>
    </row>
    <row r="116" ht="12.75" customHeight="1">
      <c r="A116" s="130" t="inlineStr">
        <is>
          <t>4319800</t>
        </is>
      </c>
      <c r="B116" s="1" t="inlineStr">
        <is>
          <t>KN Overige algemene kosten</t>
        </is>
      </c>
      <c r="D116" s="341" t="n">
        <v>1050.28</v>
      </c>
      <c r="E116" s="341" t="n">
        <v>550</v>
      </c>
      <c r="F116" s="341" t="n">
        <v>1290.22</v>
      </c>
      <c r="G116" s="341" t="n">
        <v>1920.61</v>
      </c>
      <c r="H116" s="290">
        <f>SUM(C116:G116)</f>
        <v/>
      </c>
    </row>
    <row r="117" ht="12.75" customHeight="1">
      <c r="A117" s="1" t="inlineStr">
        <is>
          <t>Totaal Algemene kosten</t>
        </is>
      </c>
      <c r="D117" s="341">
        <f>SUM(D106:D116)</f>
        <v/>
      </c>
      <c r="E117" s="341">
        <f>SUM(E106:E116)</f>
        <v/>
      </c>
      <c r="F117" s="341">
        <f>SUM(F106:F116)</f>
        <v/>
      </c>
      <c r="G117" s="341">
        <f>SUM(G106:G116)</f>
        <v/>
      </c>
      <c r="H117" s="290">
        <f>SUM(C117:G117)</f>
        <v/>
      </c>
    </row>
    <row r="118" ht="12.75" customHeight="1">
      <c r="H118" s="290">
        <f>SUM(C118:G118)</f>
        <v/>
      </c>
    </row>
    <row r="119" ht="12.75" customHeight="1">
      <c r="A119" s="130" t="inlineStr">
        <is>
          <t>4623001</t>
        </is>
      </c>
      <c r="B119" s="1" t="inlineStr">
        <is>
          <t>FINBL Rente ABN AMRO Bank NV Senior Facility Agreement</t>
        </is>
      </c>
      <c r="D119" s="341" t="n">
        <v>416515.02</v>
      </c>
      <c r="E119" s="341" t="n">
        <v>401338</v>
      </c>
      <c r="F119" s="341" t="n">
        <v>401959.7</v>
      </c>
      <c r="G119" s="341" t="n">
        <v>402764.5</v>
      </c>
      <c r="H119" s="290">
        <f>SUM(C119:G119)</f>
        <v/>
      </c>
    </row>
    <row r="120" ht="12.75" customHeight="1">
      <c r="A120" s="130" t="n">
        <v>4611000</v>
      </c>
      <c r="B120" s="1" t="inlineStr">
        <is>
          <t>FINBL Rente RC DMRRP INV - I BV</t>
        </is>
      </c>
      <c r="D120" s="341" t="n">
        <v>4201</v>
      </c>
      <c r="E120" s="341" t="n">
        <v>0</v>
      </c>
      <c r="F120" s="341" t="n">
        <v>0</v>
      </c>
      <c r="G120" s="341" t="n">
        <v>0</v>
      </c>
      <c r="H120" s="290">
        <f>SUM(C120:G120)</f>
        <v/>
      </c>
    </row>
    <row r="121" ht="12.75" customHeight="1">
      <c r="A121" s="130" t="n">
        <v>4630000</v>
      </c>
      <c r="B121" s="1" t="inlineStr">
        <is>
          <t>FINBL Rente belastingen</t>
        </is>
      </c>
      <c r="D121" s="341" t="n">
        <v>0</v>
      </c>
      <c r="E121" s="341" t="n">
        <v>0</v>
      </c>
      <c r="F121" s="341" t="n">
        <v>0</v>
      </c>
      <c r="G121" s="341" t="n">
        <v>0</v>
      </c>
      <c r="H121" s="290">
        <f>SUM(C121:G121)</f>
        <v/>
      </c>
    </row>
    <row r="122" ht="12.75" customHeight="1">
      <c r="A122" s="130" t="inlineStr">
        <is>
          <t>4643000</t>
        </is>
      </c>
      <c r="B122" s="1" t="inlineStr">
        <is>
          <t>FINBL Overige rentelasten</t>
        </is>
      </c>
      <c r="D122" s="341" t="n">
        <v>102995.06</v>
      </c>
      <c r="E122" s="341" t="n">
        <v>100023.25</v>
      </c>
      <c r="F122" s="341" t="n">
        <v>100452.6</v>
      </c>
      <c r="G122" s="341" t="n">
        <v>100805.57</v>
      </c>
      <c r="H122" s="290">
        <f>SUM(C122:G122)</f>
        <v/>
      </c>
    </row>
    <row r="123" ht="12.75" customHeight="1">
      <c r="A123" s="130" t="n">
        <v>4642000</v>
      </c>
      <c r="B123" s="1" t="inlineStr">
        <is>
          <t>FINBL overige rentebaten</t>
        </is>
      </c>
      <c r="D123" s="341" t="n">
        <v>2949.43</v>
      </c>
      <c r="E123" s="341" t="n">
        <v>0</v>
      </c>
      <c r="F123" s="341" t="n">
        <v>0</v>
      </c>
      <c r="G123" s="341" t="n">
        <v>0</v>
      </c>
      <c r="H123" s="290">
        <f>SUM(C123:G123)</f>
        <v/>
      </c>
    </row>
    <row r="124" ht="12.75" customHeight="1">
      <c r="A124" s="130" t="inlineStr">
        <is>
          <t>Totaal Financiële baten en lasten</t>
        </is>
      </c>
      <c r="D124" s="341">
        <f>SUM(D119:D123)</f>
        <v/>
      </c>
      <c r="E124" s="341">
        <f>SUM(E119:E123)</f>
        <v/>
      </c>
      <c r="F124" s="341">
        <f>SUM(F119:F123)</f>
        <v/>
      </c>
      <c r="G124" s="341">
        <f>SUM(G119:G123)</f>
        <v/>
      </c>
      <c r="H124" s="290">
        <f>SUM(C124:G124)</f>
        <v/>
      </c>
    </row>
    <row r="125" ht="12.75" customHeight="1">
      <c r="H125" s="290">
        <f>SUM(C125:G125)</f>
        <v/>
      </c>
    </row>
    <row r="126" ht="12.75" customHeight="1">
      <c r="A126" s="130" t="n">
        <v>9500000</v>
      </c>
      <c r="B126" s="1" t="inlineStr">
        <is>
          <t>VPB Vennootschapsbelasting VPB Huidg jaar</t>
        </is>
      </c>
      <c r="D126" s="341" t="n">
        <v>2276087</v>
      </c>
      <c r="E126" s="341" t="n">
        <v>0</v>
      </c>
      <c r="F126" s="341" t="n">
        <v>0</v>
      </c>
      <c r="G126" s="341" t="n">
        <v>0</v>
      </c>
      <c r="H126" s="290">
        <f>SUM(C126:G126)</f>
        <v/>
      </c>
    </row>
    <row r="127" ht="12.75" customHeight="1">
      <c r="A127" s="130" t="inlineStr">
        <is>
          <t>9510000</t>
        </is>
      </c>
      <c r="B127" s="1" t="inlineStr">
        <is>
          <t>VPB Mutatie belastinglatentie Mutatie actieve latentie</t>
        </is>
      </c>
      <c r="D127" s="341" t="n">
        <v>-273366.2</v>
      </c>
      <c r="E127" s="341" t="n">
        <v>-237434</v>
      </c>
      <c r="F127" s="341" t="n">
        <v>-121126</v>
      </c>
      <c r="G127" s="341" t="n">
        <v>-165568</v>
      </c>
      <c r="H127" s="290">
        <f>SUM(C127:G127)</f>
        <v/>
      </c>
    </row>
    <row r="128" ht="12.75" customHeight="1">
      <c r="A128" s="130" t="n">
        <v>9500100</v>
      </c>
      <c r="B128" s="1" t="inlineStr">
        <is>
          <t>VPB Vennootschapsbelasting VPB voorgaande jaren</t>
        </is>
      </c>
      <c r="D128" s="341" t="n">
        <v>0</v>
      </c>
      <c r="E128" s="341" t="n">
        <v>0</v>
      </c>
      <c r="F128" s="341" t="n">
        <v>0</v>
      </c>
      <c r="G128" s="341" t="n">
        <v>0</v>
      </c>
      <c r="H128" s="290">
        <f>SUM(C128:G128)</f>
        <v/>
      </c>
    </row>
    <row r="129" ht="12.75" customHeight="1">
      <c r="A129" s="130" t="inlineStr">
        <is>
          <t>Totaal vennootschapsbelasting</t>
        </is>
      </c>
      <c r="C129" s="302" t="n"/>
      <c r="D129" s="302">
        <f>SUM(D126:D128)</f>
        <v/>
      </c>
      <c r="E129" s="302">
        <f>SUM(E126:E128)</f>
        <v/>
      </c>
      <c r="F129" s="302">
        <f>SUM(F126:F127)-2</f>
        <v/>
      </c>
      <c r="G129" s="302">
        <f>SUM(G126:G128)</f>
        <v/>
      </c>
      <c r="H129" s="290">
        <f>SUM(C129:G129)</f>
        <v/>
      </c>
    </row>
    <row r="130" ht="12.75" customHeight="1">
      <c r="H130" s="290">
        <f>SUM(C130:G130)</f>
        <v/>
      </c>
    </row>
    <row r="131" ht="12.75" customHeight="1">
      <c r="A131" s="1" t="inlineStr">
        <is>
          <t>Resultaat na belasting</t>
        </is>
      </c>
      <c r="D131" s="341">
        <f>D73+D79+D82+D86+D96+D101+D104+D117+D124+D129</f>
        <v/>
      </c>
      <c r="E131" s="341">
        <f>E73+E79+E82+E86+E96+E101+E104+E117+E124+E129</f>
        <v/>
      </c>
      <c r="F131" s="341">
        <f>F73+F79+F82+F86+F96+F101+F104+F117+F124+F129</f>
        <v/>
      </c>
      <c r="G131" s="341">
        <f>G73+G79+G82+G86+G96+G101+G104+G117+G124+G129</f>
        <v/>
      </c>
      <c r="H131" s="290">
        <f>SUM(C131:G131)</f>
        <v/>
      </c>
    </row>
    <row r="132" ht="12.75" customHeight="1">
      <c r="H132" s="290">
        <f>SUM(C132:G132)</f>
        <v/>
      </c>
    </row>
    <row r="133" ht="12.75" customHeight="1">
      <c r="C133" s="346" t="n"/>
      <c r="D133" s="346">
        <f>SUM(D4:D67)+D131</f>
        <v/>
      </c>
      <c r="E133" s="346">
        <f>SUM(E4:E67)+E131</f>
        <v/>
      </c>
      <c r="F133" s="346">
        <f>SUM(F4:F67)+F131</f>
        <v/>
      </c>
      <c r="G133" s="346">
        <f>SUM(G4:G67)+G131</f>
        <v/>
      </c>
      <c r="H133" s="299">
        <f>SUM(C133:G133)</f>
        <v/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38"/>
  <sheetViews>
    <sheetView zoomScale="115" zoomScaleNormal="115" workbookViewId="0">
      <pane xSplit="2" topLeftCell="C1" activePane="topRight" state="frozen"/>
      <selection pane="topRight" activeCell="L119" sqref="L119"/>
    </sheetView>
  </sheetViews>
  <sheetFormatPr baseColWidth="8" defaultRowHeight="12.75" customHeight="1"/>
  <cols>
    <col width="21.109375" bestFit="1" customWidth="1" style="130" min="1" max="1"/>
    <col width="70" bestFit="1" customWidth="1" style="1" min="2" max="2"/>
    <col width="24.5546875" bestFit="1" customWidth="1" style="341" min="3" max="3"/>
    <col width="22.44140625" customWidth="1" style="341" min="4" max="7"/>
    <col width="19.44140625" bestFit="1" customWidth="1" style="290" min="8" max="8"/>
    <col width="9.109375" customWidth="1" style="1" min="9" max="256"/>
    <col width="21.109375" bestFit="1" customWidth="1" style="1" min="257" max="257"/>
    <col width="70" bestFit="1" customWidth="1" style="1" min="258" max="258"/>
    <col width="24.5546875" bestFit="1" customWidth="1" style="1" min="259" max="259"/>
    <col width="22.44140625" customWidth="1" style="1" min="260" max="263"/>
    <col width="19.44140625" bestFit="1" customWidth="1" style="1" min="264" max="264"/>
    <col width="9.109375" customWidth="1" style="1" min="265" max="512"/>
    <col width="21.109375" bestFit="1" customWidth="1" style="1" min="513" max="513"/>
    <col width="70" bestFit="1" customWidth="1" style="1" min="514" max="514"/>
    <col width="24.5546875" bestFit="1" customWidth="1" style="1" min="515" max="515"/>
    <col width="22.44140625" customWidth="1" style="1" min="516" max="519"/>
    <col width="19.44140625" bestFit="1" customWidth="1" style="1" min="520" max="520"/>
    <col width="9.109375" customWidth="1" style="1" min="521" max="768"/>
    <col width="21.109375" bestFit="1" customWidth="1" style="1" min="769" max="769"/>
    <col width="70" bestFit="1" customWidth="1" style="1" min="770" max="770"/>
    <col width="24.5546875" bestFit="1" customWidth="1" style="1" min="771" max="771"/>
    <col width="22.44140625" customWidth="1" style="1" min="772" max="775"/>
    <col width="19.44140625" bestFit="1" customWidth="1" style="1" min="776" max="776"/>
    <col width="9.109375" customWidth="1" style="1" min="777" max="1024"/>
    <col width="21.109375" bestFit="1" customWidth="1" style="1" min="1025" max="1025"/>
    <col width="70" bestFit="1" customWidth="1" style="1" min="1026" max="1026"/>
    <col width="24.5546875" bestFit="1" customWidth="1" style="1" min="1027" max="1027"/>
    <col width="22.44140625" customWidth="1" style="1" min="1028" max="1031"/>
    <col width="19.44140625" bestFit="1" customWidth="1" style="1" min="1032" max="1032"/>
    <col width="9.109375" customWidth="1" style="1" min="1033" max="1280"/>
    <col width="21.109375" bestFit="1" customWidth="1" style="1" min="1281" max="1281"/>
    <col width="70" bestFit="1" customWidth="1" style="1" min="1282" max="1282"/>
    <col width="24.5546875" bestFit="1" customWidth="1" style="1" min="1283" max="1283"/>
    <col width="22.44140625" customWidth="1" style="1" min="1284" max="1287"/>
    <col width="19.44140625" bestFit="1" customWidth="1" style="1" min="1288" max="1288"/>
    <col width="9.109375" customWidth="1" style="1" min="1289" max="1536"/>
    <col width="21.109375" bestFit="1" customWidth="1" style="1" min="1537" max="1537"/>
    <col width="70" bestFit="1" customWidth="1" style="1" min="1538" max="1538"/>
    <col width="24.5546875" bestFit="1" customWidth="1" style="1" min="1539" max="1539"/>
    <col width="22.44140625" customWidth="1" style="1" min="1540" max="1543"/>
    <col width="19.44140625" bestFit="1" customWidth="1" style="1" min="1544" max="1544"/>
    <col width="9.109375" customWidth="1" style="1" min="1545" max="1792"/>
    <col width="21.109375" bestFit="1" customWidth="1" style="1" min="1793" max="1793"/>
    <col width="70" bestFit="1" customWidth="1" style="1" min="1794" max="1794"/>
    <col width="24.5546875" bestFit="1" customWidth="1" style="1" min="1795" max="1795"/>
    <col width="22.44140625" customWidth="1" style="1" min="1796" max="1799"/>
    <col width="19.44140625" bestFit="1" customWidth="1" style="1" min="1800" max="1800"/>
    <col width="9.109375" customWidth="1" style="1" min="1801" max="2048"/>
    <col width="21.109375" bestFit="1" customWidth="1" style="1" min="2049" max="2049"/>
    <col width="70" bestFit="1" customWidth="1" style="1" min="2050" max="2050"/>
    <col width="24.5546875" bestFit="1" customWidth="1" style="1" min="2051" max="2051"/>
    <col width="22.44140625" customWidth="1" style="1" min="2052" max="2055"/>
    <col width="19.44140625" bestFit="1" customWidth="1" style="1" min="2056" max="2056"/>
    <col width="9.109375" customWidth="1" style="1" min="2057" max="2304"/>
    <col width="21.109375" bestFit="1" customWidth="1" style="1" min="2305" max="2305"/>
    <col width="70" bestFit="1" customWidth="1" style="1" min="2306" max="2306"/>
    <col width="24.5546875" bestFit="1" customWidth="1" style="1" min="2307" max="2307"/>
    <col width="22.44140625" customWidth="1" style="1" min="2308" max="2311"/>
    <col width="19.44140625" bestFit="1" customWidth="1" style="1" min="2312" max="2312"/>
    <col width="9.109375" customWidth="1" style="1" min="2313" max="2560"/>
    <col width="21.109375" bestFit="1" customWidth="1" style="1" min="2561" max="2561"/>
    <col width="70" bestFit="1" customWidth="1" style="1" min="2562" max="2562"/>
    <col width="24.5546875" bestFit="1" customWidth="1" style="1" min="2563" max="2563"/>
    <col width="22.44140625" customWidth="1" style="1" min="2564" max="2567"/>
    <col width="19.44140625" bestFit="1" customWidth="1" style="1" min="2568" max="2568"/>
    <col width="9.109375" customWidth="1" style="1" min="2569" max="2816"/>
    <col width="21.109375" bestFit="1" customWidth="1" style="1" min="2817" max="2817"/>
    <col width="70" bestFit="1" customWidth="1" style="1" min="2818" max="2818"/>
    <col width="24.5546875" bestFit="1" customWidth="1" style="1" min="2819" max="2819"/>
    <col width="22.44140625" customWidth="1" style="1" min="2820" max="2823"/>
    <col width="19.44140625" bestFit="1" customWidth="1" style="1" min="2824" max="2824"/>
    <col width="9.109375" customWidth="1" style="1" min="2825" max="3072"/>
    <col width="21.109375" bestFit="1" customWidth="1" style="1" min="3073" max="3073"/>
    <col width="70" bestFit="1" customWidth="1" style="1" min="3074" max="3074"/>
    <col width="24.5546875" bestFit="1" customWidth="1" style="1" min="3075" max="3075"/>
    <col width="22.44140625" customWidth="1" style="1" min="3076" max="3079"/>
    <col width="19.44140625" bestFit="1" customWidth="1" style="1" min="3080" max="3080"/>
    <col width="9.109375" customWidth="1" style="1" min="3081" max="3328"/>
    <col width="21.109375" bestFit="1" customWidth="1" style="1" min="3329" max="3329"/>
    <col width="70" bestFit="1" customWidth="1" style="1" min="3330" max="3330"/>
    <col width="24.5546875" bestFit="1" customWidth="1" style="1" min="3331" max="3331"/>
    <col width="22.44140625" customWidth="1" style="1" min="3332" max="3335"/>
    <col width="19.44140625" bestFit="1" customWidth="1" style="1" min="3336" max="3336"/>
    <col width="9.109375" customWidth="1" style="1" min="3337" max="3584"/>
    <col width="21.109375" bestFit="1" customWidth="1" style="1" min="3585" max="3585"/>
    <col width="70" bestFit="1" customWidth="1" style="1" min="3586" max="3586"/>
    <col width="24.5546875" bestFit="1" customWidth="1" style="1" min="3587" max="3587"/>
    <col width="22.44140625" customWidth="1" style="1" min="3588" max="3591"/>
    <col width="19.44140625" bestFit="1" customWidth="1" style="1" min="3592" max="3592"/>
    <col width="9.109375" customWidth="1" style="1" min="3593" max="3840"/>
    <col width="21.109375" bestFit="1" customWidth="1" style="1" min="3841" max="3841"/>
    <col width="70" bestFit="1" customWidth="1" style="1" min="3842" max="3842"/>
    <col width="24.5546875" bestFit="1" customWidth="1" style="1" min="3843" max="3843"/>
    <col width="22.44140625" customWidth="1" style="1" min="3844" max="3847"/>
    <col width="19.44140625" bestFit="1" customWidth="1" style="1" min="3848" max="3848"/>
    <col width="9.109375" customWidth="1" style="1" min="3849" max="4096"/>
    <col width="21.109375" bestFit="1" customWidth="1" style="1" min="4097" max="4097"/>
    <col width="70" bestFit="1" customWidth="1" style="1" min="4098" max="4098"/>
    <col width="24.5546875" bestFit="1" customWidth="1" style="1" min="4099" max="4099"/>
    <col width="22.44140625" customWidth="1" style="1" min="4100" max="4103"/>
    <col width="19.44140625" bestFit="1" customWidth="1" style="1" min="4104" max="4104"/>
    <col width="9.109375" customWidth="1" style="1" min="4105" max="4352"/>
    <col width="21.109375" bestFit="1" customWidth="1" style="1" min="4353" max="4353"/>
    <col width="70" bestFit="1" customWidth="1" style="1" min="4354" max="4354"/>
    <col width="24.5546875" bestFit="1" customWidth="1" style="1" min="4355" max="4355"/>
    <col width="22.44140625" customWidth="1" style="1" min="4356" max="4359"/>
    <col width="19.44140625" bestFit="1" customWidth="1" style="1" min="4360" max="4360"/>
    <col width="9.109375" customWidth="1" style="1" min="4361" max="4608"/>
    <col width="21.109375" bestFit="1" customWidth="1" style="1" min="4609" max="4609"/>
    <col width="70" bestFit="1" customWidth="1" style="1" min="4610" max="4610"/>
    <col width="24.5546875" bestFit="1" customWidth="1" style="1" min="4611" max="4611"/>
    <col width="22.44140625" customWidth="1" style="1" min="4612" max="4615"/>
    <col width="19.44140625" bestFit="1" customWidth="1" style="1" min="4616" max="4616"/>
    <col width="9.109375" customWidth="1" style="1" min="4617" max="4864"/>
    <col width="21.109375" bestFit="1" customWidth="1" style="1" min="4865" max="4865"/>
    <col width="70" bestFit="1" customWidth="1" style="1" min="4866" max="4866"/>
    <col width="24.5546875" bestFit="1" customWidth="1" style="1" min="4867" max="4867"/>
    <col width="22.44140625" customWidth="1" style="1" min="4868" max="4871"/>
    <col width="19.44140625" bestFit="1" customWidth="1" style="1" min="4872" max="4872"/>
    <col width="9.109375" customWidth="1" style="1" min="4873" max="5120"/>
    <col width="21.109375" bestFit="1" customWidth="1" style="1" min="5121" max="5121"/>
    <col width="70" bestFit="1" customWidth="1" style="1" min="5122" max="5122"/>
    <col width="24.5546875" bestFit="1" customWidth="1" style="1" min="5123" max="5123"/>
    <col width="22.44140625" customWidth="1" style="1" min="5124" max="5127"/>
    <col width="19.44140625" bestFit="1" customWidth="1" style="1" min="5128" max="5128"/>
    <col width="9.109375" customWidth="1" style="1" min="5129" max="5376"/>
    <col width="21.109375" bestFit="1" customWidth="1" style="1" min="5377" max="5377"/>
    <col width="70" bestFit="1" customWidth="1" style="1" min="5378" max="5378"/>
    <col width="24.5546875" bestFit="1" customWidth="1" style="1" min="5379" max="5379"/>
    <col width="22.44140625" customWidth="1" style="1" min="5380" max="5383"/>
    <col width="19.44140625" bestFit="1" customWidth="1" style="1" min="5384" max="5384"/>
    <col width="9.109375" customWidth="1" style="1" min="5385" max="5632"/>
    <col width="21.109375" bestFit="1" customWidth="1" style="1" min="5633" max="5633"/>
    <col width="70" bestFit="1" customWidth="1" style="1" min="5634" max="5634"/>
    <col width="24.5546875" bestFit="1" customWidth="1" style="1" min="5635" max="5635"/>
    <col width="22.44140625" customWidth="1" style="1" min="5636" max="5639"/>
    <col width="19.44140625" bestFit="1" customWidth="1" style="1" min="5640" max="5640"/>
    <col width="9.109375" customWidth="1" style="1" min="5641" max="5888"/>
    <col width="21.109375" bestFit="1" customWidth="1" style="1" min="5889" max="5889"/>
    <col width="70" bestFit="1" customWidth="1" style="1" min="5890" max="5890"/>
    <col width="24.5546875" bestFit="1" customWidth="1" style="1" min="5891" max="5891"/>
    <col width="22.44140625" customWidth="1" style="1" min="5892" max="5895"/>
    <col width="19.44140625" bestFit="1" customWidth="1" style="1" min="5896" max="5896"/>
    <col width="9.109375" customWidth="1" style="1" min="5897" max="6144"/>
    <col width="21.109375" bestFit="1" customWidth="1" style="1" min="6145" max="6145"/>
    <col width="70" bestFit="1" customWidth="1" style="1" min="6146" max="6146"/>
    <col width="24.5546875" bestFit="1" customWidth="1" style="1" min="6147" max="6147"/>
    <col width="22.44140625" customWidth="1" style="1" min="6148" max="6151"/>
    <col width="19.44140625" bestFit="1" customWidth="1" style="1" min="6152" max="6152"/>
    <col width="9.109375" customWidth="1" style="1" min="6153" max="6400"/>
    <col width="21.109375" bestFit="1" customWidth="1" style="1" min="6401" max="6401"/>
    <col width="70" bestFit="1" customWidth="1" style="1" min="6402" max="6402"/>
    <col width="24.5546875" bestFit="1" customWidth="1" style="1" min="6403" max="6403"/>
    <col width="22.44140625" customWidth="1" style="1" min="6404" max="6407"/>
    <col width="19.44140625" bestFit="1" customWidth="1" style="1" min="6408" max="6408"/>
    <col width="9.109375" customWidth="1" style="1" min="6409" max="6656"/>
    <col width="21.109375" bestFit="1" customWidth="1" style="1" min="6657" max="6657"/>
    <col width="70" bestFit="1" customWidth="1" style="1" min="6658" max="6658"/>
    <col width="24.5546875" bestFit="1" customWidth="1" style="1" min="6659" max="6659"/>
    <col width="22.44140625" customWidth="1" style="1" min="6660" max="6663"/>
    <col width="19.44140625" bestFit="1" customWidth="1" style="1" min="6664" max="6664"/>
    <col width="9.109375" customWidth="1" style="1" min="6665" max="6912"/>
    <col width="21.109375" bestFit="1" customWidth="1" style="1" min="6913" max="6913"/>
    <col width="70" bestFit="1" customWidth="1" style="1" min="6914" max="6914"/>
    <col width="24.5546875" bestFit="1" customWidth="1" style="1" min="6915" max="6915"/>
    <col width="22.44140625" customWidth="1" style="1" min="6916" max="6919"/>
    <col width="19.44140625" bestFit="1" customWidth="1" style="1" min="6920" max="6920"/>
    <col width="9.109375" customWidth="1" style="1" min="6921" max="7168"/>
    <col width="21.109375" bestFit="1" customWidth="1" style="1" min="7169" max="7169"/>
    <col width="70" bestFit="1" customWidth="1" style="1" min="7170" max="7170"/>
    <col width="24.5546875" bestFit="1" customWidth="1" style="1" min="7171" max="7171"/>
    <col width="22.44140625" customWidth="1" style="1" min="7172" max="7175"/>
    <col width="19.44140625" bestFit="1" customWidth="1" style="1" min="7176" max="7176"/>
    <col width="9.109375" customWidth="1" style="1" min="7177" max="7424"/>
    <col width="21.109375" bestFit="1" customWidth="1" style="1" min="7425" max="7425"/>
    <col width="70" bestFit="1" customWidth="1" style="1" min="7426" max="7426"/>
    <col width="24.5546875" bestFit="1" customWidth="1" style="1" min="7427" max="7427"/>
    <col width="22.44140625" customWidth="1" style="1" min="7428" max="7431"/>
    <col width="19.44140625" bestFit="1" customWidth="1" style="1" min="7432" max="7432"/>
    <col width="9.109375" customWidth="1" style="1" min="7433" max="7680"/>
    <col width="21.109375" bestFit="1" customWidth="1" style="1" min="7681" max="7681"/>
    <col width="70" bestFit="1" customWidth="1" style="1" min="7682" max="7682"/>
    <col width="24.5546875" bestFit="1" customWidth="1" style="1" min="7683" max="7683"/>
    <col width="22.44140625" customWidth="1" style="1" min="7684" max="7687"/>
    <col width="19.44140625" bestFit="1" customWidth="1" style="1" min="7688" max="7688"/>
    <col width="9.109375" customWidth="1" style="1" min="7689" max="7936"/>
    <col width="21.109375" bestFit="1" customWidth="1" style="1" min="7937" max="7937"/>
    <col width="70" bestFit="1" customWidth="1" style="1" min="7938" max="7938"/>
    <col width="24.5546875" bestFit="1" customWidth="1" style="1" min="7939" max="7939"/>
    <col width="22.44140625" customWidth="1" style="1" min="7940" max="7943"/>
    <col width="19.44140625" bestFit="1" customWidth="1" style="1" min="7944" max="7944"/>
    <col width="9.109375" customWidth="1" style="1" min="7945" max="8192"/>
    <col width="21.109375" bestFit="1" customWidth="1" style="1" min="8193" max="8193"/>
    <col width="70" bestFit="1" customWidth="1" style="1" min="8194" max="8194"/>
    <col width="24.5546875" bestFit="1" customWidth="1" style="1" min="8195" max="8195"/>
    <col width="22.44140625" customWidth="1" style="1" min="8196" max="8199"/>
    <col width="19.44140625" bestFit="1" customWidth="1" style="1" min="8200" max="8200"/>
    <col width="9.109375" customWidth="1" style="1" min="8201" max="8448"/>
    <col width="21.109375" bestFit="1" customWidth="1" style="1" min="8449" max="8449"/>
    <col width="70" bestFit="1" customWidth="1" style="1" min="8450" max="8450"/>
    <col width="24.5546875" bestFit="1" customWidth="1" style="1" min="8451" max="8451"/>
    <col width="22.44140625" customWidth="1" style="1" min="8452" max="8455"/>
    <col width="19.44140625" bestFit="1" customWidth="1" style="1" min="8456" max="8456"/>
    <col width="9.109375" customWidth="1" style="1" min="8457" max="8704"/>
    <col width="21.109375" bestFit="1" customWidth="1" style="1" min="8705" max="8705"/>
    <col width="70" bestFit="1" customWidth="1" style="1" min="8706" max="8706"/>
    <col width="24.5546875" bestFit="1" customWidth="1" style="1" min="8707" max="8707"/>
    <col width="22.44140625" customWidth="1" style="1" min="8708" max="8711"/>
    <col width="19.44140625" bestFit="1" customWidth="1" style="1" min="8712" max="8712"/>
    <col width="9.109375" customWidth="1" style="1" min="8713" max="8960"/>
    <col width="21.109375" bestFit="1" customWidth="1" style="1" min="8961" max="8961"/>
    <col width="70" bestFit="1" customWidth="1" style="1" min="8962" max="8962"/>
    <col width="24.5546875" bestFit="1" customWidth="1" style="1" min="8963" max="8963"/>
    <col width="22.44140625" customWidth="1" style="1" min="8964" max="8967"/>
    <col width="19.44140625" bestFit="1" customWidth="1" style="1" min="8968" max="8968"/>
    <col width="9.109375" customWidth="1" style="1" min="8969" max="9216"/>
    <col width="21.109375" bestFit="1" customWidth="1" style="1" min="9217" max="9217"/>
    <col width="70" bestFit="1" customWidth="1" style="1" min="9218" max="9218"/>
    <col width="24.5546875" bestFit="1" customWidth="1" style="1" min="9219" max="9219"/>
    <col width="22.44140625" customWidth="1" style="1" min="9220" max="9223"/>
    <col width="19.44140625" bestFit="1" customWidth="1" style="1" min="9224" max="9224"/>
    <col width="9.109375" customWidth="1" style="1" min="9225" max="9472"/>
    <col width="21.109375" bestFit="1" customWidth="1" style="1" min="9473" max="9473"/>
    <col width="70" bestFit="1" customWidth="1" style="1" min="9474" max="9474"/>
    <col width="24.5546875" bestFit="1" customWidth="1" style="1" min="9475" max="9475"/>
    <col width="22.44140625" customWidth="1" style="1" min="9476" max="9479"/>
    <col width="19.44140625" bestFit="1" customWidth="1" style="1" min="9480" max="9480"/>
    <col width="9.109375" customWidth="1" style="1" min="9481" max="9728"/>
    <col width="21.109375" bestFit="1" customWidth="1" style="1" min="9729" max="9729"/>
    <col width="70" bestFit="1" customWidth="1" style="1" min="9730" max="9730"/>
    <col width="24.5546875" bestFit="1" customWidth="1" style="1" min="9731" max="9731"/>
    <col width="22.44140625" customWidth="1" style="1" min="9732" max="9735"/>
    <col width="19.44140625" bestFit="1" customWidth="1" style="1" min="9736" max="9736"/>
    <col width="9.109375" customWidth="1" style="1" min="9737" max="9984"/>
    <col width="21.109375" bestFit="1" customWidth="1" style="1" min="9985" max="9985"/>
    <col width="70" bestFit="1" customWidth="1" style="1" min="9986" max="9986"/>
    <col width="24.5546875" bestFit="1" customWidth="1" style="1" min="9987" max="9987"/>
    <col width="22.44140625" customWidth="1" style="1" min="9988" max="9991"/>
    <col width="19.44140625" bestFit="1" customWidth="1" style="1" min="9992" max="9992"/>
    <col width="9.109375" customWidth="1" style="1" min="9993" max="10240"/>
    <col width="21.109375" bestFit="1" customWidth="1" style="1" min="10241" max="10241"/>
    <col width="70" bestFit="1" customWidth="1" style="1" min="10242" max="10242"/>
    <col width="24.5546875" bestFit="1" customWidth="1" style="1" min="10243" max="10243"/>
    <col width="22.44140625" customWidth="1" style="1" min="10244" max="10247"/>
    <col width="19.44140625" bestFit="1" customWidth="1" style="1" min="10248" max="10248"/>
    <col width="9.109375" customWidth="1" style="1" min="10249" max="10496"/>
    <col width="21.109375" bestFit="1" customWidth="1" style="1" min="10497" max="10497"/>
    <col width="70" bestFit="1" customWidth="1" style="1" min="10498" max="10498"/>
    <col width="24.5546875" bestFit="1" customWidth="1" style="1" min="10499" max="10499"/>
    <col width="22.44140625" customWidth="1" style="1" min="10500" max="10503"/>
    <col width="19.44140625" bestFit="1" customWidth="1" style="1" min="10504" max="10504"/>
    <col width="9.109375" customWidth="1" style="1" min="10505" max="10752"/>
    <col width="21.109375" bestFit="1" customWidth="1" style="1" min="10753" max="10753"/>
    <col width="70" bestFit="1" customWidth="1" style="1" min="10754" max="10754"/>
    <col width="24.5546875" bestFit="1" customWidth="1" style="1" min="10755" max="10755"/>
    <col width="22.44140625" customWidth="1" style="1" min="10756" max="10759"/>
    <col width="19.44140625" bestFit="1" customWidth="1" style="1" min="10760" max="10760"/>
    <col width="9.109375" customWidth="1" style="1" min="10761" max="11008"/>
    <col width="21.109375" bestFit="1" customWidth="1" style="1" min="11009" max="11009"/>
    <col width="70" bestFit="1" customWidth="1" style="1" min="11010" max="11010"/>
    <col width="24.5546875" bestFit="1" customWidth="1" style="1" min="11011" max="11011"/>
    <col width="22.44140625" customWidth="1" style="1" min="11012" max="11015"/>
    <col width="19.44140625" bestFit="1" customWidth="1" style="1" min="11016" max="11016"/>
    <col width="9.109375" customWidth="1" style="1" min="11017" max="11264"/>
    <col width="21.109375" bestFit="1" customWidth="1" style="1" min="11265" max="11265"/>
    <col width="70" bestFit="1" customWidth="1" style="1" min="11266" max="11266"/>
    <col width="24.5546875" bestFit="1" customWidth="1" style="1" min="11267" max="11267"/>
    <col width="22.44140625" customWidth="1" style="1" min="11268" max="11271"/>
    <col width="19.44140625" bestFit="1" customWidth="1" style="1" min="11272" max="11272"/>
    <col width="9.109375" customWidth="1" style="1" min="11273" max="11520"/>
    <col width="21.109375" bestFit="1" customWidth="1" style="1" min="11521" max="11521"/>
    <col width="70" bestFit="1" customWidth="1" style="1" min="11522" max="11522"/>
    <col width="24.5546875" bestFit="1" customWidth="1" style="1" min="11523" max="11523"/>
    <col width="22.44140625" customWidth="1" style="1" min="11524" max="11527"/>
    <col width="19.44140625" bestFit="1" customWidth="1" style="1" min="11528" max="11528"/>
    <col width="9.109375" customWidth="1" style="1" min="11529" max="11776"/>
    <col width="21.109375" bestFit="1" customWidth="1" style="1" min="11777" max="11777"/>
    <col width="70" bestFit="1" customWidth="1" style="1" min="11778" max="11778"/>
    <col width="24.5546875" bestFit="1" customWidth="1" style="1" min="11779" max="11779"/>
    <col width="22.44140625" customWidth="1" style="1" min="11780" max="11783"/>
    <col width="19.44140625" bestFit="1" customWidth="1" style="1" min="11784" max="11784"/>
    <col width="9.109375" customWidth="1" style="1" min="11785" max="12032"/>
    <col width="21.109375" bestFit="1" customWidth="1" style="1" min="12033" max="12033"/>
    <col width="70" bestFit="1" customWidth="1" style="1" min="12034" max="12034"/>
    <col width="24.5546875" bestFit="1" customWidth="1" style="1" min="12035" max="12035"/>
    <col width="22.44140625" customWidth="1" style="1" min="12036" max="12039"/>
    <col width="19.44140625" bestFit="1" customWidth="1" style="1" min="12040" max="12040"/>
    <col width="9.109375" customWidth="1" style="1" min="12041" max="12288"/>
    <col width="21.109375" bestFit="1" customWidth="1" style="1" min="12289" max="12289"/>
    <col width="70" bestFit="1" customWidth="1" style="1" min="12290" max="12290"/>
    <col width="24.5546875" bestFit="1" customWidth="1" style="1" min="12291" max="12291"/>
    <col width="22.44140625" customWidth="1" style="1" min="12292" max="12295"/>
    <col width="19.44140625" bestFit="1" customWidth="1" style="1" min="12296" max="12296"/>
    <col width="9.109375" customWidth="1" style="1" min="12297" max="12544"/>
    <col width="21.109375" bestFit="1" customWidth="1" style="1" min="12545" max="12545"/>
    <col width="70" bestFit="1" customWidth="1" style="1" min="12546" max="12546"/>
    <col width="24.5546875" bestFit="1" customWidth="1" style="1" min="12547" max="12547"/>
    <col width="22.44140625" customWidth="1" style="1" min="12548" max="12551"/>
    <col width="19.44140625" bestFit="1" customWidth="1" style="1" min="12552" max="12552"/>
    <col width="9.109375" customWidth="1" style="1" min="12553" max="12800"/>
    <col width="21.109375" bestFit="1" customWidth="1" style="1" min="12801" max="12801"/>
    <col width="70" bestFit="1" customWidth="1" style="1" min="12802" max="12802"/>
    <col width="24.5546875" bestFit="1" customWidth="1" style="1" min="12803" max="12803"/>
    <col width="22.44140625" customWidth="1" style="1" min="12804" max="12807"/>
    <col width="19.44140625" bestFit="1" customWidth="1" style="1" min="12808" max="12808"/>
    <col width="9.109375" customWidth="1" style="1" min="12809" max="13056"/>
    <col width="21.109375" bestFit="1" customWidth="1" style="1" min="13057" max="13057"/>
    <col width="70" bestFit="1" customWidth="1" style="1" min="13058" max="13058"/>
    <col width="24.5546875" bestFit="1" customWidth="1" style="1" min="13059" max="13059"/>
    <col width="22.44140625" customWidth="1" style="1" min="13060" max="13063"/>
    <col width="19.44140625" bestFit="1" customWidth="1" style="1" min="13064" max="13064"/>
    <col width="9.109375" customWidth="1" style="1" min="13065" max="13312"/>
    <col width="21.109375" bestFit="1" customWidth="1" style="1" min="13313" max="13313"/>
    <col width="70" bestFit="1" customWidth="1" style="1" min="13314" max="13314"/>
    <col width="24.5546875" bestFit="1" customWidth="1" style="1" min="13315" max="13315"/>
    <col width="22.44140625" customWidth="1" style="1" min="13316" max="13319"/>
    <col width="19.44140625" bestFit="1" customWidth="1" style="1" min="13320" max="13320"/>
    <col width="9.109375" customWidth="1" style="1" min="13321" max="13568"/>
    <col width="21.109375" bestFit="1" customWidth="1" style="1" min="13569" max="13569"/>
    <col width="70" bestFit="1" customWidth="1" style="1" min="13570" max="13570"/>
    <col width="24.5546875" bestFit="1" customWidth="1" style="1" min="13571" max="13571"/>
    <col width="22.44140625" customWidth="1" style="1" min="13572" max="13575"/>
    <col width="19.44140625" bestFit="1" customWidth="1" style="1" min="13576" max="13576"/>
    <col width="9.109375" customWidth="1" style="1" min="13577" max="13824"/>
    <col width="21.109375" bestFit="1" customWidth="1" style="1" min="13825" max="13825"/>
    <col width="70" bestFit="1" customWidth="1" style="1" min="13826" max="13826"/>
    <col width="24.5546875" bestFit="1" customWidth="1" style="1" min="13827" max="13827"/>
    <col width="22.44140625" customWidth="1" style="1" min="13828" max="13831"/>
    <col width="19.44140625" bestFit="1" customWidth="1" style="1" min="13832" max="13832"/>
    <col width="9.109375" customWidth="1" style="1" min="13833" max="14080"/>
    <col width="21.109375" bestFit="1" customWidth="1" style="1" min="14081" max="14081"/>
    <col width="70" bestFit="1" customWidth="1" style="1" min="14082" max="14082"/>
    <col width="24.5546875" bestFit="1" customWidth="1" style="1" min="14083" max="14083"/>
    <col width="22.44140625" customWidth="1" style="1" min="14084" max="14087"/>
    <col width="19.44140625" bestFit="1" customWidth="1" style="1" min="14088" max="14088"/>
    <col width="9.109375" customWidth="1" style="1" min="14089" max="14336"/>
    <col width="21.109375" bestFit="1" customWidth="1" style="1" min="14337" max="14337"/>
    <col width="70" bestFit="1" customWidth="1" style="1" min="14338" max="14338"/>
    <col width="24.5546875" bestFit="1" customWidth="1" style="1" min="14339" max="14339"/>
    <col width="22.44140625" customWidth="1" style="1" min="14340" max="14343"/>
    <col width="19.44140625" bestFit="1" customWidth="1" style="1" min="14344" max="14344"/>
    <col width="9.109375" customWidth="1" style="1" min="14345" max="14592"/>
    <col width="21.109375" bestFit="1" customWidth="1" style="1" min="14593" max="14593"/>
    <col width="70" bestFit="1" customWidth="1" style="1" min="14594" max="14594"/>
    <col width="24.5546875" bestFit="1" customWidth="1" style="1" min="14595" max="14595"/>
    <col width="22.44140625" customWidth="1" style="1" min="14596" max="14599"/>
    <col width="19.44140625" bestFit="1" customWidth="1" style="1" min="14600" max="14600"/>
    <col width="9.109375" customWidth="1" style="1" min="14601" max="14848"/>
    <col width="21.109375" bestFit="1" customWidth="1" style="1" min="14849" max="14849"/>
    <col width="70" bestFit="1" customWidth="1" style="1" min="14850" max="14850"/>
    <col width="24.5546875" bestFit="1" customWidth="1" style="1" min="14851" max="14851"/>
    <col width="22.44140625" customWidth="1" style="1" min="14852" max="14855"/>
    <col width="19.44140625" bestFit="1" customWidth="1" style="1" min="14856" max="14856"/>
    <col width="9.109375" customWidth="1" style="1" min="14857" max="15104"/>
    <col width="21.109375" bestFit="1" customWidth="1" style="1" min="15105" max="15105"/>
    <col width="70" bestFit="1" customWidth="1" style="1" min="15106" max="15106"/>
    <col width="24.5546875" bestFit="1" customWidth="1" style="1" min="15107" max="15107"/>
    <col width="22.44140625" customWidth="1" style="1" min="15108" max="15111"/>
    <col width="19.44140625" bestFit="1" customWidth="1" style="1" min="15112" max="15112"/>
    <col width="9.109375" customWidth="1" style="1" min="15113" max="15360"/>
    <col width="21.109375" bestFit="1" customWidth="1" style="1" min="15361" max="15361"/>
    <col width="70" bestFit="1" customWidth="1" style="1" min="15362" max="15362"/>
    <col width="24.5546875" bestFit="1" customWidth="1" style="1" min="15363" max="15363"/>
    <col width="22.44140625" customWidth="1" style="1" min="15364" max="15367"/>
    <col width="19.44140625" bestFit="1" customWidth="1" style="1" min="15368" max="15368"/>
    <col width="9.109375" customWidth="1" style="1" min="15369" max="15616"/>
    <col width="21.109375" bestFit="1" customWidth="1" style="1" min="15617" max="15617"/>
    <col width="70" bestFit="1" customWidth="1" style="1" min="15618" max="15618"/>
    <col width="24.5546875" bestFit="1" customWidth="1" style="1" min="15619" max="15619"/>
    <col width="22.44140625" customWidth="1" style="1" min="15620" max="15623"/>
    <col width="19.44140625" bestFit="1" customWidth="1" style="1" min="15624" max="15624"/>
    <col width="9.109375" customWidth="1" style="1" min="15625" max="15872"/>
    <col width="21.109375" bestFit="1" customWidth="1" style="1" min="15873" max="15873"/>
    <col width="70" bestFit="1" customWidth="1" style="1" min="15874" max="15874"/>
    <col width="24.5546875" bestFit="1" customWidth="1" style="1" min="15875" max="15875"/>
    <col width="22.44140625" customWidth="1" style="1" min="15876" max="15879"/>
    <col width="19.44140625" bestFit="1" customWidth="1" style="1" min="15880" max="15880"/>
    <col width="9.109375" customWidth="1" style="1" min="15881" max="16128"/>
    <col width="21.109375" bestFit="1" customWidth="1" style="1" min="16129" max="16129"/>
    <col width="70" bestFit="1" customWidth="1" style="1" min="16130" max="16130"/>
    <col width="24.5546875" bestFit="1" customWidth="1" style="1" min="16131" max="16131"/>
    <col width="22.44140625" customWidth="1" style="1" min="16132" max="16135"/>
    <col width="19.44140625" bestFit="1" customWidth="1" style="1" min="16136" max="16136"/>
    <col width="9.109375" customWidth="1" style="1" min="16137" max="16384"/>
  </cols>
  <sheetData>
    <row r="1" ht="12.75" customHeight="1">
      <c r="C1" s="302" t="inlineStr">
        <is>
          <t>Eindbalans per 31-12-2021</t>
        </is>
      </c>
      <c r="D1" s="302" t="inlineStr">
        <is>
          <t>Mutaties Q1 2022</t>
        </is>
      </c>
      <c r="E1" s="302" t="inlineStr">
        <is>
          <t>Mutaties Q2 2022</t>
        </is>
      </c>
      <c r="F1" s="302" t="inlineStr">
        <is>
          <t>Mutaties Q3 2022</t>
        </is>
      </c>
      <c r="G1" s="302" t="inlineStr">
        <is>
          <t>Mutaties Q4 2022</t>
        </is>
      </c>
      <c r="H1" s="290" t="inlineStr">
        <is>
          <t>Saldi per 31-12-2022</t>
        </is>
      </c>
      <c r="L1" s="112" t="inlineStr">
        <is>
          <t>EN VASTGOED</t>
        </is>
      </c>
    </row>
    <row r="2" ht="12.75" customHeight="1">
      <c r="L2" s="112">
        <f>16045+12576+12100</f>
        <v/>
      </c>
    </row>
    <row r="3" ht="12.75" customHeight="1">
      <c r="A3" s="132" t="inlineStr">
        <is>
          <t>Balans</t>
        </is>
      </c>
    </row>
    <row r="4" ht="12.75" customHeight="1">
      <c r="A4" s="130" t="n">
        <v>1600000</v>
      </c>
      <c r="B4" s="1" t="inlineStr">
        <is>
          <t>VG Vastgoedbeleggingen Verkrijgings- of vervaardigingsprijs</t>
        </is>
      </c>
      <c r="C4" s="341" t="n">
        <v>123535194.26</v>
      </c>
      <c r="D4" s="341" t="n">
        <v>289183.25</v>
      </c>
      <c r="E4" s="341" t="n">
        <v>291783.9</v>
      </c>
      <c r="F4" s="341" t="n">
        <v>243593.77</v>
      </c>
      <c r="G4" s="341">
        <f>221807.83+L2</f>
        <v/>
      </c>
      <c r="H4" s="290">
        <f>SUM(C4:G4)</f>
        <v/>
      </c>
    </row>
    <row r="5" ht="12.75" customHeight="1">
      <c r="A5" s="130" t="inlineStr">
        <is>
          <t>1600200</t>
        </is>
      </c>
      <c r="B5" s="1" t="inlineStr">
        <is>
          <t>VG Vastgoedbeleggingen Cum afschrijvingen en waardeverm</t>
        </is>
      </c>
      <c r="C5" s="341" t="n">
        <v>-13720753</v>
      </c>
      <c r="D5" s="341" t="n">
        <v>-682456</v>
      </c>
      <c r="E5" s="341" t="n">
        <v>-682714</v>
      </c>
      <c r="F5" s="341" t="n">
        <v>-695326</v>
      </c>
      <c r="G5" s="341" t="n">
        <v>-707755</v>
      </c>
      <c r="H5" s="290">
        <f>SUM(C5:G5)</f>
        <v/>
      </c>
    </row>
    <row r="6" ht="12.75" customHeight="1">
      <c r="A6" s="130" t="inlineStr">
        <is>
          <t>1610803</t>
        </is>
      </c>
      <c r="B6" s="1" t="inlineStr">
        <is>
          <t>VG Comm VG in exploitatie Buitengebruikstellingen aanschaffingswaarde</t>
        </is>
      </c>
      <c r="C6" s="341" t="n">
        <v>0</v>
      </c>
      <c r="D6" s="309" t="n">
        <v>-331590</v>
      </c>
      <c r="E6" s="309" t="n">
        <v>-276183</v>
      </c>
      <c r="F6" s="309" t="n">
        <v>-363436</v>
      </c>
      <c r="G6" s="309" t="n">
        <v>-108045</v>
      </c>
      <c r="H6" s="290">
        <f>SUM(C6:G6)</f>
        <v/>
      </c>
    </row>
    <row r="7" ht="12.75" customHeight="1">
      <c r="A7" s="130" t="inlineStr">
        <is>
          <t>1611003</t>
        </is>
      </c>
      <c r="B7" s="1" t="inlineStr">
        <is>
          <t>VG Comm VG in exploitatie Buitengebruikstellingen cum. afschr. en waardeverm.</t>
        </is>
      </c>
      <c r="D7" s="341" t="n">
        <v>41047</v>
      </c>
      <c r="E7" s="341" t="n">
        <v>36141</v>
      </c>
      <c r="F7" s="341" t="n">
        <v>49532</v>
      </c>
      <c r="G7" s="341" t="n">
        <v>15030</v>
      </c>
      <c r="H7" s="290">
        <f>SUM(C7:G7)</f>
        <v/>
      </c>
    </row>
    <row r="8" ht="12.75" customHeight="1">
      <c r="A8" s="1" t="inlineStr">
        <is>
          <t>Totaal Vastgoedbeleggingen</t>
        </is>
      </c>
      <c r="C8" s="341" t="n">
        <v>0</v>
      </c>
      <c r="H8" s="290">
        <f>SUM(C8:G8)</f>
        <v/>
      </c>
    </row>
    <row r="9" ht="12.75" customHeight="1">
      <c r="C9" s="341" t="n">
        <v>0</v>
      </c>
      <c r="H9" s="290">
        <f>SUM(C9:G9)</f>
        <v/>
      </c>
    </row>
    <row r="10" ht="12.75" customHeight="1">
      <c r="A10" s="130" t="inlineStr">
        <is>
          <t>1790002</t>
        </is>
      </c>
      <c r="B10" s="1" t="inlineStr">
        <is>
          <t>FVA Latente belastingvordering langlopend</t>
        </is>
      </c>
      <c r="C10" s="341" t="n">
        <v>4263040</v>
      </c>
      <c r="D10" s="344" t="n">
        <v>237434</v>
      </c>
      <c r="E10" s="344" t="n">
        <v>121126</v>
      </c>
      <c r="F10" s="344" t="n">
        <v>165568</v>
      </c>
      <c r="G10" s="344" t="n">
        <v>149037</v>
      </c>
      <c r="H10" s="290">
        <f>SUM(C10:G10)</f>
        <v/>
      </c>
    </row>
    <row r="11" ht="12.75" customHeight="1">
      <c r="A11" s="130" t="n">
        <v>1990000</v>
      </c>
      <c r="B11" s="1" t="inlineStr">
        <is>
          <t>FVA Hoofdsom lening DMRRP INV - I BV</t>
        </is>
      </c>
      <c r="C11" s="341" t="n">
        <v>0</v>
      </c>
      <c r="D11" s="341" t="n">
        <v>0</v>
      </c>
      <c r="E11" s="341" t="n">
        <v>0</v>
      </c>
      <c r="F11" s="341" t="n">
        <v>0</v>
      </c>
      <c r="G11" s="341" t="n">
        <v>38320325</v>
      </c>
      <c r="H11" s="305">
        <f>SUM(C11:G11)</f>
        <v/>
      </c>
      <c r="I11" s="1" t="inlineStr">
        <is>
          <t>Nog geen rente over berekend. Opgevraagd bij Folkert.</t>
        </is>
      </c>
    </row>
    <row r="12" ht="12.75" customHeight="1">
      <c r="A12" s="1" t="inlineStr">
        <is>
          <t>Totaal Financiële vaste activa</t>
        </is>
      </c>
      <c r="C12" s="341" t="n">
        <v>0</v>
      </c>
      <c r="H12" s="290">
        <f>SUM(C12:G12)</f>
        <v/>
      </c>
    </row>
    <row r="14" ht="12.75" customHeight="1">
      <c r="A14" s="130" t="inlineStr">
        <is>
          <t>2000000</t>
        </is>
      </c>
      <c r="B14" s="1" t="inlineStr">
        <is>
          <t>VOR Debiteuren</t>
        </is>
      </c>
      <c r="C14" s="341" t="n">
        <v>114583.32</v>
      </c>
      <c r="D14" s="344" t="n">
        <v>-10254.87</v>
      </c>
      <c r="E14" s="344" t="n">
        <v>-9192.360000000001</v>
      </c>
      <c r="F14" s="344" t="n">
        <v>1191082.16</v>
      </c>
      <c r="G14" s="344" t="n">
        <v>-417172.34</v>
      </c>
      <c r="H14" s="290">
        <f>SUM(C14:G14)</f>
        <v/>
      </c>
    </row>
    <row r="15" ht="12.75" customHeight="1">
      <c r="A15" s="130" t="inlineStr">
        <is>
          <t>2000300</t>
        </is>
      </c>
      <c r="B15" s="1" t="inlineStr">
        <is>
          <t>VOR Voorziening dubieuze debiteuren</t>
        </is>
      </c>
      <c r="C15" s="341" t="n">
        <v>-91881.58</v>
      </c>
      <c r="D15" s="341" t="n">
        <v>0</v>
      </c>
      <c r="E15" s="341" t="n">
        <v>0</v>
      </c>
      <c r="F15" s="341" t="n">
        <v>0</v>
      </c>
      <c r="G15" s="341" t="n">
        <v>0</v>
      </c>
      <c r="H15" s="290">
        <f>SUM(C15:G15)</f>
        <v/>
      </c>
      <c r="I15" s="1" t="inlineStr">
        <is>
          <t xml:space="preserve">Opgevraagd bij Hoen, wordt beboekt bij de jaarrekening. </t>
        </is>
      </c>
    </row>
    <row r="16" ht="12.75" customHeight="1">
      <c r="A16" s="1" t="inlineStr">
        <is>
          <t>Totaal Debiteuren</t>
        </is>
      </c>
      <c r="C16" s="341" t="n">
        <v>0</v>
      </c>
      <c r="H16" s="290">
        <f>SUM(C16:G16)</f>
        <v/>
      </c>
    </row>
    <row r="18" ht="12.75" customHeight="1">
      <c r="A18" s="130" t="n">
        <v>2640000</v>
      </c>
      <c r="B18" s="1" t="inlineStr">
        <is>
          <t>RC Kortlopend DMRRP INV - I BV</t>
        </is>
      </c>
      <c r="C18" s="341" t="n">
        <v>-595721.9</v>
      </c>
      <c r="D18" s="341" t="n">
        <v>542643.28</v>
      </c>
      <c r="E18" s="341" t="n">
        <v>1293310.92</v>
      </c>
      <c r="F18" s="341" t="n">
        <v>570839.92</v>
      </c>
      <c r="G18" s="341" t="n">
        <v>-644160.08</v>
      </c>
      <c r="H18" s="290">
        <f>SUM(C18:G18)</f>
        <v/>
      </c>
    </row>
    <row r="19" ht="12.75" customHeight="1">
      <c r="A19" s="1" t="inlineStr">
        <is>
          <t>Totaal Rekening-courant aandeelhouder</t>
        </is>
      </c>
      <c r="C19" s="341" t="n">
        <v>0</v>
      </c>
      <c r="H19" s="290">
        <f>SUM(C19:G19)</f>
        <v/>
      </c>
    </row>
    <row r="20" ht="12.75" customHeight="1">
      <c r="C20" s="341" t="n">
        <v>0</v>
      </c>
      <c r="H20" s="290">
        <f>SUM(C20:G20)</f>
        <v/>
      </c>
    </row>
    <row r="21" ht="12.75" customHeight="1">
      <c r="A21" s="130" t="n">
        <v>2040200</v>
      </c>
      <c r="B21" s="1" t="inlineStr">
        <is>
          <t>VOR Te vorderen waarborgsommen kortlopen</t>
        </is>
      </c>
      <c r="C21" s="341" t="n">
        <v>5000</v>
      </c>
      <c r="D21" s="341" t="n">
        <v>0</v>
      </c>
      <c r="E21" s="341" t="n">
        <v>0</v>
      </c>
      <c r="F21" s="341" t="n">
        <v>0</v>
      </c>
      <c r="G21" s="341" t="n">
        <v>0</v>
      </c>
      <c r="H21" s="290">
        <f>SUM(C21:G21)</f>
        <v/>
      </c>
    </row>
    <row r="22" ht="12.75" customHeight="1">
      <c r="A22" s="130" t="n">
        <v>2040500</v>
      </c>
      <c r="B22" s="1" t="inlineStr">
        <is>
          <t>VOR Vooruitbetaalde verzekeringen</t>
        </is>
      </c>
      <c r="C22" s="341" t="n">
        <v>0</v>
      </c>
      <c r="D22" s="341" t="n">
        <v>-29220.54</v>
      </c>
      <c r="E22" s="341" t="n">
        <v>87661.64</v>
      </c>
      <c r="F22" s="341" t="n">
        <v>-29220.56</v>
      </c>
      <c r="G22" s="341" t="n">
        <v>-29220.56</v>
      </c>
      <c r="H22" s="290">
        <f>SUM(C22:G22)</f>
        <v/>
      </c>
    </row>
    <row r="23" ht="12.75" customHeight="1">
      <c r="A23" s="130" t="inlineStr">
        <is>
          <t>2040700</t>
        </is>
      </c>
      <c r="B23" s="1" t="inlineStr">
        <is>
          <t>VOR Vooruitbetaalde servicekosten</t>
        </is>
      </c>
      <c r="C23" s="341" t="n">
        <v>1678.95</v>
      </c>
      <c r="D23" s="341" t="n">
        <v>-1679</v>
      </c>
      <c r="E23" s="341" t="n">
        <v>0</v>
      </c>
      <c r="F23" s="341" t="n">
        <v>0</v>
      </c>
      <c r="G23" s="341" t="n">
        <v>0</v>
      </c>
      <c r="H23" s="290">
        <f>SUM(C23:G23)</f>
        <v/>
      </c>
    </row>
    <row r="24" ht="12.75" customHeight="1">
      <c r="A24" s="130" t="inlineStr">
        <is>
          <t>2040900</t>
        </is>
      </c>
      <c r="B24" s="1" t="inlineStr">
        <is>
          <t>VOR Vooruitbetaalde overige kosten</t>
        </is>
      </c>
      <c r="C24" s="341" t="n">
        <v>0</v>
      </c>
      <c r="D24" s="343" t="n">
        <v>-6334.13</v>
      </c>
      <c r="E24" s="341" t="n">
        <v>-78945.78999999999</v>
      </c>
      <c r="F24" s="341" t="n">
        <v>218888.96</v>
      </c>
      <c r="G24" s="341" t="n">
        <v>-138568.29</v>
      </c>
      <c r="H24" s="290">
        <f>SUM(C24:G24)</f>
        <v/>
      </c>
    </row>
    <row r="25" ht="12.75" customHeight="1">
      <c r="A25" s="1" t="inlineStr">
        <is>
          <t>Totaal overige vorderingen</t>
        </is>
      </c>
      <c r="C25" s="341" t="n">
        <v>0</v>
      </c>
      <c r="H25" s="290">
        <f>SUM(C25:G25)</f>
        <v/>
      </c>
    </row>
    <row r="26" ht="12.75" customHeight="1">
      <c r="C26" s="341" t="n">
        <v>0</v>
      </c>
      <c r="H26" s="290">
        <f>SUM(C26:G26)</f>
        <v/>
      </c>
    </row>
    <row r="27" ht="12.75" customHeight="1">
      <c r="A27" s="130" t="inlineStr">
        <is>
          <t>2300000</t>
        </is>
      </c>
      <c r="B27" s="1" t="inlineStr">
        <is>
          <t>LM Kruisposten</t>
        </is>
      </c>
      <c r="C27" s="341" t="n">
        <v>0</v>
      </c>
      <c r="D27" s="341" t="n">
        <v>-281</v>
      </c>
      <c r="E27" s="341" t="n">
        <v>-1981.76</v>
      </c>
      <c r="F27" s="341" t="n">
        <v>1168.16</v>
      </c>
      <c r="G27" s="341" t="n">
        <v>1095.07</v>
      </c>
      <c r="H27" s="290">
        <f>SUM(C27:G27)</f>
        <v/>
      </c>
    </row>
    <row r="28" ht="12.75" customHeight="1">
      <c r="A28" s="130" t="inlineStr">
        <is>
          <t>2400200</t>
        </is>
      </c>
      <c r="B28" s="1" t="inlineStr">
        <is>
          <t>LM ABN AMRO Bank Disposal NL58 ABNA 0818 9180 39</t>
        </is>
      </c>
      <c r="C28" s="341" t="n">
        <v>0.54</v>
      </c>
      <c r="D28" s="344" t="n">
        <v>-0.37</v>
      </c>
      <c r="E28" s="344" t="n">
        <v>0.1</v>
      </c>
      <c r="F28" s="344" t="n">
        <v>276380.24</v>
      </c>
      <c r="G28" s="344" t="n">
        <v>261185.75</v>
      </c>
      <c r="H28" s="290">
        <f>SUM(C28:G28)</f>
        <v/>
      </c>
    </row>
    <row r="29" ht="12.75" customHeight="1">
      <c r="A29" s="130" t="inlineStr">
        <is>
          <t>2400201</t>
        </is>
      </c>
      <c r="B29" s="1" t="inlineStr">
        <is>
          <t>LM ABN AMRO Bank Deposit NL57 ABNA 0541 6205 68</t>
        </is>
      </c>
      <c r="C29" s="341" t="n">
        <v>36662.81</v>
      </c>
      <c r="D29" s="344" t="n">
        <v>-18.32</v>
      </c>
      <c r="E29" s="344" t="n">
        <v>-18.48</v>
      </c>
      <c r="F29" s="344" t="n">
        <v>-633966.34</v>
      </c>
      <c r="G29" s="344" t="n">
        <v>502142.01</v>
      </c>
      <c r="H29" s="290">
        <f>SUM(C29:G29)</f>
        <v/>
      </c>
    </row>
    <row r="30" ht="12.75" customHeight="1">
      <c r="A30" s="130" t="inlineStr">
        <is>
          <t>2400202</t>
        </is>
      </c>
      <c r="B30" s="1" t="inlineStr">
        <is>
          <t>LM ABN AMRO Bank General NL93 ABNA 0541 6132 27</t>
        </is>
      </c>
      <c r="C30" s="341" t="n">
        <v>155679.02</v>
      </c>
      <c r="D30" s="344" t="n">
        <v>-10036.05</v>
      </c>
      <c r="E30" s="344" t="n">
        <v>-95658.58</v>
      </c>
      <c r="F30" s="344" t="n">
        <v>-49793.26</v>
      </c>
      <c r="G30" s="344" t="n">
        <v>-12.05</v>
      </c>
      <c r="H30" s="290">
        <f>SUM(C30:G30)</f>
        <v/>
      </c>
    </row>
    <row r="31" ht="12.75" customHeight="1">
      <c r="A31" s="130" t="inlineStr">
        <is>
          <t>2400203</t>
        </is>
      </c>
      <c r="B31" s="1" t="inlineStr">
        <is>
          <t>LM ABN AMRO Bank Maintres NL04 ABNA 0541 6188 06</t>
        </is>
      </c>
      <c r="C31" s="341" t="n">
        <v>81862.47</v>
      </c>
      <c r="D31" s="344" t="n">
        <v>-56453.47</v>
      </c>
      <c r="E31" s="344" t="n">
        <v>17670.91</v>
      </c>
      <c r="F31" s="344" t="n">
        <v>139682.05</v>
      </c>
      <c r="G31" s="344" t="n">
        <v>-53607.74</v>
      </c>
      <c r="H31" s="290">
        <f>SUM(C31:G31)</f>
        <v/>
      </c>
    </row>
    <row r="32" ht="12.75" customHeight="1">
      <c r="A32" s="130" t="inlineStr">
        <is>
          <t>2400204</t>
        </is>
      </c>
      <c r="B32" s="1" t="inlineStr">
        <is>
          <t>LM ABN AMRO Bank Rent NL46 ABNA 0541 6088 35</t>
        </is>
      </c>
      <c r="C32" s="341" t="n">
        <v>449584.04</v>
      </c>
      <c r="D32" s="344" t="n">
        <v>280038.53</v>
      </c>
      <c r="E32" s="344" t="n">
        <v>367648.53</v>
      </c>
      <c r="F32" s="344" t="n">
        <v>323121.93</v>
      </c>
      <c r="G32" s="344" t="n">
        <v>-1298518.42</v>
      </c>
      <c r="H32" s="290">
        <f>SUM(C32:G32)</f>
        <v/>
      </c>
    </row>
    <row r="33" ht="12.75" customHeight="1">
      <c r="A33" s="130" t="inlineStr">
        <is>
          <t>2400205</t>
        </is>
      </c>
      <c r="B33" s="1" t="inlineStr">
        <is>
          <t>LM ABN AMRO Bank SR EXP NL88 ABNA 0541 6205 92</t>
        </is>
      </c>
      <c r="C33" s="341" t="n">
        <v>25186.95</v>
      </c>
      <c r="D33" s="344" t="n">
        <v>84669.55</v>
      </c>
      <c r="E33" s="344" t="n">
        <v>-105672.08</v>
      </c>
      <c r="F33" s="344" t="n">
        <v>98531.57000000001</v>
      </c>
      <c r="G33" s="344" t="n">
        <v>-5460.63</v>
      </c>
      <c r="H33" s="290">
        <f>SUM(C33:G33)</f>
        <v/>
      </c>
    </row>
    <row r="34" ht="12.75" customHeight="1">
      <c r="A34" s="1" t="inlineStr">
        <is>
          <t>Totaal Liquide middelen</t>
        </is>
      </c>
      <c r="C34" s="341" t="n">
        <v>0</v>
      </c>
      <c r="H34" s="290">
        <f>SUM(C34:G34)</f>
        <v/>
      </c>
    </row>
    <row r="35" ht="12.75" customHeight="1">
      <c r="C35" s="341" t="n">
        <v>0</v>
      </c>
      <c r="H35" s="290">
        <f>SUM(C35:G35)</f>
        <v/>
      </c>
    </row>
    <row r="36" ht="12.75" customHeight="1">
      <c r="A36" s="130" t="n">
        <v>1000002</v>
      </c>
      <c r="B36" s="1" t="inlineStr">
        <is>
          <t>EV Normale aandelen Saldo</t>
        </is>
      </c>
      <c r="C36" s="341" t="n">
        <v>-1</v>
      </c>
      <c r="D36" s="341" t="n">
        <v>0</v>
      </c>
      <c r="E36" s="341" t="n">
        <v>0</v>
      </c>
      <c r="F36" s="341" t="n">
        <v>0</v>
      </c>
      <c r="G36" s="341" t="n">
        <v>0</v>
      </c>
      <c r="H36" s="290">
        <f>SUM(C36:G36)</f>
        <v/>
      </c>
    </row>
    <row r="37" ht="12.75" customHeight="1">
      <c r="A37" s="130" t="n">
        <v>1100000</v>
      </c>
      <c r="B37" s="1" t="inlineStr">
        <is>
          <t>EV Agioreserve Agio aandelen</t>
        </is>
      </c>
      <c r="C37" s="341" t="n">
        <v>-18931219.48</v>
      </c>
      <c r="D37" s="341" t="n">
        <v>0</v>
      </c>
      <c r="E37" s="341" t="n">
        <v>0</v>
      </c>
      <c r="F37" s="341" t="n">
        <v>0</v>
      </c>
      <c r="G37" s="341" t="n">
        <v>0</v>
      </c>
      <c r="H37" s="290">
        <f>SUM(C37:G37)</f>
        <v/>
      </c>
    </row>
    <row r="38" ht="12.75" customHeight="1">
      <c r="A38" s="130" t="n">
        <v>1160000</v>
      </c>
      <c r="B38" s="1" t="inlineStr">
        <is>
          <t>EV Overige reserve Reserve aandelen</t>
        </is>
      </c>
      <c r="C38" s="341" t="n">
        <v>9807828.439999999</v>
      </c>
      <c r="D38" s="341" t="n">
        <v>0</v>
      </c>
      <c r="E38" s="341" t="n">
        <v>0</v>
      </c>
      <c r="F38" s="341" t="n">
        <v>0</v>
      </c>
      <c r="G38" s="341" t="n">
        <v>0</v>
      </c>
      <c r="H38" s="290">
        <f>SUM(C38:G38)</f>
        <v/>
      </c>
    </row>
    <row r="39" ht="12.75" customHeight="1">
      <c r="A39" s="130" t="inlineStr">
        <is>
          <t>1160100</t>
        </is>
      </c>
      <c r="B39" s="1" t="inlineStr">
        <is>
          <t>EV Overige reserve  Dividenduitkeringen aandelen</t>
        </is>
      </c>
      <c r="C39" s="341" t="n">
        <v>0</v>
      </c>
      <c r="D39" s="341" t="n">
        <v>0</v>
      </c>
      <c r="E39" s="341" t="n">
        <v>0</v>
      </c>
      <c r="F39" s="341" t="n">
        <v>0</v>
      </c>
      <c r="G39" s="341" t="n">
        <v>0</v>
      </c>
      <c r="H39" s="290">
        <f>SUM(C39:G39)</f>
        <v/>
      </c>
    </row>
    <row r="40" ht="12.75" customHeight="1">
      <c r="A40" s="1" t="inlineStr">
        <is>
          <t>Totaal Eigen vermogen</t>
        </is>
      </c>
      <c r="C40" s="341" t="n">
        <v>0</v>
      </c>
      <c r="H40" s="290">
        <f>SUM(C40:G40)</f>
        <v/>
      </c>
    </row>
    <row r="41" ht="12.75" customHeight="1">
      <c r="C41" s="341" t="n">
        <v>0</v>
      </c>
      <c r="H41" s="290">
        <f>SUM(C41:G41)</f>
        <v/>
      </c>
    </row>
    <row r="42" ht="12.75" customHeight="1">
      <c r="A42" s="130" t="n">
        <v>1930001</v>
      </c>
      <c r="B42" s="1" t="inlineStr">
        <is>
          <t>LLS Hoofdsom ABN AMRO Bank NV Senior Facility Agreement</t>
        </is>
      </c>
      <c r="C42" s="341" t="n">
        <v>-130000000</v>
      </c>
      <c r="E42" s="341" t="n">
        <v>0</v>
      </c>
      <c r="F42" s="341" t="n">
        <v>0</v>
      </c>
      <c r="G42" s="341" t="n">
        <v>-38066125.81</v>
      </c>
      <c r="H42" s="290">
        <f>SUM(C42:G42)</f>
        <v/>
      </c>
    </row>
    <row r="43" ht="12.75" customHeight="1">
      <c r="A43" s="130" t="inlineStr">
        <is>
          <t>1930101</t>
        </is>
      </c>
      <c r="B43" s="1" t="inlineStr">
        <is>
          <t>LLS Cum aflossingen ABN AMRO Bank NV Senior Facility Agreement</t>
        </is>
      </c>
      <c r="C43" s="341" t="n">
        <v>26428900.85</v>
      </c>
      <c r="D43" s="344" t="n">
        <v>979503.98</v>
      </c>
      <c r="E43" s="344" t="n">
        <v>948219.98</v>
      </c>
      <c r="F43" s="344" t="n">
        <v>601183.98</v>
      </c>
      <c r="G43" s="344" t="n">
        <v>-505383.17</v>
      </c>
      <c r="H43" s="290">
        <f>SUM(C43:G43)</f>
        <v/>
      </c>
    </row>
    <row r="44" ht="12.75" customHeight="1">
      <c r="A44" s="130" t="n">
        <v>1930200</v>
      </c>
      <c r="B44" s="1" t="inlineStr">
        <is>
          <t>LLS ABN AMRO Bank NV leningen SWAP + extension fee</t>
        </is>
      </c>
      <c r="C44" s="341" t="n">
        <v>0</v>
      </c>
      <c r="D44" s="344" t="n">
        <v>0</v>
      </c>
      <c r="E44" s="344" t="n">
        <v>0</v>
      </c>
      <c r="F44" s="344" t="n">
        <v>0</v>
      </c>
      <c r="G44" s="344" t="n">
        <v>2515600.01</v>
      </c>
      <c r="H44" s="290">
        <f>SUM(C44:G44)</f>
        <v/>
      </c>
    </row>
    <row r="45" ht="12.75" customHeight="1">
      <c r="A45" s="1" t="inlineStr">
        <is>
          <t>Totaal Langlopende schulden</t>
        </is>
      </c>
      <c r="C45" s="341" t="n">
        <v>0</v>
      </c>
      <c r="H45" s="290">
        <f>SUM(C45:G45)</f>
        <v/>
      </c>
    </row>
    <row r="46" ht="12.75" customHeight="1">
      <c r="C46" s="341" t="n">
        <v>0</v>
      </c>
      <c r="H46" s="290">
        <f>SUM(C46:G46)</f>
        <v/>
      </c>
    </row>
    <row r="47" ht="12.75" customHeight="1">
      <c r="A47" s="130" t="inlineStr">
        <is>
          <t>2730000</t>
        </is>
      </c>
      <c r="B47" s="1" t="inlineStr">
        <is>
          <t>KLS Crediteuren</t>
        </is>
      </c>
      <c r="C47" s="341" t="n">
        <v>-542176.97</v>
      </c>
      <c r="D47" s="302" t="n">
        <v>-26012.24</v>
      </c>
      <c r="E47" s="302" t="n">
        <v>394615.53</v>
      </c>
      <c r="F47" s="342" t="n">
        <v>-403705.29</v>
      </c>
      <c r="G47" s="302" t="n">
        <v>373379.74</v>
      </c>
      <c r="H47" s="290">
        <f>SUM(C47:G47)</f>
        <v/>
      </c>
      <c r="I47" s="1" t="inlineStr">
        <is>
          <t>Nagekomen factuur Lexence 200103508</t>
        </is>
      </c>
    </row>
    <row r="48" ht="12.75" customHeight="1">
      <c r="A48" s="130" t="inlineStr">
        <is>
          <t>2730001</t>
        </is>
      </c>
      <c r="B48" s="1" t="inlineStr">
        <is>
          <t>KLS Crediteuren intercompany</t>
        </is>
      </c>
      <c r="C48" s="341" t="n">
        <v>0</v>
      </c>
      <c r="D48" s="341" t="n">
        <v>-12100</v>
      </c>
      <c r="E48" s="341" t="n">
        <v>0</v>
      </c>
      <c r="F48" s="341" t="n">
        <v>-24200</v>
      </c>
      <c r="G48" s="341" t="n">
        <v>-856680</v>
      </c>
      <c r="H48" s="290">
        <f>SUM(C48:G48)</f>
        <v/>
      </c>
      <c r="I48" s="1" t="inlineStr">
        <is>
          <t>Specificatie crediteuren sluit nog niet aan met cijfers. Opgevraagd Hoen 24-1</t>
        </is>
      </c>
    </row>
    <row r="49" ht="12.75" customHeight="1">
      <c r="A49" s="1" t="inlineStr">
        <is>
          <t>Totaal Crediteuren</t>
        </is>
      </c>
      <c r="C49" s="341" t="n">
        <v>0</v>
      </c>
      <c r="H49" s="290">
        <f>SUM(C49:G49)</f>
        <v/>
      </c>
    </row>
    <row r="50" ht="12.75" customHeight="1">
      <c r="C50" s="341" t="n">
        <v>0</v>
      </c>
      <c r="H50" s="290">
        <f>SUM(C50:G50)</f>
        <v/>
      </c>
    </row>
    <row r="51" ht="12.75" customHeight="1">
      <c r="A51" s="130" t="inlineStr">
        <is>
          <t>2512100</t>
        </is>
      </c>
      <c r="B51" s="1" t="inlineStr">
        <is>
          <t>BEL Afgedragen/ontvangen BTW</t>
        </is>
      </c>
      <c r="C51" s="341" t="n">
        <v>-5124.91</v>
      </c>
      <c r="D51" s="341" t="n">
        <v>525.91</v>
      </c>
      <c r="E51" s="341" t="n">
        <v>101.01</v>
      </c>
      <c r="F51" s="341" t="n">
        <v>-230.48</v>
      </c>
      <c r="G51" s="341" t="n">
        <v>-1084.99</v>
      </c>
      <c r="H51" s="290">
        <f>SUM(C51:G51)</f>
        <v/>
      </c>
      <c r="I51" s="1" t="inlineStr">
        <is>
          <t>Aangifte btw 4e kwartaal nog niet ontvangen, opgevraagd Hoen 24-1</t>
        </is>
      </c>
    </row>
    <row r="52" ht="12.75" customHeight="1">
      <c r="A52" s="130" t="inlineStr">
        <is>
          <t>2530000</t>
        </is>
      </c>
      <c r="B52" s="1" t="inlineStr">
        <is>
          <t>BEL Te betalen vennootschapsbelasting</t>
        </is>
      </c>
      <c r="C52" s="341" t="n">
        <v>0</v>
      </c>
      <c r="D52" s="341" t="n">
        <v>0</v>
      </c>
      <c r="E52" s="341" t="n">
        <v>0</v>
      </c>
      <c r="F52" s="341" t="n">
        <v>0</v>
      </c>
      <c r="G52" s="341" t="n">
        <v>0</v>
      </c>
      <c r="H52" s="290">
        <f>SUM(C52:G52)</f>
        <v/>
      </c>
    </row>
    <row r="53" ht="12.75" customHeight="1">
      <c r="A53" s="130" t="inlineStr">
        <is>
          <t>2550000</t>
        </is>
      </c>
      <c r="B53" s="1" t="inlineStr">
        <is>
          <t>BEL Te betalen overige belastingen</t>
        </is>
      </c>
      <c r="C53" s="341" t="n">
        <v>0</v>
      </c>
      <c r="D53" s="341" t="n">
        <v>0</v>
      </c>
      <c r="E53" s="341" t="n">
        <v>0</v>
      </c>
      <c r="F53" s="341" t="n">
        <v>0</v>
      </c>
      <c r="G53" s="341" t="n">
        <v>0</v>
      </c>
      <c r="H53" s="290">
        <f>SUM(C53:G53)</f>
        <v/>
      </c>
    </row>
    <row r="54" ht="12.75" customHeight="1">
      <c r="A54" s="1" t="inlineStr">
        <is>
          <t>Totaal Belastingen</t>
        </is>
      </c>
      <c r="C54" s="341" t="n">
        <v>0</v>
      </c>
      <c r="H54" s="290">
        <f>SUM(C54:G54)</f>
        <v/>
      </c>
    </row>
    <row r="55" ht="12.75" customHeight="1">
      <c r="C55" s="341" t="n">
        <v>0</v>
      </c>
      <c r="H55" s="290">
        <f>SUM(C55:G55)</f>
        <v/>
      </c>
    </row>
    <row r="56" ht="12.75" customHeight="1">
      <c r="A56" s="130" t="n">
        <v>2600000</v>
      </c>
      <c r="B56" s="1" t="inlineStr">
        <is>
          <t>KLS Rekening-courant CV I</t>
        </is>
      </c>
      <c r="C56" s="341" t="n">
        <v>0</v>
      </c>
      <c r="D56" s="341" t="n">
        <v>0</v>
      </c>
      <c r="E56" s="341" t="n">
        <v>0</v>
      </c>
      <c r="F56" s="341" t="n">
        <v>0</v>
      </c>
      <c r="G56" s="341" t="n">
        <v>-100000</v>
      </c>
      <c r="H56" s="305">
        <f>SUM(C56:G56)</f>
        <v/>
      </c>
    </row>
    <row r="57" ht="12.75" customHeight="1">
      <c r="A57" s="130" t="inlineStr">
        <is>
          <t>Totaal Rekening-courant groepsmaatschappij</t>
        </is>
      </c>
    </row>
    <row r="58" ht="12.75" customHeight="1">
      <c r="C58" s="341" t="n">
        <v>0</v>
      </c>
      <c r="H58" s="290">
        <f>SUM(C58:G58)</f>
        <v/>
      </c>
    </row>
    <row r="59" ht="12.75" customHeight="1">
      <c r="A59" s="130" t="n">
        <v>2740100</v>
      </c>
      <c r="B59" s="1" t="inlineStr">
        <is>
          <t>KLS Vooruitgefactureerde huur</t>
        </is>
      </c>
      <c r="C59" s="341" t="n">
        <v>-153626.25</v>
      </c>
      <c r="D59" s="341" t="n">
        <v>42167.89</v>
      </c>
      <c r="E59" s="341" t="n">
        <v>-796644.01</v>
      </c>
      <c r="F59" s="341" t="n">
        <v>-105259.43</v>
      </c>
      <c r="G59" s="341" t="n">
        <v>129016.66</v>
      </c>
      <c r="H59" s="290">
        <f>SUM(C59:G59)</f>
        <v/>
      </c>
    </row>
    <row r="60" ht="12.75" customHeight="1">
      <c r="A60" s="130" t="inlineStr">
        <is>
          <t>2740300</t>
        </is>
      </c>
      <c r="B60" s="1" t="inlineStr">
        <is>
          <t>KLS Te betalen waarborgsommen kortlopend</t>
        </is>
      </c>
      <c r="C60" s="341" t="n">
        <v>-806446.11</v>
      </c>
      <c r="D60" s="341" t="n">
        <v>-10419.51</v>
      </c>
      <c r="E60" s="341" t="n">
        <v>-23268.06</v>
      </c>
      <c r="F60" s="341" t="n">
        <v>-3189.54</v>
      </c>
      <c r="G60" s="341" t="n">
        <v>-29141.32</v>
      </c>
      <c r="H60" s="290">
        <f>SUM(C60:G60)</f>
        <v/>
      </c>
    </row>
    <row r="61" ht="12.75" customHeight="1">
      <c r="A61" s="130" t="n">
        <v>2740500</v>
      </c>
      <c r="B61" s="1" t="inlineStr">
        <is>
          <t>KLS Te betalen accountants- en administratiekosten</t>
        </is>
      </c>
      <c r="C61" s="341" t="n">
        <v>-22500</v>
      </c>
      <c r="D61" s="341" t="n">
        <v>0</v>
      </c>
      <c r="E61" s="341" t="n">
        <v>0</v>
      </c>
      <c r="F61" s="341" t="n">
        <v>0</v>
      </c>
      <c r="G61" s="341" t="n">
        <v>0</v>
      </c>
      <c r="H61" s="290">
        <f>SUM(C61:G61)</f>
        <v/>
      </c>
    </row>
    <row r="62" ht="12.75" customHeight="1">
      <c r="A62" s="130" t="inlineStr">
        <is>
          <t>2740600</t>
        </is>
      </c>
      <c r="B62" s="1" t="inlineStr">
        <is>
          <t>KLS Te betalen rente</t>
        </is>
      </c>
      <c r="C62" s="341" t="n">
        <v>0</v>
      </c>
      <c r="D62" s="341" t="n">
        <v>0</v>
      </c>
      <c r="E62" s="341" t="n">
        <v>0</v>
      </c>
      <c r="F62" s="341" t="n">
        <v>0</v>
      </c>
      <c r="G62" s="341" t="n">
        <v>0</v>
      </c>
      <c r="H62" s="290">
        <f>SUM(C62:G62)</f>
        <v/>
      </c>
    </row>
    <row r="63" ht="12.75" customHeight="1">
      <c r="A63" s="130" t="inlineStr">
        <is>
          <t>2740700</t>
        </is>
      </c>
      <c r="B63" s="1" t="inlineStr">
        <is>
          <t>KLS Te betalen verzekeringen</t>
        </is>
      </c>
      <c r="C63" s="341" t="n">
        <v>0</v>
      </c>
      <c r="D63" s="341" t="n">
        <v>0</v>
      </c>
      <c r="E63" s="341" t="n">
        <v>0</v>
      </c>
      <c r="F63" s="341" t="n">
        <v>0</v>
      </c>
      <c r="G63" s="341" t="n">
        <v>0</v>
      </c>
      <c r="H63" s="290">
        <f>SUM(C63:G63)</f>
        <v/>
      </c>
    </row>
    <row r="64" ht="12.75" customHeight="1">
      <c r="A64" s="130" t="inlineStr">
        <is>
          <t>2741000</t>
        </is>
      </c>
      <c r="B64" s="1" t="inlineStr">
        <is>
          <t>KLS Te betalen servicekosten</t>
        </is>
      </c>
      <c r="C64" s="341" t="n">
        <v>-13459.78</v>
      </c>
      <c r="D64" s="341" t="n">
        <v>234253.32</v>
      </c>
      <c r="E64" s="341" t="n">
        <v>-73597.84</v>
      </c>
      <c r="F64" s="341" t="n">
        <v>-73597.86</v>
      </c>
      <c r="G64" s="341" t="n">
        <v>-68638.59</v>
      </c>
      <c r="H64" s="290">
        <f>SUM(C64:G64)</f>
        <v/>
      </c>
    </row>
    <row r="65" ht="12.75" customHeight="1">
      <c r="A65" s="130" t="inlineStr">
        <is>
          <t>2741001</t>
        </is>
      </c>
      <c r="B65" s="1" t="inlineStr">
        <is>
          <t>KLS Te betalen exploitatiekosten</t>
        </is>
      </c>
      <c r="C65" s="341" t="n">
        <v>-1149.13</v>
      </c>
      <c r="D65" s="341" t="n">
        <v>1149</v>
      </c>
      <c r="E65" s="341" t="n">
        <v>0</v>
      </c>
      <c r="F65" s="341" t="n">
        <v>0</v>
      </c>
      <c r="G65" s="341" t="n">
        <v>0</v>
      </c>
      <c r="H65" s="290">
        <f>SUM(C65:G65)</f>
        <v/>
      </c>
    </row>
    <row r="66" ht="12.75" customHeight="1">
      <c r="A66" s="130" t="inlineStr">
        <is>
          <t>2741002</t>
        </is>
      </c>
      <c r="B66" s="1" t="inlineStr">
        <is>
          <t>KLS Te betalen VVE</t>
        </is>
      </c>
      <c r="C66" s="341" t="n">
        <v>-392.3</v>
      </c>
      <c r="D66" s="341" t="n">
        <v>392</v>
      </c>
      <c r="E66" s="341" t="n">
        <v>0</v>
      </c>
      <c r="F66" s="341" t="n">
        <v>0</v>
      </c>
      <c r="G66" s="341" t="n">
        <v>0</v>
      </c>
      <c r="H66" s="290">
        <f>SUM(C66:G66)</f>
        <v/>
      </c>
    </row>
    <row r="67" ht="12.75" customHeight="1">
      <c r="A67" s="130" t="inlineStr">
        <is>
          <t>2741004</t>
        </is>
      </c>
      <c r="B67" s="1" t="inlineStr">
        <is>
          <t>KLS Te betalen Hoen</t>
        </is>
      </c>
      <c r="C67" s="341" t="n">
        <v>-40749.63</v>
      </c>
      <c r="D67" s="341" t="n">
        <v>-40947</v>
      </c>
      <c r="E67" s="341" t="n">
        <v>-123710.23</v>
      </c>
      <c r="F67" s="341" t="n">
        <v>79630.24000000001</v>
      </c>
      <c r="G67" s="341" t="n">
        <v>-84767.39999999999</v>
      </c>
      <c r="H67" s="290">
        <f>SUM(C67:G67)</f>
        <v/>
      </c>
    </row>
    <row r="68" ht="12.75" customHeight="1">
      <c r="A68" s="130" t="inlineStr">
        <is>
          <t>2741005</t>
        </is>
      </c>
      <c r="B68" s="1" t="inlineStr">
        <is>
          <t>KLS Te betalen managementvergoedingen</t>
        </is>
      </c>
      <c r="C68" s="341" t="n">
        <v>0</v>
      </c>
      <c r="D68" s="341" t="n">
        <v>0</v>
      </c>
      <c r="E68" s="341" t="n">
        <v>0</v>
      </c>
      <c r="F68" s="341" t="n">
        <v>0</v>
      </c>
      <c r="G68" s="341" t="n">
        <v>0</v>
      </c>
      <c r="H68" s="290">
        <f>SUM(C68:G68)</f>
        <v/>
      </c>
    </row>
    <row r="69" ht="12.75" customHeight="1">
      <c r="A69" s="130" t="inlineStr">
        <is>
          <t>2741200</t>
        </is>
      </c>
      <c r="B69" s="1" t="inlineStr">
        <is>
          <t>KLS Te betalen agency fee</t>
        </is>
      </c>
      <c r="C69" s="341" t="n">
        <v>20000</v>
      </c>
      <c r="D69" s="341" t="n">
        <v>0</v>
      </c>
      <c r="E69" s="341" t="n">
        <v>-20000</v>
      </c>
      <c r="F69" s="341" t="n">
        <v>20000</v>
      </c>
      <c r="G69" s="341" t="n">
        <v>0</v>
      </c>
      <c r="H69" s="290">
        <f>SUM(C69:G69)</f>
        <v/>
      </c>
    </row>
    <row r="70" ht="12.75" customHeight="1">
      <c r="A70" s="130" t="inlineStr">
        <is>
          <t>2741900</t>
        </is>
      </c>
      <c r="B70" s="1" t="inlineStr">
        <is>
          <t>KLS Nog uit te zoeken posten MT940</t>
        </is>
      </c>
      <c r="C70" s="341" t="n">
        <v>0</v>
      </c>
      <c r="D70" s="341" t="n">
        <v>0</v>
      </c>
      <c r="E70" s="341" t="n">
        <v>0</v>
      </c>
      <c r="F70" s="341" t="n">
        <v>0</v>
      </c>
      <c r="H70" s="290">
        <f>SUM(C70:G70)</f>
        <v/>
      </c>
    </row>
    <row r="71" ht="12.75" customHeight="1">
      <c r="A71" s="130" t="inlineStr">
        <is>
          <t>2742200</t>
        </is>
      </c>
      <c r="B71" s="1" t="inlineStr">
        <is>
          <t>KLS Vooruitontvangen bedragen</t>
        </is>
      </c>
      <c r="C71" s="341" t="n">
        <v>0</v>
      </c>
      <c r="D71" s="341" t="n">
        <v>0</v>
      </c>
      <c r="E71" s="341" t="n">
        <v>0</v>
      </c>
      <c r="F71" s="341" t="n">
        <v>0</v>
      </c>
      <c r="H71" s="290">
        <f>SUM(C71:G71)</f>
        <v/>
      </c>
    </row>
    <row r="72" ht="12.75" customHeight="1">
      <c r="A72" s="1" t="inlineStr">
        <is>
          <t>Totaal Overige schulden</t>
        </is>
      </c>
      <c r="C72" s="341" t="n">
        <v>0</v>
      </c>
      <c r="H72" s="290">
        <f>SUM(C72:G72)</f>
        <v/>
      </c>
    </row>
    <row r="73" ht="12.75" customHeight="1">
      <c r="H73" s="290">
        <f>SUM(C73:G73)</f>
        <v/>
      </c>
    </row>
    <row r="74" ht="12.75" customHeight="1">
      <c r="H74" s="290">
        <f>SUM(C74:G74)</f>
        <v/>
      </c>
    </row>
    <row r="75" ht="12.75" customHeight="1">
      <c r="A75" s="132" t="inlineStr">
        <is>
          <t>Winst- en verliesrekening (baten zijn positief, kosten negatief)</t>
        </is>
      </c>
      <c r="H75" s="290">
        <f>SUM(C75:G75)</f>
        <v/>
      </c>
    </row>
    <row r="76" ht="12.75" customHeight="1">
      <c r="A76" s="130" t="inlineStr">
        <is>
          <t>8000003</t>
        </is>
      </c>
      <c r="B76" s="1" t="inlineStr">
        <is>
          <t>OPB Netto-omzet Theoretische huuropbrengsten</t>
        </is>
      </c>
      <c r="D76" s="341" t="n">
        <v>-2870089</v>
      </c>
      <c r="E76" s="341" t="n">
        <v>-2871329.16</v>
      </c>
      <c r="F76" s="341" t="n">
        <v>-2944242.41</v>
      </c>
      <c r="G76" s="341" t="n">
        <v>-2950963.19</v>
      </c>
      <c r="H76" s="290">
        <f>SUM(C76:G76)</f>
        <v/>
      </c>
    </row>
    <row r="77" ht="12.75" customHeight="1">
      <c r="A77" s="130" t="inlineStr">
        <is>
          <t>8000004</t>
        </is>
      </c>
      <c r="B77" s="1" t="inlineStr">
        <is>
          <t>OPB Netto-omzet Leegstand huuropbrengsten</t>
        </is>
      </c>
      <c r="D77" s="341" t="n">
        <v>32888</v>
      </c>
      <c r="E77" s="341" t="n">
        <v>39968.65</v>
      </c>
      <c r="F77" s="341" t="n">
        <v>55228.45</v>
      </c>
      <c r="G77" s="341" t="n">
        <v>59011.37</v>
      </c>
      <c r="H77" s="290">
        <f>SUM(C77:G77)</f>
        <v/>
      </c>
    </row>
    <row r="78" ht="12.75" customHeight="1">
      <c r="A78" s="1" t="inlineStr">
        <is>
          <t>Totaal Netto-omzet</t>
        </is>
      </c>
      <c r="D78" s="341">
        <f>SUM(D76:D77)</f>
        <v/>
      </c>
      <c r="E78" s="341">
        <f>SUM(E76:E77)</f>
        <v/>
      </c>
      <c r="F78" s="341">
        <f>SUM(F76:F77)</f>
        <v/>
      </c>
      <c r="G78" s="341">
        <f>G76+G77</f>
        <v/>
      </c>
      <c r="H78" s="290">
        <f>SUM(C78:G78)</f>
        <v/>
      </c>
    </row>
    <row r="79" ht="12.75" customHeight="1">
      <c r="H79" s="290">
        <f>SUM(C79:G79)</f>
        <v/>
      </c>
    </row>
    <row r="80" ht="12.75" customHeight="1">
      <c r="A80" s="130" t="n">
        <v>8400400</v>
      </c>
      <c r="B80" s="1" t="inlineStr">
        <is>
          <t xml:space="preserve">OPB Overige bedrijfsopbrengsten </t>
        </is>
      </c>
      <c r="D80" s="341" t="n">
        <v>-13460</v>
      </c>
      <c r="E80" s="341" t="n">
        <v>0</v>
      </c>
      <c r="H80" s="290">
        <f>SUM(C80:G80)</f>
        <v/>
      </c>
    </row>
    <row r="81" ht="12.75" customHeight="1">
      <c r="A81" s="130" t="inlineStr">
        <is>
          <t>8400600</t>
        </is>
      </c>
      <c r="B81" s="1" t="inlineStr">
        <is>
          <t>OPB Overige bedrijfsopbrengsten Totale servicekosten</t>
        </is>
      </c>
      <c r="D81" s="341" t="n">
        <v>-164313</v>
      </c>
      <c r="E81" s="341" t="n">
        <v>-164598.62</v>
      </c>
      <c r="F81" s="341" t="n">
        <v>-350659.51</v>
      </c>
      <c r="G81" s="341" t="n">
        <v>-165044.02</v>
      </c>
      <c r="H81" s="290">
        <f>SUM(C81:G81)</f>
        <v/>
      </c>
    </row>
    <row r="82" ht="12.75" customHeight="1">
      <c r="A82" s="130" t="inlineStr">
        <is>
          <t>8400700</t>
        </is>
      </c>
      <c r="B82" s="1" t="inlineStr">
        <is>
          <t>OPB Overige bedrijfsopbrengsten Servicekosten leegstand</t>
        </is>
      </c>
      <c r="D82" s="341" t="n">
        <v>1453</v>
      </c>
      <c r="E82" s="341" t="n">
        <v>6011.91</v>
      </c>
      <c r="F82" s="341" t="n">
        <v>7008.044</v>
      </c>
      <c r="G82" s="341" t="n">
        <v>1527.68</v>
      </c>
      <c r="H82" s="290">
        <f>SUM(C82:G82)</f>
        <v/>
      </c>
    </row>
    <row r="83" ht="12.75" customHeight="1">
      <c r="A83" s="130" t="inlineStr">
        <is>
          <t>8400800</t>
        </is>
      </c>
      <c r="B83" s="1" t="inlineStr">
        <is>
          <t>OPB Overige bedrijfsopbrengsten Gerealiseerde servicekosten</t>
        </is>
      </c>
      <c r="D83" s="341" t="n">
        <v>271928</v>
      </c>
      <c r="E83" s="341" t="n">
        <v>195259.97</v>
      </c>
      <c r="F83" s="341" t="n">
        <v>239859.03</v>
      </c>
      <c r="G83" s="302" t="n">
        <v>217604.78</v>
      </c>
      <c r="H83" s="290">
        <f>SUM(C83:G83)</f>
        <v/>
      </c>
    </row>
    <row r="84" ht="12.75" customHeight="1">
      <c r="A84" s="1" t="inlineStr">
        <is>
          <t>Totaal Overige bedrijfsopbrengsten</t>
        </is>
      </c>
      <c r="D84" s="341">
        <f>SUM(D80:D83)</f>
        <v/>
      </c>
      <c r="E84" s="341">
        <f>SUM(E80:E83)</f>
        <v/>
      </c>
      <c r="F84" s="341">
        <f>SUM(F80:F83)</f>
        <v/>
      </c>
      <c r="G84" s="341">
        <f>SUM(G80:G83)</f>
        <v/>
      </c>
      <c r="H84" s="290">
        <f>SUM(C84:G84)</f>
        <v/>
      </c>
    </row>
    <row r="85" ht="12.75" customHeight="1">
      <c r="H85" s="290">
        <f>SUM(C85:G85)</f>
        <v/>
      </c>
    </row>
    <row r="86" ht="12.75" customHeight="1">
      <c r="A86" s="130" t="inlineStr">
        <is>
          <t>4051400</t>
        </is>
      </c>
      <c r="B86" s="1" t="inlineStr">
        <is>
          <t>KN Diensten door derden</t>
        </is>
      </c>
      <c r="D86" s="341" t="n">
        <v>121679.68</v>
      </c>
      <c r="E86" s="341" t="n">
        <v>121956.77</v>
      </c>
      <c r="F86" s="341" t="n">
        <v>124885.89</v>
      </c>
      <c r="G86" s="341" t="n">
        <v>83465.50999999999</v>
      </c>
      <c r="H86" s="290">
        <f>SUM(C86:G86)</f>
        <v/>
      </c>
      <c r="I86" s="1" t="inlineStr">
        <is>
          <t>Ontbreekt 1 factuur, opgevraagd bij Hoen</t>
        </is>
      </c>
    </row>
    <row r="87" ht="12.75" customHeight="1">
      <c r="A87" s="1" t="inlineStr">
        <is>
          <t>Totaal overige personeelskosten</t>
        </is>
      </c>
      <c r="D87" s="341">
        <f>SUM(D86)</f>
        <v/>
      </c>
      <c r="E87" s="341">
        <f>SUM(E86)</f>
        <v/>
      </c>
      <c r="F87" s="341">
        <f>SUM(F86)</f>
        <v/>
      </c>
      <c r="G87" s="341">
        <f>SUM(G86)</f>
        <v/>
      </c>
      <c r="H87" s="290">
        <f>SUM(C87:G87)</f>
        <v/>
      </c>
    </row>
    <row r="88" ht="12.75" customHeight="1">
      <c r="H88" s="290">
        <f>SUM(C88:G88)</f>
        <v/>
      </c>
    </row>
    <row r="89" ht="12.75" customHeight="1">
      <c r="A89" s="130" t="inlineStr">
        <is>
          <t>4730000</t>
        </is>
      </c>
      <c r="B89" s="1" t="inlineStr">
        <is>
          <t>AFKN Afschrijvingskosten Vastgoedbeleggingen</t>
        </is>
      </c>
      <c r="D89" s="341" t="n">
        <v>682456</v>
      </c>
      <c r="E89" s="341" t="n">
        <v>682714</v>
      </c>
      <c r="F89" s="341" t="n">
        <v>695326</v>
      </c>
      <c r="G89" s="341" t="n">
        <v>707755</v>
      </c>
      <c r="H89" s="290">
        <f>SUM(C89:G89)</f>
        <v/>
      </c>
    </row>
    <row r="90" ht="12.75" customHeight="1">
      <c r="A90" s="130" t="inlineStr">
        <is>
          <t>4730200</t>
        </is>
      </c>
      <c r="B90" s="1" t="inlineStr">
        <is>
          <t>AFKN Boekresultaat Vastgoedbeleggingen</t>
        </is>
      </c>
      <c r="D90" s="341" t="n">
        <v>-490457</v>
      </c>
      <c r="E90" s="341" t="n">
        <v>-423958</v>
      </c>
      <c r="F90" s="341" t="n">
        <v>-544596</v>
      </c>
      <c r="G90" s="341" t="n">
        <v>-181985</v>
      </c>
      <c r="H90" s="290">
        <f>SUM(C90:G90)</f>
        <v/>
      </c>
    </row>
    <row r="91" ht="12.75" customHeight="1">
      <c r="A91" s="1" t="inlineStr">
        <is>
          <t>Totaal Afschrijvingen vastgoedbeleggingen</t>
        </is>
      </c>
      <c r="D91" s="341">
        <f>SUM(D89:D90)</f>
        <v/>
      </c>
      <c r="E91" s="341">
        <f>SUM(E89:E90)</f>
        <v/>
      </c>
      <c r="F91" s="341">
        <f>SUM(F89:F90)</f>
        <v/>
      </c>
      <c r="G91" s="341">
        <f>SUM(G89:G90)</f>
        <v/>
      </c>
      <c r="H91" s="290">
        <f>SUM(C91:G91)</f>
        <v/>
      </c>
    </row>
    <row r="93" ht="12.75" customHeight="1">
      <c r="A93" s="130" t="inlineStr">
        <is>
          <t>4100400</t>
        </is>
      </c>
      <c r="B93" s="1" t="inlineStr">
        <is>
          <t>KN Onderhoud gebouwen</t>
        </is>
      </c>
      <c r="D93" s="341" t="n">
        <v>178607</v>
      </c>
      <c r="E93" s="341" t="n">
        <v>230456.52</v>
      </c>
      <c r="F93" s="341" t="n">
        <v>205277.39</v>
      </c>
      <c r="G93" s="341">
        <f>284202.8-L2</f>
        <v/>
      </c>
      <c r="H93" s="290">
        <f>SUM(C93:G93)</f>
        <v/>
      </c>
    </row>
    <row r="94" ht="12.75" customHeight="1">
      <c r="A94" s="130" t="inlineStr">
        <is>
          <t>4100410</t>
        </is>
      </c>
      <c r="B94" s="1" t="inlineStr">
        <is>
          <t>Verhuurdersheffing</t>
        </is>
      </c>
      <c r="D94" s="341" t="n">
        <v>119943.21</v>
      </c>
      <c r="E94" s="341" t="n">
        <v>119943.22</v>
      </c>
      <c r="F94" s="341" t="n">
        <v>119943.23</v>
      </c>
      <c r="G94" s="341" t="n">
        <v>119943.23</v>
      </c>
      <c r="H94" s="290">
        <f>SUM(C94:G94)</f>
        <v/>
      </c>
    </row>
    <row r="95" ht="12.75" customHeight="1">
      <c r="A95" s="130" t="inlineStr">
        <is>
          <t>4100900</t>
        </is>
      </c>
      <c r="B95" s="1" t="inlineStr">
        <is>
          <t>KN Onroerende zaakbelasting</t>
        </is>
      </c>
      <c r="D95" s="341" t="n">
        <v>54979.46</v>
      </c>
      <c r="E95" s="341" t="n">
        <v>61017.04</v>
      </c>
      <c r="F95" s="341" t="n">
        <v>70988.5</v>
      </c>
      <c r="G95" s="341" t="n">
        <v>55883.99</v>
      </c>
      <c r="H95" s="290">
        <f>SUM(C95:G95)</f>
        <v/>
      </c>
    </row>
    <row r="96" ht="12.75" customHeight="1">
      <c r="A96" s="130" t="inlineStr">
        <is>
          <t>4101000</t>
        </is>
      </c>
      <c r="B96" s="1" t="inlineStr">
        <is>
          <t>KN VvE-kosten</t>
        </is>
      </c>
      <c r="D96" s="341" t="n">
        <v>167096</v>
      </c>
      <c r="E96" s="341" t="n">
        <v>146899.4</v>
      </c>
      <c r="F96" s="341" t="n">
        <v>135095.91</v>
      </c>
      <c r="G96" s="341" t="n">
        <v>105866.95</v>
      </c>
      <c r="H96" s="290">
        <f>SUM(C96:G96)</f>
        <v/>
      </c>
    </row>
    <row r="97" ht="12.75" customHeight="1">
      <c r="A97" s="130" t="inlineStr">
        <is>
          <t>4101010</t>
        </is>
      </c>
      <c r="B97" s="1" t="inlineStr">
        <is>
          <t>Gemeentelijke belastingen</t>
        </is>
      </c>
      <c r="D97" s="341" t="n">
        <v>17584.71</v>
      </c>
      <c r="E97" s="341" t="n">
        <v>22504.3</v>
      </c>
      <c r="F97" s="341" t="n">
        <v>26095.63</v>
      </c>
      <c r="G97" s="341" t="n">
        <v>18190.92</v>
      </c>
      <c r="H97" s="290">
        <f>SUM(C97:G97)</f>
        <v/>
      </c>
    </row>
    <row r="98" ht="12.75" customHeight="1">
      <c r="A98" s="130" t="inlineStr">
        <is>
          <t>4101020</t>
        </is>
      </c>
      <c r="B98" s="1" t="inlineStr">
        <is>
          <t>Waterschapsbelasting</t>
        </is>
      </c>
      <c r="D98" s="341" t="n">
        <v>14743.33</v>
      </c>
      <c r="E98" s="341" t="n">
        <v>24087.56</v>
      </c>
      <c r="F98" s="341" t="n">
        <v>28638.46</v>
      </c>
      <c r="G98" s="341" t="n">
        <v>15453.02</v>
      </c>
      <c r="H98" s="290">
        <f>SUM(C98:G98)</f>
        <v/>
      </c>
    </row>
    <row r="99" ht="12.75" customHeight="1">
      <c r="A99" s="130" t="inlineStr">
        <is>
          <t>4101300</t>
        </is>
      </c>
      <c r="B99" s="1" t="inlineStr">
        <is>
          <t>KN Servicekosten leegstand</t>
        </is>
      </c>
      <c r="E99" s="341" t="n">
        <v>0</v>
      </c>
      <c r="F99" s="341" t="n">
        <v>0</v>
      </c>
      <c r="G99" s="341" t="n">
        <v>0</v>
      </c>
      <c r="H99" s="290">
        <f>SUM(C99:G99)</f>
        <v/>
      </c>
    </row>
    <row r="100" ht="12.75" customHeight="1">
      <c r="A100" s="130" t="inlineStr">
        <is>
          <t>4109800</t>
        </is>
      </c>
      <c r="B100" s="1" t="inlineStr">
        <is>
          <t>KN Overige huisvestingskosten</t>
        </is>
      </c>
      <c r="E100" s="341" t="n">
        <v>0</v>
      </c>
      <c r="F100" s="341" t="n">
        <v>0</v>
      </c>
      <c r="G100" s="341" t="n">
        <v>0</v>
      </c>
      <c r="H100" s="290">
        <f>SUM(C100:G100)</f>
        <v/>
      </c>
    </row>
    <row r="101" ht="12.75" customHeight="1">
      <c r="A101" s="1" t="inlineStr">
        <is>
          <t>Totaal Huisvestingskosten</t>
        </is>
      </c>
      <c r="D101" s="341">
        <f>SUM(D93:D100)</f>
        <v/>
      </c>
      <c r="E101" s="341">
        <f>SUM(E93:E100)</f>
        <v/>
      </c>
      <c r="F101" s="341">
        <f>SUM(F93:F100)</f>
        <v/>
      </c>
      <c r="G101" s="341">
        <f>SUM(G93:G100)</f>
        <v/>
      </c>
      <c r="H101" s="290">
        <f>SUM(C101:G101)</f>
        <v/>
      </c>
    </row>
    <row r="103" ht="12.75" customHeight="1">
      <c r="A103" s="130" t="inlineStr">
        <is>
          <t>4500400</t>
        </is>
      </c>
      <c r="B103" s="1" t="inlineStr">
        <is>
          <t>KN Representatiekosten</t>
        </is>
      </c>
      <c r="D103" s="341" t="n">
        <v>0</v>
      </c>
      <c r="E103" s="341" t="n">
        <v>0</v>
      </c>
      <c r="F103" s="341" t="n">
        <v>0</v>
      </c>
      <c r="G103" s="341" t="n">
        <v>0</v>
      </c>
      <c r="H103" s="290">
        <f>SUM(C103:G103)</f>
        <v/>
      </c>
    </row>
    <row r="104" ht="12.75" customHeight="1">
      <c r="A104" s="130" t="inlineStr">
        <is>
          <t>4501200</t>
        </is>
      </c>
      <c r="B104" s="1" t="inlineStr">
        <is>
          <t>KN Mutatie voorziening dubieuze debiteuren</t>
        </is>
      </c>
      <c r="D104" s="341" t="n">
        <v>0</v>
      </c>
      <c r="E104" s="341" t="n">
        <v>0</v>
      </c>
      <c r="F104" s="341" t="n">
        <v>0</v>
      </c>
      <c r="G104" s="341" t="n">
        <v>0</v>
      </c>
      <c r="H104" s="290">
        <f>SUM(C104:G104)</f>
        <v/>
      </c>
    </row>
    <row r="105" ht="12.75" customHeight="1">
      <c r="A105" s="130" t="inlineStr">
        <is>
          <t>4501300</t>
        </is>
      </c>
      <c r="B105" s="1" t="inlineStr">
        <is>
          <t>KN Afboeking dubieuze debiteuren</t>
        </is>
      </c>
      <c r="D105" s="341" t="n">
        <v>-3681</v>
      </c>
      <c r="E105" s="341" t="n">
        <v>1678.58</v>
      </c>
      <c r="F105" s="341" t="n">
        <v>765.92</v>
      </c>
      <c r="G105" s="341" t="n">
        <v>-156.08</v>
      </c>
      <c r="H105" s="290">
        <f>SUM(C105:G105)</f>
        <v/>
      </c>
    </row>
    <row r="106" ht="12.75" customHeight="1">
      <c r="A106" s="1" t="inlineStr">
        <is>
          <t>Totaal Verkoopkosten</t>
        </is>
      </c>
      <c r="D106" s="341">
        <f>SUM(D103:D105)</f>
        <v/>
      </c>
      <c r="E106" s="341">
        <f>SUM(E103:E105)</f>
        <v/>
      </c>
      <c r="F106" s="341">
        <f>SUM(F103:F105)</f>
        <v/>
      </c>
      <c r="G106" s="341">
        <f>SUM(G103:G105)</f>
        <v/>
      </c>
      <c r="H106" s="290">
        <f>SUM(C106:G106)</f>
        <v/>
      </c>
    </row>
    <row r="107" ht="12.75" customHeight="1">
      <c r="H107" s="290">
        <f>SUM(C107:G107)</f>
        <v/>
      </c>
    </row>
    <row r="108" ht="12.75" customHeight="1">
      <c r="A108" s="130" t="inlineStr">
        <is>
          <t>4300500</t>
        </is>
      </c>
      <c r="B108" s="1" t="inlineStr">
        <is>
          <t>KN Incassokosten</t>
        </is>
      </c>
      <c r="D108" s="341" t="n">
        <v>307</v>
      </c>
      <c r="E108" s="341" t="n">
        <v>300</v>
      </c>
      <c r="F108" s="341" t="n">
        <v>600</v>
      </c>
      <c r="G108" s="341" t="n">
        <v>0</v>
      </c>
      <c r="H108" s="290">
        <f>SUM(C108:G108)</f>
        <v/>
      </c>
    </row>
    <row r="109" ht="12.75" customHeight="1">
      <c r="A109" s="1" t="inlineStr">
        <is>
          <t>Totaal Kantoorkosten</t>
        </is>
      </c>
      <c r="D109" s="341">
        <f>SUM(D108)</f>
        <v/>
      </c>
      <c r="E109" s="341">
        <f>SUM(E108)</f>
        <v/>
      </c>
      <c r="F109" s="341">
        <f>SUM(F108)</f>
        <v/>
      </c>
      <c r="G109" s="341" t="n">
        <v>0</v>
      </c>
      <c r="H109" s="290">
        <f>SUM(C109:G109)</f>
        <v/>
      </c>
    </row>
    <row r="110" ht="12.75" customHeight="1">
      <c r="H110" s="290">
        <f>SUM(C110:G110)</f>
        <v/>
      </c>
    </row>
    <row r="111" ht="12.75" customHeight="1">
      <c r="A111" s="130" t="inlineStr">
        <is>
          <t>4310000</t>
        </is>
      </c>
      <c r="B111" s="1" t="inlineStr">
        <is>
          <t>KN Abonnementen en contributies</t>
        </is>
      </c>
      <c r="D111" s="341" t="n">
        <v>0</v>
      </c>
      <c r="E111" s="341" t="n">
        <v>0</v>
      </c>
      <c r="F111" s="341" t="n">
        <v>0</v>
      </c>
      <c r="G111" s="341" t="n">
        <v>0</v>
      </c>
      <c r="H111" s="290">
        <f>SUM(C111:G111)</f>
        <v/>
      </c>
    </row>
    <row r="112" ht="12.75" customHeight="1">
      <c r="A112" s="130" t="inlineStr">
        <is>
          <t>4310400</t>
        </is>
      </c>
      <c r="B112" s="1" t="inlineStr">
        <is>
          <t>KN Assurantiepremie algemeen</t>
        </is>
      </c>
      <c r="D112" s="341" t="n">
        <v>29598.07</v>
      </c>
      <c r="E112" s="341" t="n">
        <v>29220.54</v>
      </c>
      <c r="F112" s="341" t="n">
        <v>29220.56</v>
      </c>
      <c r="G112" s="341" t="n">
        <v>27618.03</v>
      </c>
      <c r="H112" s="290">
        <f>SUM(C112:G112)</f>
        <v/>
      </c>
    </row>
    <row r="113" ht="12.75" customHeight="1">
      <c r="A113" s="130" t="inlineStr">
        <is>
          <t>4310500</t>
        </is>
      </c>
      <c r="B113" s="1" t="inlineStr">
        <is>
          <t>KN Managementvergoeding</t>
        </is>
      </c>
      <c r="D113" s="341" t="n">
        <v>5445</v>
      </c>
      <c r="E113" s="341" t="n">
        <v>1815</v>
      </c>
      <c r="F113" s="341" t="n">
        <v>1815</v>
      </c>
      <c r="G113" s="341" t="n">
        <v>1815</v>
      </c>
      <c r="H113" s="290">
        <f>SUM(C113:G113)</f>
        <v/>
      </c>
    </row>
    <row r="114" ht="12.75" customHeight="1">
      <c r="A114" s="130" t="inlineStr">
        <is>
          <t>4310600</t>
        </is>
      </c>
      <c r="B114" s="1" t="inlineStr">
        <is>
          <t>KN Accountantskosten</t>
        </is>
      </c>
      <c r="D114" s="341" t="n">
        <v>4564</v>
      </c>
      <c r="E114" s="341" t="n">
        <v>17202.63</v>
      </c>
      <c r="F114" s="341" t="n">
        <v>25189.79</v>
      </c>
      <c r="G114" s="341" t="n">
        <v>25542.38</v>
      </c>
      <c r="H114" s="290">
        <f>SUM(C114:G114)</f>
        <v/>
      </c>
    </row>
    <row r="115" ht="12.75" customHeight="1">
      <c r="A115" s="130" t="inlineStr">
        <is>
          <t>4310700</t>
        </is>
      </c>
      <c r="B115" s="1" t="inlineStr">
        <is>
          <t>KN Administratiekosten</t>
        </is>
      </c>
      <c r="E115" s="341" t="n">
        <v>2420</v>
      </c>
      <c r="F115" s="341" t="n">
        <v>1210</v>
      </c>
      <c r="G115" s="341" t="n">
        <v>1210</v>
      </c>
      <c r="H115" s="290">
        <f>SUM(C115:G115)</f>
        <v/>
      </c>
    </row>
    <row r="116" ht="12.75" customHeight="1">
      <c r="A116" s="130" t="inlineStr">
        <is>
          <t>4310800</t>
        </is>
      </c>
      <c r="B116" s="1" t="inlineStr">
        <is>
          <t>KN Makelaarskosten</t>
        </is>
      </c>
      <c r="D116" s="341" t="n">
        <v>41825</v>
      </c>
      <c r="E116" s="341" t="n">
        <v>56676.4</v>
      </c>
      <c r="F116" s="341" t="n">
        <v>51142.69</v>
      </c>
      <c r="G116" s="341" t="n">
        <v>61678.68</v>
      </c>
      <c r="H116" s="290">
        <f>SUM(C116:G116)</f>
        <v/>
      </c>
    </row>
    <row r="117" ht="14.25" customHeight="1">
      <c r="A117" s="130" t="inlineStr">
        <is>
          <t>4311000</t>
        </is>
      </c>
      <c r="B117" s="1" t="inlineStr">
        <is>
          <t>KN Juridische kosten</t>
        </is>
      </c>
      <c r="D117" s="341" t="n">
        <v>901</v>
      </c>
      <c r="E117" s="341" t="n">
        <v>11908.13</v>
      </c>
      <c r="F117" s="342" t="n">
        <v>36615.64</v>
      </c>
      <c r="G117" s="341" t="n">
        <v>85597.42999999999</v>
      </c>
      <c r="H117" s="290">
        <f>SUM(C117:G117)</f>
        <v/>
      </c>
      <c r="I117" s="1" t="inlineStr">
        <is>
          <t>Nagekomen factuur Lexence 200103508</t>
        </is>
      </c>
    </row>
    <row r="118" ht="12.75" customHeight="1">
      <c r="A118" s="130" t="n">
        <v>4311800</v>
      </c>
      <c r="B118" s="1" t="inlineStr">
        <is>
          <t>KN Advieskosten</t>
        </is>
      </c>
      <c r="D118" s="341" t="n">
        <v>12100</v>
      </c>
      <c r="E118" s="341" t="n">
        <v>10587.5</v>
      </c>
      <c r="F118" s="341" t="n">
        <v>24200</v>
      </c>
      <c r="G118" s="341">
        <f>856680-M119</f>
        <v/>
      </c>
      <c r="H118" s="290">
        <f>SUM(C118:G118)</f>
        <v/>
      </c>
      <c r="M118" s="1" t="inlineStr">
        <is>
          <t>=</t>
        </is>
      </c>
    </row>
    <row r="119" ht="12" customHeight="1">
      <c r="A119" s="130" t="inlineStr">
        <is>
          <t>4311900</t>
        </is>
      </c>
      <c r="B119" s="1" t="inlineStr">
        <is>
          <t>KN Bankkosten</t>
        </is>
      </c>
      <c r="D119" s="341" t="n">
        <v>4218</v>
      </c>
      <c r="E119" s="341" t="n">
        <v>3987.94</v>
      </c>
      <c r="F119" s="341" t="n">
        <v>3190.89</v>
      </c>
      <c r="G119" s="341" t="n">
        <v>230587.08</v>
      </c>
      <c r="H119" s="290">
        <f>SUM(C119:G119)</f>
        <v/>
      </c>
      <c r="M119" s="1">
        <f>363000+363000+121000</f>
        <v/>
      </c>
    </row>
    <row r="120" ht="12.75" customHeight="1">
      <c r="A120" s="130" t="inlineStr">
        <is>
          <t>4312600</t>
        </is>
      </c>
      <c r="B120" s="1" t="inlineStr">
        <is>
          <t>KN Agent Fee facility</t>
        </is>
      </c>
      <c r="D120" s="341" t="n">
        <v>0</v>
      </c>
      <c r="E120" s="341" t="n">
        <v>20000</v>
      </c>
      <c r="F120" s="341" t="n">
        <v>20000</v>
      </c>
      <c r="G120" s="341" t="n">
        <v>10000</v>
      </c>
      <c r="H120" s="290">
        <f>SUM(C120:G120)</f>
        <v/>
      </c>
    </row>
    <row r="121" ht="12.75" customHeight="1">
      <c r="A121" s="130" t="inlineStr">
        <is>
          <t>4319800</t>
        </is>
      </c>
      <c r="B121" s="1" t="inlineStr">
        <is>
          <t>KN Overige algemene kosten</t>
        </is>
      </c>
      <c r="D121" s="341" t="n">
        <v>550</v>
      </c>
      <c r="E121" s="341" t="n">
        <v>1290.22</v>
      </c>
      <c r="F121" s="341" t="n">
        <v>1920.61</v>
      </c>
      <c r="G121" s="341" t="n">
        <v>-4758.36</v>
      </c>
      <c r="H121" s="290">
        <f>SUM(C121:G121)</f>
        <v/>
      </c>
    </row>
    <row r="122" ht="12.75" customHeight="1">
      <c r="A122" s="1" t="inlineStr">
        <is>
          <t>Totaal Algemene kosten</t>
        </is>
      </c>
      <c r="D122" s="341">
        <f>SUM(D111:D121)</f>
        <v/>
      </c>
      <c r="E122" s="341">
        <f>SUM(E111:E121)</f>
        <v/>
      </c>
      <c r="F122" s="341">
        <f>SUM(F111:F121)</f>
        <v/>
      </c>
      <c r="G122" s="341">
        <f>SUM(G111:G121)</f>
        <v/>
      </c>
      <c r="H122" s="290">
        <f>SUM(C122:G122)</f>
        <v/>
      </c>
    </row>
    <row r="123" ht="12.75" customHeight="1">
      <c r="H123" s="290">
        <f>SUM(C123:G123)</f>
        <v/>
      </c>
    </row>
    <row r="124" ht="12.75" customHeight="1">
      <c r="A124" s="130" t="inlineStr">
        <is>
          <t>4623001</t>
        </is>
      </c>
      <c r="B124" s="1" t="inlineStr">
        <is>
          <t>FINBL Rente ABN AMRO Bank NV Senior Facility Agreement</t>
        </is>
      </c>
      <c r="D124" s="341" t="n">
        <v>401338</v>
      </c>
      <c r="E124" s="341" t="n">
        <v>401959.7</v>
      </c>
      <c r="F124" s="341" t="n">
        <v>402764.5</v>
      </c>
      <c r="G124" s="341" t="n">
        <v>1046415.29</v>
      </c>
      <c r="H124" s="290">
        <f>SUM(C124:G124)</f>
        <v/>
      </c>
    </row>
    <row r="125" ht="12.75" customHeight="1">
      <c r="A125" s="130" t="n">
        <v>4611000</v>
      </c>
      <c r="B125" s="1" t="inlineStr">
        <is>
          <t>FINBL Rente RC DMRRP INV - I BV</t>
        </is>
      </c>
      <c r="D125" s="341" t="n">
        <v>0</v>
      </c>
      <c r="E125" s="341" t="n">
        <v>0</v>
      </c>
      <c r="F125" s="341" t="n">
        <v>0</v>
      </c>
      <c r="G125" s="341" t="n">
        <v>0</v>
      </c>
      <c r="H125" s="290">
        <f>SUM(C125:G125)</f>
        <v/>
      </c>
    </row>
    <row r="126" ht="12.75" customHeight="1">
      <c r="A126" s="130" t="n">
        <v>4630000</v>
      </c>
      <c r="B126" s="1" t="inlineStr">
        <is>
          <t>FINBL Rente belastingen</t>
        </is>
      </c>
      <c r="D126" s="341" t="n">
        <v>0</v>
      </c>
      <c r="E126" s="341" t="n">
        <v>0</v>
      </c>
      <c r="F126" s="341" t="n">
        <v>0</v>
      </c>
      <c r="G126" s="341" t="n">
        <v>0</v>
      </c>
      <c r="H126" s="290">
        <f>SUM(C126:G126)</f>
        <v/>
      </c>
    </row>
    <row r="127" ht="12.75" customHeight="1">
      <c r="A127" s="130" t="inlineStr">
        <is>
          <t>4643000</t>
        </is>
      </c>
      <c r="B127" s="1" t="inlineStr">
        <is>
          <t>FINBL Overige rentelasten</t>
        </is>
      </c>
      <c r="D127" s="341" t="n">
        <v>100023.25</v>
      </c>
      <c r="E127" s="341" t="n">
        <v>100452.6</v>
      </c>
      <c r="F127" s="341" t="n">
        <v>100805.57</v>
      </c>
      <c r="G127" s="341">
        <f>39866.69+21750</f>
        <v/>
      </c>
      <c r="H127" s="290">
        <f>SUM(C127:G127)</f>
        <v/>
      </c>
    </row>
    <row r="128" ht="12.75" customHeight="1">
      <c r="A128" s="130" t="n">
        <v>4642000</v>
      </c>
      <c r="B128" s="1" t="inlineStr">
        <is>
          <t>FINBL overige rentebaten</t>
        </is>
      </c>
      <c r="D128" s="341" t="n">
        <v>0</v>
      </c>
      <c r="E128" s="341" t="n">
        <v>0</v>
      </c>
      <c r="F128" s="341" t="n">
        <v>0</v>
      </c>
      <c r="G128" s="341" t="n">
        <v>0</v>
      </c>
      <c r="H128" s="290">
        <f>SUM(C128:G128)</f>
        <v/>
      </c>
    </row>
    <row r="129" ht="12.75" customHeight="1">
      <c r="A129" s="130" t="inlineStr">
        <is>
          <t>Totaal Financiële baten en lasten</t>
        </is>
      </c>
      <c r="D129" s="341">
        <f>SUM(D124:D128)</f>
        <v/>
      </c>
      <c r="E129" s="341">
        <f>SUM(E124:E128)</f>
        <v/>
      </c>
      <c r="F129" s="341">
        <f>SUM(F124:F128)</f>
        <v/>
      </c>
      <c r="G129" s="341">
        <f>SUM(G124:G128)</f>
        <v/>
      </c>
      <c r="H129" s="290">
        <f>SUM(C129:G129)</f>
        <v/>
      </c>
    </row>
    <row r="130" ht="12.75" customHeight="1">
      <c r="H130" s="290">
        <f>SUM(C130:G130)</f>
        <v/>
      </c>
    </row>
    <row r="131" ht="12.75" customHeight="1">
      <c r="A131" s="130" t="n">
        <v>9500000</v>
      </c>
      <c r="B131" s="1" t="inlineStr">
        <is>
          <t>VPB Vennootschapsbelasting VPB Huidg jaar</t>
        </is>
      </c>
      <c r="D131" s="341" t="n">
        <v>0</v>
      </c>
      <c r="E131" s="341" t="n">
        <v>0</v>
      </c>
      <c r="F131" s="341" t="n">
        <v>0</v>
      </c>
      <c r="G131" s="341" t="n">
        <v>0</v>
      </c>
      <c r="H131" s="290">
        <f>SUM(C131:G131)</f>
        <v/>
      </c>
    </row>
    <row r="132" ht="12.75" customHeight="1">
      <c r="A132" s="130" t="inlineStr">
        <is>
          <t>9510000</t>
        </is>
      </c>
      <c r="B132" s="1" t="inlineStr">
        <is>
          <t>VPB Mutatie belastinglatentie Mutatie actieve latentie</t>
        </is>
      </c>
      <c r="D132" s="341" t="n">
        <v>-237434</v>
      </c>
      <c r="E132" s="341" t="n">
        <v>-121126</v>
      </c>
      <c r="F132" s="341" t="n">
        <v>-165568</v>
      </c>
      <c r="G132" s="341" t="n">
        <v>-149037</v>
      </c>
      <c r="H132" s="290">
        <f>SUM(C132:G132)</f>
        <v/>
      </c>
      <c r="I132" s="1" t="inlineStr">
        <is>
          <t>Wordt nog berekend bij het opstellen van de jaarrekening.</t>
        </is>
      </c>
    </row>
    <row r="133" ht="12.75" customHeight="1">
      <c r="A133" s="130" t="n">
        <v>9500100</v>
      </c>
      <c r="B133" s="1" t="inlineStr">
        <is>
          <t>VPB Vennootschapsbelasting VPB voorgaande jaren</t>
        </is>
      </c>
      <c r="D133" s="341" t="n">
        <v>0</v>
      </c>
      <c r="E133" s="341" t="n">
        <v>0</v>
      </c>
      <c r="F133" s="341" t="n">
        <v>0</v>
      </c>
      <c r="G133" s="341" t="n">
        <v>0</v>
      </c>
      <c r="H133" s="290">
        <f>SUM(C133:G133)</f>
        <v/>
      </c>
    </row>
    <row r="134" ht="12.75" customHeight="1">
      <c r="A134" s="130" t="inlineStr">
        <is>
          <t>Totaal vennootschapsbelasting</t>
        </is>
      </c>
      <c r="C134" s="302" t="n"/>
      <c r="D134" s="302">
        <f>SUM(D131:D133)</f>
        <v/>
      </c>
      <c r="E134" s="302">
        <f>SUM(E131:E132)-2</f>
        <v/>
      </c>
      <c r="F134" s="302">
        <f>SUM(F131:F133)</f>
        <v/>
      </c>
      <c r="G134" s="302">
        <f>SUM(G131:G133)</f>
        <v/>
      </c>
      <c r="H134" s="290">
        <f>SUM(C134:G134)</f>
        <v/>
      </c>
    </row>
    <row r="135" ht="12.75" customHeight="1">
      <c r="H135" s="290">
        <f>SUM(C135:G135)</f>
        <v/>
      </c>
    </row>
    <row r="136" ht="12.75" customHeight="1">
      <c r="A136" s="1" t="inlineStr">
        <is>
          <t>Resultaat na belasting</t>
        </is>
      </c>
      <c r="D136" s="341">
        <f>D78+D84+D87+D91+D101+D106+D109+D122+D129+D134</f>
        <v/>
      </c>
      <c r="E136" s="341">
        <f>E78+E84+E87+E91+E101+E106+E109+E122+E129+E134</f>
        <v/>
      </c>
      <c r="F136" s="341">
        <f>F78+F84+F87+F91+F101+F106+F109+F122+F129+F134</f>
        <v/>
      </c>
      <c r="G136" s="341">
        <f>G78+G84+G87+G91+G101+G106+G109+G122+G129+G134</f>
        <v/>
      </c>
      <c r="H136" s="290">
        <f>SUM(C136:G136)</f>
        <v/>
      </c>
    </row>
    <row r="138" ht="12.75" customHeight="1">
      <c r="C138" s="346" t="n"/>
      <c r="D138" s="346">
        <f>SUM(D4:D72)+D136</f>
        <v/>
      </c>
      <c r="E138" s="346">
        <f>SUM(E4:E72)+E136</f>
        <v/>
      </c>
      <c r="F138" s="346">
        <f>SUM(F4:F72)+F136</f>
        <v/>
      </c>
      <c r="G138" s="346">
        <f>SUM(G4:G72)+G136</f>
        <v/>
      </c>
      <c r="H138" s="290">
        <f>SUM(C138:F138)</f>
        <v/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48"/>
  <sheetViews>
    <sheetView topLeftCell="A97" zoomScaleNormal="100" workbookViewId="0">
      <pane xSplit="2" topLeftCell="C1" activePane="topRight" state="frozen"/>
      <selection pane="topRight" activeCell="B102" sqref="B102"/>
    </sheetView>
  </sheetViews>
  <sheetFormatPr baseColWidth="8" defaultRowHeight="12.75" customHeight="1"/>
  <cols>
    <col width="21.109375" bestFit="1" customWidth="1" style="130" min="1" max="1"/>
    <col width="70" bestFit="1" customWidth="1" style="1" min="2" max="2"/>
    <col width="24.5546875" bestFit="1" customWidth="1" style="341" min="3" max="3"/>
    <col width="22.44140625" customWidth="1" style="341" min="4" max="7"/>
    <col width="19.44140625" bestFit="1" customWidth="1" style="290" min="8" max="8"/>
    <col width="9.109375" customWidth="1" style="1" min="9" max="13"/>
    <col width="15.5546875" bestFit="1" customWidth="1" style="1" min="14" max="14"/>
    <col width="9.109375" customWidth="1" style="1" min="15" max="15"/>
    <col width="11.109375" bestFit="1" customWidth="1" style="1" min="16" max="16"/>
    <col width="9.109375" customWidth="1" style="1" min="17" max="256"/>
    <col width="21.109375" bestFit="1" customWidth="1" style="1" min="257" max="257"/>
    <col width="70" bestFit="1" customWidth="1" style="1" min="258" max="258"/>
    <col width="24.5546875" bestFit="1" customWidth="1" style="1" min="259" max="259"/>
    <col width="22.44140625" customWidth="1" style="1" min="260" max="263"/>
    <col width="19.44140625" bestFit="1" customWidth="1" style="1" min="264" max="264"/>
    <col width="9.109375" customWidth="1" style="1" min="265" max="512"/>
    <col width="21.109375" bestFit="1" customWidth="1" style="1" min="513" max="513"/>
    <col width="70" bestFit="1" customWidth="1" style="1" min="514" max="514"/>
    <col width="24.5546875" bestFit="1" customWidth="1" style="1" min="515" max="515"/>
    <col width="22.44140625" customWidth="1" style="1" min="516" max="519"/>
    <col width="19.44140625" bestFit="1" customWidth="1" style="1" min="520" max="520"/>
    <col width="9.109375" customWidth="1" style="1" min="521" max="768"/>
    <col width="21.109375" bestFit="1" customWidth="1" style="1" min="769" max="769"/>
    <col width="70" bestFit="1" customWidth="1" style="1" min="770" max="770"/>
    <col width="24.5546875" bestFit="1" customWidth="1" style="1" min="771" max="771"/>
    <col width="22.44140625" customWidth="1" style="1" min="772" max="775"/>
    <col width="19.44140625" bestFit="1" customWidth="1" style="1" min="776" max="776"/>
    <col width="9.109375" customWidth="1" style="1" min="777" max="1024"/>
    <col width="21.109375" bestFit="1" customWidth="1" style="1" min="1025" max="1025"/>
    <col width="70" bestFit="1" customWidth="1" style="1" min="1026" max="1026"/>
    <col width="24.5546875" bestFit="1" customWidth="1" style="1" min="1027" max="1027"/>
    <col width="22.44140625" customWidth="1" style="1" min="1028" max="1031"/>
    <col width="19.44140625" bestFit="1" customWidth="1" style="1" min="1032" max="1032"/>
    <col width="9.109375" customWidth="1" style="1" min="1033" max="1280"/>
    <col width="21.109375" bestFit="1" customWidth="1" style="1" min="1281" max="1281"/>
    <col width="70" bestFit="1" customWidth="1" style="1" min="1282" max="1282"/>
    <col width="24.5546875" bestFit="1" customWidth="1" style="1" min="1283" max="1283"/>
    <col width="22.44140625" customWidth="1" style="1" min="1284" max="1287"/>
    <col width="19.44140625" bestFit="1" customWidth="1" style="1" min="1288" max="1288"/>
    <col width="9.109375" customWidth="1" style="1" min="1289" max="1536"/>
    <col width="21.109375" bestFit="1" customWidth="1" style="1" min="1537" max="1537"/>
    <col width="70" bestFit="1" customWidth="1" style="1" min="1538" max="1538"/>
    <col width="24.5546875" bestFit="1" customWidth="1" style="1" min="1539" max="1539"/>
    <col width="22.44140625" customWidth="1" style="1" min="1540" max="1543"/>
    <col width="19.44140625" bestFit="1" customWidth="1" style="1" min="1544" max="1544"/>
    <col width="9.109375" customWidth="1" style="1" min="1545" max="1792"/>
    <col width="21.109375" bestFit="1" customWidth="1" style="1" min="1793" max="1793"/>
    <col width="70" bestFit="1" customWidth="1" style="1" min="1794" max="1794"/>
    <col width="24.5546875" bestFit="1" customWidth="1" style="1" min="1795" max="1795"/>
    <col width="22.44140625" customWidth="1" style="1" min="1796" max="1799"/>
    <col width="19.44140625" bestFit="1" customWidth="1" style="1" min="1800" max="1800"/>
    <col width="9.109375" customWidth="1" style="1" min="1801" max="2048"/>
    <col width="21.109375" bestFit="1" customWidth="1" style="1" min="2049" max="2049"/>
    <col width="70" bestFit="1" customWidth="1" style="1" min="2050" max="2050"/>
    <col width="24.5546875" bestFit="1" customWidth="1" style="1" min="2051" max="2051"/>
    <col width="22.44140625" customWidth="1" style="1" min="2052" max="2055"/>
    <col width="19.44140625" bestFit="1" customWidth="1" style="1" min="2056" max="2056"/>
    <col width="9.109375" customWidth="1" style="1" min="2057" max="2304"/>
    <col width="21.109375" bestFit="1" customWidth="1" style="1" min="2305" max="2305"/>
    <col width="70" bestFit="1" customWidth="1" style="1" min="2306" max="2306"/>
    <col width="24.5546875" bestFit="1" customWidth="1" style="1" min="2307" max="2307"/>
    <col width="22.44140625" customWidth="1" style="1" min="2308" max="2311"/>
    <col width="19.44140625" bestFit="1" customWidth="1" style="1" min="2312" max="2312"/>
    <col width="9.109375" customWidth="1" style="1" min="2313" max="2560"/>
    <col width="21.109375" bestFit="1" customWidth="1" style="1" min="2561" max="2561"/>
    <col width="70" bestFit="1" customWidth="1" style="1" min="2562" max="2562"/>
    <col width="24.5546875" bestFit="1" customWidth="1" style="1" min="2563" max="2563"/>
    <col width="22.44140625" customWidth="1" style="1" min="2564" max="2567"/>
    <col width="19.44140625" bestFit="1" customWidth="1" style="1" min="2568" max="2568"/>
    <col width="9.109375" customWidth="1" style="1" min="2569" max="2816"/>
    <col width="21.109375" bestFit="1" customWidth="1" style="1" min="2817" max="2817"/>
    <col width="70" bestFit="1" customWidth="1" style="1" min="2818" max="2818"/>
    <col width="24.5546875" bestFit="1" customWidth="1" style="1" min="2819" max="2819"/>
    <col width="22.44140625" customWidth="1" style="1" min="2820" max="2823"/>
    <col width="19.44140625" bestFit="1" customWidth="1" style="1" min="2824" max="2824"/>
    <col width="9.109375" customWidth="1" style="1" min="2825" max="3072"/>
    <col width="21.109375" bestFit="1" customWidth="1" style="1" min="3073" max="3073"/>
    <col width="70" bestFit="1" customWidth="1" style="1" min="3074" max="3074"/>
    <col width="24.5546875" bestFit="1" customWidth="1" style="1" min="3075" max="3075"/>
    <col width="22.44140625" customWidth="1" style="1" min="3076" max="3079"/>
    <col width="19.44140625" bestFit="1" customWidth="1" style="1" min="3080" max="3080"/>
    <col width="9.109375" customWidth="1" style="1" min="3081" max="3328"/>
    <col width="21.109375" bestFit="1" customWidth="1" style="1" min="3329" max="3329"/>
    <col width="70" bestFit="1" customWidth="1" style="1" min="3330" max="3330"/>
    <col width="24.5546875" bestFit="1" customWidth="1" style="1" min="3331" max="3331"/>
    <col width="22.44140625" customWidth="1" style="1" min="3332" max="3335"/>
    <col width="19.44140625" bestFit="1" customWidth="1" style="1" min="3336" max="3336"/>
    <col width="9.109375" customWidth="1" style="1" min="3337" max="3584"/>
    <col width="21.109375" bestFit="1" customWidth="1" style="1" min="3585" max="3585"/>
    <col width="70" bestFit="1" customWidth="1" style="1" min="3586" max="3586"/>
    <col width="24.5546875" bestFit="1" customWidth="1" style="1" min="3587" max="3587"/>
    <col width="22.44140625" customWidth="1" style="1" min="3588" max="3591"/>
    <col width="19.44140625" bestFit="1" customWidth="1" style="1" min="3592" max="3592"/>
    <col width="9.109375" customWidth="1" style="1" min="3593" max="3840"/>
    <col width="21.109375" bestFit="1" customWidth="1" style="1" min="3841" max="3841"/>
    <col width="70" bestFit="1" customWidth="1" style="1" min="3842" max="3842"/>
    <col width="24.5546875" bestFit="1" customWidth="1" style="1" min="3843" max="3843"/>
    <col width="22.44140625" customWidth="1" style="1" min="3844" max="3847"/>
    <col width="19.44140625" bestFit="1" customWidth="1" style="1" min="3848" max="3848"/>
    <col width="9.109375" customWidth="1" style="1" min="3849" max="4096"/>
    <col width="21.109375" bestFit="1" customWidth="1" style="1" min="4097" max="4097"/>
    <col width="70" bestFit="1" customWidth="1" style="1" min="4098" max="4098"/>
    <col width="24.5546875" bestFit="1" customWidth="1" style="1" min="4099" max="4099"/>
    <col width="22.44140625" customWidth="1" style="1" min="4100" max="4103"/>
    <col width="19.44140625" bestFit="1" customWidth="1" style="1" min="4104" max="4104"/>
    <col width="9.109375" customWidth="1" style="1" min="4105" max="4352"/>
    <col width="21.109375" bestFit="1" customWidth="1" style="1" min="4353" max="4353"/>
    <col width="70" bestFit="1" customWidth="1" style="1" min="4354" max="4354"/>
    <col width="24.5546875" bestFit="1" customWidth="1" style="1" min="4355" max="4355"/>
    <col width="22.44140625" customWidth="1" style="1" min="4356" max="4359"/>
    <col width="19.44140625" bestFit="1" customWidth="1" style="1" min="4360" max="4360"/>
    <col width="9.109375" customWidth="1" style="1" min="4361" max="4608"/>
    <col width="21.109375" bestFit="1" customWidth="1" style="1" min="4609" max="4609"/>
    <col width="70" bestFit="1" customWidth="1" style="1" min="4610" max="4610"/>
    <col width="24.5546875" bestFit="1" customWidth="1" style="1" min="4611" max="4611"/>
    <col width="22.44140625" customWidth="1" style="1" min="4612" max="4615"/>
    <col width="19.44140625" bestFit="1" customWidth="1" style="1" min="4616" max="4616"/>
    <col width="9.109375" customWidth="1" style="1" min="4617" max="4864"/>
    <col width="21.109375" bestFit="1" customWidth="1" style="1" min="4865" max="4865"/>
    <col width="70" bestFit="1" customWidth="1" style="1" min="4866" max="4866"/>
    <col width="24.5546875" bestFit="1" customWidth="1" style="1" min="4867" max="4867"/>
    <col width="22.44140625" customWidth="1" style="1" min="4868" max="4871"/>
    <col width="19.44140625" bestFit="1" customWidth="1" style="1" min="4872" max="4872"/>
    <col width="9.109375" customWidth="1" style="1" min="4873" max="5120"/>
    <col width="21.109375" bestFit="1" customWidth="1" style="1" min="5121" max="5121"/>
    <col width="70" bestFit="1" customWidth="1" style="1" min="5122" max="5122"/>
    <col width="24.5546875" bestFit="1" customWidth="1" style="1" min="5123" max="5123"/>
    <col width="22.44140625" customWidth="1" style="1" min="5124" max="5127"/>
    <col width="19.44140625" bestFit="1" customWidth="1" style="1" min="5128" max="5128"/>
    <col width="9.109375" customWidth="1" style="1" min="5129" max="5376"/>
    <col width="21.109375" bestFit="1" customWidth="1" style="1" min="5377" max="5377"/>
    <col width="70" bestFit="1" customWidth="1" style="1" min="5378" max="5378"/>
    <col width="24.5546875" bestFit="1" customWidth="1" style="1" min="5379" max="5379"/>
    <col width="22.44140625" customWidth="1" style="1" min="5380" max="5383"/>
    <col width="19.44140625" bestFit="1" customWidth="1" style="1" min="5384" max="5384"/>
    <col width="9.109375" customWidth="1" style="1" min="5385" max="5632"/>
    <col width="21.109375" bestFit="1" customWidth="1" style="1" min="5633" max="5633"/>
    <col width="70" bestFit="1" customWidth="1" style="1" min="5634" max="5634"/>
    <col width="24.5546875" bestFit="1" customWidth="1" style="1" min="5635" max="5635"/>
    <col width="22.44140625" customWidth="1" style="1" min="5636" max="5639"/>
    <col width="19.44140625" bestFit="1" customWidth="1" style="1" min="5640" max="5640"/>
    <col width="9.109375" customWidth="1" style="1" min="5641" max="5888"/>
    <col width="21.109375" bestFit="1" customWidth="1" style="1" min="5889" max="5889"/>
    <col width="70" bestFit="1" customWidth="1" style="1" min="5890" max="5890"/>
    <col width="24.5546875" bestFit="1" customWidth="1" style="1" min="5891" max="5891"/>
    <col width="22.44140625" customWidth="1" style="1" min="5892" max="5895"/>
    <col width="19.44140625" bestFit="1" customWidth="1" style="1" min="5896" max="5896"/>
    <col width="9.109375" customWidth="1" style="1" min="5897" max="6144"/>
    <col width="21.109375" bestFit="1" customWidth="1" style="1" min="6145" max="6145"/>
    <col width="70" bestFit="1" customWidth="1" style="1" min="6146" max="6146"/>
    <col width="24.5546875" bestFit="1" customWidth="1" style="1" min="6147" max="6147"/>
    <col width="22.44140625" customWidth="1" style="1" min="6148" max="6151"/>
    <col width="19.44140625" bestFit="1" customWidth="1" style="1" min="6152" max="6152"/>
    <col width="9.109375" customWidth="1" style="1" min="6153" max="6400"/>
    <col width="21.109375" bestFit="1" customWidth="1" style="1" min="6401" max="6401"/>
    <col width="70" bestFit="1" customWidth="1" style="1" min="6402" max="6402"/>
    <col width="24.5546875" bestFit="1" customWidth="1" style="1" min="6403" max="6403"/>
    <col width="22.44140625" customWidth="1" style="1" min="6404" max="6407"/>
    <col width="19.44140625" bestFit="1" customWidth="1" style="1" min="6408" max="6408"/>
    <col width="9.109375" customWidth="1" style="1" min="6409" max="6656"/>
    <col width="21.109375" bestFit="1" customWidth="1" style="1" min="6657" max="6657"/>
    <col width="70" bestFit="1" customWidth="1" style="1" min="6658" max="6658"/>
    <col width="24.5546875" bestFit="1" customWidth="1" style="1" min="6659" max="6659"/>
    <col width="22.44140625" customWidth="1" style="1" min="6660" max="6663"/>
    <col width="19.44140625" bestFit="1" customWidth="1" style="1" min="6664" max="6664"/>
    <col width="9.109375" customWidth="1" style="1" min="6665" max="6912"/>
    <col width="21.109375" bestFit="1" customWidth="1" style="1" min="6913" max="6913"/>
    <col width="70" bestFit="1" customWidth="1" style="1" min="6914" max="6914"/>
    <col width="24.5546875" bestFit="1" customWidth="1" style="1" min="6915" max="6915"/>
    <col width="22.44140625" customWidth="1" style="1" min="6916" max="6919"/>
    <col width="19.44140625" bestFit="1" customWidth="1" style="1" min="6920" max="6920"/>
    <col width="9.109375" customWidth="1" style="1" min="6921" max="7168"/>
    <col width="21.109375" bestFit="1" customWidth="1" style="1" min="7169" max="7169"/>
    <col width="70" bestFit="1" customWidth="1" style="1" min="7170" max="7170"/>
    <col width="24.5546875" bestFit="1" customWidth="1" style="1" min="7171" max="7171"/>
    <col width="22.44140625" customWidth="1" style="1" min="7172" max="7175"/>
    <col width="19.44140625" bestFit="1" customWidth="1" style="1" min="7176" max="7176"/>
    <col width="9.109375" customWidth="1" style="1" min="7177" max="7424"/>
    <col width="21.109375" bestFit="1" customWidth="1" style="1" min="7425" max="7425"/>
    <col width="70" bestFit="1" customWidth="1" style="1" min="7426" max="7426"/>
    <col width="24.5546875" bestFit="1" customWidth="1" style="1" min="7427" max="7427"/>
    <col width="22.44140625" customWidth="1" style="1" min="7428" max="7431"/>
    <col width="19.44140625" bestFit="1" customWidth="1" style="1" min="7432" max="7432"/>
    <col width="9.109375" customWidth="1" style="1" min="7433" max="7680"/>
    <col width="21.109375" bestFit="1" customWidth="1" style="1" min="7681" max="7681"/>
    <col width="70" bestFit="1" customWidth="1" style="1" min="7682" max="7682"/>
    <col width="24.5546875" bestFit="1" customWidth="1" style="1" min="7683" max="7683"/>
    <col width="22.44140625" customWidth="1" style="1" min="7684" max="7687"/>
    <col width="19.44140625" bestFit="1" customWidth="1" style="1" min="7688" max="7688"/>
    <col width="9.109375" customWidth="1" style="1" min="7689" max="7936"/>
    <col width="21.109375" bestFit="1" customWidth="1" style="1" min="7937" max="7937"/>
    <col width="70" bestFit="1" customWidth="1" style="1" min="7938" max="7938"/>
    <col width="24.5546875" bestFit="1" customWidth="1" style="1" min="7939" max="7939"/>
    <col width="22.44140625" customWidth="1" style="1" min="7940" max="7943"/>
    <col width="19.44140625" bestFit="1" customWidth="1" style="1" min="7944" max="7944"/>
    <col width="9.109375" customWidth="1" style="1" min="7945" max="8192"/>
    <col width="21.109375" bestFit="1" customWidth="1" style="1" min="8193" max="8193"/>
    <col width="70" bestFit="1" customWidth="1" style="1" min="8194" max="8194"/>
    <col width="24.5546875" bestFit="1" customWidth="1" style="1" min="8195" max="8195"/>
    <col width="22.44140625" customWidth="1" style="1" min="8196" max="8199"/>
    <col width="19.44140625" bestFit="1" customWidth="1" style="1" min="8200" max="8200"/>
    <col width="9.109375" customWidth="1" style="1" min="8201" max="8448"/>
    <col width="21.109375" bestFit="1" customWidth="1" style="1" min="8449" max="8449"/>
    <col width="70" bestFit="1" customWidth="1" style="1" min="8450" max="8450"/>
    <col width="24.5546875" bestFit="1" customWidth="1" style="1" min="8451" max="8451"/>
    <col width="22.44140625" customWidth="1" style="1" min="8452" max="8455"/>
    <col width="19.44140625" bestFit="1" customWidth="1" style="1" min="8456" max="8456"/>
    <col width="9.109375" customWidth="1" style="1" min="8457" max="8704"/>
    <col width="21.109375" bestFit="1" customWidth="1" style="1" min="8705" max="8705"/>
    <col width="70" bestFit="1" customWidth="1" style="1" min="8706" max="8706"/>
    <col width="24.5546875" bestFit="1" customWidth="1" style="1" min="8707" max="8707"/>
    <col width="22.44140625" customWidth="1" style="1" min="8708" max="8711"/>
    <col width="19.44140625" bestFit="1" customWidth="1" style="1" min="8712" max="8712"/>
    <col width="9.109375" customWidth="1" style="1" min="8713" max="8960"/>
    <col width="21.109375" bestFit="1" customWidth="1" style="1" min="8961" max="8961"/>
    <col width="70" bestFit="1" customWidth="1" style="1" min="8962" max="8962"/>
    <col width="24.5546875" bestFit="1" customWidth="1" style="1" min="8963" max="8963"/>
    <col width="22.44140625" customWidth="1" style="1" min="8964" max="8967"/>
    <col width="19.44140625" bestFit="1" customWidth="1" style="1" min="8968" max="8968"/>
    <col width="9.109375" customWidth="1" style="1" min="8969" max="9216"/>
    <col width="21.109375" bestFit="1" customWidth="1" style="1" min="9217" max="9217"/>
    <col width="70" bestFit="1" customWidth="1" style="1" min="9218" max="9218"/>
    <col width="24.5546875" bestFit="1" customWidth="1" style="1" min="9219" max="9219"/>
    <col width="22.44140625" customWidth="1" style="1" min="9220" max="9223"/>
    <col width="19.44140625" bestFit="1" customWidth="1" style="1" min="9224" max="9224"/>
    <col width="9.109375" customWidth="1" style="1" min="9225" max="9472"/>
    <col width="21.109375" bestFit="1" customWidth="1" style="1" min="9473" max="9473"/>
    <col width="70" bestFit="1" customWidth="1" style="1" min="9474" max="9474"/>
    <col width="24.5546875" bestFit="1" customWidth="1" style="1" min="9475" max="9475"/>
    <col width="22.44140625" customWidth="1" style="1" min="9476" max="9479"/>
    <col width="19.44140625" bestFit="1" customWidth="1" style="1" min="9480" max="9480"/>
    <col width="9.109375" customWidth="1" style="1" min="9481" max="9728"/>
    <col width="21.109375" bestFit="1" customWidth="1" style="1" min="9729" max="9729"/>
    <col width="70" bestFit="1" customWidth="1" style="1" min="9730" max="9730"/>
    <col width="24.5546875" bestFit="1" customWidth="1" style="1" min="9731" max="9731"/>
    <col width="22.44140625" customWidth="1" style="1" min="9732" max="9735"/>
    <col width="19.44140625" bestFit="1" customWidth="1" style="1" min="9736" max="9736"/>
    <col width="9.109375" customWidth="1" style="1" min="9737" max="9984"/>
    <col width="21.109375" bestFit="1" customWidth="1" style="1" min="9985" max="9985"/>
    <col width="70" bestFit="1" customWidth="1" style="1" min="9986" max="9986"/>
    <col width="24.5546875" bestFit="1" customWidth="1" style="1" min="9987" max="9987"/>
    <col width="22.44140625" customWidth="1" style="1" min="9988" max="9991"/>
    <col width="19.44140625" bestFit="1" customWidth="1" style="1" min="9992" max="9992"/>
    <col width="9.109375" customWidth="1" style="1" min="9993" max="10240"/>
    <col width="21.109375" bestFit="1" customWidth="1" style="1" min="10241" max="10241"/>
    <col width="70" bestFit="1" customWidth="1" style="1" min="10242" max="10242"/>
    <col width="24.5546875" bestFit="1" customWidth="1" style="1" min="10243" max="10243"/>
    <col width="22.44140625" customWidth="1" style="1" min="10244" max="10247"/>
    <col width="19.44140625" bestFit="1" customWidth="1" style="1" min="10248" max="10248"/>
    <col width="9.109375" customWidth="1" style="1" min="10249" max="10496"/>
    <col width="21.109375" bestFit="1" customWidth="1" style="1" min="10497" max="10497"/>
    <col width="70" bestFit="1" customWidth="1" style="1" min="10498" max="10498"/>
    <col width="24.5546875" bestFit="1" customWidth="1" style="1" min="10499" max="10499"/>
    <col width="22.44140625" customWidth="1" style="1" min="10500" max="10503"/>
    <col width="19.44140625" bestFit="1" customWidth="1" style="1" min="10504" max="10504"/>
    <col width="9.109375" customWidth="1" style="1" min="10505" max="10752"/>
    <col width="21.109375" bestFit="1" customWidth="1" style="1" min="10753" max="10753"/>
    <col width="70" bestFit="1" customWidth="1" style="1" min="10754" max="10754"/>
    <col width="24.5546875" bestFit="1" customWidth="1" style="1" min="10755" max="10755"/>
    <col width="22.44140625" customWidth="1" style="1" min="10756" max="10759"/>
    <col width="19.44140625" bestFit="1" customWidth="1" style="1" min="10760" max="10760"/>
    <col width="9.109375" customWidth="1" style="1" min="10761" max="11008"/>
    <col width="21.109375" bestFit="1" customWidth="1" style="1" min="11009" max="11009"/>
    <col width="70" bestFit="1" customWidth="1" style="1" min="11010" max="11010"/>
    <col width="24.5546875" bestFit="1" customWidth="1" style="1" min="11011" max="11011"/>
    <col width="22.44140625" customWidth="1" style="1" min="11012" max="11015"/>
    <col width="19.44140625" bestFit="1" customWidth="1" style="1" min="11016" max="11016"/>
    <col width="9.109375" customWidth="1" style="1" min="11017" max="11264"/>
    <col width="21.109375" bestFit="1" customWidth="1" style="1" min="11265" max="11265"/>
    <col width="70" bestFit="1" customWidth="1" style="1" min="11266" max="11266"/>
    <col width="24.5546875" bestFit="1" customWidth="1" style="1" min="11267" max="11267"/>
    <col width="22.44140625" customWidth="1" style="1" min="11268" max="11271"/>
    <col width="19.44140625" bestFit="1" customWidth="1" style="1" min="11272" max="11272"/>
    <col width="9.109375" customWidth="1" style="1" min="11273" max="11520"/>
    <col width="21.109375" bestFit="1" customWidth="1" style="1" min="11521" max="11521"/>
    <col width="70" bestFit="1" customWidth="1" style="1" min="11522" max="11522"/>
    <col width="24.5546875" bestFit="1" customWidth="1" style="1" min="11523" max="11523"/>
    <col width="22.44140625" customWidth="1" style="1" min="11524" max="11527"/>
    <col width="19.44140625" bestFit="1" customWidth="1" style="1" min="11528" max="11528"/>
    <col width="9.109375" customWidth="1" style="1" min="11529" max="11776"/>
    <col width="21.109375" bestFit="1" customWidth="1" style="1" min="11777" max="11777"/>
    <col width="70" bestFit="1" customWidth="1" style="1" min="11778" max="11778"/>
    <col width="24.5546875" bestFit="1" customWidth="1" style="1" min="11779" max="11779"/>
    <col width="22.44140625" customWidth="1" style="1" min="11780" max="11783"/>
    <col width="19.44140625" bestFit="1" customWidth="1" style="1" min="11784" max="11784"/>
    <col width="9.109375" customWidth="1" style="1" min="11785" max="12032"/>
    <col width="21.109375" bestFit="1" customWidth="1" style="1" min="12033" max="12033"/>
    <col width="70" bestFit="1" customWidth="1" style="1" min="12034" max="12034"/>
    <col width="24.5546875" bestFit="1" customWidth="1" style="1" min="12035" max="12035"/>
    <col width="22.44140625" customWidth="1" style="1" min="12036" max="12039"/>
    <col width="19.44140625" bestFit="1" customWidth="1" style="1" min="12040" max="12040"/>
    <col width="9.109375" customWidth="1" style="1" min="12041" max="12288"/>
    <col width="21.109375" bestFit="1" customWidth="1" style="1" min="12289" max="12289"/>
    <col width="70" bestFit="1" customWidth="1" style="1" min="12290" max="12290"/>
    <col width="24.5546875" bestFit="1" customWidth="1" style="1" min="12291" max="12291"/>
    <col width="22.44140625" customWidth="1" style="1" min="12292" max="12295"/>
    <col width="19.44140625" bestFit="1" customWidth="1" style="1" min="12296" max="12296"/>
    <col width="9.109375" customWidth="1" style="1" min="12297" max="12544"/>
    <col width="21.109375" bestFit="1" customWidth="1" style="1" min="12545" max="12545"/>
    <col width="70" bestFit="1" customWidth="1" style="1" min="12546" max="12546"/>
    <col width="24.5546875" bestFit="1" customWidth="1" style="1" min="12547" max="12547"/>
    <col width="22.44140625" customWidth="1" style="1" min="12548" max="12551"/>
    <col width="19.44140625" bestFit="1" customWidth="1" style="1" min="12552" max="12552"/>
    <col width="9.109375" customWidth="1" style="1" min="12553" max="12800"/>
    <col width="21.109375" bestFit="1" customWidth="1" style="1" min="12801" max="12801"/>
    <col width="70" bestFit="1" customWidth="1" style="1" min="12802" max="12802"/>
    <col width="24.5546875" bestFit="1" customWidth="1" style="1" min="12803" max="12803"/>
    <col width="22.44140625" customWidth="1" style="1" min="12804" max="12807"/>
    <col width="19.44140625" bestFit="1" customWidth="1" style="1" min="12808" max="12808"/>
    <col width="9.109375" customWidth="1" style="1" min="12809" max="13056"/>
    <col width="21.109375" bestFit="1" customWidth="1" style="1" min="13057" max="13057"/>
    <col width="70" bestFit="1" customWidth="1" style="1" min="13058" max="13058"/>
    <col width="24.5546875" bestFit="1" customWidth="1" style="1" min="13059" max="13059"/>
    <col width="22.44140625" customWidth="1" style="1" min="13060" max="13063"/>
    <col width="19.44140625" bestFit="1" customWidth="1" style="1" min="13064" max="13064"/>
    <col width="9.109375" customWidth="1" style="1" min="13065" max="13312"/>
    <col width="21.109375" bestFit="1" customWidth="1" style="1" min="13313" max="13313"/>
    <col width="70" bestFit="1" customWidth="1" style="1" min="13314" max="13314"/>
    <col width="24.5546875" bestFit="1" customWidth="1" style="1" min="13315" max="13315"/>
    <col width="22.44140625" customWidth="1" style="1" min="13316" max="13319"/>
    <col width="19.44140625" bestFit="1" customWidth="1" style="1" min="13320" max="13320"/>
    <col width="9.109375" customWidth="1" style="1" min="13321" max="13568"/>
    <col width="21.109375" bestFit="1" customWidth="1" style="1" min="13569" max="13569"/>
    <col width="70" bestFit="1" customWidth="1" style="1" min="13570" max="13570"/>
    <col width="24.5546875" bestFit="1" customWidth="1" style="1" min="13571" max="13571"/>
    <col width="22.44140625" customWidth="1" style="1" min="13572" max="13575"/>
    <col width="19.44140625" bestFit="1" customWidth="1" style="1" min="13576" max="13576"/>
    <col width="9.109375" customWidth="1" style="1" min="13577" max="13824"/>
    <col width="21.109375" bestFit="1" customWidth="1" style="1" min="13825" max="13825"/>
    <col width="70" bestFit="1" customWidth="1" style="1" min="13826" max="13826"/>
    <col width="24.5546875" bestFit="1" customWidth="1" style="1" min="13827" max="13827"/>
    <col width="22.44140625" customWidth="1" style="1" min="13828" max="13831"/>
    <col width="19.44140625" bestFit="1" customWidth="1" style="1" min="13832" max="13832"/>
    <col width="9.109375" customWidth="1" style="1" min="13833" max="14080"/>
    <col width="21.109375" bestFit="1" customWidth="1" style="1" min="14081" max="14081"/>
    <col width="70" bestFit="1" customWidth="1" style="1" min="14082" max="14082"/>
    <col width="24.5546875" bestFit="1" customWidth="1" style="1" min="14083" max="14083"/>
    <col width="22.44140625" customWidth="1" style="1" min="14084" max="14087"/>
    <col width="19.44140625" bestFit="1" customWidth="1" style="1" min="14088" max="14088"/>
    <col width="9.109375" customWidth="1" style="1" min="14089" max="14336"/>
    <col width="21.109375" bestFit="1" customWidth="1" style="1" min="14337" max="14337"/>
    <col width="70" bestFit="1" customWidth="1" style="1" min="14338" max="14338"/>
    <col width="24.5546875" bestFit="1" customWidth="1" style="1" min="14339" max="14339"/>
    <col width="22.44140625" customWidth="1" style="1" min="14340" max="14343"/>
    <col width="19.44140625" bestFit="1" customWidth="1" style="1" min="14344" max="14344"/>
    <col width="9.109375" customWidth="1" style="1" min="14345" max="14592"/>
    <col width="21.109375" bestFit="1" customWidth="1" style="1" min="14593" max="14593"/>
    <col width="70" bestFit="1" customWidth="1" style="1" min="14594" max="14594"/>
    <col width="24.5546875" bestFit="1" customWidth="1" style="1" min="14595" max="14595"/>
    <col width="22.44140625" customWidth="1" style="1" min="14596" max="14599"/>
    <col width="19.44140625" bestFit="1" customWidth="1" style="1" min="14600" max="14600"/>
    <col width="9.109375" customWidth="1" style="1" min="14601" max="14848"/>
    <col width="21.109375" bestFit="1" customWidth="1" style="1" min="14849" max="14849"/>
    <col width="70" bestFit="1" customWidth="1" style="1" min="14850" max="14850"/>
    <col width="24.5546875" bestFit="1" customWidth="1" style="1" min="14851" max="14851"/>
    <col width="22.44140625" customWidth="1" style="1" min="14852" max="14855"/>
    <col width="19.44140625" bestFit="1" customWidth="1" style="1" min="14856" max="14856"/>
    <col width="9.109375" customWidth="1" style="1" min="14857" max="15104"/>
    <col width="21.109375" bestFit="1" customWidth="1" style="1" min="15105" max="15105"/>
    <col width="70" bestFit="1" customWidth="1" style="1" min="15106" max="15106"/>
    <col width="24.5546875" bestFit="1" customWidth="1" style="1" min="15107" max="15107"/>
    <col width="22.44140625" customWidth="1" style="1" min="15108" max="15111"/>
    <col width="19.44140625" bestFit="1" customWidth="1" style="1" min="15112" max="15112"/>
    <col width="9.109375" customWidth="1" style="1" min="15113" max="15360"/>
    <col width="21.109375" bestFit="1" customWidth="1" style="1" min="15361" max="15361"/>
    <col width="70" bestFit="1" customWidth="1" style="1" min="15362" max="15362"/>
    <col width="24.5546875" bestFit="1" customWidth="1" style="1" min="15363" max="15363"/>
    <col width="22.44140625" customWidth="1" style="1" min="15364" max="15367"/>
    <col width="19.44140625" bestFit="1" customWidth="1" style="1" min="15368" max="15368"/>
    <col width="9.109375" customWidth="1" style="1" min="15369" max="15616"/>
    <col width="21.109375" bestFit="1" customWidth="1" style="1" min="15617" max="15617"/>
    <col width="70" bestFit="1" customWidth="1" style="1" min="15618" max="15618"/>
    <col width="24.5546875" bestFit="1" customWidth="1" style="1" min="15619" max="15619"/>
    <col width="22.44140625" customWidth="1" style="1" min="15620" max="15623"/>
    <col width="19.44140625" bestFit="1" customWidth="1" style="1" min="15624" max="15624"/>
    <col width="9.109375" customWidth="1" style="1" min="15625" max="15872"/>
    <col width="21.109375" bestFit="1" customWidth="1" style="1" min="15873" max="15873"/>
    <col width="70" bestFit="1" customWidth="1" style="1" min="15874" max="15874"/>
    <col width="24.5546875" bestFit="1" customWidth="1" style="1" min="15875" max="15875"/>
    <col width="22.44140625" customWidth="1" style="1" min="15876" max="15879"/>
    <col width="19.44140625" bestFit="1" customWidth="1" style="1" min="15880" max="15880"/>
    <col width="9.109375" customWidth="1" style="1" min="15881" max="16128"/>
    <col width="21.109375" bestFit="1" customWidth="1" style="1" min="16129" max="16129"/>
    <col width="70" bestFit="1" customWidth="1" style="1" min="16130" max="16130"/>
    <col width="24.5546875" bestFit="1" customWidth="1" style="1" min="16131" max="16131"/>
    <col width="22.44140625" customWidth="1" style="1" min="16132" max="16135"/>
    <col width="19.44140625" bestFit="1" customWidth="1" style="1" min="16136" max="16136"/>
    <col width="9.109375" customWidth="1" style="1" min="16137" max="16384"/>
  </cols>
  <sheetData>
    <row r="1" ht="12.75" customHeight="1">
      <c r="C1" s="302" t="inlineStr">
        <is>
          <t>Eindbalans per 31-03-2022</t>
        </is>
      </c>
      <c r="D1" s="302" t="inlineStr">
        <is>
          <t>Mutaties Q2 2022</t>
        </is>
      </c>
      <c r="E1" s="302" t="inlineStr">
        <is>
          <t>Mutaties Q3 2022</t>
        </is>
      </c>
      <c r="F1" s="302" t="inlineStr">
        <is>
          <t>Mutaties Q4 2022</t>
        </is>
      </c>
      <c r="G1" s="302" t="inlineStr">
        <is>
          <t>Mutaties Q1 2023</t>
        </is>
      </c>
      <c r="H1" s="290" t="inlineStr">
        <is>
          <t>Saldi per 31-03-2023</t>
        </is>
      </c>
    </row>
    <row r="3" ht="12.75" customHeight="1">
      <c r="A3" s="132" t="inlineStr">
        <is>
          <t>Balans</t>
        </is>
      </c>
    </row>
    <row r="4" ht="12.75" customHeight="1">
      <c r="A4" s="130" t="n">
        <v>1600000</v>
      </c>
      <c r="B4" s="1" t="inlineStr">
        <is>
          <t>VG Vastgoedbeleggingen Verkrijgings- of vervaardigingsprijs</t>
        </is>
      </c>
      <c r="C4" s="341" t="n">
        <v>123824377.51</v>
      </c>
      <c r="D4" s="341" t="n">
        <v>291783.9</v>
      </c>
      <c r="E4" s="341" t="n">
        <v>243593.77</v>
      </c>
      <c r="F4" s="342" t="n">
        <v>222347.9</v>
      </c>
      <c r="G4" s="341" t="n">
        <v>369860.81</v>
      </c>
      <c r="H4" s="308">
        <f>SUM(C4:G4)</f>
        <v/>
      </c>
      <c r="I4" s="1" t="inlineStr">
        <is>
          <t>Correcties nav jaarrekening</t>
        </is>
      </c>
    </row>
    <row r="5" ht="12.75" customHeight="1">
      <c r="A5" s="130" t="inlineStr">
        <is>
          <t>1600200</t>
        </is>
      </c>
      <c r="B5" s="1" t="inlineStr">
        <is>
          <t>VG Vastgoedbeleggingen Cum afschrijvingen en waardeverm</t>
        </is>
      </c>
      <c r="C5" s="341" t="n">
        <v>-14403209</v>
      </c>
      <c r="D5" s="341" t="n">
        <v>-682714</v>
      </c>
      <c r="E5" s="341" t="n">
        <v>-695326</v>
      </c>
      <c r="F5" s="342" t="n">
        <v>-707759</v>
      </c>
      <c r="G5" s="341" t="n">
        <v>-707631</v>
      </c>
      <c r="H5" s="308">
        <f>SUM(C5:G5)</f>
        <v/>
      </c>
      <c r="I5" s="1" t="inlineStr">
        <is>
          <t>Correcties nav jaarrekening</t>
        </is>
      </c>
    </row>
    <row r="6" ht="12.75" customHeight="1">
      <c r="A6" s="130" t="inlineStr">
        <is>
          <t>1610803</t>
        </is>
      </c>
      <c r="B6" s="1" t="inlineStr">
        <is>
          <t>VG Comm VG in exploitatie Buitengebruikstellingen aanschaffingswaarde</t>
        </is>
      </c>
      <c r="C6" s="341" t="n">
        <v>-331590</v>
      </c>
      <c r="D6" s="309" t="n">
        <v>-276183</v>
      </c>
      <c r="E6" s="309" t="n">
        <v>-363436</v>
      </c>
      <c r="F6" s="309" t="n">
        <v>-108045</v>
      </c>
      <c r="G6" s="309" t="n">
        <v>-117551</v>
      </c>
      <c r="H6" s="308">
        <f>SUM(C6:G6)</f>
        <v/>
      </c>
    </row>
    <row r="7" ht="12.75" customHeight="1">
      <c r="A7" s="130" t="inlineStr">
        <is>
          <t>1611003</t>
        </is>
      </c>
      <c r="B7" s="1" t="inlineStr">
        <is>
          <t>VG Comm VG in exploitatie Buitengebruikstellingen cum. afschr. en waardeverm.</t>
        </is>
      </c>
      <c r="C7" s="341" t="n">
        <v>41047</v>
      </c>
      <c r="D7" s="341" t="n">
        <v>36141</v>
      </c>
      <c r="E7" s="341" t="n">
        <v>49532</v>
      </c>
      <c r="F7" s="341" t="n">
        <v>15030</v>
      </c>
      <c r="G7" s="341" t="n">
        <v>17214</v>
      </c>
      <c r="H7" s="308">
        <f>SUM(C7:G7)</f>
        <v/>
      </c>
    </row>
    <row r="8" ht="12.75" customHeight="1">
      <c r="A8" s="1" t="inlineStr">
        <is>
          <t>Totaal Vastgoedbeleggingen</t>
        </is>
      </c>
      <c r="C8" s="341" t="n">
        <v>0</v>
      </c>
      <c r="H8" s="290">
        <f>SUM(C8:F8)</f>
        <v/>
      </c>
    </row>
    <row r="9" ht="12.75" customHeight="1">
      <c r="C9" s="341" t="n">
        <v>0</v>
      </c>
      <c r="H9" s="290">
        <f>SUM(C9:F9)</f>
        <v/>
      </c>
    </row>
    <row r="10" ht="12.75" customHeight="1">
      <c r="A10" s="130" t="n">
        <v>1790000</v>
      </c>
      <c r="B10" s="1" t="inlineStr">
        <is>
          <t>FVA Swap fee</t>
        </is>
      </c>
      <c r="F10" s="342" t="n">
        <v>2102350.01</v>
      </c>
      <c r="G10" s="341" t="n">
        <v>-110649.99</v>
      </c>
      <c r="H10" s="308">
        <f>SUM(C10:G10)</f>
        <v/>
      </c>
    </row>
    <row r="11" ht="12.75" customHeight="1">
      <c r="A11" s="130" t="inlineStr">
        <is>
          <t>1790002</t>
        </is>
      </c>
      <c r="B11" s="1" t="inlineStr">
        <is>
          <t>FVA Latente belastingvordering langlopend</t>
        </is>
      </c>
      <c r="C11" s="341" t="n">
        <v>4500474</v>
      </c>
      <c r="D11" s="344" t="n">
        <v>121126</v>
      </c>
      <c r="E11" s="344" t="n">
        <v>165568</v>
      </c>
      <c r="F11" s="345" t="n">
        <v>285289</v>
      </c>
      <c r="G11" s="344" t="n">
        <v>181734</v>
      </c>
      <c r="H11" s="308">
        <f>SUM(C11:G11)</f>
        <v/>
      </c>
      <c r="I11" s="1" t="inlineStr">
        <is>
          <t>Correcties nav jaarrekening</t>
        </is>
      </c>
    </row>
    <row r="12" ht="12.75" customHeight="1">
      <c r="A12" s="130" t="n">
        <v>1760000</v>
      </c>
      <c r="B12" s="1" t="inlineStr">
        <is>
          <t>FVA Hoofdsom lening DMRRP INV - I BV</t>
        </is>
      </c>
      <c r="C12" s="341" t="n">
        <v>0</v>
      </c>
      <c r="D12" s="341" t="n">
        <v>0</v>
      </c>
      <c r="E12" s="341" t="n">
        <v>0</v>
      </c>
      <c r="F12" s="341" t="n">
        <v>38320325</v>
      </c>
      <c r="G12" s="341" t="n">
        <v>0</v>
      </c>
      <c r="H12" s="308">
        <f>SUM(C12:G12)</f>
        <v/>
      </c>
    </row>
    <row r="13" ht="12.75" customHeight="1">
      <c r="A13" s="130" t="n">
        <v>1760300</v>
      </c>
      <c r="B13" s="1" t="inlineStr">
        <is>
          <t>FVA Aflossingen lening DMRRP INV - I BV</t>
        </is>
      </c>
      <c r="C13" s="341" t="n">
        <v>0</v>
      </c>
      <c r="D13" s="341" t="n">
        <v>0</v>
      </c>
      <c r="E13" s="341" t="n">
        <v>0</v>
      </c>
      <c r="F13" s="342" t="n">
        <v>-95800.81</v>
      </c>
      <c r="G13" s="341" t="n">
        <v>-137679.46</v>
      </c>
      <c r="H13" s="308">
        <f>SUM(C13:G13)</f>
        <v/>
      </c>
      <c r="I13" s="1" t="inlineStr">
        <is>
          <t>Correcties nav jaarrekening</t>
        </is>
      </c>
    </row>
    <row r="14" ht="12.75" customHeight="1">
      <c r="A14" s="1" t="inlineStr">
        <is>
          <t>Totaal Financiële vaste activa</t>
        </is>
      </c>
      <c r="C14" s="341" t="n">
        <v>0</v>
      </c>
      <c r="H14" s="290">
        <f>SUM(C14:F14)</f>
        <v/>
      </c>
    </row>
    <row r="15" ht="12.75" customHeight="1">
      <c r="C15" s="341" t="n">
        <v>0</v>
      </c>
    </row>
    <row r="16" ht="12.75" customHeight="1">
      <c r="A16" s="130" t="inlineStr">
        <is>
          <t>2000000</t>
        </is>
      </c>
      <c r="B16" s="1" t="inlineStr">
        <is>
          <t>VOR Debiteuren</t>
        </is>
      </c>
      <c r="C16" s="341" t="n">
        <v>104328.45</v>
      </c>
      <c r="D16" s="344" t="n">
        <v>-9192.360000000001</v>
      </c>
      <c r="E16" s="344" t="n">
        <v>1191082.16</v>
      </c>
      <c r="F16" s="345" t="n">
        <v>-780026.62</v>
      </c>
      <c r="G16" s="344" t="n">
        <v>523319.01</v>
      </c>
      <c r="H16" s="308">
        <f>SUM(C16:G16)</f>
        <v/>
      </c>
      <c r="I16" s="1" t="inlineStr">
        <is>
          <t>Correcties nav jaarrekening</t>
        </is>
      </c>
    </row>
    <row r="17" ht="12.75" customHeight="1">
      <c r="A17" s="130" t="inlineStr">
        <is>
          <t>2000300</t>
        </is>
      </c>
      <c r="B17" s="1" t="inlineStr">
        <is>
          <t>VOR Voorziening dubieuze debiteuren</t>
        </is>
      </c>
      <c r="C17" s="341" t="n">
        <v>-91881.58</v>
      </c>
      <c r="D17" s="341" t="n">
        <v>0</v>
      </c>
      <c r="E17" s="341" t="n">
        <v>0</v>
      </c>
      <c r="F17" s="342" t="n">
        <v>15003.05</v>
      </c>
      <c r="G17" s="341" t="n">
        <v>0</v>
      </c>
      <c r="H17" s="308">
        <f>SUM(C17:G17)</f>
        <v/>
      </c>
      <c r="I17" s="1" t="inlineStr">
        <is>
          <t>Correcties nav jaarrekening</t>
        </is>
      </c>
    </row>
    <row r="18" ht="12.75" customHeight="1">
      <c r="A18" s="1" t="inlineStr">
        <is>
          <t>Totaal Debiteuren</t>
        </is>
      </c>
      <c r="C18" s="341" t="n">
        <v>0</v>
      </c>
      <c r="H18" s="308">
        <f>SUM(C18:F18)</f>
        <v/>
      </c>
    </row>
    <row r="19" ht="12.75" customHeight="1">
      <c r="C19" s="341" t="n">
        <v>0</v>
      </c>
      <c r="H19" s="308" t="n"/>
    </row>
    <row r="20" ht="12.75" customHeight="1">
      <c r="A20" s="130" t="n">
        <v>2640000</v>
      </c>
      <c r="B20" s="1" t="inlineStr">
        <is>
          <t>RC Kortlopend DMRRP INV - I BV</t>
        </is>
      </c>
      <c r="C20" s="341" t="n">
        <v>-53078.62</v>
      </c>
      <c r="D20" s="341" t="n">
        <v>1293310.92</v>
      </c>
      <c r="E20" s="341" t="n">
        <v>570839.92</v>
      </c>
      <c r="F20" s="342" t="n">
        <v>-2493301.08</v>
      </c>
      <c r="G20" s="341" t="n">
        <v>-6167</v>
      </c>
      <c r="H20" s="308">
        <f>SUM(C20:G20)</f>
        <v/>
      </c>
    </row>
    <row r="21" ht="12.75" customHeight="1">
      <c r="A21" s="1" t="inlineStr">
        <is>
          <t>Totaal Rekening-courant aandeelhouder</t>
        </is>
      </c>
      <c r="C21" s="341" t="n">
        <v>0</v>
      </c>
      <c r="H21" s="290">
        <f>SUM(C21:F21)</f>
        <v/>
      </c>
    </row>
    <row r="22" ht="12.75" customHeight="1">
      <c r="C22" s="341" t="n">
        <v>0</v>
      </c>
      <c r="H22" s="290">
        <f>SUM(C22:F22)</f>
        <v/>
      </c>
    </row>
    <row r="23" ht="12.75" customHeight="1">
      <c r="A23" s="130" t="n">
        <v>2040200</v>
      </c>
      <c r="B23" s="1" t="inlineStr">
        <is>
          <t>VOR Te vorderen waarborgsommen kortlopen</t>
        </is>
      </c>
      <c r="C23" s="341" t="n">
        <v>5000</v>
      </c>
      <c r="D23" s="341" t="n">
        <v>0</v>
      </c>
      <c r="E23" s="341" t="n">
        <v>0</v>
      </c>
      <c r="F23" s="341" t="n">
        <v>0</v>
      </c>
      <c r="G23" s="341" t="n">
        <v>0</v>
      </c>
      <c r="H23" s="308">
        <f>SUM(C23:G23)</f>
        <v/>
      </c>
    </row>
    <row r="24" ht="12.75" customHeight="1">
      <c r="A24" s="130" t="n">
        <v>2040500</v>
      </c>
      <c r="B24" s="1" t="inlineStr">
        <is>
          <t>VOR Vooruitbetaalde verzekeringen</t>
        </is>
      </c>
      <c r="C24" s="341" t="n">
        <v>-29220.54</v>
      </c>
      <c r="D24" s="341" t="n">
        <v>87661.64</v>
      </c>
      <c r="E24" s="341" t="n">
        <v>-29220.56</v>
      </c>
      <c r="F24" s="341" t="n">
        <v>-29220.56</v>
      </c>
      <c r="G24" s="341" t="n">
        <v>86298.88</v>
      </c>
      <c r="H24" s="308">
        <f>SUM(C24:G24)</f>
        <v/>
      </c>
    </row>
    <row r="25" ht="12.75" customHeight="1">
      <c r="A25" s="130" t="inlineStr">
        <is>
          <t>2040700</t>
        </is>
      </c>
      <c r="B25" s="1" t="inlineStr">
        <is>
          <t>VOR Vooruitbetaalde servicekosten</t>
        </is>
      </c>
      <c r="C25" s="341" t="n">
        <v>-0.04999999999995453</v>
      </c>
      <c r="D25" s="341" t="n">
        <v>0</v>
      </c>
      <c r="E25" s="341" t="n">
        <v>0</v>
      </c>
      <c r="F25" s="341" t="n">
        <v>0</v>
      </c>
      <c r="G25" s="341" t="n">
        <v>0</v>
      </c>
      <c r="H25" s="290">
        <f>SUM(C25:G25)</f>
        <v/>
      </c>
    </row>
    <row r="26" ht="12.75" customHeight="1">
      <c r="A26" s="130" t="inlineStr">
        <is>
          <t>2040900</t>
        </is>
      </c>
      <c r="B26" s="1" t="inlineStr">
        <is>
          <t>VOR Vooruitbetaalde overige kosten</t>
        </is>
      </c>
      <c r="C26" s="341" t="n">
        <v>-6334.13</v>
      </c>
      <c r="D26" s="341" t="n">
        <v>-78945.78999999999</v>
      </c>
      <c r="E26" s="341" t="n">
        <v>218888.96</v>
      </c>
      <c r="F26" s="342" t="n">
        <v>-133609.04</v>
      </c>
      <c r="G26" s="341" t="n">
        <v>0</v>
      </c>
      <c r="H26" s="290">
        <f>SUM(C26:G26)</f>
        <v/>
      </c>
      <c r="I26" s="1" t="inlineStr">
        <is>
          <t>Correcties nav jaarrekening</t>
        </is>
      </c>
    </row>
    <row r="27" ht="12.75" customHeight="1">
      <c r="A27" s="1" t="inlineStr">
        <is>
          <t>Totaal overige vorderingen</t>
        </is>
      </c>
      <c r="C27" s="341" t="n">
        <v>0</v>
      </c>
      <c r="H27" s="290">
        <f>SUM(C27:F27)</f>
        <v/>
      </c>
    </row>
    <row r="28" ht="12.75" customHeight="1">
      <c r="C28" s="341" t="n">
        <v>0</v>
      </c>
      <c r="H28" s="290">
        <f>SUM(C28:F28)</f>
        <v/>
      </c>
    </row>
    <row r="29" ht="12.75" customHeight="1">
      <c r="A29" s="130" t="inlineStr">
        <is>
          <t>2300000</t>
        </is>
      </c>
      <c r="B29" s="1" t="inlineStr">
        <is>
          <t>LM Kruisposten</t>
        </is>
      </c>
      <c r="C29" s="341" t="n">
        <v>-281</v>
      </c>
      <c r="D29" s="341" t="n">
        <v>-1981.76</v>
      </c>
      <c r="E29" s="341" t="n">
        <v>1168.16</v>
      </c>
      <c r="F29" s="341" t="n">
        <v>1095.07</v>
      </c>
      <c r="G29" s="341" t="n">
        <v>1948.2</v>
      </c>
      <c r="H29" s="308">
        <f>SUM(C29:G29)</f>
        <v/>
      </c>
    </row>
    <row r="30" ht="12.75" customHeight="1">
      <c r="A30" s="130" t="inlineStr">
        <is>
          <t>2400200</t>
        </is>
      </c>
      <c r="B30" s="1" t="inlineStr">
        <is>
          <t>LM ABN AMRO Bank Disposal NL58 ABNA 0818 9180 39</t>
        </is>
      </c>
      <c r="C30" s="341" t="n">
        <v>0.17</v>
      </c>
      <c r="D30" s="344" t="n">
        <v>0.1</v>
      </c>
      <c r="E30" s="344" t="n">
        <v>276380.24</v>
      </c>
      <c r="F30" s="344" t="n">
        <v>261185.75</v>
      </c>
      <c r="G30" s="344" t="n">
        <v>-537566.26</v>
      </c>
      <c r="H30" s="308">
        <f>SUM(C30:G30)</f>
        <v/>
      </c>
    </row>
    <row r="31" ht="12.75" customHeight="1">
      <c r="A31" s="130" t="inlineStr">
        <is>
          <t>2400201</t>
        </is>
      </c>
      <c r="B31" s="1" t="inlineStr">
        <is>
          <t>LM ABN AMRO Bank Deposit NL57 ABNA 0541 6205 68</t>
        </is>
      </c>
      <c r="C31" s="341" t="n">
        <v>36644.49</v>
      </c>
      <c r="D31" s="344" t="n">
        <v>-18.48</v>
      </c>
      <c r="E31" s="344" t="n">
        <v>-633966.34</v>
      </c>
      <c r="F31" s="344" t="n">
        <v>502142.01</v>
      </c>
      <c r="G31" s="344" t="n">
        <v>96845.81</v>
      </c>
      <c r="H31" s="308">
        <f>SUM(C31:G31)</f>
        <v/>
      </c>
    </row>
    <row r="32" ht="12.75" customHeight="1">
      <c r="A32" s="130" t="inlineStr">
        <is>
          <t>2400202</t>
        </is>
      </c>
      <c r="B32" s="1" t="inlineStr">
        <is>
          <t>LM ABN AMRO Bank General NL93 ABNA 0541 6132 27</t>
        </is>
      </c>
      <c r="C32" s="341" t="n">
        <v>145642.97</v>
      </c>
      <c r="D32" s="344" t="n">
        <v>-95658.58</v>
      </c>
      <c r="E32" s="344" t="n">
        <v>-49793.26</v>
      </c>
      <c r="F32" s="344" t="n">
        <v>-12.05</v>
      </c>
      <c r="G32" s="344" t="n">
        <v>0</v>
      </c>
      <c r="H32" s="308">
        <f>SUM(C32:G32)</f>
        <v/>
      </c>
    </row>
    <row r="33" ht="12.75" customHeight="1">
      <c r="A33" s="130" t="inlineStr">
        <is>
          <t>2400203</t>
        </is>
      </c>
      <c r="B33" s="1" t="inlineStr">
        <is>
          <t>LM ABN AMRO Bank Maintres NL04 ABNA 0541 6188 06</t>
        </is>
      </c>
      <c r="C33" s="341" t="n">
        <v>25409</v>
      </c>
      <c r="D33" s="344" t="n">
        <v>17670.91</v>
      </c>
      <c r="E33" s="344" t="n">
        <v>139682.05</v>
      </c>
      <c r="F33" s="344" t="n">
        <v>-53607.74</v>
      </c>
      <c r="G33" s="344" t="n">
        <v>-109016.02</v>
      </c>
      <c r="H33" s="308">
        <f>SUM(C33:G33)</f>
        <v/>
      </c>
    </row>
    <row r="34" ht="12.75" customHeight="1">
      <c r="A34" s="130" t="inlineStr">
        <is>
          <t>2400204</t>
        </is>
      </c>
      <c r="B34" s="1" t="inlineStr">
        <is>
          <t>LM ABN AMRO Bank Rent NL46 ABNA 0541 6088 35</t>
        </is>
      </c>
      <c r="C34" s="341" t="n">
        <v>729622.5700000001</v>
      </c>
      <c r="D34" s="344" t="n">
        <v>367648.53</v>
      </c>
      <c r="E34" s="344" t="n">
        <v>323121.93</v>
      </c>
      <c r="F34" s="344" t="n">
        <v>-1298518.42</v>
      </c>
      <c r="G34" s="344" t="n">
        <v>273260.99</v>
      </c>
      <c r="H34" s="308">
        <f>SUM(C34:G34)</f>
        <v/>
      </c>
    </row>
    <row r="35" ht="12.75" customHeight="1">
      <c r="A35" s="130" t="inlineStr">
        <is>
          <t>2400205</t>
        </is>
      </c>
      <c r="B35" s="1" t="inlineStr">
        <is>
          <t>LM ABN AMRO Bank SR EXP NL88 ABNA 0541 6205 92</t>
        </is>
      </c>
      <c r="C35" s="341" t="n">
        <v>109856.5</v>
      </c>
      <c r="D35" s="344" t="n">
        <v>-105672.08</v>
      </c>
      <c r="E35" s="344" t="n">
        <v>98531.57000000001</v>
      </c>
      <c r="F35" s="344" t="n">
        <v>-5460.63</v>
      </c>
      <c r="G35" s="344" t="n">
        <v>-85043.32000000001</v>
      </c>
      <c r="H35" s="308">
        <f>SUM(C35:G35)</f>
        <v/>
      </c>
    </row>
    <row r="36" ht="12.75" customHeight="1">
      <c r="A36" s="130" t="n">
        <v>2400206</v>
      </c>
      <c r="B36" s="1" t="inlineStr">
        <is>
          <t>LM ABN AMRO Bank Capex NL11 ABNA 0114 3362 02</t>
        </is>
      </c>
      <c r="C36" s="341" t="n">
        <v>0</v>
      </c>
      <c r="D36" s="344" t="n">
        <v>0</v>
      </c>
      <c r="E36" s="344" t="n">
        <v>0</v>
      </c>
      <c r="F36" s="344" t="n">
        <v>-11.39</v>
      </c>
      <c r="G36" s="344" t="n">
        <v>-5.65</v>
      </c>
      <c r="H36" s="308">
        <f>SUM(C36:G36)</f>
        <v/>
      </c>
    </row>
    <row r="37" ht="12.75" customHeight="1">
      <c r="A37" s="1" t="inlineStr">
        <is>
          <t>Totaal Liquide middelen</t>
        </is>
      </c>
      <c r="C37" s="341" t="n">
        <v>0</v>
      </c>
      <c r="H37" s="290">
        <f>SUM(C37:F37)</f>
        <v/>
      </c>
    </row>
    <row r="38" ht="12.75" customHeight="1">
      <c r="C38" s="341" t="n">
        <v>0</v>
      </c>
      <c r="H38" s="290">
        <f>SUM(C38:F38)</f>
        <v/>
      </c>
      <c r="N38" s="243" t="n">
        <v>37939703.73</v>
      </c>
    </row>
    <row r="39" ht="12.75" customHeight="1">
      <c r="A39" s="130" t="n">
        <v>1000002</v>
      </c>
      <c r="B39" s="1" t="inlineStr">
        <is>
          <t>EV Normale aandelen Saldo</t>
        </is>
      </c>
      <c r="C39" s="341" t="n">
        <v>-1</v>
      </c>
      <c r="D39" s="341" t="n">
        <v>0</v>
      </c>
      <c r="E39" s="341" t="n">
        <v>0</v>
      </c>
      <c r="F39" s="341" t="n">
        <v>0</v>
      </c>
      <c r="G39" s="341" t="n">
        <v>0</v>
      </c>
      <c r="H39" s="308">
        <f>SUM(C39:G39)</f>
        <v/>
      </c>
      <c r="N39" s="242" t="n">
        <v>100669730.01</v>
      </c>
    </row>
    <row r="40" ht="12.75" customHeight="1">
      <c r="A40" s="130" t="n">
        <v>1100000</v>
      </c>
      <c r="B40" s="1" t="inlineStr">
        <is>
          <t>EV Agioreserve Agio aandelen</t>
        </is>
      </c>
      <c r="C40" s="341" t="n">
        <v>-18931219.48</v>
      </c>
      <c r="D40" s="341" t="n">
        <v>0</v>
      </c>
      <c r="E40" s="341" t="n">
        <v>0</v>
      </c>
      <c r="F40" s="341" t="n">
        <v>0</v>
      </c>
      <c r="G40" s="341" t="n">
        <v>0</v>
      </c>
      <c r="H40" s="308">
        <f>SUM(C40:G40)</f>
        <v/>
      </c>
    </row>
    <row r="41" ht="12.75" customHeight="1">
      <c r="A41" s="130" t="n">
        <v>1160000</v>
      </c>
      <c r="B41" s="1" t="inlineStr">
        <is>
          <t>EV Overige reserve Reserve aandelen</t>
        </is>
      </c>
      <c r="C41" s="341" t="n">
        <v>8292623.62</v>
      </c>
      <c r="D41" s="341" t="n">
        <v>0</v>
      </c>
      <c r="E41" s="341" t="n">
        <v>0</v>
      </c>
      <c r="F41" s="341" t="n">
        <v>0</v>
      </c>
      <c r="G41" s="341" t="n">
        <v>0</v>
      </c>
      <c r="H41" s="308">
        <f>SUM(C41:G41)</f>
        <v/>
      </c>
      <c r="N41" s="244">
        <f>SUM(N38:N39)</f>
        <v/>
      </c>
      <c r="P41" s="1" t="n">
        <v>138609433.74</v>
      </c>
    </row>
    <row r="42" ht="12.75" customHeight="1">
      <c r="A42" s="130" t="inlineStr">
        <is>
          <t>1160100</t>
        </is>
      </c>
      <c r="B42" s="1" t="inlineStr">
        <is>
          <t>EV Overige reserve  Dividenduitkeringen aandelen</t>
        </is>
      </c>
      <c r="C42" s="341" t="n">
        <v>0</v>
      </c>
      <c r="D42" s="341" t="n">
        <v>0</v>
      </c>
      <c r="E42" s="341" t="n">
        <v>0</v>
      </c>
      <c r="F42" s="341" t="n">
        <v>0</v>
      </c>
      <c r="G42" s="341" t="n">
        <v>0</v>
      </c>
      <c r="H42" s="290">
        <f>SUM(C42:G42)</f>
        <v/>
      </c>
      <c r="N42" s="290">
        <f>-(H45+H46)</f>
        <v/>
      </c>
    </row>
    <row r="43" ht="12.75" customHeight="1">
      <c r="A43" s="1" t="inlineStr">
        <is>
          <t>Totaal Eigen vermogen</t>
        </is>
      </c>
      <c r="C43" s="341" t="n">
        <v>0</v>
      </c>
      <c r="H43" s="290">
        <f>SUM(C43:F43)</f>
        <v/>
      </c>
      <c r="N43" s="299">
        <f>N41-N42</f>
        <v/>
      </c>
    </row>
    <row r="44" ht="12.75" customHeight="1">
      <c r="C44" s="341" t="n">
        <v>0</v>
      </c>
      <c r="H44" s="290">
        <f>SUM(C44:F44)</f>
        <v/>
      </c>
    </row>
    <row r="45" ht="12.75" customHeight="1">
      <c r="A45" s="130" t="n">
        <v>1930001</v>
      </c>
      <c r="B45" s="1" t="inlineStr">
        <is>
          <t>LLS Hoofdsom ABN AMRO Bank NV Senior Facility Agreement</t>
        </is>
      </c>
      <c r="C45" s="341" t="n">
        <v>-130000000</v>
      </c>
      <c r="D45" s="341" t="n">
        <v>0</v>
      </c>
      <c r="E45" s="341" t="n">
        <v>0</v>
      </c>
      <c r="F45" s="342" t="n">
        <v>-38320325</v>
      </c>
      <c r="G45" s="341" t="n">
        <v>0</v>
      </c>
      <c r="H45" s="308">
        <f>SUM(C45:G45)</f>
        <v/>
      </c>
      <c r="I45" s="1" t="inlineStr">
        <is>
          <t>Correcties nav jaarrekening</t>
        </is>
      </c>
      <c r="N45" s="299" t="n">
        <v>36299.81000000238</v>
      </c>
    </row>
    <row r="46" ht="12.75" customHeight="1">
      <c r="A46" s="130" t="inlineStr">
        <is>
          <t>1930101</t>
        </is>
      </c>
      <c r="B46" s="1" t="inlineStr">
        <is>
          <t>LLS Cum aflossingen ABN AMRO Bank NV Senior Facility Agreement</t>
        </is>
      </c>
      <c r="C46" s="341">
        <f>27408404.83-N45</f>
        <v/>
      </c>
      <c r="D46" s="344" t="n">
        <v>948219.98</v>
      </c>
      <c r="E46" s="344" t="n">
        <v>601183.98</v>
      </c>
      <c r="F46" s="345" t="n">
        <v>-251183.98</v>
      </c>
      <c r="G46" s="344" t="n">
        <v>1040566.26</v>
      </c>
      <c r="H46" s="308">
        <f>SUM(C46:G46)</f>
        <v/>
      </c>
      <c r="I46" s="1" t="inlineStr">
        <is>
          <t>Correcties nav jaarrekening</t>
        </is>
      </c>
    </row>
    <row r="47" ht="12.75" customHeight="1">
      <c r="A47" s="130" t="n">
        <v>1930200</v>
      </c>
      <c r="B47" s="1" t="inlineStr">
        <is>
          <t>LLS Extension fee &amp; professional fees</t>
        </is>
      </c>
      <c r="C47" s="341" t="n">
        <v>0</v>
      </c>
      <c r="D47" s="344" t="n">
        <v>0</v>
      </c>
      <c r="E47" s="344" t="n">
        <v>0</v>
      </c>
      <c r="F47" s="345" t="n">
        <v>552312.0600000001</v>
      </c>
      <c r="G47" s="344" t="n">
        <v>-29069.07</v>
      </c>
      <c r="H47" s="308">
        <f>SUM(C47:G47)</f>
        <v/>
      </c>
      <c r="I47" s="1" t="inlineStr">
        <is>
          <t>Correcties nav jaarrekening</t>
        </is>
      </c>
    </row>
    <row r="48" ht="12.75" customHeight="1">
      <c r="A48" s="1" t="inlineStr">
        <is>
          <t>Totaal Langlopende schulden</t>
        </is>
      </c>
      <c r="C48" s="341" t="n">
        <v>0</v>
      </c>
      <c r="H48" s="290">
        <f>SUM(C48:F48)</f>
        <v/>
      </c>
    </row>
    <row r="49" ht="12.75" customHeight="1">
      <c r="C49" s="341" t="n">
        <v>0</v>
      </c>
      <c r="H49" s="290">
        <f>SUM(C49:F49)</f>
        <v/>
      </c>
    </row>
    <row r="50" ht="12.75" customHeight="1">
      <c r="A50" s="130" t="inlineStr">
        <is>
          <t>2730000</t>
        </is>
      </c>
      <c r="B50" s="1" t="inlineStr">
        <is>
          <t>KLS Crediteuren</t>
        </is>
      </c>
      <c r="C50" s="341" t="n">
        <v>-568189.21</v>
      </c>
      <c r="D50" s="302" t="n">
        <v>394615.53</v>
      </c>
      <c r="E50" s="341" t="n">
        <v>-403705.29</v>
      </c>
      <c r="F50" s="342" t="n">
        <v>221244.37</v>
      </c>
      <c r="G50" s="302" t="n">
        <v>-339462.09</v>
      </c>
      <c r="H50" s="308">
        <f>SUM(C50:G50)</f>
        <v/>
      </c>
      <c r="I50" s="1" t="inlineStr">
        <is>
          <t>Correcties nav jaarrekening</t>
        </is>
      </c>
    </row>
    <row r="51" ht="12.75" customHeight="1">
      <c r="A51" s="130" t="inlineStr">
        <is>
          <t>2730001</t>
        </is>
      </c>
      <c r="B51" s="1" t="inlineStr">
        <is>
          <t>KLS Crediteuren intercompany</t>
        </is>
      </c>
      <c r="C51" s="341" t="n">
        <v>-12100</v>
      </c>
      <c r="D51" s="341" t="n">
        <v>0</v>
      </c>
      <c r="E51" s="341" t="n">
        <v>-24200</v>
      </c>
      <c r="F51" s="341" t="n">
        <v>-856680</v>
      </c>
      <c r="G51" s="341" t="n">
        <v>-12500</v>
      </c>
      <c r="H51" s="308">
        <f>SUM(C51:G51)</f>
        <v/>
      </c>
    </row>
    <row r="52" ht="12.75" customHeight="1">
      <c r="A52" s="1" t="inlineStr">
        <is>
          <t>Totaal Crediteuren</t>
        </is>
      </c>
      <c r="C52" s="341" t="n">
        <v>0</v>
      </c>
      <c r="H52" s="290">
        <f>SUM(C52:F52)</f>
        <v/>
      </c>
    </row>
    <row r="53" ht="12.75" customHeight="1">
      <c r="C53" s="341" t="n">
        <v>0</v>
      </c>
      <c r="H53" s="290">
        <f>SUM(C53:F53)</f>
        <v/>
      </c>
    </row>
    <row r="54" ht="12.75" customHeight="1">
      <c r="A54" s="130" t="inlineStr">
        <is>
          <t>2512100</t>
        </is>
      </c>
      <c r="B54" s="1" t="inlineStr">
        <is>
          <t>BEL Afgedragen/ontvangen BTW</t>
        </is>
      </c>
      <c r="C54" s="341" t="n">
        <v>-4599</v>
      </c>
      <c r="D54" s="341" t="n">
        <v>101.01</v>
      </c>
      <c r="E54" s="341" t="n">
        <v>-230.48</v>
      </c>
      <c r="F54" s="342" t="n">
        <v>-997.53</v>
      </c>
      <c r="G54" s="341" t="n">
        <v>757.23</v>
      </c>
      <c r="H54" s="308">
        <f>SUM(C54:G54)</f>
        <v/>
      </c>
      <c r="I54" s="1" t="inlineStr">
        <is>
          <t>Correcties nav jaarrekening</t>
        </is>
      </c>
    </row>
    <row r="55" ht="12.75" customHeight="1">
      <c r="A55" s="130" t="inlineStr">
        <is>
          <t>2530000</t>
        </is>
      </c>
      <c r="B55" s="1" t="inlineStr">
        <is>
          <t>BEL Te betalen vennootschapsbelasting</t>
        </is>
      </c>
      <c r="C55" s="341" t="n">
        <v>0</v>
      </c>
      <c r="D55" s="341" t="n">
        <v>0</v>
      </c>
      <c r="E55" s="341" t="n">
        <v>0</v>
      </c>
      <c r="F55" s="341" t="n">
        <v>0</v>
      </c>
      <c r="H55" s="290">
        <f>SUM(C55:F55)</f>
        <v/>
      </c>
    </row>
    <row r="56" ht="12.75" customHeight="1">
      <c r="A56" s="130" t="inlineStr">
        <is>
          <t>2550000</t>
        </is>
      </c>
      <c r="B56" s="1" t="inlineStr">
        <is>
          <t>BEL Te betalen overige belastingen</t>
        </is>
      </c>
      <c r="C56" s="341" t="n">
        <v>0</v>
      </c>
      <c r="D56" s="341" t="n">
        <v>0</v>
      </c>
      <c r="E56" s="341" t="n">
        <v>0</v>
      </c>
      <c r="F56" s="341" t="n">
        <v>0</v>
      </c>
      <c r="H56" s="290">
        <f>SUM(C56:F56)</f>
        <v/>
      </c>
    </row>
    <row r="57" ht="12.75" customHeight="1">
      <c r="A57" s="1" t="inlineStr">
        <is>
          <t>Totaal Belastingen</t>
        </is>
      </c>
      <c r="C57" s="341" t="n">
        <v>0</v>
      </c>
      <c r="H57" s="290">
        <f>SUM(C57:F57)</f>
        <v/>
      </c>
    </row>
    <row r="58" ht="12.75" customHeight="1">
      <c r="C58" s="341" t="n">
        <v>0</v>
      </c>
      <c r="H58" s="290">
        <f>SUM(C58:F58)</f>
        <v/>
      </c>
    </row>
    <row r="59" ht="12.75" customHeight="1">
      <c r="A59" s="130" t="n">
        <v>2620000</v>
      </c>
      <c r="B59" s="1" t="inlineStr">
        <is>
          <t>KLS Rekening-courant CV I</t>
        </is>
      </c>
      <c r="C59" s="341" t="n">
        <v>0</v>
      </c>
      <c r="D59" s="341" t="n">
        <v>0</v>
      </c>
      <c r="E59" s="341" t="n">
        <v>0</v>
      </c>
      <c r="F59" s="341" t="n">
        <v>-100000</v>
      </c>
      <c r="G59" s="341" t="n">
        <v>100000</v>
      </c>
      <c r="H59" s="290">
        <f>SUM(C59:G59)</f>
        <v/>
      </c>
    </row>
    <row r="60" ht="12.75" customHeight="1">
      <c r="A60" s="130" t="inlineStr">
        <is>
          <t>Totaal Rekening-courant groepsmaatschappij</t>
        </is>
      </c>
      <c r="C60" s="341" t="n">
        <v>0</v>
      </c>
    </row>
    <row r="61" ht="12.75" customHeight="1">
      <c r="C61" s="341" t="n">
        <v>0</v>
      </c>
      <c r="H61" s="290">
        <f>SUM(C61:F61)</f>
        <v/>
      </c>
    </row>
    <row r="62" ht="12.75" customHeight="1">
      <c r="A62" s="130" t="n">
        <v>2740100</v>
      </c>
      <c r="B62" s="1" t="inlineStr">
        <is>
          <t>KLS Vooruitgefactureerde huur</t>
        </is>
      </c>
      <c r="C62" s="341" t="n">
        <v>-111458.36</v>
      </c>
      <c r="D62" s="341" t="n">
        <v>-796644.01</v>
      </c>
      <c r="E62" s="341" t="n">
        <v>-105259.43</v>
      </c>
      <c r="F62" s="342" t="n">
        <v>876536.84</v>
      </c>
      <c r="G62" s="341" t="n">
        <v>-19436.43</v>
      </c>
      <c r="H62" s="308">
        <f>SUM(C62:G62)</f>
        <v/>
      </c>
      <c r="I62" s="1" t="inlineStr">
        <is>
          <t>Correcties nav jaarrekening</t>
        </is>
      </c>
    </row>
    <row r="63" ht="12.75" customHeight="1">
      <c r="A63" s="130" t="inlineStr">
        <is>
          <t>2740300</t>
        </is>
      </c>
      <c r="B63" s="1" t="inlineStr">
        <is>
          <t>KLS Te betalen waarborgsommen kortlopend</t>
        </is>
      </c>
      <c r="C63" s="341" t="n">
        <v>-816865.62</v>
      </c>
      <c r="D63" s="341" t="n">
        <v>-23268.06</v>
      </c>
      <c r="E63" s="341" t="n">
        <v>-3189.54</v>
      </c>
      <c r="F63" s="341" t="n">
        <v>-29141.32</v>
      </c>
      <c r="G63" s="341" t="n">
        <v>-34705.35</v>
      </c>
      <c r="H63" s="308">
        <f>SUM(C63:G63)</f>
        <v/>
      </c>
    </row>
    <row r="64" ht="12.75" customHeight="1">
      <c r="A64" s="130" t="n">
        <v>2740500</v>
      </c>
      <c r="B64" s="1" t="inlineStr">
        <is>
          <t>KLS Te betalen accountants- en administratiekosten</t>
        </is>
      </c>
      <c r="C64" s="341" t="n">
        <v>-22500</v>
      </c>
      <c r="D64" s="341" t="n">
        <v>0</v>
      </c>
      <c r="E64" s="341" t="n">
        <v>0</v>
      </c>
      <c r="F64" s="341" t="n">
        <v>-22500</v>
      </c>
      <c r="G64" s="341" t="n">
        <v>400.95</v>
      </c>
      <c r="H64" s="308">
        <f>SUM(C64:G64)</f>
        <v/>
      </c>
    </row>
    <row r="65" ht="12.75" customHeight="1">
      <c r="A65" s="130" t="inlineStr">
        <is>
          <t>2740600</t>
        </is>
      </c>
      <c r="B65" s="1" t="inlineStr">
        <is>
          <t>KLS Te betalen rente</t>
        </is>
      </c>
      <c r="C65" s="341" t="n">
        <v>0</v>
      </c>
      <c r="D65" s="341" t="n">
        <v>0</v>
      </c>
      <c r="E65" s="341" t="n">
        <v>0</v>
      </c>
      <c r="F65" s="341" t="n">
        <v>0</v>
      </c>
      <c r="G65" s="341" t="n">
        <v>0</v>
      </c>
      <c r="H65" s="290">
        <f>SUM(C65:G65)</f>
        <v/>
      </c>
    </row>
    <row r="66" ht="12.75" customHeight="1">
      <c r="A66" s="130" t="inlineStr">
        <is>
          <t>2740700</t>
        </is>
      </c>
      <c r="B66" s="1" t="inlineStr">
        <is>
          <t>KLS Te betalen verzekeringen</t>
        </is>
      </c>
      <c r="C66" s="341" t="n">
        <v>0</v>
      </c>
      <c r="D66" s="341" t="n">
        <v>0</v>
      </c>
      <c r="E66" s="341" t="n">
        <v>0</v>
      </c>
      <c r="F66" s="341" t="n">
        <v>0</v>
      </c>
      <c r="G66" s="341" t="n">
        <v>0</v>
      </c>
      <c r="H66" s="290">
        <f>SUM(C66:G66)</f>
        <v/>
      </c>
    </row>
    <row r="67" ht="12.75" customHeight="1">
      <c r="A67" s="130" t="inlineStr">
        <is>
          <t>2741000</t>
        </is>
      </c>
      <c r="B67" s="1" t="inlineStr">
        <is>
          <t>KLS Te betalen servicekosten</t>
        </is>
      </c>
      <c r="C67" s="341" t="n">
        <v>220793.54</v>
      </c>
      <c r="D67" s="341" t="n">
        <v>-73597.84</v>
      </c>
      <c r="E67" s="341" t="n">
        <v>-73597.86</v>
      </c>
      <c r="F67" s="342" t="n">
        <v>-76077.46000000001</v>
      </c>
      <c r="G67" s="341" t="n">
        <v>158051.77</v>
      </c>
      <c r="H67" s="308">
        <f>SUM(C67:G67)</f>
        <v/>
      </c>
      <c r="I67" s="1" t="inlineStr">
        <is>
          <t>Correcties nav jaarrekening</t>
        </is>
      </c>
    </row>
    <row r="68" ht="12.75" customHeight="1">
      <c r="A68" s="130" t="inlineStr">
        <is>
          <t>2741001</t>
        </is>
      </c>
      <c r="B68" s="1" t="inlineStr">
        <is>
          <t>KLS Te betalen exploitatiekosten</t>
        </is>
      </c>
      <c r="C68" s="341" t="n">
        <v>-0.1300000000001091</v>
      </c>
      <c r="D68" s="341" t="n">
        <v>0</v>
      </c>
      <c r="E68" s="341" t="n">
        <v>0</v>
      </c>
      <c r="F68" s="342" t="n">
        <v>-42098.85</v>
      </c>
      <c r="G68" s="341" t="n">
        <v>0</v>
      </c>
      <c r="H68" s="308">
        <f>SUM(C68:G68)</f>
        <v/>
      </c>
      <c r="I68" s="1" t="inlineStr">
        <is>
          <t>Correcties nav jaarrekening</t>
        </is>
      </c>
    </row>
    <row r="69" ht="12.75" customHeight="1">
      <c r="A69" s="130" t="inlineStr">
        <is>
          <t>2741002</t>
        </is>
      </c>
      <c r="B69" s="1" t="inlineStr">
        <is>
          <t>KLS Te betalen VVE</t>
        </is>
      </c>
      <c r="C69" s="341" t="n">
        <v>-0.3000000000000114</v>
      </c>
      <c r="D69" s="341" t="n">
        <v>0</v>
      </c>
      <c r="E69" s="341" t="n">
        <v>0</v>
      </c>
      <c r="F69" s="341" t="n">
        <v>0</v>
      </c>
      <c r="G69" s="341" t="n">
        <v>0</v>
      </c>
      <c r="H69" s="290">
        <f>SUM(C69:G69)</f>
        <v/>
      </c>
    </row>
    <row r="70" ht="12.75" customHeight="1">
      <c r="A70" s="130" t="inlineStr">
        <is>
          <t>2741004</t>
        </is>
      </c>
      <c r="B70" s="1" t="inlineStr">
        <is>
          <t>KLS Te betalen Hoen</t>
        </is>
      </c>
      <c r="C70" s="341" t="n">
        <v>-81696.63</v>
      </c>
      <c r="D70" s="341" t="n">
        <v>-123710.23</v>
      </c>
      <c r="E70" s="341" t="n">
        <v>79630.24000000001</v>
      </c>
      <c r="F70" s="342" t="n">
        <v>-126704.07</v>
      </c>
      <c r="G70" s="341" t="n">
        <v>125173.56</v>
      </c>
      <c r="H70" s="308">
        <f>SUM(C70:G70)</f>
        <v/>
      </c>
      <c r="I70" s="1" t="inlineStr">
        <is>
          <t>Correcties nav jaarrekening</t>
        </is>
      </c>
    </row>
    <row r="71" ht="12.75" customHeight="1">
      <c r="A71" s="130" t="inlineStr">
        <is>
          <t>2741005</t>
        </is>
      </c>
      <c r="B71" s="1" t="inlineStr">
        <is>
          <t>KLS Te betalen managementvergoedingen</t>
        </is>
      </c>
      <c r="C71" s="341" t="n">
        <v>0</v>
      </c>
      <c r="D71" s="341" t="n">
        <v>0</v>
      </c>
      <c r="E71" s="341" t="n">
        <v>0</v>
      </c>
      <c r="F71" s="341" t="n">
        <v>0</v>
      </c>
      <c r="G71" s="341" t="n">
        <v>0</v>
      </c>
      <c r="H71" s="290">
        <f>SUM(C71:G71)</f>
        <v/>
      </c>
    </row>
    <row r="72" ht="12.75" customHeight="1">
      <c r="A72" s="130" t="inlineStr">
        <is>
          <t>2741200</t>
        </is>
      </c>
      <c r="B72" s="1" t="inlineStr">
        <is>
          <t>KLS Te betalen agency fee</t>
        </is>
      </c>
      <c r="C72" s="341" t="n">
        <v>20000</v>
      </c>
      <c r="D72" s="341" t="n">
        <v>-20000</v>
      </c>
      <c r="E72" s="341" t="n">
        <v>20000</v>
      </c>
      <c r="F72" s="342" t="n">
        <v>10000</v>
      </c>
      <c r="H72" s="308">
        <f>SUM(C72:F72)</f>
        <v/>
      </c>
    </row>
    <row r="73" ht="12.75" customHeight="1">
      <c r="A73" s="130" t="inlineStr">
        <is>
          <t>2741900</t>
        </is>
      </c>
      <c r="B73" s="1" t="inlineStr">
        <is>
          <t>KLS Nog uit te zoeken posten MT940</t>
        </is>
      </c>
      <c r="C73" s="341" t="n">
        <v>0</v>
      </c>
      <c r="D73" s="341" t="n">
        <v>0</v>
      </c>
      <c r="E73" s="341" t="n">
        <v>0</v>
      </c>
      <c r="H73" s="290">
        <f>SUM(C73:F73)</f>
        <v/>
      </c>
    </row>
    <row r="74" ht="12.75" customHeight="1">
      <c r="A74" s="130" t="inlineStr">
        <is>
          <t>2742200</t>
        </is>
      </c>
      <c r="B74" s="1" t="inlineStr">
        <is>
          <t>KLS Vooruitontvangen bedragen</t>
        </is>
      </c>
      <c r="C74" s="341" t="n">
        <v>0</v>
      </c>
      <c r="D74" s="341" t="n">
        <v>0</v>
      </c>
      <c r="E74" s="341" t="n">
        <v>0</v>
      </c>
      <c r="H74" s="290">
        <f>SUM(C74:F74)</f>
        <v/>
      </c>
    </row>
    <row r="75" ht="12.75" customHeight="1">
      <c r="A75" s="1" t="inlineStr">
        <is>
          <t>Totaal Overige schulden</t>
        </is>
      </c>
      <c r="C75" s="341" t="n">
        <v>0</v>
      </c>
      <c r="H75" s="290">
        <f>SUM(C75:F75)</f>
        <v/>
      </c>
    </row>
    <row r="76" ht="12.75" customHeight="1">
      <c r="H76" s="290">
        <f>SUM(C76:F76)</f>
        <v/>
      </c>
    </row>
    <row r="77" ht="12.75" customHeight="1">
      <c r="H77" s="290">
        <f>SUM(C77:F77)</f>
        <v/>
      </c>
    </row>
    <row r="78" ht="12.75" customHeight="1">
      <c r="A78" s="132" t="inlineStr">
        <is>
          <t>Winst- en verliesrekening (baten zijn positief, kosten negatief)</t>
        </is>
      </c>
      <c r="H78" s="308">
        <f>SUM(C78:F78)</f>
        <v/>
      </c>
    </row>
    <row r="79" ht="12.75" customHeight="1">
      <c r="A79" s="130" t="inlineStr">
        <is>
          <t>8000003</t>
        </is>
      </c>
      <c r="B79" s="1" t="inlineStr">
        <is>
          <t>OPB Netto-omzet Theoretische huuropbrengsten</t>
        </is>
      </c>
      <c r="D79" s="341" t="n">
        <v>-2871329.16</v>
      </c>
      <c r="E79" s="341" t="n">
        <v>-2944242.41</v>
      </c>
      <c r="F79" s="341" t="n">
        <v>-2950963.19</v>
      </c>
      <c r="G79" s="341" t="n">
        <v>-2959140.94</v>
      </c>
      <c r="H79" s="308">
        <f>SUM(C79:G79)</f>
        <v/>
      </c>
    </row>
    <row r="80" ht="12.75" customHeight="1">
      <c r="A80" s="130" t="inlineStr">
        <is>
          <t>8000004</t>
        </is>
      </c>
      <c r="B80" s="1" t="inlineStr">
        <is>
          <t>OPB Netto-omzet Leegstand huuropbrengsten</t>
        </is>
      </c>
      <c r="D80" s="341" t="n">
        <v>39968.65</v>
      </c>
      <c r="E80" s="341" t="n">
        <v>55228.45</v>
      </c>
      <c r="F80" s="341" t="n">
        <v>59011.37</v>
      </c>
      <c r="G80" s="341" t="n">
        <v>55162.54</v>
      </c>
      <c r="H80" s="308">
        <f>SUM(C80:G80)</f>
        <v/>
      </c>
    </row>
    <row r="81" ht="12.75" customHeight="1">
      <c r="A81" s="1" t="inlineStr">
        <is>
          <t>Totaal Netto-omzet</t>
        </is>
      </c>
      <c r="D81" s="341">
        <f>SUM(D79:D80)</f>
        <v/>
      </c>
      <c r="E81" s="341">
        <f>SUM(E79:E80)</f>
        <v/>
      </c>
      <c r="F81" s="341">
        <f>F79+F80</f>
        <v/>
      </c>
      <c r="G81" s="347">
        <f>G79+G80</f>
        <v/>
      </c>
      <c r="H81" s="308">
        <f>SUM(C81:G81)</f>
        <v/>
      </c>
    </row>
    <row r="82" ht="12.75" customHeight="1">
      <c r="H82" s="308">
        <f>SUM(C82:G82)</f>
        <v/>
      </c>
    </row>
    <row r="83" ht="12.75" customHeight="1">
      <c r="A83" s="130" t="n">
        <v>8400400</v>
      </c>
      <c r="B83" s="1" t="inlineStr">
        <is>
          <t xml:space="preserve">OPB Overige bedrijfsopbrengsten </t>
        </is>
      </c>
      <c r="D83" s="341" t="n">
        <v>0</v>
      </c>
      <c r="H83" s="308">
        <f>SUM(C83:G83)</f>
        <v/>
      </c>
    </row>
    <row r="84" ht="12.75" customHeight="1">
      <c r="A84" s="130" t="inlineStr">
        <is>
          <t>8400600</t>
        </is>
      </c>
      <c r="B84" s="1" t="inlineStr">
        <is>
          <t>OPB Overige bedrijfsopbrengsten Totale servicekosten</t>
        </is>
      </c>
      <c r="D84" s="341" t="n">
        <v>-164598.62</v>
      </c>
      <c r="E84" s="341" t="n">
        <v>-350659.51</v>
      </c>
      <c r="F84" s="341" t="n">
        <v>-165044.02</v>
      </c>
      <c r="G84" s="341" t="n">
        <v>-165745.84</v>
      </c>
      <c r="H84" s="308">
        <f>SUM(C84:G84)</f>
        <v/>
      </c>
    </row>
    <row r="85" ht="12.75" customHeight="1">
      <c r="A85" s="130" t="inlineStr">
        <is>
          <t>8400700</t>
        </is>
      </c>
      <c r="B85" s="1" t="inlineStr">
        <is>
          <t>OPB Overige bedrijfsopbrengsten Servicekosten leegstand</t>
        </is>
      </c>
      <c r="D85" s="341" t="n">
        <v>6011.91</v>
      </c>
      <c r="E85" s="341" t="n">
        <v>7008.044</v>
      </c>
      <c r="F85" s="341" t="n">
        <v>3789.4</v>
      </c>
      <c r="G85" s="341" t="n">
        <v>9522.030000000001</v>
      </c>
      <c r="H85" s="308">
        <f>SUM(C85:G85)</f>
        <v/>
      </c>
    </row>
    <row r="86" ht="12.75" customHeight="1">
      <c r="A86" s="130" t="inlineStr">
        <is>
          <t>8400800</t>
        </is>
      </c>
      <c r="B86" s="1" t="inlineStr">
        <is>
          <t>OPB Overige bedrijfsopbrengsten Gerealiseerde servicekosten</t>
        </is>
      </c>
      <c r="D86" s="341" t="n">
        <v>195259.97</v>
      </c>
      <c r="E86" s="341" t="n">
        <v>239859.03</v>
      </c>
      <c r="F86" s="342" t="n">
        <v>220949.51</v>
      </c>
      <c r="G86" s="302" t="n">
        <v>353718.65</v>
      </c>
      <c r="H86" s="308">
        <f>SUM(C86:G86)</f>
        <v/>
      </c>
      <c r="I86" s="1" t="inlineStr">
        <is>
          <t>Correcties nav jaarrekening</t>
        </is>
      </c>
    </row>
    <row r="87" ht="12.75" customHeight="1">
      <c r="A87" s="1" t="inlineStr">
        <is>
          <t>Totaal Overige bedrijfsopbrengsten</t>
        </is>
      </c>
      <c r="D87" s="341">
        <f>SUM(D83:D86)</f>
        <v/>
      </c>
      <c r="E87" s="341">
        <f>SUM(E83:E86)</f>
        <v/>
      </c>
      <c r="F87" s="341">
        <f>SUM(F83:F86)</f>
        <v/>
      </c>
      <c r="G87" s="347">
        <f>SUM(G83:G86)</f>
        <v/>
      </c>
      <c r="H87" s="308">
        <f>SUM(C87:G87)</f>
        <v/>
      </c>
    </row>
    <row r="88" ht="12.75" customHeight="1">
      <c r="H88" s="290">
        <f>SUM(C88:G88)</f>
        <v/>
      </c>
    </row>
    <row r="89" ht="12.75" customHeight="1">
      <c r="A89" s="130" t="inlineStr">
        <is>
          <t>4051400</t>
        </is>
      </c>
      <c r="B89" s="1" t="inlineStr">
        <is>
          <t>KN Diensten door derden</t>
        </is>
      </c>
      <c r="D89" s="341" t="n">
        <v>121956.77</v>
      </c>
      <c r="E89" s="341" t="n">
        <v>124885.89</v>
      </c>
      <c r="F89" s="342" t="n">
        <v>125402.18</v>
      </c>
      <c r="G89" s="347" t="n">
        <v>126034.62</v>
      </c>
      <c r="H89" s="308">
        <f>SUM(C89:G89)</f>
        <v/>
      </c>
      <c r="I89" s="1" t="inlineStr">
        <is>
          <t>Correcties nav jaarrekening</t>
        </is>
      </c>
    </row>
    <row r="90" ht="12.75" customHeight="1">
      <c r="A90" s="1" t="inlineStr">
        <is>
          <t>Totaal overige personeelskosten</t>
        </is>
      </c>
      <c r="D90" s="341">
        <f>SUM(D89)</f>
        <v/>
      </c>
      <c r="E90" s="341">
        <f>SUM(E89)</f>
        <v/>
      </c>
      <c r="F90" s="341">
        <f>SUM(F89)</f>
        <v/>
      </c>
      <c r="G90" s="341">
        <f>SUM(G89)</f>
        <v/>
      </c>
      <c r="H90" s="290">
        <f>SUM(C90:G90)</f>
        <v/>
      </c>
    </row>
    <row r="91" ht="12.75" customHeight="1">
      <c r="H91" s="290">
        <f>SUM(C91:G91)</f>
        <v/>
      </c>
    </row>
    <row r="92" ht="12.75" customHeight="1">
      <c r="A92" s="130" t="inlineStr">
        <is>
          <t>4730000</t>
        </is>
      </c>
      <c r="B92" s="1" t="inlineStr">
        <is>
          <t>AFKN Afschrijvingskosten Vastgoedbeleggingen</t>
        </is>
      </c>
      <c r="D92" s="341" t="n">
        <v>682714</v>
      </c>
      <c r="E92" s="341" t="n">
        <v>695326</v>
      </c>
      <c r="F92" s="341" t="n">
        <v>707759</v>
      </c>
      <c r="G92" s="341">
        <f>707631+N45</f>
        <v/>
      </c>
      <c r="H92" s="290">
        <f>SUM(C92:G92)</f>
        <v/>
      </c>
    </row>
    <row r="93" ht="12.75" customHeight="1">
      <c r="A93" s="130" t="inlineStr">
        <is>
          <t>4730200</t>
        </is>
      </c>
      <c r="B93" s="1" t="inlineStr">
        <is>
          <t>AFKN Boekresultaat Vastgoedbeleggingen</t>
        </is>
      </c>
      <c r="D93" s="341" t="n">
        <v>-423958</v>
      </c>
      <c r="E93" s="341" t="n">
        <v>-544596</v>
      </c>
      <c r="F93" s="341" t="n">
        <v>-181985</v>
      </c>
      <c r="G93" s="341" t="n">
        <v>-114663</v>
      </c>
      <c r="H93" s="290">
        <f>SUM(C93:G93)</f>
        <v/>
      </c>
    </row>
    <row r="94" ht="12.75" customHeight="1">
      <c r="A94" s="1" t="inlineStr">
        <is>
          <t>Totaal Afschrijvingen vastgoedbeleggingen</t>
        </is>
      </c>
      <c r="D94" s="341">
        <f>SUM(D92:D93)</f>
        <v/>
      </c>
      <c r="E94" s="341">
        <f>SUM(E92:E93)</f>
        <v/>
      </c>
      <c r="F94" s="341">
        <f>SUM(F92:F93)</f>
        <v/>
      </c>
      <c r="G94" s="347">
        <f>SUM(G92:G93)</f>
        <v/>
      </c>
      <c r="H94" s="290">
        <f>SUM(C94:G94)</f>
        <v/>
      </c>
    </row>
    <row r="95" ht="12.75" customHeight="1">
      <c r="H95" s="290">
        <f>SUM(C95:G95)</f>
        <v/>
      </c>
    </row>
    <row r="96" ht="12.75" customHeight="1">
      <c r="A96" s="130" t="inlineStr">
        <is>
          <t>4100400</t>
        </is>
      </c>
      <c r="B96" s="1" t="inlineStr">
        <is>
          <t>KN Onderhoud gebouwen</t>
        </is>
      </c>
      <c r="D96" s="341" t="n">
        <v>230456.52</v>
      </c>
      <c r="E96" s="341" t="n">
        <v>205277.39</v>
      </c>
      <c r="F96" s="342" t="n">
        <v>324266.13</v>
      </c>
      <c r="G96" s="341" t="n">
        <v>183914.03</v>
      </c>
      <c r="H96" s="308">
        <f>SUM(C96:G96)</f>
        <v/>
      </c>
      <c r="I96" s="1" t="inlineStr">
        <is>
          <t>Correcties nav jaarrekening</t>
        </is>
      </c>
    </row>
    <row r="97" ht="12.75" customHeight="1">
      <c r="A97" s="130" t="inlineStr">
        <is>
          <t>4100410</t>
        </is>
      </c>
      <c r="B97" s="1" t="inlineStr">
        <is>
          <t>Verhuurdersheffing</t>
        </is>
      </c>
      <c r="D97" s="341" t="n">
        <v>119943.22</v>
      </c>
      <c r="E97" s="341" t="n">
        <v>119943.23</v>
      </c>
      <c r="F97" s="341" t="n">
        <v>119943.23</v>
      </c>
      <c r="G97" s="341" t="n">
        <v>0</v>
      </c>
      <c r="H97" s="308">
        <f>SUM(C97:G97)</f>
        <v/>
      </c>
    </row>
    <row r="98" ht="12.75" customHeight="1">
      <c r="A98" s="130" t="inlineStr">
        <is>
          <t>4100900</t>
        </is>
      </c>
      <c r="B98" s="1" t="inlineStr">
        <is>
          <t>KN Onroerende zaakbelasting</t>
        </is>
      </c>
      <c r="D98" s="341" t="n">
        <v>61017.04</v>
      </c>
      <c r="E98" s="341" t="n">
        <v>70988.5</v>
      </c>
      <c r="F98" s="342" t="n">
        <v>57028.11</v>
      </c>
      <c r="G98" s="341" t="n">
        <v>56855.42</v>
      </c>
      <c r="H98" s="308">
        <f>SUM(C98:G98)</f>
        <v/>
      </c>
      <c r="I98" s="1" t="inlineStr">
        <is>
          <t>Correcties nav jaarrekening</t>
        </is>
      </c>
    </row>
    <row r="99" ht="12.75" customHeight="1">
      <c r="A99" s="130" t="inlineStr">
        <is>
          <t>4101000</t>
        </is>
      </c>
      <c r="B99" s="1" t="inlineStr">
        <is>
          <t>KN VvE-kosten</t>
        </is>
      </c>
      <c r="D99" s="341" t="n">
        <v>146899.4</v>
      </c>
      <c r="E99" s="341" t="n">
        <v>135095.91</v>
      </c>
      <c r="F99" s="342" t="n">
        <v>109128.17</v>
      </c>
      <c r="G99" s="341" t="n">
        <v>146200.38</v>
      </c>
      <c r="H99" s="308">
        <f>SUM(C99:G99)</f>
        <v/>
      </c>
      <c r="I99" s="1" t="inlineStr">
        <is>
          <t>Correcties nav jaarrekening</t>
        </is>
      </c>
    </row>
    <row r="100" ht="12.75" customHeight="1">
      <c r="A100" s="130" t="inlineStr">
        <is>
          <t>4101010</t>
        </is>
      </c>
      <c r="B100" s="1" t="inlineStr">
        <is>
          <t>Gemeentelijke belastingen</t>
        </is>
      </c>
      <c r="D100" s="341" t="n">
        <v>22504.3</v>
      </c>
      <c r="E100" s="341" t="n">
        <v>26095.63</v>
      </c>
      <c r="F100" s="342" t="n">
        <v>20670.54</v>
      </c>
      <c r="G100" s="341" t="n">
        <v>95071.45</v>
      </c>
      <c r="H100" s="308">
        <f>SUM(C100:G100)</f>
        <v/>
      </c>
      <c r="I100" s="1" t="inlineStr">
        <is>
          <t>Correcties nav jaarrekening</t>
        </is>
      </c>
    </row>
    <row r="101" ht="12.75" customHeight="1">
      <c r="A101" s="130" t="inlineStr">
        <is>
          <t>4101020</t>
        </is>
      </c>
      <c r="B101" s="1" t="inlineStr">
        <is>
          <t>Waterschapsbelasting</t>
        </is>
      </c>
      <c r="D101" s="341" t="n">
        <v>24087.56</v>
      </c>
      <c r="E101" s="341" t="n">
        <v>28638.46</v>
      </c>
      <c r="F101" s="341" t="n">
        <v>15453.02</v>
      </c>
      <c r="G101" s="341" t="n">
        <v>8625.43</v>
      </c>
      <c r="H101" s="308">
        <f>SUM(C101:G101)</f>
        <v/>
      </c>
    </row>
    <row r="102" ht="12.75" customHeight="1">
      <c r="A102" s="130" t="inlineStr">
        <is>
          <t>4101300</t>
        </is>
      </c>
      <c r="B102" s="1" t="inlineStr">
        <is>
          <t>KN Servicekosten leegstand</t>
        </is>
      </c>
      <c r="D102" s="341" t="n">
        <v>0</v>
      </c>
      <c r="E102" s="341" t="n">
        <v>0</v>
      </c>
      <c r="F102" s="341" t="n">
        <v>0</v>
      </c>
      <c r="G102" s="341" t="n">
        <v>0</v>
      </c>
      <c r="H102" s="290">
        <f>SUM(C102:G102)</f>
        <v/>
      </c>
    </row>
    <row r="103" ht="12.75" customHeight="1">
      <c r="A103" s="130" t="inlineStr">
        <is>
          <t>4109800</t>
        </is>
      </c>
      <c r="B103" s="1" t="inlineStr">
        <is>
          <t>KN Overige huisvestingskosten</t>
        </is>
      </c>
      <c r="D103" s="341" t="n">
        <v>0</v>
      </c>
      <c r="E103" s="341" t="n">
        <v>0</v>
      </c>
      <c r="F103" s="341" t="n">
        <v>0</v>
      </c>
      <c r="G103" s="341" t="n">
        <v>0</v>
      </c>
      <c r="H103" s="290">
        <f>SUM(C103:G103)</f>
        <v/>
      </c>
    </row>
    <row r="104" ht="12.75" customHeight="1">
      <c r="A104" s="1" t="inlineStr">
        <is>
          <t>Totaal Huisvestingskosten</t>
        </is>
      </c>
      <c r="D104" s="341">
        <f>SUM(D96:D103)</f>
        <v/>
      </c>
      <c r="E104" s="341">
        <f>SUM(E96:E103)</f>
        <v/>
      </c>
      <c r="F104" s="341">
        <f>SUM(F96:F103)</f>
        <v/>
      </c>
      <c r="G104" s="341">
        <f>SUM(G96:G103)</f>
        <v/>
      </c>
      <c r="H104" s="290">
        <f>SUM(C104:G104)</f>
        <v/>
      </c>
    </row>
    <row r="105" ht="12.75" customHeight="1">
      <c r="H105" s="290">
        <f>SUM(C105:G105)</f>
        <v/>
      </c>
    </row>
    <row r="106" ht="12.75" customHeight="1">
      <c r="A106" s="130" t="inlineStr">
        <is>
          <t>4500400</t>
        </is>
      </c>
      <c r="B106" s="1" t="inlineStr">
        <is>
          <t>KN Representatiekosten</t>
        </is>
      </c>
      <c r="D106" s="341" t="n">
        <v>0</v>
      </c>
      <c r="E106" s="341" t="n">
        <v>0</v>
      </c>
      <c r="F106" s="341" t="n">
        <v>0</v>
      </c>
      <c r="H106" s="290">
        <f>SUM(C106:G106)</f>
        <v/>
      </c>
    </row>
    <row r="107" ht="12.75" customHeight="1">
      <c r="A107" s="130" t="inlineStr">
        <is>
          <t>4501200</t>
        </is>
      </c>
      <c r="B107" s="1" t="inlineStr">
        <is>
          <t>KN Mutatie voorziening dubieuze debiteuren</t>
        </is>
      </c>
      <c r="D107" s="341" t="n">
        <v>0</v>
      </c>
      <c r="E107" s="341" t="n">
        <v>0</v>
      </c>
      <c r="F107" s="342" t="n">
        <v>-15003.05</v>
      </c>
      <c r="H107" s="290">
        <f>SUM(C107:G107)</f>
        <v/>
      </c>
      <c r="I107" s="1" t="inlineStr">
        <is>
          <t>Correcties nav jaarrekening</t>
        </is>
      </c>
    </row>
    <row r="108" ht="12.75" customHeight="1">
      <c r="A108" s="130" t="inlineStr">
        <is>
          <t>4501300</t>
        </is>
      </c>
      <c r="B108" s="1" t="inlineStr">
        <is>
          <t>KN Afboeking dubieuze debiteuren</t>
        </is>
      </c>
      <c r="D108" s="341" t="n">
        <v>1678.58</v>
      </c>
      <c r="E108" s="341" t="n">
        <v>765.92</v>
      </c>
      <c r="F108" s="341" t="n">
        <v>-156.08</v>
      </c>
      <c r="G108" s="341" t="n">
        <v>1823.94</v>
      </c>
      <c r="H108" s="290">
        <f>SUM(C108:G108)</f>
        <v/>
      </c>
    </row>
    <row r="109" ht="12.75" customHeight="1">
      <c r="A109" s="1" t="inlineStr">
        <is>
          <t>Totaal Verkoopkosten</t>
        </is>
      </c>
      <c r="D109" s="341">
        <f>SUM(D106:D108)</f>
        <v/>
      </c>
      <c r="E109" s="341">
        <f>SUM(E106:E108)</f>
        <v/>
      </c>
      <c r="F109" s="341">
        <f>SUM(F106:F108)</f>
        <v/>
      </c>
      <c r="G109" s="341">
        <f>SUM(G106:G108)</f>
        <v/>
      </c>
      <c r="H109" s="308">
        <f>SUM(C109:G109)</f>
        <v/>
      </c>
    </row>
    <row r="110" ht="12.75" customHeight="1">
      <c r="H110" s="290">
        <f>SUM(C110:G110)</f>
        <v/>
      </c>
    </row>
    <row r="111" ht="12.75" customHeight="1">
      <c r="A111" s="130" t="inlineStr">
        <is>
          <t>4300500</t>
        </is>
      </c>
      <c r="B111" s="1" t="inlineStr">
        <is>
          <t>KN Incassokosten</t>
        </is>
      </c>
      <c r="D111" s="341" t="n">
        <v>300</v>
      </c>
      <c r="E111" s="341" t="n">
        <v>600</v>
      </c>
      <c r="F111" s="341" t="n">
        <v>0</v>
      </c>
      <c r="G111" s="341" t="n">
        <v>0</v>
      </c>
      <c r="H111" s="290">
        <f>SUM(C111:G111)</f>
        <v/>
      </c>
    </row>
    <row r="112" ht="12.75" customHeight="1">
      <c r="A112" s="1" t="inlineStr">
        <is>
          <t>Totaal Kantoorkosten</t>
        </is>
      </c>
      <c r="D112" s="341">
        <f>SUM(D111)</f>
        <v/>
      </c>
      <c r="E112" s="341">
        <f>SUM(E111)</f>
        <v/>
      </c>
      <c r="F112" s="341" t="n">
        <v>0</v>
      </c>
      <c r="G112" s="341" t="n">
        <v>0</v>
      </c>
      <c r="H112" s="308">
        <f>SUM(C112:G112)</f>
        <v/>
      </c>
    </row>
    <row r="113" ht="12.75" customHeight="1">
      <c r="H113" s="290">
        <f>SUM(C113:G113)</f>
        <v/>
      </c>
    </row>
    <row r="114" ht="12.75" customHeight="1">
      <c r="A114" s="130" t="inlineStr">
        <is>
          <t>4310000</t>
        </is>
      </c>
      <c r="B114" s="1" t="inlineStr">
        <is>
          <t>KN Abonnementen en contributies</t>
        </is>
      </c>
      <c r="D114" s="341" t="n">
        <v>0</v>
      </c>
      <c r="E114" s="341" t="n">
        <v>0</v>
      </c>
      <c r="F114" s="341" t="n">
        <v>0</v>
      </c>
      <c r="G114" s="341" t="n">
        <v>0</v>
      </c>
      <c r="H114" s="290">
        <f>SUM(C114:G114)</f>
        <v/>
      </c>
    </row>
    <row r="115" ht="12.75" customHeight="1">
      <c r="A115" s="130" t="inlineStr">
        <is>
          <t>4310400</t>
        </is>
      </c>
      <c r="B115" s="1" t="inlineStr">
        <is>
          <t>KN Assurantiepremie algemeen</t>
        </is>
      </c>
      <c r="D115" s="341" t="n">
        <v>29220.54</v>
      </c>
      <c r="E115" s="341" t="n">
        <v>29220.56</v>
      </c>
      <c r="F115" s="341" t="n">
        <v>27618.03</v>
      </c>
      <c r="G115" s="341" t="n">
        <v>29190.65</v>
      </c>
      <c r="H115" s="308">
        <f>SUM(C115:G115)</f>
        <v/>
      </c>
    </row>
    <row r="116" ht="12.75" customHeight="1">
      <c r="A116" s="130" t="inlineStr">
        <is>
          <t>4310500</t>
        </is>
      </c>
      <c r="B116" s="1" t="inlineStr">
        <is>
          <t>KN Managementvergoeding</t>
        </is>
      </c>
      <c r="D116" s="341" t="n">
        <v>1815</v>
      </c>
      <c r="E116" s="341" t="n">
        <v>1815</v>
      </c>
      <c r="F116" s="341" t="n">
        <v>1815</v>
      </c>
      <c r="G116" s="347" t="n">
        <v>1500</v>
      </c>
      <c r="H116" s="308">
        <f>SUM(C116:G116)</f>
        <v/>
      </c>
    </row>
    <row r="117" ht="12.75" customHeight="1">
      <c r="A117" s="130" t="inlineStr">
        <is>
          <t>4310600</t>
        </is>
      </c>
      <c r="B117" s="1" t="inlineStr">
        <is>
          <t>KN Accountantskosten</t>
        </is>
      </c>
      <c r="D117" s="341" t="n">
        <v>17202.63</v>
      </c>
      <c r="E117" s="341" t="n">
        <v>25189.79</v>
      </c>
      <c r="F117" s="342" t="n">
        <v>48042.38</v>
      </c>
      <c r="G117" s="341" t="n">
        <v>5734.87</v>
      </c>
      <c r="H117" s="308">
        <f>SUM(C117:G117)</f>
        <v/>
      </c>
      <c r="I117" s="1" t="inlineStr">
        <is>
          <t>Correcties nav jaarrekening</t>
        </is>
      </c>
    </row>
    <row r="118" ht="12.75" customHeight="1">
      <c r="A118" s="130" t="inlineStr">
        <is>
          <t>4310700</t>
        </is>
      </c>
      <c r="B118" s="1" t="inlineStr">
        <is>
          <t>KN Administratiekosten</t>
        </is>
      </c>
      <c r="D118" s="341" t="n">
        <v>2420</v>
      </c>
      <c r="E118" s="341" t="n">
        <v>1210</v>
      </c>
      <c r="F118" s="341" t="n">
        <v>1210</v>
      </c>
      <c r="G118" s="341" t="n">
        <v>1331</v>
      </c>
      <c r="H118" s="308">
        <f>SUM(C118:G118)</f>
        <v/>
      </c>
    </row>
    <row r="119" ht="12.75" customHeight="1">
      <c r="A119" s="130" t="inlineStr">
        <is>
          <t>4310800</t>
        </is>
      </c>
      <c r="B119" s="1" t="inlineStr">
        <is>
          <t>KN Makelaarskosten</t>
        </is>
      </c>
      <c r="D119" s="341" t="n">
        <v>56676.4</v>
      </c>
      <c r="E119" s="341" t="n">
        <v>51142.69</v>
      </c>
      <c r="F119" s="341" t="n">
        <v>61678.68</v>
      </c>
      <c r="G119" s="341" t="n">
        <v>0</v>
      </c>
      <c r="H119" s="308">
        <f>SUM(C119:G119)</f>
        <v/>
      </c>
    </row>
    <row r="120" ht="12.75" customHeight="1">
      <c r="A120" s="130" t="n">
        <v>4310800</v>
      </c>
      <c r="B120" s="1" t="inlineStr">
        <is>
          <t>KN Notariskosten</t>
        </is>
      </c>
      <c r="D120" s="341" t="n">
        <v>0</v>
      </c>
      <c r="E120" s="341" t="n">
        <v>0</v>
      </c>
      <c r="F120" s="341" t="n">
        <v>0</v>
      </c>
      <c r="G120" s="341" t="n">
        <v>39350.7</v>
      </c>
      <c r="H120" s="308">
        <f>SUM(C120:G120)</f>
        <v/>
      </c>
    </row>
    <row r="121" ht="12.75" customHeight="1">
      <c r="A121" s="130" t="inlineStr">
        <is>
          <t>4311000</t>
        </is>
      </c>
      <c r="B121" s="1" t="inlineStr">
        <is>
          <t>KN Juridische kosten</t>
        </is>
      </c>
      <c r="D121" s="341" t="n">
        <v>11908.13</v>
      </c>
      <c r="E121" s="341" t="n">
        <v>36615.64</v>
      </c>
      <c r="F121" s="342" t="n">
        <v>87957.23</v>
      </c>
      <c r="G121" s="341" t="n">
        <v>23990.48</v>
      </c>
      <c r="H121" s="308">
        <f>SUM(C121:G121)</f>
        <v/>
      </c>
      <c r="I121" s="1" t="inlineStr">
        <is>
          <t>Correcties nav jaarrekening</t>
        </is>
      </c>
    </row>
    <row r="122" ht="12.75" customHeight="1">
      <c r="A122" s="130" t="inlineStr">
        <is>
          <t>4311800</t>
        </is>
      </c>
      <c r="B122" s="1" t="inlineStr">
        <is>
          <t>KN Advieskosten</t>
        </is>
      </c>
      <c r="D122" s="341" t="n">
        <v>10587.5</v>
      </c>
      <c r="E122" s="341" t="n">
        <v>24200</v>
      </c>
      <c r="F122" s="341" t="n">
        <v>856680</v>
      </c>
      <c r="G122" s="341" t="n">
        <v>11000</v>
      </c>
      <c r="H122" s="308">
        <f>SUM(C122:G122)</f>
        <v/>
      </c>
    </row>
    <row r="123" ht="12" customHeight="1">
      <c r="A123" s="130" t="inlineStr">
        <is>
          <t>4311900</t>
        </is>
      </c>
      <c r="B123" s="1" t="inlineStr">
        <is>
          <t>KN Bankkosten</t>
        </is>
      </c>
      <c r="D123" s="341" t="n">
        <v>3987.94</v>
      </c>
      <c r="E123" s="341" t="n">
        <v>3190.89</v>
      </c>
      <c r="F123" s="342" t="n">
        <v>259667.54</v>
      </c>
      <c r="G123" s="341" t="n">
        <v>33232.36</v>
      </c>
      <c r="H123" s="308">
        <f>SUM(C123:G123)</f>
        <v/>
      </c>
      <c r="I123" s="1" t="inlineStr">
        <is>
          <t>Correcties nav jaarrekening</t>
        </is>
      </c>
    </row>
    <row r="124" ht="12.75" customHeight="1">
      <c r="A124" s="130" t="inlineStr">
        <is>
          <t>4312600</t>
        </is>
      </c>
      <c r="B124" s="1" t="inlineStr">
        <is>
          <t>KN Agent Fee facility</t>
        </is>
      </c>
      <c r="D124" s="341" t="n">
        <v>20000</v>
      </c>
      <c r="E124" s="341" t="n">
        <v>20000</v>
      </c>
      <c r="F124" s="342" t="n">
        <v>0</v>
      </c>
      <c r="G124" s="341" t="n">
        <v>0</v>
      </c>
      <c r="H124" s="308">
        <f>SUM(C124:G124)</f>
        <v/>
      </c>
    </row>
    <row r="125" ht="12.75" customHeight="1">
      <c r="A125" s="130" t="inlineStr">
        <is>
          <t>4319800</t>
        </is>
      </c>
      <c r="B125" s="1" t="inlineStr">
        <is>
          <t>KN Overige algemene kosten</t>
        </is>
      </c>
      <c r="D125" s="341" t="n">
        <v>1290.22</v>
      </c>
      <c r="E125" s="341" t="n">
        <v>1920.61</v>
      </c>
      <c r="F125" s="342" t="n">
        <v>-9967.809999999999</v>
      </c>
      <c r="G125" s="341" t="n">
        <v>1908.15</v>
      </c>
      <c r="H125" s="308">
        <f>SUM(C125:G125)</f>
        <v/>
      </c>
      <c r="I125" s="1" t="inlineStr">
        <is>
          <t>Correcties nav jaarrekening</t>
        </is>
      </c>
    </row>
    <row r="126" ht="12.75" customHeight="1">
      <c r="A126" s="1" t="inlineStr">
        <is>
          <t>Totaal Algemene kosten</t>
        </is>
      </c>
      <c r="D126" s="341">
        <f>SUM(D114:D125)</f>
        <v/>
      </c>
      <c r="E126" s="341">
        <f>SUM(E114:E125)</f>
        <v/>
      </c>
      <c r="F126" s="341">
        <f>SUM(F114:F125)</f>
        <v/>
      </c>
      <c r="G126" s="341">
        <f>SUM(G114:G125)</f>
        <v/>
      </c>
      <c r="H126" s="290">
        <f>SUM(C126:G126)</f>
        <v/>
      </c>
    </row>
    <row r="127" ht="12.75" customHeight="1">
      <c r="H127" s="290">
        <f>SUM(C127:G127)</f>
        <v/>
      </c>
    </row>
    <row r="128" ht="12.75" customHeight="1">
      <c r="A128" s="130" t="n">
        <v>4620200</v>
      </c>
      <c r="B128" s="1" t="inlineStr">
        <is>
          <t>FINBL Rente ABN AMRO Bank</t>
        </is>
      </c>
      <c r="D128" s="341" t="n">
        <v>0</v>
      </c>
      <c r="E128" s="341" t="n">
        <v>0</v>
      </c>
      <c r="F128" s="342" t="n">
        <v>0.12</v>
      </c>
      <c r="G128" s="341" t="n">
        <v>29.09</v>
      </c>
      <c r="H128" s="290">
        <f>SUM(C128:G128)</f>
        <v/>
      </c>
      <c r="I128" s="1" t="inlineStr">
        <is>
          <t>Correcties nav jaarrekening</t>
        </is>
      </c>
    </row>
    <row r="129" ht="12.75" customHeight="1">
      <c r="A129" s="130" t="inlineStr">
        <is>
          <t>4623001</t>
        </is>
      </c>
      <c r="B129" s="1" t="inlineStr">
        <is>
          <t>FINBL Rente ABN AMRO Bank NV Senior Facility Agreement</t>
        </is>
      </c>
      <c r="D129" s="341" t="n">
        <v>401959.7</v>
      </c>
      <c r="E129" s="341" t="n">
        <v>402764.5</v>
      </c>
      <c r="F129" s="341" t="n">
        <v>1046415.29</v>
      </c>
      <c r="G129" s="341" t="n">
        <v>1389702.3</v>
      </c>
      <c r="H129" s="290">
        <f>SUM(C129:G129)</f>
        <v/>
      </c>
    </row>
    <row r="130" ht="12.75" customHeight="1">
      <c r="A130" s="130" t="n">
        <v>4611000</v>
      </c>
      <c r="B130" s="1" t="inlineStr">
        <is>
          <t>FINBL Rente RC DMRRP INV - I BV</t>
        </is>
      </c>
      <c r="D130" s="341" t="n">
        <v>0</v>
      </c>
      <c r="E130" s="341" t="n">
        <v>0</v>
      </c>
      <c r="F130" s="342" t="n">
        <v>-28672</v>
      </c>
      <c r="G130" s="341" t="n">
        <v>0</v>
      </c>
      <c r="H130" s="290">
        <f>SUM(C130:G130)</f>
        <v/>
      </c>
      <c r="I130" s="1" t="inlineStr">
        <is>
          <t>Correcties nav jaarrekening</t>
        </is>
      </c>
    </row>
    <row r="131" ht="12.75" customHeight="1">
      <c r="A131" s="130" t="n">
        <v>4630000</v>
      </c>
      <c r="B131" s="1" t="inlineStr">
        <is>
          <t>FINBL Rente belastingen</t>
        </is>
      </c>
      <c r="D131" s="341" t="n">
        <v>0</v>
      </c>
      <c r="E131" s="341" t="n">
        <v>0</v>
      </c>
      <c r="F131" s="341" t="n">
        <v>0</v>
      </c>
      <c r="H131" s="290">
        <f>SUM(C131:G131)</f>
        <v/>
      </c>
    </row>
    <row r="132" ht="12.75" customHeight="1">
      <c r="A132" s="130" t="n">
        <v>4663000</v>
      </c>
      <c r="B132" s="1" t="inlineStr">
        <is>
          <t>FINBL Rente vord DMRRP INV - I BV</t>
        </is>
      </c>
      <c r="D132" s="341" t="n">
        <v>0</v>
      </c>
      <c r="E132" s="341" t="n">
        <v>0</v>
      </c>
      <c r="F132" s="341" t="n">
        <v>-288865</v>
      </c>
      <c r="G132" s="341" t="n">
        <v>-380384.59</v>
      </c>
      <c r="H132" s="290">
        <f>SUM(C132:G132)</f>
        <v/>
      </c>
    </row>
    <row r="133" ht="12.75" customHeight="1">
      <c r="A133" s="130" t="inlineStr">
        <is>
          <t>4643000</t>
        </is>
      </c>
      <c r="B133" s="1" t="inlineStr">
        <is>
          <t>FINBL Overige rentelasten</t>
        </is>
      </c>
      <c r="D133" s="341" t="n">
        <v>100452.6</v>
      </c>
      <c r="E133" s="341" t="n">
        <v>100805.57</v>
      </c>
      <c r="F133" s="342" t="n">
        <v>39866.69</v>
      </c>
      <c r="G133" s="341" t="n">
        <v>-208809.65</v>
      </c>
      <c r="H133" s="290">
        <f>SUM(C133:G133)</f>
        <v/>
      </c>
      <c r="I133" s="1" t="inlineStr">
        <is>
          <t>Correcties nav jaarrekening</t>
        </is>
      </c>
    </row>
    <row r="134" ht="12.75" customHeight="1">
      <c r="A134" s="130" t="n">
        <v>4642000</v>
      </c>
      <c r="B134" s="1" t="inlineStr">
        <is>
          <t>FINBL overige rentebaten</t>
        </is>
      </c>
      <c r="D134" s="341" t="n">
        <v>0</v>
      </c>
      <c r="E134" s="341" t="n">
        <v>0</v>
      </c>
      <c r="F134" s="341" t="n">
        <v>0</v>
      </c>
      <c r="G134" s="341" t="n">
        <v>0</v>
      </c>
      <c r="H134" s="290">
        <f>SUM(C134:G134)</f>
        <v/>
      </c>
    </row>
    <row r="135" ht="12.75" customHeight="1">
      <c r="A135" s="130" t="inlineStr">
        <is>
          <t>Totaal Financiële baten en lasten</t>
        </is>
      </c>
      <c r="D135" s="341">
        <f>SUM(D129:D134)</f>
        <v/>
      </c>
      <c r="E135" s="341">
        <f>SUM(E129:E134)</f>
        <v/>
      </c>
      <c r="F135" s="341">
        <f>SUM(F128:F134)</f>
        <v/>
      </c>
      <c r="G135" s="341">
        <f>SUM(G128:G134)</f>
        <v/>
      </c>
      <c r="H135" s="290">
        <f>SUM(C135:G135)</f>
        <v/>
      </c>
    </row>
    <row r="136" ht="12.75" customHeight="1">
      <c r="H136" s="290">
        <f>SUM(C136:G136)</f>
        <v/>
      </c>
    </row>
    <row r="137" ht="12.75" customHeight="1">
      <c r="A137" s="130" t="n">
        <v>9500000</v>
      </c>
      <c r="B137" s="1" t="inlineStr">
        <is>
          <t>VPB Vennootschapsbelasting VPB Huidg jaar</t>
        </is>
      </c>
      <c r="D137" s="341" t="n">
        <v>0</v>
      </c>
      <c r="E137" s="341" t="n">
        <v>0</v>
      </c>
      <c r="F137" s="341" t="n">
        <v>1877813</v>
      </c>
      <c r="G137" s="341" t="n">
        <v>0</v>
      </c>
      <c r="H137" s="290">
        <f>SUM(C137:G137)</f>
        <v/>
      </c>
    </row>
    <row r="138" ht="12.75" customHeight="1">
      <c r="A138" s="130" t="inlineStr">
        <is>
          <t>9510000</t>
        </is>
      </c>
      <c r="B138" s="1" t="inlineStr">
        <is>
          <t>VPB Mutatie belastinglatentie Mutatie actieve latentie</t>
        </is>
      </c>
      <c r="D138" s="341" t="n">
        <v>-121126</v>
      </c>
      <c r="E138" s="341" t="n">
        <v>-165568</v>
      </c>
      <c r="F138" s="342" t="n">
        <v>-285289</v>
      </c>
      <c r="G138" s="341" t="n">
        <v>-181734</v>
      </c>
      <c r="H138" s="290">
        <f>SUM(C138:G138)</f>
        <v/>
      </c>
      <c r="I138" s="1" t="inlineStr">
        <is>
          <t>Correcties nav jaarrekening</t>
        </is>
      </c>
    </row>
    <row r="139" ht="12.75" customHeight="1">
      <c r="A139" s="130" t="n">
        <v>9500100</v>
      </c>
      <c r="B139" s="1" t="inlineStr">
        <is>
          <t>VPB Vennootschapsbelasting VPB voorgaande jaren</t>
        </is>
      </c>
      <c r="D139" s="341" t="n">
        <v>0</v>
      </c>
      <c r="E139" s="341" t="n">
        <v>0</v>
      </c>
      <c r="F139" s="341" t="n">
        <v>0</v>
      </c>
      <c r="H139" s="290">
        <f>SUM(C139:G139)</f>
        <v/>
      </c>
    </row>
    <row r="140" ht="12.75" customHeight="1">
      <c r="A140" s="130" t="inlineStr">
        <is>
          <t>Totaal vennootschapsbelasting</t>
        </is>
      </c>
      <c r="C140" s="302" t="n"/>
      <c r="D140" s="302">
        <f>SUM(D137:D138)-2</f>
        <v/>
      </c>
      <c r="E140" s="302">
        <f>SUM(E137:E139)</f>
        <v/>
      </c>
      <c r="F140" s="302">
        <f>SUM(F137:F139)</f>
        <v/>
      </c>
      <c r="G140" s="302">
        <f>SUM(G137:G139)</f>
        <v/>
      </c>
      <c r="H140" s="290">
        <f>SUM(C140:G140)</f>
        <v/>
      </c>
    </row>
    <row r="141" ht="12.75" customHeight="1">
      <c r="H141" s="290">
        <f>SUM(C141:F141)</f>
        <v/>
      </c>
    </row>
    <row r="142" ht="12.75" customHeight="1">
      <c r="A142" s="1" t="inlineStr">
        <is>
          <t>Resultaat na belasting</t>
        </is>
      </c>
      <c r="D142" s="341">
        <f>D81+D87+D90+D94+D104+D109+D112+D126+D135+D140</f>
        <v/>
      </c>
      <c r="E142" s="341">
        <f>E81+E87+E90+E94+E104+E109+E112+E126+E135+E140</f>
        <v/>
      </c>
      <c r="F142" s="341">
        <f>F81+F87+F90+F94+F104+F109+F112+F126+F135+F140</f>
        <v/>
      </c>
      <c r="G142" s="341">
        <f>G81+G87+G90+G94+G104+G109+G112+G126+G135+G140</f>
        <v/>
      </c>
      <c r="H142" s="341">
        <f>H81+H87+H90+H94+H104+H109+H112+H126+H135+H140</f>
        <v/>
      </c>
    </row>
    <row r="144" ht="12.75" customHeight="1">
      <c r="C144" s="346" t="n"/>
      <c r="D144" s="346">
        <f>SUM(D4:D75)+D142</f>
        <v/>
      </c>
      <c r="E144" s="346">
        <f>SUM(E4:E75)+E142</f>
        <v/>
      </c>
      <c r="F144" s="346">
        <f>SUM(F4:F75)+F142</f>
        <v/>
      </c>
      <c r="G144" s="346">
        <f>SUM(G4:G75)+G142</f>
        <v/>
      </c>
      <c r="H144" s="290">
        <f>SUM(C144:G144)</f>
        <v/>
      </c>
    </row>
    <row r="147" ht="12.75" customHeight="1">
      <c r="H147" s="348">
        <f>SUM(H4:H75)</f>
        <v/>
      </c>
    </row>
    <row r="148" ht="12.75" customHeight="1">
      <c r="H148" s="348">
        <f>H147+H142</f>
        <v/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54"/>
  <sheetViews>
    <sheetView topLeftCell="A85" zoomScale="115" zoomScaleNormal="115" workbookViewId="0">
      <pane xSplit="2" topLeftCell="C1" activePane="topRight" state="frozen"/>
      <selection pane="topRight" activeCell="A126" sqref="A126"/>
    </sheetView>
  </sheetViews>
  <sheetFormatPr baseColWidth="8" defaultRowHeight="12.75" customHeight="1"/>
  <cols>
    <col width="21.109375" bestFit="1" customWidth="1" style="130" min="1" max="1"/>
    <col width="70" bestFit="1" customWidth="1" style="1" min="2" max="2"/>
    <col width="24.5546875" bestFit="1" customWidth="1" style="341" min="3" max="3"/>
    <col width="22.5546875" customWidth="1" style="341" min="4" max="4"/>
    <col width="22.44140625" customWidth="1" style="341" min="5" max="7"/>
    <col width="19.44140625" bestFit="1" customWidth="1" style="290" min="8" max="8"/>
    <col width="9.109375" customWidth="1" style="1" min="9" max="9"/>
    <col width="13.5546875" bestFit="1" customWidth="1" style="1" min="10" max="10"/>
    <col width="9.109375" customWidth="1" style="1" min="11" max="256"/>
    <col width="21.109375" bestFit="1" customWidth="1" style="1" min="257" max="257"/>
    <col width="70" bestFit="1" customWidth="1" style="1" min="258" max="258"/>
    <col width="24.5546875" bestFit="1" customWidth="1" style="1" min="259" max="259"/>
    <col width="22.5546875" customWidth="1" style="1" min="260" max="260"/>
    <col width="22.44140625" customWidth="1" style="1" min="261" max="263"/>
    <col width="19.44140625" bestFit="1" customWidth="1" style="1" min="264" max="264"/>
    <col width="9.109375" customWidth="1" style="1" min="265" max="512"/>
    <col width="21.109375" bestFit="1" customWidth="1" style="1" min="513" max="513"/>
    <col width="70" bestFit="1" customWidth="1" style="1" min="514" max="514"/>
    <col width="24.5546875" bestFit="1" customWidth="1" style="1" min="515" max="515"/>
    <col width="22.5546875" customWidth="1" style="1" min="516" max="516"/>
    <col width="22.44140625" customWidth="1" style="1" min="517" max="519"/>
    <col width="19.44140625" bestFit="1" customWidth="1" style="1" min="520" max="520"/>
    <col width="9.109375" customWidth="1" style="1" min="521" max="768"/>
    <col width="21.109375" bestFit="1" customWidth="1" style="1" min="769" max="769"/>
    <col width="70" bestFit="1" customWidth="1" style="1" min="770" max="770"/>
    <col width="24.5546875" bestFit="1" customWidth="1" style="1" min="771" max="771"/>
    <col width="22.5546875" customWidth="1" style="1" min="772" max="772"/>
    <col width="22.44140625" customWidth="1" style="1" min="773" max="775"/>
    <col width="19.44140625" bestFit="1" customWidth="1" style="1" min="776" max="776"/>
    <col width="9.109375" customWidth="1" style="1" min="777" max="1024"/>
    <col width="21.109375" bestFit="1" customWidth="1" style="1" min="1025" max="1025"/>
    <col width="70" bestFit="1" customWidth="1" style="1" min="1026" max="1026"/>
    <col width="24.5546875" bestFit="1" customWidth="1" style="1" min="1027" max="1027"/>
    <col width="22.5546875" customWidth="1" style="1" min="1028" max="1028"/>
    <col width="22.44140625" customWidth="1" style="1" min="1029" max="1031"/>
    <col width="19.44140625" bestFit="1" customWidth="1" style="1" min="1032" max="1032"/>
    <col width="9.109375" customWidth="1" style="1" min="1033" max="1280"/>
    <col width="21.109375" bestFit="1" customWidth="1" style="1" min="1281" max="1281"/>
    <col width="70" bestFit="1" customWidth="1" style="1" min="1282" max="1282"/>
    <col width="24.5546875" bestFit="1" customWidth="1" style="1" min="1283" max="1283"/>
    <col width="22.5546875" customWidth="1" style="1" min="1284" max="1284"/>
    <col width="22.44140625" customWidth="1" style="1" min="1285" max="1287"/>
    <col width="19.44140625" bestFit="1" customWidth="1" style="1" min="1288" max="1288"/>
    <col width="9.109375" customWidth="1" style="1" min="1289" max="1536"/>
    <col width="21.109375" bestFit="1" customWidth="1" style="1" min="1537" max="1537"/>
    <col width="70" bestFit="1" customWidth="1" style="1" min="1538" max="1538"/>
    <col width="24.5546875" bestFit="1" customWidth="1" style="1" min="1539" max="1539"/>
    <col width="22.5546875" customWidth="1" style="1" min="1540" max="1540"/>
    <col width="22.44140625" customWidth="1" style="1" min="1541" max="1543"/>
    <col width="19.44140625" bestFit="1" customWidth="1" style="1" min="1544" max="1544"/>
    <col width="9.109375" customWidth="1" style="1" min="1545" max="1792"/>
    <col width="21.109375" bestFit="1" customWidth="1" style="1" min="1793" max="1793"/>
    <col width="70" bestFit="1" customWidth="1" style="1" min="1794" max="1794"/>
    <col width="24.5546875" bestFit="1" customWidth="1" style="1" min="1795" max="1795"/>
    <col width="22.5546875" customWidth="1" style="1" min="1796" max="1796"/>
    <col width="22.44140625" customWidth="1" style="1" min="1797" max="1799"/>
    <col width="19.44140625" bestFit="1" customWidth="1" style="1" min="1800" max="1800"/>
    <col width="9.109375" customWidth="1" style="1" min="1801" max="2048"/>
    <col width="21.109375" bestFit="1" customWidth="1" style="1" min="2049" max="2049"/>
    <col width="70" bestFit="1" customWidth="1" style="1" min="2050" max="2050"/>
    <col width="24.5546875" bestFit="1" customWidth="1" style="1" min="2051" max="2051"/>
    <col width="22.5546875" customWidth="1" style="1" min="2052" max="2052"/>
    <col width="22.44140625" customWidth="1" style="1" min="2053" max="2055"/>
    <col width="19.44140625" bestFit="1" customWidth="1" style="1" min="2056" max="2056"/>
    <col width="9.109375" customWidth="1" style="1" min="2057" max="2304"/>
    <col width="21.109375" bestFit="1" customWidth="1" style="1" min="2305" max="2305"/>
    <col width="70" bestFit="1" customWidth="1" style="1" min="2306" max="2306"/>
    <col width="24.5546875" bestFit="1" customWidth="1" style="1" min="2307" max="2307"/>
    <col width="22.5546875" customWidth="1" style="1" min="2308" max="2308"/>
    <col width="22.44140625" customWidth="1" style="1" min="2309" max="2311"/>
    <col width="19.44140625" bestFit="1" customWidth="1" style="1" min="2312" max="2312"/>
    <col width="9.109375" customWidth="1" style="1" min="2313" max="2560"/>
    <col width="21.109375" bestFit="1" customWidth="1" style="1" min="2561" max="2561"/>
    <col width="70" bestFit="1" customWidth="1" style="1" min="2562" max="2562"/>
    <col width="24.5546875" bestFit="1" customWidth="1" style="1" min="2563" max="2563"/>
    <col width="22.5546875" customWidth="1" style="1" min="2564" max="2564"/>
    <col width="22.44140625" customWidth="1" style="1" min="2565" max="2567"/>
    <col width="19.44140625" bestFit="1" customWidth="1" style="1" min="2568" max="2568"/>
    <col width="9.109375" customWidth="1" style="1" min="2569" max="2816"/>
    <col width="21.109375" bestFit="1" customWidth="1" style="1" min="2817" max="2817"/>
    <col width="70" bestFit="1" customWidth="1" style="1" min="2818" max="2818"/>
    <col width="24.5546875" bestFit="1" customWidth="1" style="1" min="2819" max="2819"/>
    <col width="22.5546875" customWidth="1" style="1" min="2820" max="2820"/>
    <col width="22.44140625" customWidth="1" style="1" min="2821" max="2823"/>
    <col width="19.44140625" bestFit="1" customWidth="1" style="1" min="2824" max="2824"/>
    <col width="9.109375" customWidth="1" style="1" min="2825" max="3072"/>
    <col width="21.109375" bestFit="1" customWidth="1" style="1" min="3073" max="3073"/>
    <col width="70" bestFit="1" customWidth="1" style="1" min="3074" max="3074"/>
    <col width="24.5546875" bestFit="1" customWidth="1" style="1" min="3075" max="3075"/>
    <col width="22.5546875" customWidth="1" style="1" min="3076" max="3076"/>
    <col width="22.44140625" customWidth="1" style="1" min="3077" max="3079"/>
    <col width="19.44140625" bestFit="1" customWidth="1" style="1" min="3080" max="3080"/>
    <col width="9.109375" customWidth="1" style="1" min="3081" max="3328"/>
    <col width="21.109375" bestFit="1" customWidth="1" style="1" min="3329" max="3329"/>
    <col width="70" bestFit="1" customWidth="1" style="1" min="3330" max="3330"/>
    <col width="24.5546875" bestFit="1" customWidth="1" style="1" min="3331" max="3331"/>
    <col width="22.5546875" customWidth="1" style="1" min="3332" max="3332"/>
    <col width="22.44140625" customWidth="1" style="1" min="3333" max="3335"/>
    <col width="19.44140625" bestFit="1" customWidth="1" style="1" min="3336" max="3336"/>
    <col width="9.109375" customWidth="1" style="1" min="3337" max="3584"/>
    <col width="21.109375" bestFit="1" customWidth="1" style="1" min="3585" max="3585"/>
    <col width="70" bestFit="1" customWidth="1" style="1" min="3586" max="3586"/>
    <col width="24.5546875" bestFit="1" customWidth="1" style="1" min="3587" max="3587"/>
    <col width="22.5546875" customWidth="1" style="1" min="3588" max="3588"/>
    <col width="22.44140625" customWidth="1" style="1" min="3589" max="3591"/>
    <col width="19.44140625" bestFit="1" customWidth="1" style="1" min="3592" max="3592"/>
    <col width="9.109375" customWidth="1" style="1" min="3593" max="3840"/>
    <col width="21.109375" bestFit="1" customWidth="1" style="1" min="3841" max="3841"/>
    <col width="70" bestFit="1" customWidth="1" style="1" min="3842" max="3842"/>
    <col width="24.5546875" bestFit="1" customWidth="1" style="1" min="3843" max="3843"/>
    <col width="22.5546875" customWidth="1" style="1" min="3844" max="3844"/>
    <col width="22.44140625" customWidth="1" style="1" min="3845" max="3847"/>
    <col width="19.44140625" bestFit="1" customWidth="1" style="1" min="3848" max="3848"/>
    <col width="9.109375" customWidth="1" style="1" min="3849" max="4096"/>
    <col width="21.109375" bestFit="1" customWidth="1" style="1" min="4097" max="4097"/>
    <col width="70" bestFit="1" customWidth="1" style="1" min="4098" max="4098"/>
    <col width="24.5546875" bestFit="1" customWidth="1" style="1" min="4099" max="4099"/>
    <col width="22.5546875" customWidth="1" style="1" min="4100" max="4100"/>
    <col width="22.44140625" customWidth="1" style="1" min="4101" max="4103"/>
    <col width="19.44140625" bestFit="1" customWidth="1" style="1" min="4104" max="4104"/>
    <col width="9.109375" customWidth="1" style="1" min="4105" max="4352"/>
    <col width="21.109375" bestFit="1" customWidth="1" style="1" min="4353" max="4353"/>
    <col width="70" bestFit="1" customWidth="1" style="1" min="4354" max="4354"/>
    <col width="24.5546875" bestFit="1" customWidth="1" style="1" min="4355" max="4355"/>
    <col width="22.5546875" customWidth="1" style="1" min="4356" max="4356"/>
    <col width="22.44140625" customWidth="1" style="1" min="4357" max="4359"/>
    <col width="19.44140625" bestFit="1" customWidth="1" style="1" min="4360" max="4360"/>
    <col width="9.109375" customWidth="1" style="1" min="4361" max="4608"/>
    <col width="21.109375" bestFit="1" customWidth="1" style="1" min="4609" max="4609"/>
    <col width="70" bestFit="1" customWidth="1" style="1" min="4610" max="4610"/>
    <col width="24.5546875" bestFit="1" customWidth="1" style="1" min="4611" max="4611"/>
    <col width="22.5546875" customWidth="1" style="1" min="4612" max="4612"/>
    <col width="22.44140625" customWidth="1" style="1" min="4613" max="4615"/>
    <col width="19.44140625" bestFit="1" customWidth="1" style="1" min="4616" max="4616"/>
    <col width="9.109375" customWidth="1" style="1" min="4617" max="4864"/>
    <col width="21.109375" bestFit="1" customWidth="1" style="1" min="4865" max="4865"/>
    <col width="70" bestFit="1" customWidth="1" style="1" min="4866" max="4866"/>
    <col width="24.5546875" bestFit="1" customWidth="1" style="1" min="4867" max="4867"/>
    <col width="22.5546875" customWidth="1" style="1" min="4868" max="4868"/>
    <col width="22.44140625" customWidth="1" style="1" min="4869" max="4871"/>
    <col width="19.44140625" bestFit="1" customWidth="1" style="1" min="4872" max="4872"/>
    <col width="9.109375" customWidth="1" style="1" min="4873" max="5120"/>
    <col width="21.109375" bestFit="1" customWidth="1" style="1" min="5121" max="5121"/>
    <col width="70" bestFit="1" customWidth="1" style="1" min="5122" max="5122"/>
    <col width="24.5546875" bestFit="1" customWidth="1" style="1" min="5123" max="5123"/>
    <col width="22.5546875" customWidth="1" style="1" min="5124" max="5124"/>
    <col width="22.44140625" customWidth="1" style="1" min="5125" max="5127"/>
    <col width="19.44140625" bestFit="1" customWidth="1" style="1" min="5128" max="5128"/>
    <col width="9.109375" customWidth="1" style="1" min="5129" max="5376"/>
    <col width="21.109375" bestFit="1" customWidth="1" style="1" min="5377" max="5377"/>
    <col width="70" bestFit="1" customWidth="1" style="1" min="5378" max="5378"/>
    <col width="24.5546875" bestFit="1" customWidth="1" style="1" min="5379" max="5379"/>
    <col width="22.5546875" customWidth="1" style="1" min="5380" max="5380"/>
    <col width="22.44140625" customWidth="1" style="1" min="5381" max="5383"/>
    <col width="19.44140625" bestFit="1" customWidth="1" style="1" min="5384" max="5384"/>
    <col width="9.109375" customWidth="1" style="1" min="5385" max="5632"/>
    <col width="21.109375" bestFit="1" customWidth="1" style="1" min="5633" max="5633"/>
    <col width="70" bestFit="1" customWidth="1" style="1" min="5634" max="5634"/>
    <col width="24.5546875" bestFit="1" customWidth="1" style="1" min="5635" max="5635"/>
    <col width="22.5546875" customWidth="1" style="1" min="5636" max="5636"/>
    <col width="22.44140625" customWidth="1" style="1" min="5637" max="5639"/>
    <col width="19.44140625" bestFit="1" customWidth="1" style="1" min="5640" max="5640"/>
    <col width="9.109375" customWidth="1" style="1" min="5641" max="5888"/>
    <col width="21.109375" bestFit="1" customWidth="1" style="1" min="5889" max="5889"/>
    <col width="70" bestFit="1" customWidth="1" style="1" min="5890" max="5890"/>
    <col width="24.5546875" bestFit="1" customWidth="1" style="1" min="5891" max="5891"/>
    <col width="22.5546875" customWidth="1" style="1" min="5892" max="5892"/>
    <col width="22.44140625" customWidth="1" style="1" min="5893" max="5895"/>
    <col width="19.44140625" bestFit="1" customWidth="1" style="1" min="5896" max="5896"/>
    <col width="9.109375" customWidth="1" style="1" min="5897" max="6144"/>
    <col width="21.109375" bestFit="1" customWidth="1" style="1" min="6145" max="6145"/>
    <col width="70" bestFit="1" customWidth="1" style="1" min="6146" max="6146"/>
    <col width="24.5546875" bestFit="1" customWidth="1" style="1" min="6147" max="6147"/>
    <col width="22.5546875" customWidth="1" style="1" min="6148" max="6148"/>
    <col width="22.44140625" customWidth="1" style="1" min="6149" max="6151"/>
    <col width="19.44140625" bestFit="1" customWidth="1" style="1" min="6152" max="6152"/>
    <col width="9.109375" customWidth="1" style="1" min="6153" max="6400"/>
    <col width="21.109375" bestFit="1" customWidth="1" style="1" min="6401" max="6401"/>
    <col width="70" bestFit="1" customWidth="1" style="1" min="6402" max="6402"/>
    <col width="24.5546875" bestFit="1" customWidth="1" style="1" min="6403" max="6403"/>
    <col width="22.5546875" customWidth="1" style="1" min="6404" max="6404"/>
    <col width="22.44140625" customWidth="1" style="1" min="6405" max="6407"/>
    <col width="19.44140625" bestFit="1" customWidth="1" style="1" min="6408" max="6408"/>
    <col width="9.109375" customWidth="1" style="1" min="6409" max="6656"/>
    <col width="21.109375" bestFit="1" customWidth="1" style="1" min="6657" max="6657"/>
    <col width="70" bestFit="1" customWidth="1" style="1" min="6658" max="6658"/>
    <col width="24.5546875" bestFit="1" customWidth="1" style="1" min="6659" max="6659"/>
    <col width="22.5546875" customWidth="1" style="1" min="6660" max="6660"/>
    <col width="22.44140625" customWidth="1" style="1" min="6661" max="6663"/>
    <col width="19.44140625" bestFit="1" customWidth="1" style="1" min="6664" max="6664"/>
    <col width="9.109375" customWidth="1" style="1" min="6665" max="6912"/>
    <col width="21.109375" bestFit="1" customWidth="1" style="1" min="6913" max="6913"/>
    <col width="70" bestFit="1" customWidth="1" style="1" min="6914" max="6914"/>
    <col width="24.5546875" bestFit="1" customWidth="1" style="1" min="6915" max="6915"/>
    <col width="22.5546875" customWidth="1" style="1" min="6916" max="6916"/>
    <col width="22.44140625" customWidth="1" style="1" min="6917" max="6919"/>
    <col width="19.44140625" bestFit="1" customWidth="1" style="1" min="6920" max="6920"/>
    <col width="9.109375" customWidth="1" style="1" min="6921" max="7168"/>
    <col width="21.109375" bestFit="1" customWidth="1" style="1" min="7169" max="7169"/>
    <col width="70" bestFit="1" customWidth="1" style="1" min="7170" max="7170"/>
    <col width="24.5546875" bestFit="1" customWidth="1" style="1" min="7171" max="7171"/>
    <col width="22.5546875" customWidth="1" style="1" min="7172" max="7172"/>
    <col width="22.44140625" customWidth="1" style="1" min="7173" max="7175"/>
    <col width="19.44140625" bestFit="1" customWidth="1" style="1" min="7176" max="7176"/>
    <col width="9.109375" customWidth="1" style="1" min="7177" max="7424"/>
    <col width="21.109375" bestFit="1" customWidth="1" style="1" min="7425" max="7425"/>
    <col width="70" bestFit="1" customWidth="1" style="1" min="7426" max="7426"/>
    <col width="24.5546875" bestFit="1" customWidth="1" style="1" min="7427" max="7427"/>
    <col width="22.5546875" customWidth="1" style="1" min="7428" max="7428"/>
    <col width="22.44140625" customWidth="1" style="1" min="7429" max="7431"/>
    <col width="19.44140625" bestFit="1" customWidth="1" style="1" min="7432" max="7432"/>
    <col width="9.109375" customWidth="1" style="1" min="7433" max="7680"/>
    <col width="21.109375" bestFit="1" customWidth="1" style="1" min="7681" max="7681"/>
    <col width="70" bestFit="1" customWidth="1" style="1" min="7682" max="7682"/>
    <col width="24.5546875" bestFit="1" customWidth="1" style="1" min="7683" max="7683"/>
    <col width="22.5546875" customWidth="1" style="1" min="7684" max="7684"/>
    <col width="22.44140625" customWidth="1" style="1" min="7685" max="7687"/>
    <col width="19.44140625" bestFit="1" customWidth="1" style="1" min="7688" max="7688"/>
    <col width="9.109375" customWidth="1" style="1" min="7689" max="7936"/>
    <col width="21.109375" bestFit="1" customWidth="1" style="1" min="7937" max="7937"/>
    <col width="70" bestFit="1" customWidth="1" style="1" min="7938" max="7938"/>
    <col width="24.5546875" bestFit="1" customWidth="1" style="1" min="7939" max="7939"/>
    <col width="22.5546875" customWidth="1" style="1" min="7940" max="7940"/>
    <col width="22.44140625" customWidth="1" style="1" min="7941" max="7943"/>
    <col width="19.44140625" bestFit="1" customWidth="1" style="1" min="7944" max="7944"/>
    <col width="9.109375" customWidth="1" style="1" min="7945" max="8192"/>
    <col width="21.109375" bestFit="1" customWidth="1" style="1" min="8193" max="8193"/>
    <col width="70" bestFit="1" customWidth="1" style="1" min="8194" max="8194"/>
    <col width="24.5546875" bestFit="1" customWidth="1" style="1" min="8195" max="8195"/>
    <col width="22.5546875" customWidth="1" style="1" min="8196" max="8196"/>
    <col width="22.44140625" customWidth="1" style="1" min="8197" max="8199"/>
    <col width="19.44140625" bestFit="1" customWidth="1" style="1" min="8200" max="8200"/>
    <col width="9.109375" customWidth="1" style="1" min="8201" max="8448"/>
    <col width="21.109375" bestFit="1" customWidth="1" style="1" min="8449" max="8449"/>
    <col width="70" bestFit="1" customWidth="1" style="1" min="8450" max="8450"/>
    <col width="24.5546875" bestFit="1" customWidth="1" style="1" min="8451" max="8451"/>
    <col width="22.5546875" customWidth="1" style="1" min="8452" max="8452"/>
    <col width="22.44140625" customWidth="1" style="1" min="8453" max="8455"/>
    <col width="19.44140625" bestFit="1" customWidth="1" style="1" min="8456" max="8456"/>
    <col width="9.109375" customWidth="1" style="1" min="8457" max="8704"/>
    <col width="21.109375" bestFit="1" customWidth="1" style="1" min="8705" max="8705"/>
    <col width="70" bestFit="1" customWidth="1" style="1" min="8706" max="8706"/>
    <col width="24.5546875" bestFit="1" customWidth="1" style="1" min="8707" max="8707"/>
    <col width="22.5546875" customWidth="1" style="1" min="8708" max="8708"/>
    <col width="22.44140625" customWidth="1" style="1" min="8709" max="8711"/>
    <col width="19.44140625" bestFit="1" customWidth="1" style="1" min="8712" max="8712"/>
    <col width="9.109375" customWidth="1" style="1" min="8713" max="8960"/>
    <col width="21.109375" bestFit="1" customWidth="1" style="1" min="8961" max="8961"/>
    <col width="70" bestFit="1" customWidth="1" style="1" min="8962" max="8962"/>
    <col width="24.5546875" bestFit="1" customWidth="1" style="1" min="8963" max="8963"/>
    <col width="22.5546875" customWidth="1" style="1" min="8964" max="8964"/>
    <col width="22.44140625" customWidth="1" style="1" min="8965" max="8967"/>
    <col width="19.44140625" bestFit="1" customWidth="1" style="1" min="8968" max="8968"/>
    <col width="9.109375" customWidth="1" style="1" min="8969" max="9216"/>
    <col width="21.109375" bestFit="1" customWidth="1" style="1" min="9217" max="9217"/>
    <col width="70" bestFit="1" customWidth="1" style="1" min="9218" max="9218"/>
    <col width="24.5546875" bestFit="1" customWidth="1" style="1" min="9219" max="9219"/>
    <col width="22.5546875" customWidth="1" style="1" min="9220" max="9220"/>
    <col width="22.44140625" customWidth="1" style="1" min="9221" max="9223"/>
    <col width="19.44140625" bestFit="1" customWidth="1" style="1" min="9224" max="9224"/>
    <col width="9.109375" customWidth="1" style="1" min="9225" max="9472"/>
    <col width="21.109375" bestFit="1" customWidth="1" style="1" min="9473" max="9473"/>
    <col width="70" bestFit="1" customWidth="1" style="1" min="9474" max="9474"/>
    <col width="24.5546875" bestFit="1" customWidth="1" style="1" min="9475" max="9475"/>
    <col width="22.5546875" customWidth="1" style="1" min="9476" max="9476"/>
    <col width="22.44140625" customWidth="1" style="1" min="9477" max="9479"/>
    <col width="19.44140625" bestFit="1" customWidth="1" style="1" min="9480" max="9480"/>
    <col width="9.109375" customWidth="1" style="1" min="9481" max="9728"/>
    <col width="21.109375" bestFit="1" customWidth="1" style="1" min="9729" max="9729"/>
    <col width="70" bestFit="1" customWidth="1" style="1" min="9730" max="9730"/>
    <col width="24.5546875" bestFit="1" customWidth="1" style="1" min="9731" max="9731"/>
    <col width="22.5546875" customWidth="1" style="1" min="9732" max="9732"/>
    <col width="22.44140625" customWidth="1" style="1" min="9733" max="9735"/>
    <col width="19.44140625" bestFit="1" customWidth="1" style="1" min="9736" max="9736"/>
    <col width="9.109375" customWidth="1" style="1" min="9737" max="9984"/>
    <col width="21.109375" bestFit="1" customWidth="1" style="1" min="9985" max="9985"/>
    <col width="70" bestFit="1" customWidth="1" style="1" min="9986" max="9986"/>
    <col width="24.5546875" bestFit="1" customWidth="1" style="1" min="9987" max="9987"/>
    <col width="22.5546875" customWidth="1" style="1" min="9988" max="9988"/>
    <col width="22.44140625" customWidth="1" style="1" min="9989" max="9991"/>
    <col width="19.44140625" bestFit="1" customWidth="1" style="1" min="9992" max="9992"/>
    <col width="9.109375" customWidth="1" style="1" min="9993" max="10240"/>
    <col width="21.109375" bestFit="1" customWidth="1" style="1" min="10241" max="10241"/>
    <col width="70" bestFit="1" customWidth="1" style="1" min="10242" max="10242"/>
    <col width="24.5546875" bestFit="1" customWidth="1" style="1" min="10243" max="10243"/>
    <col width="22.5546875" customWidth="1" style="1" min="10244" max="10244"/>
    <col width="22.44140625" customWidth="1" style="1" min="10245" max="10247"/>
    <col width="19.44140625" bestFit="1" customWidth="1" style="1" min="10248" max="10248"/>
    <col width="9.109375" customWidth="1" style="1" min="10249" max="10496"/>
    <col width="21.109375" bestFit="1" customWidth="1" style="1" min="10497" max="10497"/>
    <col width="70" bestFit="1" customWidth="1" style="1" min="10498" max="10498"/>
    <col width="24.5546875" bestFit="1" customWidth="1" style="1" min="10499" max="10499"/>
    <col width="22.5546875" customWidth="1" style="1" min="10500" max="10500"/>
    <col width="22.44140625" customWidth="1" style="1" min="10501" max="10503"/>
    <col width="19.44140625" bestFit="1" customWidth="1" style="1" min="10504" max="10504"/>
    <col width="9.109375" customWidth="1" style="1" min="10505" max="10752"/>
    <col width="21.109375" bestFit="1" customWidth="1" style="1" min="10753" max="10753"/>
    <col width="70" bestFit="1" customWidth="1" style="1" min="10754" max="10754"/>
    <col width="24.5546875" bestFit="1" customWidth="1" style="1" min="10755" max="10755"/>
    <col width="22.5546875" customWidth="1" style="1" min="10756" max="10756"/>
    <col width="22.44140625" customWidth="1" style="1" min="10757" max="10759"/>
    <col width="19.44140625" bestFit="1" customWidth="1" style="1" min="10760" max="10760"/>
    <col width="9.109375" customWidth="1" style="1" min="10761" max="11008"/>
    <col width="21.109375" bestFit="1" customWidth="1" style="1" min="11009" max="11009"/>
    <col width="70" bestFit="1" customWidth="1" style="1" min="11010" max="11010"/>
    <col width="24.5546875" bestFit="1" customWidth="1" style="1" min="11011" max="11011"/>
    <col width="22.5546875" customWidth="1" style="1" min="11012" max="11012"/>
    <col width="22.44140625" customWidth="1" style="1" min="11013" max="11015"/>
    <col width="19.44140625" bestFit="1" customWidth="1" style="1" min="11016" max="11016"/>
    <col width="9.109375" customWidth="1" style="1" min="11017" max="11264"/>
    <col width="21.109375" bestFit="1" customWidth="1" style="1" min="11265" max="11265"/>
    <col width="70" bestFit="1" customWidth="1" style="1" min="11266" max="11266"/>
    <col width="24.5546875" bestFit="1" customWidth="1" style="1" min="11267" max="11267"/>
    <col width="22.5546875" customWidth="1" style="1" min="11268" max="11268"/>
    <col width="22.44140625" customWidth="1" style="1" min="11269" max="11271"/>
    <col width="19.44140625" bestFit="1" customWidth="1" style="1" min="11272" max="11272"/>
    <col width="9.109375" customWidth="1" style="1" min="11273" max="11520"/>
    <col width="21.109375" bestFit="1" customWidth="1" style="1" min="11521" max="11521"/>
    <col width="70" bestFit="1" customWidth="1" style="1" min="11522" max="11522"/>
    <col width="24.5546875" bestFit="1" customWidth="1" style="1" min="11523" max="11523"/>
    <col width="22.5546875" customWidth="1" style="1" min="11524" max="11524"/>
    <col width="22.44140625" customWidth="1" style="1" min="11525" max="11527"/>
    <col width="19.44140625" bestFit="1" customWidth="1" style="1" min="11528" max="11528"/>
    <col width="9.109375" customWidth="1" style="1" min="11529" max="11776"/>
    <col width="21.109375" bestFit="1" customWidth="1" style="1" min="11777" max="11777"/>
    <col width="70" bestFit="1" customWidth="1" style="1" min="11778" max="11778"/>
    <col width="24.5546875" bestFit="1" customWidth="1" style="1" min="11779" max="11779"/>
    <col width="22.5546875" customWidth="1" style="1" min="11780" max="11780"/>
    <col width="22.44140625" customWidth="1" style="1" min="11781" max="11783"/>
    <col width="19.44140625" bestFit="1" customWidth="1" style="1" min="11784" max="11784"/>
    <col width="9.109375" customWidth="1" style="1" min="11785" max="12032"/>
    <col width="21.109375" bestFit="1" customWidth="1" style="1" min="12033" max="12033"/>
    <col width="70" bestFit="1" customWidth="1" style="1" min="12034" max="12034"/>
    <col width="24.5546875" bestFit="1" customWidth="1" style="1" min="12035" max="12035"/>
    <col width="22.5546875" customWidth="1" style="1" min="12036" max="12036"/>
    <col width="22.44140625" customWidth="1" style="1" min="12037" max="12039"/>
    <col width="19.44140625" bestFit="1" customWidth="1" style="1" min="12040" max="12040"/>
    <col width="9.109375" customWidth="1" style="1" min="12041" max="12288"/>
    <col width="21.109375" bestFit="1" customWidth="1" style="1" min="12289" max="12289"/>
    <col width="70" bestFit="1" customWidth="1" style="1" min="12290" max="12290"/>
    <col width="24.5546875" bestFit="1" customWidth="1" style="1" min="12291" max="12291"/>
    <col width="22.5546875" customWidth="1" style="1" min="12292" max="12292"/>
    <col width="22.44140625" customWidth="1" style="1" min="12293" max="12295"/>
    <col width="19.44140625" bestFit="1" customWidth="1" style="1" min="12296" max="12296"/>
    <col width="9.109375" customWidth="1" style="1" min="12297" max="12544"/>
    <col width="21.109375" bestFit="1" customWidth="1" style="1" min="12545" max="12545"/>
    <col width="70" bestFit="1" customWidth="1" style="1" min="12546" max="12546"/>
    <col width="24.5546875" bestFit="1" customWidth="1" style="1" min="12547" max="12547"/>
    <col width="22.5546875" customWidth="1" style="1" min="12548" max="12548"/>
    <col width="22.44140625" customWidth="1" style="1" min="12549" max="12551"/>
    <col width="19.44140625" bestFit="1" customWidth="1" style="1" min="12552" max="12552"/>
    <col width="9.109375" customWidth="1" style="1" min="12553" max="12800"/>
    <col width="21.109375" bestFit="1" customWidth="1" style="1" min="12801" max="12801"/>
    <col width="70" bestFit="1" customWidth="1" style="1" min="12802" max="12802"/>
    <col width="24.5546875" bestFit="1" customWidth="1" style="1" min="12803" max="12803"/>
    <col width="22.5546875" customWidth="1" style="1" min="12804" max="12804"/>
    <col width="22.44140625" customWidth="1" style="1" min="12805" max="12807"/>
    <col width="19.44140625" bestFit="1" customWidth="1" style="1" min="12808" max="12808"/>
    <col width="9.109375" customWidth="1" style="1" min="12809" max="13056"/>
    <col width="21.109375" bestFit="1" customWidth="1" style="1" min="13057" max="13057"/>
    <col width="70" bestFit="1" customWidth="1" style="1" min="13058" max="13058"/>
    <col width="24.5546875" bestFit="1" customWidth="1" style="1" min="13059" max="13059"/>
    <col width="22.5546875" customWidth="1" style="1" min="13060" max="13060"/>
    <col width="22.44140625" customWidth="1" style="1" min="13061" max="13063"/>
    <col width="19.44140625" bestFit="1" customWidth="1" style="1" min="13064" max="13064"/>
    <col width="9.109375" customWidth="1" style="1" min="13065" max="13312"/>
    <col width="21.109375" bestFit="1" customWidth="1" style="1" min="13313" max="13313"/>
    <col width="70" bestFit="1" customWidth="1" style="1" min="13314" max="13314"/>
    <col width="24.5546875" bestFit="1" customWidth="1" style="1" min="13315" max="13315"/>
    <col width="22.5546875" customWidth="1" style="1" min="13316" max="13316"/>
    <col width="22.44140625" customWidth="1" style="1" min="13317" max="13319"/>
    <col width="19.44140625" bestFit="1" customWidth="1" style="1" min="13320" max="13320"/>
    <col width="9.109375" customWidth="1" style="1" min="13321" max="13568"/>
    <col width="21.109375" bestFit="1" customWidth="1" style="1" min="13569" max="13569"/>
    <col width="70" bestFit="1" customWidth="1" style="1" min="13570" max="13570"/>
    <col width="24.5546875" bestFit="1" customWidth="1" style="1" min="13571" max="13571"/>
    <col width="22.5546875" customWidth="1" style="1" min="13572" max="13572"/>
    <col width="22.44140625" customWidth="1" style="1" min="13573" max="13575"/>
    <col width="19.44140625" bestFit="1" customWidth="1" style="1" min="13576" max="13576"/>
    <col width="9.109375" customWidth="1" style="1" min="13577" max="13824"/>
    <col width="21.109375" bestFit="1" customWidth="1" style="1" min="13825" max="13825"/>
    <col width="70" bestFit="1" customWidth="1" style="1" min="13826" max="13826"/>
    <col width="24.5546875" bestFit="1" customWidth="1" style="1" min="13827" max="13827"/>
    <col width="22.5546875" customWidth="1" style="1" min="13828" max="13828"/>
    <col width="22.44140625" customWidth="1" style="1" min="13829" max="13831"/>
    <col width="19.44140625" bestFit="1" customWidth="1" style="1" min="13832" max="13832"/>
    <col width="9.109375" customWidth="1" style="1" min="13833" max="14080"/>
    <col width="21.109375" bestFit="1" customWidth="1" style="1" min="14081" max="14081"/>
    <col width="70" bestFit="1" customWidth="1" style="1" min="14082" max="14082"/>
    <col width="24.5546875" bestFit="1" customWidth="1" style="1" min="14083" max="14083"/>
    <col width="22.5546875" customWidth="1" style="1" min="14084" max="14084"/>
    <col width="22.44140625" customWidth="1" style="1" min="14085" max="14087"/>
    <col width="19.44140625" bestFit="1" customWidth="1" style="1" min="14088" max="14088"/>
    <col width="9.109375" customWidth="1" style="1" min="14089" max="14336"/>
    <col width="21.109375" bestFit="1" customWidth="1" style="1" min="14337" max="14337"/>
    <col width="70" bestFit="1" customWidth="1" style="1" min="14338" max="14338"/>
    <col width="24.5546875" bestFit="1" customWidth="1" style="1" min="14339" max="14339"/>
    <col width="22.5546875" customWidth="1" style="1" min="14340" max="14340"/>
    <col width="22.44140625" customWidth="1" style="1" min="14341" max="14343"/>
    <col width="19.44140625" bestFit="1" customWidth="1" style="1" min="14344" max="14344"/>
    <col width="9.109375" customWidth="1" style="1" min="14345" max="14592"/>
    <col width="21.109375" bestFit="1" customWidth="1" style="1" min="14593" max="14593"/>
    <col width="70" bestFit="1" customWidth="1" style="1" min="14594" max="14594"/>
    <col width="24.5546875" bestFit="1" customWidth="1" style="1" min="14595" max="14595"/>
    <col width="22.5546875" customWidth="1" style="1" min="14596" max="14596"/>
    <col width="22.44140625" customWidth="1" style="1" min="14597" max="14599"/>
    <col width="19.44140625" bestFit="1" customWidth="1" style="1" min="14600" max="14600"/>
    <col width="9.109375" customWidth="1" style="1" min="14601" max="14848"/>
    <col width="21.109375" bestFit="1" customWidth="1" style="1" min="14849" max="14849"/>
    <col width="70" bestFit="1" customWidth="1" style="1" min="14850" max="14850"/>
    <col width="24.5546875" bestFit="1" customWidth="1" style="1" min="14851" max="14851"/>
    <col width="22.5546875" customWidth="1" style="1" min="14852" max="14852"/>
    <col width="22.44140625" customWidth="1" style="1" min="14853" max="14855"/>
    <col width="19.44140625" bestFit="1" customWidth="1" style="1" min="14856" max="14856"/>
    <col width="9.109375" customWidth="1" style="1" min="14857" max="15104"/>
    <col width="21.109375" bestFit="1" customWidth="1" style="1" min="15105" max="15105"/>
    <col width="70" bestFit="1" customWidth="1" style="1" min="15106" max="15106"/>
    <col width="24.5546875" bestFit="1" customWidth="1" style="1" min="15107" max="15107"/>
    <col width="22.5546875" customWidth="1" style="1" min="15108" max="15108"/>
    <col width="22.44140625" customWidth="1" style="1" min="15109" max="15111"/>
    <col width="19.44140625" bestFit="1" customWidth="1" style="1" min="15112" max="15112"/>
    <col width="9.109375" customWidth="1" style="1" min="15113" max="15360"/>
    <col width="21.109375" bestFit="1" customWidth="1" style="1" min="15361" max="15361"/>
    <col width="70" bestFit="1" customWidth="1" style="1" min="15362" max="15362"/>
    <col width="24.5546875" bestFit="1" customWidth="1" style="1" min="15363" max="15363"/>
    <col width="22.5546875" customWidth="1" style="1" min="15364" max="15364"/>
    <col width="22.44140625" customWidth="1" style="1" min="15365" max="15367"/>
    <col width="19.44140625" bestFit="1" customWidth="1" style="1" min="15368" max="15368"/>
    <col width="9.109375" customWidth="1" style="1" min="15369" max="15616"/>
    <col width="21.109375" bestFit="1" customWidth="1" style="1" min="15617" max="15617"/>
    <col width="70" bestFit="1" customWidth="1" style="1" min="15618" max="15618"/>
    <col width="24.5546875" bestFit="1" customWidth="1" style="1" min="15619" max="15619"/>
    <col width="22.5546875" customWidth="1" style="1" min="15620" max="15620"/>
    <col width="22.44140625" customWidth="1" style="1" min="15621" max="15623"/>
    <col width="19.44140625" bestFit="1" customWidth="1" style="1" min="15624" max="15624"/>
    <col width="9.109375" customWidth="1" style="1" min="15625" max="15872"/>
    <col width="21.109375" bestFit="1" customWidth="1" style="1" min="15873" max="15873"/>
    <col width="70" bestFit="1" customWidth="1" style="1" min="15874" max="15874"/>
    <col width="24.5546875" bestFit="1" customWidth="1" style="1" min="15875" max="15875"/>
    <col width="22.5546875" customWidth="1" style="1" min="15876" max="15876"/>
    <col width="22.44140625" customWidth="1" style="1" min="15877" max="15879"/>
    <col width="19.44140625" bestFit="1" customWidth="1" style="1" min="15880" max="15880"/>
    <col width="9.109375" customWidth="1" style="1" min="15881" max="16128"/>
    <col width="21.109375" bestFit="1" customWidth="1" style="1" min="16129" max="16129"/>
    <col width="70" bestFit="1" customWidth="1" style="1" min="16130" max="16130"/>
    <col width="24.5546875" bestFit="1" customWidth="1" style="1" min="16131" max="16131"/>
    <col width="22.5546875" customWidth="1" style="1" min="16132" max="16132"/>
    <col width="22.44140625" customWidth="1" style="1" min="16133" max="16135"/>
    <col width="19.44140625" bestFit="1" customWidth="1" style="1" min="16136" max="16136"/>
    <col width="9.109375" customWidth="1" style="1" min="16137" max="16384"/>
  </cols>
  <sheetData>
    <row r="1" ht="12.75" customHeight="1">
      <c r="C1" s="302" t="inlineStr">
        <is>
          <t>Eindbalans per 30-06-2022</t>
        </is>
      </c>
      <c r="D1" s="302" t="inlineStr">
        <is>
          <t>Mutaties Q3 2022</t>
        </is>
      </c>
      <c r="E1" s="302" t="inlineStr">
        <is>
          <t>Mutaties Q4 2022</t>
        </is>
      </c>
      <c r="F1" s="302" t="inlineStr">
        <is>
          <t>Mutaties Q1 2023</t>
        </is>
      </c>
      <c r="G1" s="302" t="inlineStr">
        <is>
          <t>Mutaties Q2 2023</t>
        </is>
      </c>
      <c r="H1" s="290" t="inlineStr">
        <is>
          <t>Saldi per 30-06-2023</t>
        </is>
      </c>
    </row>
    <row r="3" ht="12.75" customHeight="1">
      <c r="A3" s="132" t="inlineStr">
        <is>
          <t>Balans</t>
        </is>
      </c>
    </row>
    <row r="4" ht="12.75" customHeight="1">
      <c r="A4" s="130" t="n">
        <v>1600000</v>
      </c>
      <c r="B4" s="1" t="inlineStr">
        <is>
          <t>VG Vastgoedbeleggingen Verkrijgings- of vervaardigingsprijs</t>
        </is>
      </c>
      <c r="C4" s="341" t="n">
        <v>124116161.41</v>
      </c>
      <c r="D4" s="341" t="n">
        <v>243593.77</v>
      </c>
      <c r="E4" s="341" t="n">
        <v>222347.9</v>
      </c>
      <c r="F4" s="341" t="n">
        <v>369860.81</v>
      </c>
      <c r="G4" s="341">
        <f>204566.31+J97</f>
        <v/>
      </c>
      <c r="H4" s="349">
        <f>SUM(C4:G4)</f>
        <v/>
      </c>
    </row>
    <row r="5" ht="12.75" customHeight="1">
      <c r="A5" s="130" t="inlineStr">
        <is>
          <t>1600200</t>
        </is>
      </c>
      <c r="B5" s="1" t="inlineStr">
        <is>
          <t>VG Vastgoedbeleggingen Cum afschrijvingen en waardeverm</t>
        </is>
      </c>
      <c r="C5" s="341" t="n">
        <v>-15085923</v>
      </c>
      <c r="D5" s="341" t="n">
        <v>-695326</v>
      </c>
      <c r="E5" s="341" t="n">
        <v>-707759</v>
      </c>
      <c r="F5" s="341" t="n">
        <v>-707631</v>
      </c>
      <c r="G5" s="341" t="n">
        <v>-705538</v>
      </c>
      <c r="H5" s="349">
        <f>SUM(C5:G5)</f>
        <v/>
      </c>
    </row>
    <row r="6" ht="12.75" customHeight="1">
      <c r="A6" s="130" t="inlineStr">
        <is>
          <t>1610803</t>
        </is>
      </c>
      <c r="B6" s="1" t="inlineStr">
        <is>
          <t>VG Comm VG in exploitatie Buitengebruikstellingen aanschaffingswaarde</t>
        </is>
      </c>
      <c r="C6" s="341" t="n">
        <v>-607773</v>
      </c>
      <c r="D6" s="309" t="n">
        <v>-363436</v>
      </c>
      <c r="E6" s="309" t="n">
        <v>-108045</v>
      </c>
      <c r="F6" s="309" t="n">
        <v>-117551</v>
      </c>
      <c r="G6" s="309" t="n">
        <v>-205430</v>
      </c>
      <c r="H6" s="349">
        <f>SUM(C6:G6)</f>
        <v/>
      </c>
    </row>
    <row r="7" ht="12.75" customHeight="1">
      <c r="A7" s="130" t="inlineStr">
        <is>
          <t>1611003</t>
        </is>
      </c>
      <c r="B7" s="1" t="inlineStr">
        <is>
          <t>VG Comm VG in exploitatie Buitengebruikstellingen cum. afschr. en waardeverm.</t>
        </is>
      </c>
      <c r="C7" s="341" t="n">
        <v>77188</v>
      </c>
      <c r="D7" s="341" t="n">
        <v>49532</v>
      </c>
      <c r="E7" s="341" t="n">
        <v>15030</v>
      </c>
      <c r="F7" s="341" t="n">
        <v>17214</v>
      </c>
      <c r="G7" s="341" t="n">
        <v>31299</v>
      </c>
      <c r="H7" s="349">
        <f>SUM(C7:G7)</f>
        <v/>
      </c>
    </row>
    <row r="8" ht="12.75" customHeight="1">
      <c r="A8" s="1" t="inlineStr">
        <is>
          <t>Totaal Vastgoedbeleggingen</t>
        </is>
      </c>
      <c r="C8" s="341" t="n">
        <v>0</v>
      </c>
      <c r="H8" s="290">
        <f>SUM(C8:G8)</f>
        <v/>
      </c>
    </row>
    <row r="9" ht="12.75" customHeight="1">
      <c r="C9" s="341" t="n">
        <v>0</v>
      </c>
      <c r="H9" s="290">
        <f>SUM(C9:G9)</f>
        <v/>
      </c>
    </row>
    <row r="10" ht="12.75" customHeight="1">
      <c r="A10" s="130" t="n">
        <v>1790000</v>
      </c>
      <c r="B10" s="1" t="inlineStr">
        <is>
          <t>FVA Swap fee</t>
        </is>
      </c>
      <c r="C10" s="341" t="n">
        <v>0</v>
      </c>
      <c r="E10" s="341" t="n">
        <v>2102350.01</v>
      </c>
      <c r="F10" s="341" t="n">
        <v>-110649.99</v>
      </c>
      <c r="G10" s="341" t="n">
        <v>-110649.99</v>
      </c>
      <c r="H10" s="349">
        <f>SUM(C10:G10)</f>
        <v/>
      </c>
    </row>
    <row r="11" ht="12.75" customHeight="1">
      <c r="A11" s="130" t="inlineStr">
        <is>
          <t>1790002</t>
        </is>
      </c>
      <c r="B11" s="1" t="inlineStr">
        <is>
          <t>FVA Latente belastingvordering langlopend</t>
        </is>
      </c>
      <c r="C11" s="341" t="n">
        <v>4621600</v>
      </c>
      <c r="D11" s="344" t="n">
        <v>165568</v>
      </c>
      <c r="E11" s="343" t="n">
        <v>285289</v>
      </c>
      <c r="F11" s="344" t="n">
        <v>181734</v>
      </c>
      <c r="G11" s="343" t="n">
        <v>172942</v>
      </c>
      <c r="H11" s="349">
        <f>SUM(C11:G11)</f>
        <v/>
      </c>
    </row>
    <row r="12" ht="12.75" customHeight="1">
      <c r="A12" s="130" t="n">
        <v>1760000</v>
      </c>
      <c r="B12" s="1" t="inlineStr">
        <is>
          <t>FVA Hoofdsom lening DMRRP INV - I BV</t>
        </is>
      </c>
      <c r="C12" s="341" t="n">
        <v>0</v>
      </c>
      <c r="D12" s="341" t="n">
        <v>0</v>
      </c>
      <c r="E12" s="341" t="n">
        <v>38320325</v>
      </c>
      <c r="F12" s="341" t="n">
        <v>0</v>
      </c>
      <c r="G12" s="341" t="n">
        <v>0</v>
      </c>
      <c r="H12" s="349">
        <f>SUM(C12:G12)</f>
        <v/>
      </c>
    </row>
    <row r="13" ht="12.75" customHeight="1">
      <c r="A13" s="130" t="n">
        <v>1760300</v>
      </c>
      <c r="B13" s="1" t="inlineStr">
        <is>
          <t>FVA Aflossingen lening DMRRP INV - I BV</t>
        </is>
      </c>
      <c r="C13" s="341" t="n">
        <v>0</v>
      </c>
      <c r="D13" s="341" t="n">
        <v>0</v>
      </c>
      <c r="E13" s="341" t="n">
        <v>-95800.81</v>
      </c>
      <c r="F13" s="341" t="n">
        <v>-137679.46</v>
      </c>
      <c r="G13" s="342" t="n">
        <v>-53922.16</v>
      </c>
      <c r="H13" s="349">
        <f>SUM(C13:G13)</f>
        <v/>
      </c>
      <c r="I13" s="1" t="inlineStr">
        <is>
          <t xml:space="preserve">Correctie aflossing Q1 </t>
        </is>
      </c>
    </row>
    <row r="14" ht="12.75" customHeight="1">
      <c r="A14" s="1" t="inlineStr">
        <is>
          <t>Totaal Financiële vaste activa</t>
        </is>
      </c>
      <c r="C14" s="341" t="n">
        <v>0</v>
      </c>
      <c r="H14" s="290">
        <f>SUM(C14:G14)</f>
        <v/>
      </c>
    </row>
    <row r="15" ht="12.75" customHeight="1">
      <c r="C15" s="341" t="n">
        <v>0</v>
      </c>
      <c r="H15" s="290">
        <f>SUM(C15:G15)</f>
        <v/>
      </c>
    </row>
    <row r="16" ht="12.75" customHeight="1">
      <c r="A16" s="130" t="inlineStr">
        <is>
          <t>2000000</t>
        </is>
      </c>
      <c r="B16" s="1" t="inlineStr">
        <is>
          <t>VOR Debiteuren</t>
        </is>
      </c>
      <c r="C16" s="341" t="n">
        <v>95136.09000000001</v>
      </c>
      <c r="D16" s="344" t="n">
        <v>1191082.16</v>
      </c>
      <c r="E16" s="343" t="n">
        <v>-780026.62</v>
      </c>
      <c r="F16" s="344" t="n">
        <v>523319.01</v>
      </c>
      <c r="G16" s="343" t="n">
        <v>-241129.99</v>
      </c>
      <c r="H16" s="349">
        <f>SUM(C16:G16)</f>
        <v/>
      </c>
    </row>
    <row r="17" ht="12.75" customHeight="1">
      <c r="A17" s="130" t="inlineStr">
        <is>
          <t>2000300</t>
        </is>
      </c>
      <c r="B17" s="1" t="inlineStr">
        <is>
          <t>VOR Voorziening dubieuze debiteuren</t>
        </is>
      </c>
      <c r="C17" s="341" t="n">
        <v>-91881.58</v>
      </c>
      <c r="D17" s="341" t="n">
        <v>0</v>
      </c>
      <c r="E17" s="341" t="n">
        <v>15003.05</v>
      </c>
      <c r="F17" s="341" t="n">
        <v>0</v>
      </c>
      <c r="G17" s="341" t="n">
        <v>0</v>
      </c>
      <c r="H17" s="349">
        <f>SUM(C17:G17)</f>
        <v/>
      </c>
    </row>
    <row r="18" ht="12.75" customHeight="1">
      <c r="A18" s="1" t="inlineStr">
        <is>
          <t>Totaal Debiteuren</t>
        </is>
      </c>
      <c r="C18" s="341" t="n">
        <v>0</v>
      </c>
      <c r="H18" s="290">
        <f>SUM(C18:G18)</f>
        <v/>
      </c>
    </row>
    <row r="19" ht="12.75" customHeight="1">
      <c r="C19" s="341" t="n">
        <v>0</v>
      </c>
      <c r="H19" s="290">
        <f>SUM(C19:G19)</f>
        <v/>
      </c>
    </row>
    <row r="20" ht="12.75" customHeight="1">
      <c r="A20" s="130" t="n">
        <v>2640000</v>
      </c>
      <c r="B20" s="1" t="inlineStr">
        <is>
          <t>RC Kortlopend DMRRP INV - I BV</t>
        </is>
      </c>
      <c r="C20" s="341" t="n">
        <v>1240232.3</v>
      </c>
      <c r="D20" s="341" t="n">
        <v>570839.92</v>
      </c>
      <c r="E20" s="341" t="n">
        <v>-2493301.08</v>
      </c>
      <c r="F20" s="341" t="n">
        <v>-6167</v>
      </c>
      <c r="G20" s="341" t="n">
        <v>592347</v>
      </c>
      <c r="H20" s="349">
        <f>SUM(C20:G20)</f>
        <v/>
      </c>
    </row>
    <row r="21" ht="12.75" customHeight="1">
      <c r="A21" s="1" t="inlineStr">
        <is>
          <t>Totaal Rekening-courant aandeelhouder</t>
        </is>
      </c>
      <c r="C21" s="341" t="n">
        <v>0</v>
      </c>
      <c r="H21" s="290">
        <f>SUM(C21:G21)</f>
        <v/>
      </c>
    </row>
    <row r="22" ht="12.75" customHeight="1">
      <c r="C22" s="341" t="n">
        <v>0</v>
      </c>
      <c r="H22" s="290">
        <f>SUM(C22:G22)</f>
        <v/>
      </c>
    </row>
    <row r="23" ht="12.75" customHeight="1">
      <c r="A23" s="130" t="n">
        <v>2040200</v>
      </c>
      <c r="B23" s="1" t="inlineStr">
        <is>
          <t>VOR Te vorderen waarborgsommen kortlopen</t>
        </is>
      </c>
      <c r="C23" s="341" t="n">
        <v>5000</v>
      </c>
      <c r="D23" s="341" t="n">
        <v>0</v>
      </c>
      <c r="E23" s="341" t="n">
        <v>0</v>
      </c>
      <c r="F23" s="341" t="n">
        <v>0</v>
      </c>
      <c r="H23" s="349">
        <f>SUM(C23:G23)</f>
        <v/>
      </c>
    </row>
    <row r="24" ht="12.75" customHeight="1">
      <c r="A24" s="130" t="n">
        <v>2040500</v>
      </c>
      <c r="B24" s="1" t="inlineStr">
        <is>
          <t>VOR Vooruitbetaalde verzekeringen</t>
        </is>
      </c>
      <c r="C24" s="341" t="n">
        <v>58441.1</v>
      </c>
      <c r="D24" s="341" t="n">
        <v>-29220.56</v>
      </c>
      <c r="E24" s="341" t="n">
        <v>-29220.56</v>
      </c>
      <c r="F24" s="341" t="n">
        <v>86298.88</v>
      </c>
      <c r="G24" s="341" t="n">
        <v>-28766.29</v>
      </c>
      <c r="H24" s="349">
        <f>SUM(C24:G24)</f>
        <v/>
      </c>
    </row>
    <row r="25" ht="12.75" customHeight="1">
      <c r="A25" s="130" t="inlineStr">
        <is>
          <t>2040700</t>
        </is>
      </c>
      <c r="B25" s="1" t="inlineStr">
        <is>
          <t>VOR Vooruitbetaalde servicekosten</t>
        </is>
      </c>
      <c r="C25" s="341" t="n">
        <v>-0.04999999999995453</v>
      </c>
      <c r="D25" s="341" t="n">
        <v>0</v>
      </c>
      <c r="E25" s="341" t="n">
        <v>0</v>
      </c>
      <c r="F25" s="341" t="n">
        <v>0</v>
      </c>
      <c r="G25" s="341" t="n">
        <v>0</v>
      </c>
      <c r="H25" s="290">
        <f>SUM(C25:G25)</f>
        <v/>
      </c>
    </row>
    <row r="26" ht="12.75" customHeight="1">
      <c r="A26" s="130" t="inlineStr">
        <is>
          <t>2040900</t>
        </is>
      </c>
      <c r="B26" s="1" t="inlineStr">
        <is>
          <t>VOR Vooruitbetaalde overige kosten</t>
        </is>
      </c>
      <c r="C26" s="341" t="n">
        <v>-85279.92</v>
      </c>
      <c r="D26" s="341" t="n">
        <v>218888.96</v>
      </c>
      <c r="E26" s="341" t="n">
        <v>-133609.04</v>
      </c>
      <c r="F26" s="341" t="n">
        <v>0</v>
      </c>
      <c r="G26" s="341" t="n">
        <v>0</v>
      </c>
      <c r="H26" s="290">
        <f>SUM(C26:G26)</f>
        <v/>
      </c>
    </row>
    <row r="27" ht="12.75" customHeight="1">
      <c r="A27" s="1" t="inlineStr">
        <is>
          <t>Totaal overige vorderingen</t>
        </is>
      </c>
      <c r="C27" s="341" t="n">
        <v>0</v>
      </c>
      <c r="H27" s="290">
        <f>SUM(C27:G27)</f>
        <v/>
      </c>
    </row>
    <row r="28" ht="12.75" customHeight="1">
      <c r="C28" s="341" t="n">
        <v>0</v>
      </c>
      <c r="H28" s="290">
        <f>SUM(C28:G28)</f>
        <v/>
      </c>
    </row>
    <row r="29" ht="12.75" customHeight="1">
      <c r="A29" s="130" t="inlineStr">
        <is>
          <t>2300000</t>
        </is>
      </c>
      <c r="B29" s="1" t="inlineStr">
        <is>
          <t>LM Kruisposten</t>
        </is>
      </c>
      <c r="C29" s="341" t="n">
        <v>-2262.76</v>
      </c>
      <c r="D29" s="341" t="n">
        <v>1168.16</v>
      </c>
      <c r="E29" s="341" t="n">
        <v>1095.07</v>
      </c>
      <c r="F29" s="341" t="n">
        <v>1948.2</v>
      </c>
      <c r="G29" s="341" t="n">
        <v>1958.46</v>
      </c>
      <c r="H29" s="349">
        <f>SUM(C29:G29)</f>
        <v/>
      </c>
    </row>
    <row r="30" ht="12.75" customHeight="1">
      <c r="A30" s="130" t="inlineStr">
        <is>
          <t>2400200</t>
        </is>
      </c>
      <c r="B30" s="1" t="inlineStr">
        <is>
          <t>LM ABN AMRO Bank Disposal NL58 ABNA 0818 9180 39</t>
        </is>
      </c>
      <c r="C30" s="341" t="n">
        <v>0.27</v>
      </c>
      <c r="D30" s="344" t="n">
        <v>276380.24</v>
      </c>
      <c r="E30" s="344" t="n">
        <v>261185.75</v>
      </c>
      <c r="F30" s="344" t="n">
        <v>-537566.26</v>
      </c>
      <c r="G30" s="344" t="n">
        <v>128000</v>
      </c>
      <c r="H30" s="349">
        <f>SUM(C30:G30)</f>
        <v/>
      </c>
    </row>
    <row r="31" ht="12.75" customHeight="1">
      <c r="A31" s="130" t="inlineStr">
        <is>
          <t>2400201</t>
        </is>
      </c>
      <c r="B31" s="1" t="inlineStr">
        <is>
          <t>LM ABN AMRO Bank Deposit NL57 ABNA 0541 6205 68</t>
        </is>
      </c>
      <c r="C31" s="341" t="n">
        <v>36626.00999999999</v>
      </c>
      <c r="D31" s="344" t="n">
        <v>-633966.34</v>
      </c>
      <c r="E31" s="344" t="n">
        <v>502142.01</v>
      </c>
      <c r="F31" s="344" t="n">
        <v>96845.81</v>
      </c>
      <c r="G31" s="344" t="n">
        <v>-43252.62</v>
      </c>
      <c r="H31" s="349">
        <f>SUM(C31:G31)</f>
        <v/>
      </c>
    </row>
    <row r="32" ht="12.75" customHeight="1">
      <c r="A32" s="130" t="inlineStr">
        <is>
          <t>2400202</t>
        </is>
      </c>
      <c r="B32" s="1" t="inlineStr">
        <is>
          <t>LM ABN AMRO Bank General NL93 ABNA 0541 6132 27</t>
        </is>
      </c>
      <c r="C32" s="341" t="n">
        <v>49984.39</v>
      </c>
      <c r="D32" s="344" t="n">
        <v>-49793.26</v>
      </c>
      <c r="E32" s="344" t="n">
        <v>-12.05</v>
      </c>
      <c r="F32" s="344" t="n">
        <v>0</v>
      </c>
      <c r="G32" s="344" t="n">
        <v>0</v>
      </c>
      <c r="H32" s="349">
        <f>SUM(C32:G32)</f>
        <v/>
      </c>
    </row>
    <row r="33" ht="12.75" customHeight="1">
      <c r="A33" s="130" t="inlineStr">
        <is>
          <t>2400203</t>
        </is>
      </c>
      <c r="B33" s="1" t="inlineStr">
        <is>
          <t>LM ABN AMRO Bank Maintres NL04 ABNA 0541 6188 06</t>
        </is>
      </c>
      <c r="C33" s="341" t="n">
        <v>43079.91</v>
      </c>
      <c r="D33" s="344" t="n">
        <v>139682.05</v>
      </c>
      <c r="E33" s="344" t="n">
        <v>-53607.74</v>
      </c>
      <c r="F33" s="344" t="n">
        <v>-109016.02</v>
      </c>
      <c r="G33" s="344" t="n">
        <v>-13039.08</v>
      </c>
      <c r="H33" s="349">
        <f>SUM(C33:G33)</f>
        <v/>
      </c>
    </row>
    <row r="34" ht="12.75" customHeight="1">
      <c r="A34" s="130" t="inlineStr">
        <is>
          <t>2400204</t>
        </is>
      </c>
      <c r="B34" s="1" t="inlineStr">
        <is>
          <t>LM ABN AMRO Bank Rent NL46 ABNA 0541 6088 35</t>
        </is>
      </c>
      <c r="C34" s="341" t="n">
        <v>1097271.1</v>
      </c>
      <c r="D34" s="344" t="n">
        <v>323121.93</v>
      </c>
      <c r="E34" s="344" t="n">
        <v>-1298518.42</v>
      </c>
      <c r="F34" s="344" t="n">
        <v>273260.99</v>
      </c>
      <c r="G34" s="344" t="n">
        <v>-45193.38</v>
      </c>
      <c r="H34" s="349">
        <f>SUM(C34:G34)</f>
        <v/>
      </c>
    </row>
    <row r="35" ht="12.75" customHeight="1">
      <c r="A35" s="130" t="inlineStr">
        <is>
          <t>2400205</t>
        </is>
      </c>
      <c r="B35" s="1" t="inlineStr">
        <is>
          <t>LM ABN AMRO Bank SR EXP NL88 ABNA 0541 6205 92</t>
        </is>
      </c>
      <c r="C35" s="341" t="n">
        <v>4184.419999999998</v>
      </c>
      <c r="D35" s="344" t="n">
        <v>98531.57000000001</v>
      </c>
      <c r="E35" s="344" t="n">
        <v>-5460.63</v>
      </c>
      <c r="F35" s="344" t="n">
        <v>-85043.32000000001</v>
      </c>
      <c r="G35" s="344" t="n">
        <v>-9996.629999999999</v>
      </c>
      <c r="H35" s="349">
        <f>SUM(C35:G35)</f>
        <v/>
      </c>
    </row>
    <row r="36" ht="12.75" customHeight="1">
      <c r="A36" s="130" t="n">
        <v>2400206</v>
      </c>
      <c r="B36" s="1" t="inlineStr">
        <is>
          <t>LM ABN AMRO Bank Capex NL11 ABNA 0114 3362 02</t>
        </is>
      </c>
      <c r="C36" s="341" t="n">
        <v>0</v>
      </c>
      <c r="D36" s="344" t="n">
        <v>0</v>
      </c>
      <c r="E36" s="344" t="n">
        <v>-11.39</v>
      </c>
      <c r="F36" s="344" t="n">
        <v>-5.65</v>
      </c>
      <c r="G36" s="344" t="n">
        <v>0</v>
      </c>
      <c r="H36" s="349">
        <f>SUM(C36:G36)</f>
        <v/>
      </c>
    </row>
    <row r="37" ht="12.75" customHeight="1">
      <c r="A37" s="1" t="inlineStr">
        <is>
          <t>Totaal Liquide middelen</t>
        </is>
      </c>
      <c r="C37" s="341" t="n">
        <v>0</v>
      </c>
      <c r="H37" s="290">
        <f>SUM(C37:G37)</f>
        <v/>
      </c>
    </row>
    <row r="38" ht="12.75" customHeight="1">
      <c r="C38" s="341" t="n">
        <v>0</v>
      </c>
      <c r="H38" s="290">
        <f>SUM(C38:G38)</f>
        <v/>
      </c>
    </row>
    <row r="39" ht="12.75" customHeight="1">
      <c r="A39" s="130" t="n">
        <v>1000002</v>
      </c>
      <c r="B39" s="1" t="inlineStr">
        <is>
          <t>EV Normale aandelen Saldo</t>
        </is>
      </c>
      <c r="C39" s="341" t="n">
        <v>-1</v>
      </c>
      <c r="D39" s="341" t="n">
        <v>0</v>
      </c>
      <c r="E39" s="341" t="n">
        <v>0</v>
      </c>
      <c r="F39" s="341" t="n">
        <v>0</v>
      </c>
      <c r="G39" s="341" t="n">
        <v>0</v>
      </c>
      <c r="H39" s="349">
        <f>SUM(C39:G39)</f>
        <v/>
      </c>
    </row>
    <row r="40" ht="12.75" customHeight="1">
      <c r="A40" s="130" t="n">
        <v>1100000</v>
      </c>
      <c r="B40" s="1" t="inlineStr">
        <is>
          <t>EV Agioreserve Agio aandelen</t>
        </is>
      </c>
      <c r="C40" s="341" t="n">
        <v>-18931219.48</v>
      </c>
      <c r="D40" s="341" t="n">
        <v>0</v>
      </c>
      <c r="E40" s="341" t="n">
        <v>0</v>
      </c>
      <c r="F40" s="341" t="n">
        <v>0</v>
      </c>
      <c r="G40" s="341" t="n">
        <v>0</v>
      </c>
      <c r="H40" s="349">
        <f>SUM(C40:G40)</f>
        <v/>
      </c>
    </row>
    <row r="41" ht="12.75" customHeight="1">
      <c r="A41" s="130" t="n">
        <v>1160000</v>
      </c>
      <c r="B41" s="1" t="inlineStr">
        <is>
          <t>EV Overige reserve Reserve aandelen</t>
        </is>
      </c>
      <c r="C41" s="341" t="n">
        <v>7058230.27</v>
      </c>
      <c r="D41" s="341" t="n">
        <v>0</v>
      </c>
      <c r="E41" s="341" t="n">
        <v>0</v>
      </c>
      <c r="F41" s="341" t="n">
        <v>0</v>
      </c>
      <c r="G41" s="341" t="n">
        <v>0</v>
      </c>
      <c r="H41" s="349">
        <f>SUM(C41:G41)</f>
        <v/>
      </c>
    </row>
    <row r="42" ht="12.75" customHeight="1">
      <c r="A42" s="130" t="inlineStr">
        <is>
          <t>1160100</t>
        </is>
      </c>
      <c r="B42" s="1" t="inlineStr">
        <is>
          <t>EV Overige reserve  Dividenduitkeringen aandelen</t>
        </is>
      </c>
      <c r="C42" s="341" t="n">
        <v>0</v>
      </c>
      <c r="D42" s="341" t="n">
        <v>0</v>
      </c>
      <c r="E42" s="341" t="n">
        <v>0</v>
      </c>
      <c r="F42" s="341" t="n">
        <v>0</v>
      </c>
      <c r="G42" s="341" t="n">
        <v>0</v>
      </c>
      <c r="H42" s="290">
        <f>SUM(C42:G42)</f>
        <v/>
      </c>
    </row>
    <row r="43" ht="12.75" customHeight="1">
      <c r="A43" s="1" t="inlineStr">
        <is>
          <t>Totaal Eigen vermogen</t>
        </is>
      </c>
      <c r="C43" s="341" t="n">
        <v>0</v>
      </c>
      <c r="H43" s="290">
        <f>SUM(C43:G43)</f>
        <v/>
      </c>
    </row>
    <row r="44" ht="12.75" customHeight="1">
      <c r="C44" s="341" t="n">
        <v>0</v>
      </c>
      <c r="H44" s="290">
        <f>SUM(C44:G44)</f>
        <v/>
      </c>
    </row>
    <row r="45" ht="12.75" customHeight="1">
      <c r="A45" s="130" t="n">
        <v>1930001</v>
      </c>
      <c r="B45" s="1" t="inlineStr">
        <is>
          <t>LLS Hoofdsom ABN AMRO Bank NV Senior Facility Agreement</t>
        </is>
      </c>
      <c r="C45" s="341" t="n">
        <v>-130000000</v>
      </c>
      <c r="D45" s="341" t="n">
        <v>0</v>
      </c>
      <c r="E45" s="341" t="n">
        <v>-38320325</v>
      </c>
      <c r="F45" s="341" t="n">
        <v>0</v>
      </c>
      <c r="H45" s="290">
        <f>SUM(C45:G45)</f>
        <v/>
      </c>
    </row>
    <row r="46" ht="12.75" customHeight="1">
      <c r="A46" s="130" t="inlineStr">
        <is>
          <t>1930101</t>
        </is>
      </c>
      <c r="B46" s="1" t="inlineStr">
        <is>
          <t>LLS Cum aflossingen ABN AMRO Bank NV Senior Facility Agreement</t>
        </is>
      </c>
      <c r="C46" s="341" t="n">
        <v>28320324.83</v>
      </c>
      <c r="D46" s="344" t="n">
        <v>601183.98</v>
      </c>
      <c r="E46" s="343" t="n">
        <v>-251183.98</v>
      </c>
      <c r="F46" s="344" t="n">
        <v>1040566.26</v>
      </c>
      <c r="G46" s="343" t="n">
        <v>531000</v>
      </c>
      <c r="H46" s="290">
        <f>SUM(C46:G46)</f>
        <v/>
      </c>
    </row>
    <row r="47" ht="12.75" customHeight="1">
      <c r="A47" s="130" t="n">
        <v>1930200</v>
      </c>
      <c r="B47" s="1" t="inlineStr">
        <is>
          <t>LLS Extension fee &amp; professional fees</t>
        </is>
      </c>
      <c r="C47" s="341" t="n">
        <v>0</v>
      </c>
      <c r="D47" s="344" t="n">
        <v>0</v>
      </c>
      <c r="E47" s="343" t="n">
        <v>552312.0600000001</v>
      </c>
      <c r="F47" s="344" t="n">
        <v>-29069.07</v>
      </c>
      <c r="G47" s="343" t="n">
        <v>-29069.06</v>
      </c>
      <c r="H47" s="349">
        <f>SUM(C47:G47)</f>
        <v/>
      </c>
    </row>
    <row r="48" ht="12.75" customHeight="1">
      <c r="A48" s="1" t="inlineStr">
        <is>
          <t>Totaal Langlopende schulden</t>
        </is>
      </c>
      <c r="C48" s="341" t="n">
        <v>0</v>
      </c>
      <c r="H48" s="290">
        <f>SUM(C48:G48)</f>
        <v/>
      </c>
    </row>
    <row r="49" ht="12.75" customHeight="1">
      <c r="C49" s="341" t="n">
        <v>0</v>
      </c>
      <c r="H49" s="290">
        <f>SUM(C49:G49)</f>
        <v/>
      </c>
    </row>
    <row r="50" ht="12.75" customHeight="1">
      <c r="A50" s="130" t="inlineStr">
        <is>
          <t>2730000</t>
        </is>
      </c>
      <c r="B50" s="1" t="inlineStr">
        <is>
          <t>KLS Crediteuren</t>
        </is>
      </c>
      <c r="C50" s="341" t="n">
        <v>-173573.6799999999</v>
      </c>
      <c r="D50" s="341" t="n">
        <v>-403705.29</v>
      </c>
      <c r="E50" s="341" t="n">
        <v>221244.37</v>
      </c>
      <c r="F50" s="302" t="n">
        <v>-339462.09</v>
      </c>
      <c r="G50" s="341" t="n">
        <v>459980.87</v>
      </c>
      <c r="H50" s="349">
        <f>SUM(C50:G50)</f>
        <v/>
      </c>
    </row>
    <row r="51" ht="12.75" customHeight="1">
      <c r="A51" s="130" t="inlineStr">
        <is>
          <t>2730001</t>
        </is>
      </c>
      <c r="B51" s="1" t="inlineStr">
        <is>
          <t>KLS Crediteuren intercompany</t>
        </is>
      </c>
      <c r="C51" s="341" t="n">
        <v>-12100</v>
      </c>
      <c r="D51" s="341" t="n">
        <v>-24200</v>
      </c>
      <c r="E51" s="341" t="n">
        <v>-856680</v>
      </c>
      <c r="F51" s="341" t="n">
        <v>-12500</v>
      </c>
      <c r="G51" s="341" t="n">
        <v>-13200</v>
      </c>
      <c r="H51" s="349">
        <f>SUM(C51:G51)</f>
        <v/>
      </c>
    </row>
    <row r="52" ht="12.75" customHeight="1">
      <c r="A52" s="1" t="inlineStr">
        <is>
          <t>Totaal Crediteuren</t>
        </is>
      </c>
      <c r="C52" s="341" t="n">
        <v>0</v>
      </c>
      <c r="H52" s="290">
        <f>SUM(C52:G52)</f>
        <v/>
      </c>
    </row>
    <row r="53" ht="12.75" customHeight="1">
      <c r="C53" s="341" t="n">
        <v>0</v>
      </c>
      <c r="H53" s="290">
        <f>SUM(C53:G53)</f>
        <v/>
      </c>
    </row>
    <row r="54" ht="12.75" customHeight="1">
      <c r="A54" s="130" t="inlineStr">
        <is>
          <t>2512100</t>
        </is>
      </c>
      <c r="B54" s="1" t="inlineStr">
        <is>
          <t>BEL Afgedragen/ontvangen BTW</t>
        </is>
      </c>
      <c r="C54" s="341" t="n">
        <v>-4497.99</v>
      </c>
      <c r="D54" s="341" t="n">
        <v>-230.48</v>
      </c>
      <c r="E54" s="341" t="n">
        <v>-997.53</v>
      </c>
      <c r="F54" s="341" t="n">
        <v>757.23</v>
      </c>
      <c r="G54" s="341" t="n">
        <v>168.17</v>
      </c>
      <c r="H54" s="349">
        <f>SUM(C54:G54)</f>
        <v/>
      </c>
    </row>
    <row r="55" ht="12.75" customHeight="1">
      <c r="A55" s="130" t="inlineStr">
        <is>
          <t>2530000</t>
        </is>
      </c>
      <c r="B55" s="1" t="inlineStr">
        <is>
          <t>BEL Te betalen vennootschapsbelasting</t>
        </is>
      </c>
      <c r="C55" s="341" t="n">
        <v>0</v>
      </c>
      <c r="D55" s="341" t="n">
        <v>0</v>
      </c>
      <c r="E55" s="341" t="n">
        <v>0</v>
      </c>
      <c r="H55" s="290">
        <f>SUM(C55:G55)</f>
        <v/>
      </c>
    </row>
    <row r="56" ht="12.75" customHeight="1">
      <c r="A56" s="130" t="inlineStr">
        <is>
          <t>2550000</t>
        </is>
      </c>
      <c r="B56" s="1" t="inlineStr">
        <is>
          <t>BEL Te betalen overige belastingen</t>
        </is>
      </c>
      <c r="C56" s="341" t="n">
        <v>0</v>
      </c>
      <c r="D56" s="341" t="n">
        <v>0</v>
      </c>
      <c r="E56" s="341" t="n">
        <v>0</v>
      </c>
      <c r="H56" s="290">
        <f>SUM(C56:G56)</f>
        <v/>
      </c>
    </row>
    <row r="57" ht="12.75" customHeight="1">
      <c r="A57" s="1" t="inlineStr">
        <is>
          <t>Totaal Belastingen</t>
        </is>
      </c>
      <c r="C57" s="341" t="n">
        <v>0</v>
      </c>
      <c r="H57" s="290">
        <f>SUM(C57:G57)</f>
        <v/>
      </c>
    </row>
    <row r="58" ht="12.75" customHeight="1">
      <c r="C58" s="341" t="n">
        <v>0</v>
      </c>
      <c r="H58" s="290">
        <f>SUM(C58:G58)</f>
        <v/>
      </c>
    </row>
    <row r="59" ht="12.75" customHeight="1">
      <c r="A59" s="130" t="n">
        <v>2620000</v>
      </c>
      <c r="B59" s="1" t="inlineStr">
        <is>
          <t>KLS Rekening-courant CV I</t>
        </is>
      </c>
      <c r="C59" s="341" t="n">
        <v>0</v>
      </c>
      <c r="D59" s="341" t="n">
        <v>0</v>
      </c>
      <c r="E59" s="341" t="n">
        <v>-100000</v>
      </c>
      <c r="F59" s="341" t="n">
        <v>100000</v>
      </c>
      <c r="G59" s="341" t="n">
        <v>0</v>
      </c>
      <c r="H59" s="290">
        <f>SUM(C59:G59)</f>
        <v/>
      </c>
    </row>
    <row r="60" ht="12.75" customHeight="1">
      <c r="A60" s="130" t="inlineStr">
        <is>
          <t>Totaal Rekening-courant groepsmaatschappij</t>
        </is>
      </c>
      <c r="C60" s="341" t="n">
        <v>0</v>
      </c>
      <c r="H60" s="290">
        <f>SUM(C60:G60)</f>
        <v/>
      </c>
    </row>
    <row r="61" ht="12.75" customHeight="1">
      <c r="C61" s="341" t="n">
        <v>0</v>
      </c>
      <c r="H61" s="290">
        <f>SUM(C61:G61)</f>
        <v/>
      </c>
    </row>
    <row r="62" ht="12.75" customHeight="1">
      <c r="A62" s="130" t="n">
        <v>2740100</v>
      </c>
      <c r="B62" s="1" t="inlineStr">
        <is>
          <t>KLS Vooruitgefactureerde huur</t>
        </is>
      </c>
      <c r="C62" s="341" t="n">
        <v>-908102.37</v>
      </c>
      <c r="D62" s="341" t="n">
        <v>-105259.43</v>
      </c>
      <c r="E62" s="341" t="n">
        <v>876536.84</v>
      </c>
      <c r="F62" s="341" t="n">
        <v>-19436.43</v>
      </c>
      <c r="G62" s="341" t="n">
        <v>-27486.62</v>
      </c>
      <c r="H62" s="349">
        <f>SUM(C62:G62)</f>
        <v/>
      </c>
    </row>
    <row r="63" ht="12.75" customHeight="1">
      <c r="A63" s="130" t="inlineStr">
        <is>
          <t>2740300</t>
        </is>
      </c>
      <c r="B63" s="1" t="inlineStr">
        <is>
          <t>KLS Te betalen waarborgsommen kortlopend</t>
        </is>
      </c>
      <c r="C63" s="341" t="n">
        <v>-840133.6800000001</v>
      </c>
      <c r="D63" s="341" t="n">
        <v>-3189.54</v>
      </c>
      <c r="E63" s="341" t="n">
        <v>-29141.32</v>
      </c>
      <c r="F63" s="341" t="n">
        <v>-34705.35</v>
      </c>
      <c r="G63" s="341" t="n">
        <v>-20233.89</v>
      </c>
      <c r="H63" s="349">
        <f>SUM(C63:G63)</f>
        <v/>
      </c>
    </row>
    <row r="64" ht="12.75" customHeight="1">
      <c r="A64" s="130" t="n">
        <v>2740500</v>
      </c>
      <c r="B64" s="1" t="inlineStr">
        <is>
          <t>KLS Te betalen accountants- en administratiekosten</t>
        </is>
      </c>
      <c r="C64" s="341" t="n">
        <v>-22500</v>
      </c>
      <c r="D64" s="341" t="n">
        <v>0</v>
      </c>
      <c r="E64" s="341" t="n">
        <v>-22500</v>
      </c>
      <c r="F64" s="341" t="n">
        <v>400.95</v>
      </c>
      <c r="G64" s="341" t="n">
        <v>-400.49</v>
      </c>
      <c r="H64" s="349">
        <f>SUM(C64:G64)</f>
        <v/>
      </c>
    </row>
    <row r="65" ht="12.75" customHeight="1">
      <c r="A65" s="130" t="inlineStr">
        <is>
          <t>2740600</t>
        </is>
      </c>
      <c r="B65" s="1" t="inlineStr">
        <is>
          <t>KLS Te betalen rente</t>
        </is>
      </c>
      <c r="C65" s="341" t="n">
        <v>0</v>
      </c>
      <c r="D65" s="341" t="n">
        <v>0</v>
      </c>
      <c r="E65" s="341" t="n">
        <v>0</v>
      </c>
      <c r="F65" s="341" t="n">
        <v>0</v>
      </c>
      <c r="G65" s="341" t="n">
        <v>0</v>
      </c>
      <c r="H65" s="290">
        <f>SUM(C65:G65)</f>
        <v/>
      </c>
    </row>
    <row r="66" ht="12.75" customHeight="1">
      <c r="A66" s="130" t="inlineStr">
        <is>
          <t>2740700</t>
        </is>
      </c>
      <c r="B66" s="1" t="inlineStr">
        <is>
          <t>KLS Te betalen verzekeringen</t>
        </is>
      </c>
      <c r="C66" s="341" t="n">
        <v>0</v>
      </c>
      <c r="D66" s="341" t="n">
        <v>0</v>
      </c>
      <c r="E66" s="341" t="n">
        <v>0</v>
      </c>
      <c r="F66" s="341" t="n">
        <v>0</v>
      </c>
      <c r="G66" s="341" t="n">
        <v>0</v>
      </c>
      <c r="H66" s="290">
        <f>SUM(C66:G66)</f>
        <v/>
      </c>
    </row>
    <row r="67" ht="12.75" customHeight="1">
      <c r="A67" s="130" t="inlineStr">
        <is>
          <t>2741000</t>
        </is>
      </c>
      <c r="B67" s="1" t="inlineStr">
        <is>
          <t>KLS Te betalen servicekosten</t>
        </is>
      </c>
      <c r="C67" s="341" t="n">
        <v>147195.7</v>
      </c>
      <c r="D67" s="341" t="n">
        <v>-73597.86</v>
      </c>
      <c r="E67" s="341" t="n">
        <v>-76077.46000000001</v>
      </c>
      <c r="F67" s="342" t="n">
        <v>129789</v>
      </c>
      <c r="G67" s="342" t="n">
        <v>32104.41</v>
      </c>
      <c r="H67" s="349">
        <f>SUM(C67:G67)</f>
        <v/>
      </c>
      <c r="I67" s="1" t="inlineStr">
        <is>
          <t>Verdelen over periode</t>
        </is>
      </c>
    </row>
    <row r="68" ht="12.75" customHeight="1">
      <c r="A68" s="130" t="inlineStr">
        <is>
          <t>2741001</t>
        </is>
      </c>
      <c r="B68" s="1" t="inlineStr">
        <is>
          <t>KLS Te betalen exploitatiekosten</t>
        </is>
      </c>
      <c r="C68" s="341" t="n">
        <v>-0.1300000000001091</v>
      </c>
      <c r="D68" s="341" t="n">
        <v>0</v>
      </c>
      <c r="E68" s="341" t="n">
        <v>-42098.85</v>
      </c>
      <c r="F68" s="341" t="n">
        <v>0</v>
      </c>
      <c r="G68" s="341" t="n">
        <v>0</v>
      </c>
      <c r="H68" s="349">
        <f>SUM(C68:G68)</f>
        <v/>
      </c>
    </row>
    <row r="69" ht="12.75" customHeight="1">
      <c r="A69" s="130" t="inlineStr">
        <is>
          <t>2741002</t>
        </is>
      </c>
      <c r="B69" s="1" t="inlineStr">
        <is>
          <t>KLS Te betalen VVE</t>
        </is>
      </c>
      <c r="C69" s="341" t="n">
        <v>-0.3000000000000114</v>
      </c>
      <c r="D69" s="341" t="n">
        <v>0</v>
      </c>
      <c r="E69" s="341" t="n">
        <v>0</v>
      </c>
      <c r="F69" s="341" t="n">
        <v>0</v>
      </c>
      <c r="G69" s="341" t="n">
        <v>0</v>
      </c>
      <c r="H69" s="290">
        <f>SUM(C69:G69)</f>
        <v/>
      </c>
    </row>
    <row r="70" ht="12.75" customHeight="1">
      <c r="A70" s="130" t="inlineStr">
        <is>
          <t>2741004</t>
        </is>
      </c>
      <c r="B70" s="1" t="inlineStr">
        <is>
          <t>KLS Te betalen Hoen</t>
        </is>
      </c>
      <c r="C70" s="341" t="n">
        <v>-205406.86</v>
      </c>
      <c r="D70" s="341" t="n">
        <v>79630.24000000001</v>
      </c>
      <c r="E70" s="341" t="n">
        <v>-126704.07</v>
      </c>
      <c r="F70" s="341" t="n">
        <v>125173.56</v>
      </c>
      <c r="G70" s="341" t="n">
        <v>-127137.14</v>
      </c>
      <c r="H70" s="349">
        <f>SUM(C70:G70)</f>
        <v/>
      </c>
    </row>
    <row r="71" ht="12.75" customHeight="1">
      <c r="A71" s="130" t="inlineStr">
        <is>
          <t>2741005</t>
        </is>
      </c>
      <c r="B71" s="1" t="inlineStr">
        <is>
          <t>KLS Te betalen managementvergoedingen</t>
        </is>
      </c>
      <c r="C71" s="341" t="n">
        <v>0</v>
      </c>
      <c r="D71" s="341" t="n">
        <v>0</v>
      </c>
      <c r="E71" s="341" t="n">
        <v>0</v>
      </c>
      <c r="F71" s="341" t="n">
        <v>0</v>
      </c>
      <c r="G71" s="341" t="n">
        <v>0</v>
      </c>
      <c r="H71" s="290">
        <f>SUM(C71:G71)</f>
        <v/>
      </c>
    </row>
    <row r="72" ht="12.75" customHeight="1">
      <c r="A72" s="130" t="inlineStr">
        <is>
          <t>2741200</t>
        </is>
      </c>
      <c r="B72" s="1" t="inlineStr">
        <is>
          <t>KLS Te betalen agency fee</t>
        </is>
      </c>
      <c r="C72" s="341" t="n">
        <v>0</v>
      </c>
      <c r="D72" s="341" t="n">
        <v>20000</v>
      </c>
      <c r="E72" s="341" t="n">
        <v>10000</v>
      </c>
      <c r="G72" s="341" t="n">
        <v>0</v>
      </c>
      <c r="H72" s="349">
        <f>SUM(C72:G72)</f>
        <v/>
      </c>
    </row>
    <row r="73" ht="12.75" customHeight="1">
      <c r="A73" s="130" t="inlineStr">
        <is>
          <t>2741900</t>
        </is>
      </c>
      <c r="B73" s="1" t="inlineStr">
        <is>
          <t>KLS Nog uit te zoeken posten MT940</t>
        </is>
      </c>
      <c r="C73" s="341" t="n">
        <v>0</v>
      </c>
      <c r="D73" s="341" t="n">
        <v>0</v>
      </c>
      <c r="G73" s="341" t="n">
        <v>0</v>
      </c>
      <c r="H73" s="290">
        <f>SUM(C73:G73)</f>
        <v/>
      </c>
    </row>
    <row r="74" ht="12.75" customHeight="1">
      <c r="A74" s="130" t="inlineStr">
        <is>
          <t>2742200</t>
        </is>
      </c>
      <c r="B74" s="1" t="inlineStr">
        <is>
          <t>KLS Vooruitontvangen bedragen</t>
        </is>
      </c>
      <c r="C74" s="341" t="n">
        <v>0</v>
      </c>
      <c r="D74" s="341" t="n">
        <v>0</v>
      </c>
      <c r="G74" s="341" t="n">
        <v>0</v>
      </c>
      <c r="H74" s="290">
        <f>SUM(C74:G74)</f>
        <v/>
      </c>
    </row>
    <row r="75" ht="12.75" customHeight="1">
      <c r="A75" s="130" t="n">
        <v>2040100</v>
      </c>
      <c r="B75" s="1" t="inlineStr">
        <is>
          <t xml:space="preserve">KLS Nog te factureren bedragen </t>
        </is>
      </c>
      <c r="C75" s="341" t="n">
        <v>0</v>
      </c>
      <c r="D75" s="341" t="n">
        <v>0</v>
      </c>
      <c r="E75" s="341" t="n">
        <v>0</v>
      </c>
      <c r="F75" s="341" t="n">
        <v>0</v>
      </c>
      <c r="G75" s="341" t="n">
        <v>-41878.65</v>
      </c>
      <c r="H75" s="349">
        <f>SUM(C75:G75)</f>
        <v/>
      </c>
    </row>
    <row r="76" ht="12.75" customHeight="1">
      <c r="A76" s="1" t="inlineStr">
        <is>
          <t>Totaal Overige schulden</t>
        </is>
      </c>
      <c r="H76" s="290">
        <f>SUM(C76:G76)</f>
        <v/>
      </c>
    </row>
    <row r="77" ht="12.75" customHeight="1">
      <c r="H77" s="290">
        <f>SUM(C77:G77)</f>
        <v/>
      </c>
    </row>
    <row r="78" ht="12.75" customHeight="1">
      <c r="H78" s="290">
        <f>SUM(C78:G78)</f>
        <v/>
      </c>
    </row>
    <row r="79" ht="12.75" customHeight="1">
      <c r="A79" s="132" t="inlineStr">
        <is>
          <t>Winst- en verliesrekening (baten zijn positief, kosten negatief)</t>
        </is>
      </c>
      <c r="H79" s="290">
        <f>SUM(C79:G79)</f>
        <v/>
      </c>
    </row>
    <row r="80" ht="12.75" customHeight="1">
      <c r="A80" s="130" t="inlineStr">
        <is>
          <t>8000003</t>
        </is>
      </c>
      <c r="B80" s="1" t="inlineStr">
        <is>
          <t>OPB Netto-omzet Theoretische huuropbrengsten</t>
        </is>
      </c>
      <c r="D80" s="341" t="n">
        <v>-2944242.41</v>
      </c>
      <c r="E80" s="341" t="n">
        <v>-2950963.19</v>
      </c>
      <c r="F80" s="341" t="n">
        <v>-2959140.94</v>
      </c>
      <c r="G80" s="341" t="n">
        <v>-2984947.9</v>
      </c>
      <c r="H80" s="349">
        <f>SUM(C80:G80)</f>
        <v/>
      </c>
    </row>
    <row r="81" ht="12.75" customHeight="1">
      <c r="A81" s="130" t="inlineStr">
        <is>
          <t>8000004</t>
        </is>
      </c>
      <c r="B81" s="1" t="inlineStr">
        <is>
          <t>OPB Netto-omzet Leegstand huuropbrengsten</t>
        </is>
      </c>
      <c r="D81" s="341" t="n">
        <v>55228.45</v>
      </c>
      <c r="E81" s="341" t="n">
        <v>59011.37</v>
      </c>
      <c r="F81" s="341" t="n">
        <v>55162.54</v>
      </c>
      <c r="G81" s="341" t="n">
        <v>56558</v>
      </c>
      <c r="H81" s="349">
        <f>SUM(C81:G81)</f>
        <v/>
      </c>
    </row>
    <row r="82" ht="12.75" customHeight="1">
      <c r="A82" s="1" t="inlineStr">
        <is>
          <t>Totaal Netto-omzet</t>
        </is>
      </c>
      <c r="D82" s="341">
        <f>SUM(D80:D81)</f>
        <v/>
      </c>
      <c r="E82" s="341">
        <f>E80+E81</f>
        <v/>
      </c>
      <c r="F82" s="341">
        <f>F80+F81</f>
        <v/>
      </c>
      <c r="G82" s="341">
        <f>G80+G81</f>
        <v/>
      </c>
      <c r="H82" s="349">
        <f>SUM(C82:G82)</f>
        <v/>
      </c>
      <c r="J82" s="299">
        <f>G82+'Management Cijfers - Q4 2025'!R25</f>
        <v/>
      </c>
    </row>
    <row r="83" ht="12.75" customHeight="1">
      <c r="H83" s="290">
        <f>SUM(C83:G83)</f>
        <v/>
      </c>
    </row>
    <row r="84" ht="12.75" customHeight="1">
      <c r="A84" s="130" t="n">
        <v>8400400</v>
      </c>
      <c r="B84" s="1" t="inlineStr">
        <is>
          <t xml:space="preserve">OPB Overige bedrijfsopbrengsten </t>
        </is>
      </c>
      <c r="H84" s="290">
        <f>SUM(C84:G84)</f>
        <v/>
      </c>
    </row>
    <row r="85" ht="12.75" customHeight="1">
      <c r="A85" s="130" t="inlineStr">
        <is>
          <t>8400600</t>
        </is>
      </c>
      <c r="B85" s="1" t="inlineStr">
        <is>
          <t>OPB Overige bedrijfsopbrengsten Totale servicekosten</t>
        </is>
      </c>
      <c r="D85" s="341" t="n">
        <v>-350659.51</v>
      </c>
      <c r="E85" s="341" t="n">
        <v>-165044.02</v>
      </c>
      <c r="F85" s="341" t="n">
        <v>-165745.84</v>
      </c>
      <c r="G85" s="341" t="n">
        <v>-166072.95</v>
      </c>
      <c r="H85" s="349">
        <f>SUM(C85:G85)</f>
        <v/>
      </c>
    </row>
    <row r="86" ht="12.75" customHeight="1">
      <c r="A86" s="130" t="inlineStr">
        <is>
          <t>8400700</t>
        </is>
      </c>
      <c r="B86" s="1" t="inlineStr">
        <is>
          <t>OPB Overige bedrijfsopbrengsten Servicekosten leegstand</t>
        </is>
      </c>
      <c r="D86" s="341" t="n">
        <v>7008.044</v>
      </c>
      <c r="E86" s="341" t="n">
        <v>3789.4</v>
      </c>
      <c r="F86" s="341" t="n">
        <v>9522.030000000001</v>
      </c>
      <c r="G86" s="341" t="n">
        <v>9644.389999999999</v>
      </c>
      <c r="H86" s="349">
        <f>SUM(C86:G86)</f>
        <v/>
      </c>
    </row>
    <row r="87" ht="12.75" customHeight="1">
      <c r="A87" s="130" t="inlineStr">
        <is>
          <t>8400800</t>
        </is>
      </c>
      <c r="B87" s="1" t="inlineStr">
        <is>
          <t>OPB Overige bedrijfsopbrengsten Gerealiseerde servicekosten</t>
        </is>
      </c>
      <c r="D87" s="341" t="n">
        <v>239859.03</v>
      </c>
      <c r="E87" s="341" t="n">
        <v>220949.51</v>
      </c>
      <c r="F87" s="302" t="n">
        <v>353718.65</v>
      </c>
      <c r="G87" s="341" t="n">
        <v>267954.63</v>
      </c>
      <c r="H87" s="349">
        <f>SUM(C87:G87)</f>
        <v/>
      </c>
    </row>
    <row r="88" ht="12.75" customHeight="1">
      <c r="A88" s="1" t="inlineStr">
        <is>
          <t>Totaal Overige bedrijfsopbrengsten</t>
        </is>
      </c>
      <c r="D88" s="341">
        <f>SUM(D84:D87)</f>
        <v/>
      </c>
      <c r="E88" s="341">
        <f>SUM(E84:E87)</f>
        <v/>
      </c>
      <c r="F88" s="341">
        <f>SUM(F84:F87)</f>
        <v/>
      </c>
      <c r="G88" s="341">
        <f>SUM(G85:G87)</f>
        <v/>
      </c>
      <c r="H88" s="350">
        <f>SUM(C88:G88)</f>
        <v/>
      </c>
      <c r="J88" s="299">
        <f>G88+'Management Cijfers - Q4 2025'!R30</f>
        <v/>
      </c>
    </row>
    <row r="89" ht="12.75" customHeight="1">
      <c r="H89" s="290">
        <f>SUM(C89:G89)</f>
        <v/>
      </c>
    </row>
    <row r="90" ht="12.75" customHeight="1">
      <c r="A90" s="130" t="inlineStr">
        <is>
          <t>4051400</t>
        </is>
      </c>
      <c r="B90" s="1" t="inlineStr">
        <is>
          <t>KN Diensten door derden</t>
        </is>
      </c>
      <c r="D90" s="341" t="n">
        <v>124885.89</v>
      </c>
      <c r="E90" s="341" t="n">
        <v>125402.18</v>
      </c>
      <c r="F90" s="341" t="n">
        <v>126034.62</v>
      </c>
      <c r="G90" s="341" t="n">
        <v>126358.08</v>
      </c>
      <c r="H90" s="290">
        <f>SUM(C90:G90)</f>
        <v/>
      </c>
    </row>
    <row r="91" ht="12.75" customHeight="1">
      <c r="A91" s="1" t="inlineStr">
        <is>
          <t>Totaal overige personeelskosten</t>
        </is>
      </c>
      <c r="D91" s="341">
        <f>SUM(D90)</f>
        <v/>
      </c>
      <c r="E91" s="341">
        <f>SUM(E90)</f>
        <v/>
      </c>
      <c r="F91" s="341">
        <f>SUM(F90)</f>
        <v/>
      </c>
      <c r="G91" s="341">
        <f>G90</f>
        <v/>
      </c>
      <c r="H91" s="290">
        <f>SUM(C91:G91)</f>
        <v/>
      </c>
      <c r="J91" s="290">
        <f>G91+'Management Cijfers - Q4 2025'!R46</f>
        <v/>
      </c>
    </row>
    <row r="92" ht="12.75" customHeight="1">
      <c r="H92" s="290">
        <f>SUM(C92:G92)</f>
        <v/>
      </c>
    </row>
    <row r="93" ht="12.75" customHeight="1">
      <c r="A93" s="130" t="inlineStr">
        <is>
          <t>4730000</t>
        </is>
      </c>
      <c r="B93" s="1" t="inlineStr">
        <is>
          <t>AFKN Afschrijvingskosten Vastgoedbeleggingen</t>
        </is>
      </c>
      <c r="D93" s="341" t="n">
        <v>695326</v>
      </c>
      <c r="E93" s="341" t="n">
        <v>707759</v>
      </c>
      <c r="F93" s="341" t="n">
        <v>707631</v>
      </c>
      <c r="G93" s="341" t="n">
        <v>705538</v>
      </c>
      <c r="H93" s="349">
        <f>SUM(C93:G93)</f>
        <v/>
      </c>
      <c r="J93" s="290">
        <f>G93+'Management Cijfers - Q4 2025'!R56</f>
        <v/>
      </c>
    </row>
    <row r="94" ht="12.75" customHeight="1">
      <c r="A94" s="130" t="inlineStr">
        <is>
          <t>4730200</t>
        </is>
      </c>
      <c r="B94" s="1" t="inlineStr">
        <is>
          <t>AFKN Boekresultaat Vastgoedbeleggingen</t>
        </is>
      </c>
      <c r="D94" s="341" t="n">
        <v>-544596</v>
      </c>
      <c r="E94" s="341" t="n">
        <v>-181985</v>
      </c>
      <c r="F94" s="341" t="n">
        <v>-114663</v>
      </c>
      <c r="G94" s="341" t="n">
        <v>-315876</v>
      </c>
      <c r="H94" s="349">
        <f>SUM(C94:G94)</f>
        <v/>
      </c>
      <c r="J94" s="290">
        <f>G94+'Management Cijfers - Q4 2025'!R53</f>
        <v/>
      </c>
    </row>
    <row r="95" ht="12.75" customHeight="1">
      <c r="A95" s="1" t="inlineStr">
        <is>
          <t>Totaal Afschrijvingen vastgoedbeleggingen</t>
        </is>
      </c>
      <c r="D95" s="341">
        <f>SUM(D93:D94)</f>
        <v/>
      </c>
      <c r="E95" s="341">
        <f>SUM(E93:E94)</f>
        <v/>
      </c>
      <c r="F95" s="341">
        <f>SUM(F93:F94)</f>
        <v/>
      </c>
      <c r="G95" s="341">
        <f>SUM(G93:G94)</f>
        <v/>
      </c>
      <c r="H95" s="290">
        <f>SUM(C95:G95)</f>
        <v/>
      </c>
    </row>
    <row r="96" ht="12.75" customHeight="1">
      <c r="H96" s="290">
        <f>SUM(C96:G96)</f>
        <v/>
      </c>
    </row>
    <row r="97" ht="12.75" customHeight="1">
      <c r="A97" s="130" t="inlineStr">
        <is>
          <t>4100400</t>
        </is>
      </c>
      <c r="B97" s="1" t="inlineStr">
        <is>
          <t>KN Onderhoud gebouwen</t>
        </is>
      </c>
      <c r="D97" s="341" t="n">
        <v>205277.39</v>
      </c>
      <c r="E97" s="341" t="n">
        <v>324266.13</v>
      </c>
      <c r="F97" s="341" t="n">
        <v>183914.03</v>
      </c>
      <c r="G97" s="341">
        <f>253143.14-J97</f>
        <v/>
      </c>
      <c r="H97" s="349">
        <f>SUM(C97:G97)</f>
        <v/>
      </c>
      <c r="J97" s="242" t="n">
        <v>72169.88</v>
      </c>
    </row>
    <row r="98" ht="12.75" customHeight="1">
      <c r="A98" s="130" t="inlineStr">
        <is>
          <t>4100410</t>
        </is>
      </c>
      <c r="B98" s="1" t="inlineStr">
        <is>
          <t>Verhuurdersheffing</t>
        </is>
      </c>
      <c r="D98" s="341" t="n">
        <v>119943.23</v>
      </c>
      <c r="E98" s="341" t="n">
        <v>119943.23</v>
      </c>
      <c r="F98" s="341" t="n">
        <v>0</v>
      </c>
      <c r="G98" s="341" t="n">
        <v>-6167</v>
      </c>
      <c r="H98" s="349">
        <f>SUM(C98:G98)</f>
        <v/>
      </c>
    </row>
    <row r="99" ht="12.75" customHeight="1">
      <c r="A99" s="130" t="inlineStr">
        <is>
          <t>4100900</t>
        </is>
      </c>
      <c r="B99" s="1" t="inlineStr">
        <is>
          <t>KN Onroerende zaakbelasting</t>
        </is>
      </c>
      <c r="D99" s="341" t="n">
        <v>70988.5</v>
      </c>
      <c r="E99" s="341" t="n">
        <v>57028.11</v>
      </c>
      <c r="F99" s="342" t="n">
        <v>85118.19</v>
      </c>
      <c r="G99" s="342" t="n">
        <v>80511.73</v>
      </c>
      <c r="H99" s="349">
        <f>SUM(C99:G99)</f>
        <v/>
      </c>
      <c r="I99" s="1" t="inlineStr">
        <is>
          <t>Verdelen over periode</t>
        </is>
      </c>
    </row>
    <row r="100" ht="12.75" customHeight="1">
      <c r="A100" s="130" t="inlineStr">
        <is>
          <t>4101000</t>
        </is>
      </c>
      <c r="B100" s="1" t="inlineStr">
        <is>
          <t>KN VvE-kosten</t>
        </is>
      </c>
      <c r="D100" s="341" t="n">
        <v>135095.91</v>
      </c>
      <c r="E100" s="341" t="n">
        <v>109128.17</v>
      </c>
      <c r="F100" s="341" t="n">
        <v>146200.38</v>
      </c>
      <c r="G100" s="341" t="n">
        <v>179862.97</v>
      </c>
      <c r="H100" s="349">
        <f>SUM(C100:G100)</f>
        <v/>
      </c>
    </row>
    <row r="101" ht="12.75" customHeight="1">
      <c r="A101" s="130" t="inlineStr">
        <is>
          <t>4101010</t>
        </is>
      </c>
      <c r="B101" s="1" t="inlineStr">
        <is>
          <t>Gemeentelijke belastingen</t>
        </is>
      </c>
      <c r="D101" s="341" t="n">
        <v>26095.63</v>
      </c>
      <c r="E101" s="341" t="n">
        <v>20670.54</v>
      </c>
      <c r="F101" s="341" t="n">
        <v>95071.45</v>
      </c>
      <c r="G101" s="341" t="n">
        <v>13692.19</v>
      </c>
      <c r="H101" s="349">
        <f>SUM(C101:G101)</f>
        <v/>
      </c>
    </row>
    <row r="102" ht="12.75" customHeight="1">
      <c r="A102" s="130" t="inlineStr">
        <is>
          <t>4101020</t>
        </is>
      </c>
      <c r="B102" s="1" t="inlineStr">
        <is>
          <t>Waterschapsbelasting</t>
        </is>
      </c>
      <c r="D102" s="341" t="n">
        <v>28638.46</v>
      </c>
      <c r="E102" s="341" t="n">
        <v>15453.02</v>
      </c>
      <c r="F102" s="341" t="n">
        <v>8625.43</v>
      </c>
      <c r="G102" s="341" t="n">
        <v>39880.4</v>
      </c>
      <c r="H102" s="349">
        <f>SUM(C102:G102)</f>
        <v/>
      </c>
    </row>
    <row r="103" ht="12.75" customHeight="1">
      <c r="A103" s="130" t="inlineStr">
        <is>
          <t>4101300</t>
        </is>
      </c>
      <c r="B103" s="1" t="inlineStr">
        <is>
          <t>KN Servicekosten leegstand</t>
        </is>
      </c>
      <c r="D103" s="341" t="n">
        <v>0</v>
      </c>
      <c r="E103" s="341" t="n">
        <v>0</v>
      </c>
      <c r="F103" s="341" t="n">
        <v>0</v>
      </c>
      <c r="G103" s="341" t="n">
        <v>-76.66</v>
      </c>
      <c r="H103" s="349">
        <f>SUM(C103:G103)</f>
        <v/>
      </c>
    </row>
    <row r="104" ht="12.75" customHeight="1">
      <c r="A104" s="130" t="inlineStr">
        <is>
          <t>4109800</t>
        </is>
      </c>
      <c r="B104" s="1" t="inlineStr">
        <is>
          <t>KN Overige huisvestingskosten</t>
        </is>
      </c>
      <c r="D104" s="341" t="n">
        <v>0</v>
      </c>
      <c r="E104" s="341" t="n">
        <v>0</v>
      </c>
      <c r="F104" s="341" t="n">
        <v>0</v>
      </c>
      <c r="G104" s="341" t="n">
        <v>0</v>
      </c>
      <c r="H104" s="290">
        <f>SUM(C104:G104)</f>
        <v/>
      </c>
    </row>
    <row r="105" ht="12.75" customHeight="1">
      <c r="A105" s="1" t="inlineStr">
        <is>
          <t>Totaal Huisvestingskosten</t>
        </is>
      </c>
      <c r="D105" s="341">
        <f>SUM(D97:D104)</f>
        <v/>
      </c>
      <c r="E105" s="341">
        <f>SUM(E97:E104)</f>
        <v/>
      </c>
      <c r="F105" s="341">
        <f>SUM(F97:F104)</f>
        <v/>
      </c>
      <c r="G105" s="341">
        <f>SUM(G97:G104)</f>
        <v/>
      </c>
      <c r="H105" s="290">
        <f>SUM(C105:G105)</f>
        <v/>
      </c>
      <c r="J105" s="299">
        <f>G105+G110+G113+G127</f>
        <v/>
      </c>
    </row>
    <row r="106" ht="12.75" customHeight="1">
      <c r="H106" s="290">
        <f>SUM(C106:G106)</f>
        <v/>
      </c>
      <c r="J106" s="1">
        <f>'Management Cijfers - Q4 2025'!R44+'Management Cijfers - Q4 2025'!R47</f>
        <v/>
      </c>
    </row>
    <row r="107" ht="12.75" customHeight="1">
      <c r="A107" s="130" t="inlineStr">
        <is>
          <t>4500400</t>
        </is>
      </c>
      <c r="B107" s="1" t="inlineStr">
        <is>
          <t>KN Representatiekosten</t>
        </is>
      </c>
      <c r="D107" s="341" t="n">
        <v>0</v>
      </c>
      <c r="E107" s="341" t="n">
        <v>0</v>
      </c>
      <c r="H107" s="290">
        <f>SUM(C107:G107)</f>
        <v/>
      </c>
      <c r="J107" s="299">
        <f>J105+J106</f>
        <v/>
      </c>
    </row>
    <row r="108" ht="12.75" customHeight="1">
      <c r="A108" s="130" t="inlineStr">
        <is>
          <t>4501200</t>
        </is>
      </c>
      <c r="B108" s="1" t="inlineStr">
        <is>
          <t>KN Mutatie voorziening dubieuze debiteuren</t>
        </is>
      </c>
      <c r="D108" s="341" t="n">
        <v>0</v>
      </c>
      <c r="E108" s="341" t="n">
        <v>-15003.05</v>
      </c>
      <c r="G108" s="341" t="n">
        <v>0</v>
      </c>
      <c r="H108" s="290">
        <f>SUM(C108:G108)</f>
        <v/>
      </c>
    </row>
    <row r="109" ht="12.75" customHeight="1">
      <c r="A109" s="130" t="inlineStr">
        <is>
          <t>4501300</t>
        </is>
      </c>
      <c r="B109" s="1" t="inlineStr">
        <is>
          <t>KN Afboeking dubieuze debiteuren</t>
        </is>
      </c>
      <c r="D109" s="341" t="n">
        <v>765.92</v>
      </c>
      <c r="E109" s="341" t="n">
        <v>-156.08</v>
      </c>
      <c r="F109" s="341" t="n">
        <v>1823.94</v>
      </c>
      <c r="G109" s="341" t="n">
        <v>-4832.51</v>
      </c>
      <c r="H109" s="290">
        <f>SUM(C109:G109)</f>
        <v/>
      </c>
    </row>
    <row r="110" ht="12.75" customHeight="1">
      <c r="A110" s="1" t="inlineStr">
        <is>
          <t>Totaal Verkoopkosten</t>
        </is>
      </c>
      <c r="D110" s="341">
        <f>SUM(D107:D109)</f>
        <v/>
      </c>
      <c r="E110" s="341">
        <f>SUM(E107:E109)</f>
        <v/>
      </c>
      <c r="F110" s="341">
        <f>SUM(F107:F109)</f>
        <v/>
      </c>
      <c r="G110" s="341">
        <f>SUM(G108:G109)</f>
        <v/>
      </c>
      <c r="H110" s="349">
        <f>SUM(C110:G110)</f>
        <v/>
      </c>
    </row>
    <row r="111" ht="12.75" customHeight="1">
      <c r="H111" s="290">
        <f>SUM(C111:G111)</f>
        <v/>
      </c>
    </row>
    <row r="112" ht="12.75" customHeight="1">
      <c r="A112" s="130" t="inlineStr">
        <is>
          <t>4300500</t>
        </is>
      </c>
      <c r="B112" s="1" t="inlineStr">
        <is>
          <t>KN Incassokosten</t>
        </is>
      </c>
      <c r="D112" s="341" t="n">
        <v>600</v>
      </c>
      <c r="E112" s="341" t="n">
        <v>0</v>
      </c>
      <c r="F112" s="341" t="n">
        <v>0</v>
      </c>
      <c r="G112" s="341" t="n">
        <v>300</v>
      </c>
      <c r="H112" s="290">
        <f>SUM(C112:G112)</f>
        <v/>
      </c>
    </row>
    <row r="113" ht="12.75" customHeight="1">
      <c r="A113" s="1" t="inlineStr">
        <is>
          <t>Totaal Kantoorkosten</t>
        </is>
      </c>
      <c r="D113" s="341">
        <f>SUM(D112)</f>
        <v/>
      </c>
      <c r="E113" s="341" t="n">
        <v>0</v>
      </c>
      <c r="F113" s="341" t="n">
        <v>0</v>
      </c>
      <c r="G113" s="341">
        <f>SUM(G112)</f>
        <v/>
      </c>
      <c r="H113" s="349">
        <f>SUM(C113:G113)</f>
        <v/>
      </c>
    </row>
    <row r="114" ht="12.75" customHeight="1">
      <c r="H114" s="290">
        <f>SUM(C114:G114)</f>
        <v/>
      </c>
    </row>
    <row r="115" ht="12.75" customHeight="1">
      <c r="A115" s="130" t="inlineStr">
        <is>
          <t>4310000</t>
        </is>
      </c>
      <c r="B115" s="1" t="inlineStr">
        <is>
          <t>KN Abonnementen en contributies</t>
        </is>
      </c>
      <c r="D115" s="341" t="n">
        <v>0</v>
      </c>
      <c r="E115" s="341" t="n">
        <v>0</v>
      </c>
      <c r="F115" s="341" t="n">
        <v>0</v>
      </c>
      <c r="G115" s="341" t="n">
        <v>0</v>
      </c>
      <c r="H115" s="290">
        <f>SUM(C115:G115)</f>
        <v/>
      </c>
    </row>
    <row r="116" ht="12.75" customHeight="1">
      <c r="A116" s="130" t="inlineStr">
        <is>
          <t>4310400</t>
        </is>
      </c>
      <c r="B116" s="1" t="inlineStr">
        <is>
          <t>KN Assurantiepremie algemeen</t>
        </is>
      </c>
      <c r="D116" s="341" t="n">
        <v>29220.56</v>
      </c>
      <c r="E116" s="341" t="n">
        <v>27618.03</v>
      </c>
      <c r="F116" s="341" t="n">
        <v>29190.65</v>
      </c>
      <c r="G116" s="341" t="n">
        <v>44010.87</v>
      </c>
      <c r="H116" s="349">
        <f>SUM(C116:G116)</f>
        <v/>
      </c>
    </row>
    <row r="117" ht="12.75" customHeight="1">
      <c r="A117" s="130" t="inlineStr">
        <is>
          <t>4310500</t>
        </is>
      </c>
      <c r="B117" s="1" t="inlineStr">
        <is>
          <t>KN Managementvergoeding</t>
        </is>
      </c>
      <c r="D117" s="341" t="n">
        <v>1815</v>
      </c>
      <c r="E117" s="341" t="n">
        <v>1815</v>
      </c>
      <c r="F117" s="341" t="n">
        <v>1500</v>
      </c>
      <c r="G117" s="341" t="n">
        <v>1500</v>
      </c>
      <c r="H117" s="349">
        <f>SUM(C117:G117)</f>
        <v/>
      </c>
    </row>
    <row r="118" ht="12.75" customHeight="1">
      <c r="A118" s="130" t="inlineStr">
        <is>
          <t>4310600</t>
        </is>
      </c>
      <c r="B118" s="1" t="inlineStr">
        <is>
          <t>KN Accountantskosten</t>
        </is>
      </c>
      <c r="D118" s="341" t="n">
        <v>25189.79</v>
      </c>
      <c r="E118" s="341" t="n">
        <v>48042.38</v>
      </c>
      <c r="F118" s="341" t="n">
        <v>5734.87</v>
      </c>
      <c r="G118" s="341" t="n">
        <v>52124.26</v>
      </c>
      <c r="H118" s="349">
        <f>SUM(C118:G118)</f>
        <v/>
      </c>
    </row>
    <row r="119" ht="12.75" customHeight="1">
      <c r="A119" s="130" t="inlineStr">
        <is>
          <t>4310700</t>
        </is>
      </c>
      <c r="B119" s="1" t="inlineStr">
        <is>
          <t>KN Administratiekosten</t>
        </is>
      </c>
      <c r="D119" s="341" t="n">
        <v>1210</v>
      </c>
      <c r="E119" s="341" t="n">
        <v>1210</v>
      </c>
      <c r="F119" s="341" t="n">
        <v>1331</v>
      </c>
      <c r="G119" s="341" t="n">
        <v>1397.65</v>
      </c>
      <c r="H119" s="349">
        <f>SUM(C119:G119)</f>
        <v/>
      </c>
    </row>
    <row r="120" ht="12.75" customHeight="1">
      <c r="A120" s="130" t="inlineStr">
        <is>
          <t>4310800</t>
        </is>
      </c>
      <c r="B120" s="1" t="inlineStr">
        <is>
          <t>KN Makelaarskosten</t>
        </is>
      </c>
      <c r="D120" s="341" t="n">
        <v>51142.69</v>
      </c>
      <c r="E120" s="341" t="n">
        <v>61678.68</v>
      </c>
      <c r="F120" s="341" t="n">
        <v>0</v>
      </c>
      <c r="G120" s="341" t="n">
        <v>0</v>
      </c>
      <c r="H120" s="349">
        <f>SUM(C120:G120)</f>
        <v/>
      </c>
    </row>
    <row r="121" ht="12.75" customHeight="1">
      <c r="A121" s="130" t="n">
        <v>4310800</v>
      </c>
      <c r="B121" s="1" t="inlineStr">
        <is>
          <t>KN Notariskosten</t>
        </is>
      </c>
      <c r="D121" s="341" t="n">
        <v>0</v>
      </c>
      <c r="E121" s="341" t="n">
        <v>0</v>
      </c>
      <c r="F121" s="341" t="n">
        <v>39350.7</v>
      </c>
      <c r="G121" s="341" t="n">
        <v>42090.02</v>
      </c>
      <c r="H121" s="349">
        <f>SUM(C121:G121)</f>
        <v/>
      </c>
    </row>
    <row r="122" ht="12.75" customHeight="1">
      <c r="A122" s="130" t="inlineStr">
        <is>
          <t>4311000</t>
        </is>
      </c>
      <c r="B122" s="1" t="inlineStr">
        <is>
          <t>KN Juridische kosten</t>
        </is>
      </c>
      <c r="D122" s="341" t="n">
        <v>36615.64</v>
      </c>
      <c r="E122" s="341" t="n">
        <v>87957.23</v>
      </c>
      <c r="F122" s="341" t="n">
        <v>23990.48</v>
      </c>
      <c r="G122" s="341" t="n">
        <v>21205</v>
      </c>
      <c r="H122" s="349">
        <f>SUM(C122:G122)</f>
        <v/>
      </c>
    </row>
    <row r="123" ht="12.75" customHeight="1">
      <c r="A123" s="130" t="inlineStr">
        <is>
          <t>4311800</t>
        </is>
      </c>
      <c r="B123" s="1" t="inlineStr">
        <is>
          <t>KN Advieskosten</t>
        </is>
      </c>
      <c r="D123" s="341" t="n">
        <v>24200</v>
      </c>
      <c r="E123" s="341" t="n">
        <v>856680</v>
      </c>
      <c r="F123" s="341" t="n">
        <v>11000</v>
      </c>
      <c r="G123" s="341" t="n">
        <v>13200</v>
      </c>
      <c r="H123" s="349">
        <f>SUM(C123:G123)</f>
        <v/>
      </c>
    </row>
    <row r="124" ht="12" customHeight="1">
      <c r="A124" s="130" t="inlineStr">
        <is>
          <t>4311900</t>
        </is>
      </c>
      <c r="B124" s="1" t="inlineStr">
        <is>
          <t>KN Bankkosten</t>
        </is>
      </c>
      <c r="D124" s="341" t="n">
        <v>3190.89</v>
      </c>
      <c r="E124" s="341" t="n">
        <v>259667.54</v>
      </c>
      <c r="F124" s="341" t="n">
        <v>33232.36</v>
      </c>
      <c r="G124" s="341" t="n">
        <v>73312.47</v>
      </c>
      <c r="H124" s="349">
        <f>SUM(C124:G124)</f>
        <v/>
      </c>
    </row>
    <row r="125" ht="12.75" customHeight="1">
      <c r="A125" s="130" t="inlineStr">
        <is>
          <t>4312600</t>
        </is>
      </c>
      <c r="B125" s="1" t="inlineStr">
        <is>
          <t>KN Agent Fee facility</t>
        </is>
      </c>
      <c r="D125" s="341" t="n">
        <v>20000</v>
      </c>
      <c r="E125" s="341" t="n">
        <v>0</v>
      </c>
      <c r="F125" s="341" t="n">
        <v>0</v>
      </c>
      <c r="G125" s="341" t="n">
        <v>0</v>
      </c>
      <c r="H125" s="349">
        <f>SUM(C125:G125)</f>
        <v/>
      </c>
    </row>
    <row r="126" ht="12.75" customHeight="1">
      <c r="A126" s="130" t="inlineStr">
        <is>
          <t>4319800</t>
        </is>
      </c>
      <c r="B126" s="1" t="inlineStr">
        <is>
          <t>KN Overige algemene kosten</t>
        </is>
      </c>
      <c r="D126" s="341" t="n">
        <v>1920.61</v>
      </c>
      <c r="E126" s="341" t="n">
        <v>-9967.809999999999</v>
      </c>
      <c r="F126" s="341" t="n">
        <v>1908.15</v>
      </c>
      <c r="G126" s="341" t="n">
        <v>7984.21</v>
      </c>
      <c r="H126" s="349">
        <f>SUM(C126:G126)</f>
        <v/>
      </c>
    </row>
    <row r="127" ht="12.75" customHeight="1">
      <c r="A127" s="1" t="inlineStr">
        <is>
          <t>Totaal Algemene kosten</t>
        </is>
      </c>
      <c r="D127" s="341">
        <f>SUM(D115:D126)</f>
        <v/>
      </c>
      <c r="E127" s="341">
        <f>SUM(E115:E126)</f>
        <v/>
      </c>
      <c r="F127" s="341">
        <f>SUM(F115:F126)</f>
        <v/>
      </c>
      <c r="G127" s="341">
        <f>SUM(G115:G126)</f>
        <v/>
      </c>
      <c r="H127" s="290">
        <f>SUM(C127:G127)</f>
        <v/>
      </c>
    </row>
    <row r="128" ht="12.75" customHeight="1">
      <c r="H128" s="290">
        <f>SUM(C128:G128)</f>
        <v/>
      </c>
    </row>
    <row r="129" ht="12.75" customHeight="1">
      <c r="A129" s="130" t="n">
        <v>4620200</v>
      </c>
      <c r="B129" s="1" t="inlineStr">
        <is>
          <t>FINBL Rente ABN AMRO Bank</t>
        </is>
      </c>
      <c r="D129" s="341" t="n">
        <v>0</v>
      </c>
      <c r="E129" s="341" t="n">
        <v>0.12</v>
      </c>
      <c r="F129" s="341" t="n">
        <v>29.09</v>
      </c>
      <c r="G129" s="341" t="n">
        <v>58.18</v>
      </c>
      <c r="H129" s="349">
        <f>SUM(C129:G129)</f>
        <v/>
      </c>
    </row>
    <row r="130" ht="12.75" customHeight="1">
      <c r="A130" s="130" t="inlineStr">
        <is>
          <t>4623001</t>
        </is>
      </c>
      <c r="B130" s="1" t="inlineStr">
        <is>
          <t>FINBL Rente ABN AMRO Bank NV Senior Facility Agreement</t>
        </is>
      </c>
      <c r="D130" s="341" t="n">
        <v>402764.5</v>
      </c>
      <c r="E130" s="341" t="n">
        <v>1046415.29</v>
      </c>
      <c r="F130" s="341" t="n">
        <v>1389702.3</v>
      </c>
      <c r="G130" s="341" t="n">
        <v>1669531.4</v>
      </c>
      <c r="H130" s="349">
        <f>SUM(C130:G130)</f>
        <v/>
      </c>
    </row>
    <row r="131" ht="12.75" customHeight="1">
      <c r="A131" s="130" t="n">
        <v>4611000</v>
      </c>
      <c r="B131" s="1" t="inlineStr">
        <is>
          <t>FINBL Rente RC DMRRP INV - I BV</t>
        </is>
      </c>
      <c r="D131" s="341" t="n">
        <v>0</v>
      </c>
      <c r="E131" s="341" t="n">
        <v>-28672</v>
      </c>
      <c r="F131" s="341" t="n">
        <v>0</v>
      </c>
      <c r="G131" s="341" t="n">
        <v>0</v>
      </c>
      <c r="H131" s="349">
        <f>SUM(C131:G131)</f>
        <v/>
      </c>
    </row>
    <row r="132" ht="12.75" customHeight="1">
      <c r="A132" s="130" t="n">
        <v>4630000</v>
      </c>
      <c r="B132" s="1" t="inlineStr">
        <is>
          <t>FINBL Rente belastingen</t>
        </is>
      </c>
      <c r="D132" s="341" t="n">
        <v>0</v>
      </c>
      <c r="E132" s="341" t="n">
        <v>0</v>
      </c>
      <c r="G132" s="341" t="n">
        <v>0</v>
      </c>
      <c r="H132" s="290">
        <f>SUM(C132:G132)</f>
        <v/>
      </c>
    </row>
    <row r="133" ht="12.75" customHeight="1">
      <c r="A133" s="130" t="n">
        <v>4663000</v>
      </c>
      <c r="B133" s="1" t="inlineStr">
        <is>
          <t>FINBL Rente vord DMRRP INV - I BV</t>
        </is>
      </c>
      <c r="D133" s="341" t="n">
        <v>0</v>
      </c>
      <c r="E133" s="341" t="n">
        <v>-288865</v>
      </c>
      <c r="F133" s="341" t="n">
        <v>-380384.59</v>
      </c>
      <c r="G133" s="341" t="n">
        <v>-456978.46</v>
      </c>
      <c r="H133" s="349">
        <f>SUM(C133:G133)</f>
        <v/>
      </c>
    </row>
    <row r="134" ht="12.75" customHeight="1">
      <c r="A134" s="130" t="inlineStr">
        <is>
          <t>4643000</t>
        </is>
      </c>
      <c r="B134" s="1" t="inlineStr">
        <is>
          <t>FINBL Overige rentelasten</t>
        </is>
      </c>
      <c r="D134" s="341" t="n">
        <v>100805.57</v>
      </c>
      <c r="E134" s="341" t="n">
        <v>39866.69</v>
      </c>
      <c r="F134" s="341" t="n">
        <v>-208809.65</v>
      </c>
      <c r="G134" s="341" t="n">
        <v>9994.129999999999</v>
      </c>
      <c r="H134" s="349">
        <f>SUM(C134:G134)</f>
        <v/>
      </c>
    </row>
    <row r="135" ht="12.75" customHeight="1">
      <c r="A135" s="130" t="n">
        <v>4642000</v>
      </c>
      <c r="B135" s="1" t="inlineStr">
        <is>
          <t>FINBL overige rentebaten</t>
        </is>
      </c>
      <c r="D135" s="341" t="n">
        <v>0</v>
      </c>
      <c r="E135" s="341" t="n">
        <v>0</v>
      </c>
      <c r="F135" s="341" t="n">
        <v>0</v>
      </c>
      <c r="G135" s="341" t="n">
        <v>0</v>
      </c>
      <c r="H135" s="290">
        <f>SUM(C135:G135)</f>
        <v/>
      </c>
    </row>
    <row r="136" ht="12.75" customHeight="1">
      <c r="A136" s="130" t="inlineStr">
        <is>
          <t>Totaal Financiële baten en lasten</t>
        </is>
      </c>
      <c r="D136" s="341">
        <f>SUM(D130:D135)</f>
        <v/>
      </c>
      <c r="E136" s="341">
        <f>SUM(E129:E135)</f>
        <v/>
      </c>
      <c r="F136" s="341">
        <f>SUM(F129:F135)</f>
        <v/>
      </c>
      <c r="G136" s="341">
        <f>SUM(G129:G135)</f>
        <v/>
      </c>
      <c r="H136" s="290">
        <f>SUM(C136:G136)</f>
        <v/>
      </c>
      <c r="J136" s="299">
        <f>G136+'Management Cijfers - Q4 2025'!R60+'Management Cijfers - Q4 2025'!R64+'Management Cijfers - Q4 2025'!R65</f>
        <v/>
      </c>
    </row>
    <row r="137" ht="12.75" customHeight="1">
      <c r="H137" s="290">
        <f>SUM(C137:G137)</f>
        <v/>
      </c>
    </row>
    <row r="138" ht="12.75" customHeight="1">
      <c r="A138" s="130" t="n">
        <v>9500000</v>
      </c>
      <c r="B138" s="1" t="inlineStr">
        <is>
          <t>VPB Vennootschapsbelasting VPB Huidg jaar</t>
        </is>
      </c>
      <c r="D138" s="341" t="n">
        <v>0</v>
      </c>
      <c r="E138" s="341" t="n">
        <v>1877813</v>
      </c>
      <c r="F138" s="341" t="n">
        <v>0</v>
      </c>
      <c r="G138" s="341" t="n">
        <v>0</v>
      </c>
      <c r="H138" s="290">
        <f>SUM(C138:G138)</f>
        <v/>
      </c>
    </row>
    <row r="139" ht="12.75" customHeight="1">
      <c r="A139" s="130" t="inlineStr">
        <is>
          <t>9510000</t>
        </is>
      </c>
      <c r="B139" s="1" t="inlineStr">
        <is>
          <t>VPB Mutatie belastinglatentie Mutatie actieve latentie</t>
        </is>
      </c>
      <c r="D139" s="341" t="n">
        <v>-165568</v>
      </c>
      <c r="E139" s="341" t="n">
        <v>-285289</v>
      </c>
      <c r="F139" s="341" t="n">
        <v>-181734</v>
      </c>
      <c r="G139" s="341" t="n">
        <v>-172942</v>
      </c>
      <c r="H139" s="290">
        <f>SUM(C139:G139)</f>
        <v/>
      </c>
      <c r="J139" s="299">
        <f>G139+'Management Cijfers - Q4 2025'!R67</f>
        <v/>
      </c>
    </row>
    <row r="140" ht="12.75" customHeight="1">
      <c r="A140" s="130" t="n">
        <v>9500100</v>
      </c>
      <c r="B140" s="1" t="inlineStr">
        <is>
          <t>VPB Vennootschapsbelasting VPB voorgaande jaren</t>
        </is>
      </c>
      <c r="D140" s="341" t="n">
        <v>0</v>
      </c>
      <c r="E140" s="341" t="n">
        <v>0</v>
      </c>
      <c r="G140" s="341" t="n">
        <v>0</v>
      </c>
      <c r="H140" s="290">
        <f>SUM(C140:G140)</f>
        <v/>
      </c>
    </row>
    <row r="141" ht="12.75" customHeight="1">
      <c r="A141" s="130" t="inlineStr">
        <is>
          <t>Totaal vennootschapsbelasting</t>
        </is>
      </c>
      <c r="C141" s="302" t="n"/>
      <c r="D141" s="302">
        <f>SUM(D138:D140)</f>
        <v/>
      </c>
      <c r="E141" s="302">
        <f>SUM(E138:E140)</f>
        <v/>
      </c>
      <c r="F141" s="302">
        <f>SUM(F138:F140)</f>
        <v/>
      </c>
      <c r="G141" s="302">
        <f>SUM(G138:G140)</f>
        <v/>
      </c>
      <c r="H141" s="349">
        <f>SUM(C141:G141)</f>
        <v/>
      </c>
    </row>
    <row r="142" ht="12.75" customHeight="1">
      <c r="H142" s="290">
        <f>SUM(C142:G142)</f>
        <v/>
      </c>
    </row>
    <row r="143" ht="12.75" customHeight="1">
      <c r="A143" s="1" t="inlineStr">
        <is>
          <t>Resultaat na belasting</t>
        </is>
      </c>
      <c r="D143" s="341">
        <f>D82+D88+D91+D95+D105+D110+D113+D127+D136+D141</f>
        <v/>
      </c>
      <c r="E143" s="341">
        <f>E82+E88+E91+E95+E105+E110+E113+E127+E136+E141</f>
        <v/>
      </c>
      <c r="F143" s="341">
        <f>F82+F88+F91+F95+F105+F110+F113+F127+F136+F141</f>
        <v/>
      </c>
      <c r="G143" s="341">
        <f>G82+G88+G91+G95+G105+G110+G113+G127+G136+G141</f>
        <v/>
      </c>
      <c r="H143" s="290">
        <f>SUM(C143:G143)</f>
        <v/>
      </c>
    </row>
    <row r="145" ht="12.75" customHeight="1">
      <c r="C145" s="346" t="n"/>
      <c r="D145" s="346">
        <f>SUM(D4:D76)+D143</f>
        <v/>
      </c>
      <c r="E145" s="346">
        <f>SUM(E4:E76)+E143</f>
        <v/>
      </c>
      <c r="F145" s="346">
        <f>SUM(F4:F76)+F143</f>
        <v/>
      </c>
      <c r="G145" s="346">
        <f>SUM(G4:G76)+G143</f>
        <v/>
      </c>
      <c r="H145" s="346">
        <f>SUM(H4:H76)+H143</f>
        <v/>
      </c>
    </row>
    <row r="147" ht="12.75" customHeight="1">
      <c r="A147" s="130" t="inlineStr">
        <is>
          <t>afschrijving SWAP</t>
        </is>
      </c>
      <c r="E147" s="289">
        <f>36883.33*3</f>
        <v/>
      </c>
      <c r="F147" s="289">
        <f>36883.33*3</f>
        <v/>
      </c>
      <c r="G147" s="289">
        <f>36883.33*3</f>
        <v/>
      </c>
    </row>
    <row r="148" ht="12.75" customHeight="1">
      <c r="A148" s="130" t="inlineStr">
        <is>
          <t>Inkomsten SWAP</t>
        </is>
      </c>
      <c r="D148" s="341">
        <f>D134</f>
        <v/>
      </c>
      <c r="E148" s="341" t="n">
        <v>-70783.30000000002</v>
      </c>
      <c r="F148" s="341" t="n">
        <v>-319459.64</v>
      </c>
      <c r="G148" s="341" t="n">
        <v>-100655.86</v>
      </c>
    </row>
    <row r="150" ht="12.75" customHeight="1">
      <c r="A150" s="130" t="inlineStr">
        <is>
          <t>Rente</t>
        </is>
      </c>
      <c r="D150" s="341">
        <f>D130</f>
        <v/>
      </c>
      <c r="E150" s="341">
        <f>E130</f>
        <v/>
      </c>
      <c r="F150" s="341">
        <f>F130</f>
        <v/>
      </c>
      <c r="G150" s="341">
        <f>G130</f>
        <v/>
      </c>
      <c r="H150" s="290">
        <f>SUM(D150:G150)</f>
        <v/>
      </c>
    </row>
    <row r="151" ht="12.75" customHeight="1">
      <c r="A151" s="130" t="inlineStr">
        <is>
          <t>SWAP</t>
        </is>
      </c>
      <c r="D151" s="341">
        <f>D148</f>
        <v/>
      </c>
      <c r="E151" s="341">
        <f>E148</f>
        <v/>
      </c>
      <c r="F151" s="341">
        <f>F148</f>
        <v/>
      </c>
      <c r="G151" s="341">
        <f>G148</f>
        <v/>
      </c>
      <c r="H151" s="290">
        <f>SUM(D151:G151)</f>
        <v/>
      </c>
    </row>
    <row r="152" ht="12.75" customHeight="1">
      <c r="A152" s="130" t="inlineStr">
        <is>
          <t>Afschrijving prepaid derivatives transaction</t>
        </is>
      </c>
      <c r="D152" s="341">
        <f>D147</f>
        <v/>
      </c>
      <c r="E152" s="341">
        <f>E147</f>
        <v/>
      </c>
      <c r="F152" s="341">
        <f>F147</f>
        <v/>
      </c>
      <c r="G152" s="341">
        <f>G147</f>
        <v/>
      </c>
      <c r="H152" s="290">
        <f>SUM(D152:G152)</f>
        <v/>
      </c>
    </row>
    <row r="153" ht="12.75" customHeight="1">
      <c r="A153" s="130" t="inlineStr">
        <is>
          <t>IC interest</t>
        </is>
      </c>
      <c r="E153" s="341">
        <f>E131+E133</f>
        <v/>
      </c>
      <c r="F153" s="341">
        <f>F131+F133</f>
        <v/>
      </c>
      <c r="G153" s="341">
        <f>G131+G133</f>
        <v/>
      </c>
      <c r="H153" s="290">
        <f>SUM(D153:G153)</f>
        <v/>
      </c>
    </row>
    <row r="154" ht="12.75" customHeight="1">
      <c r="D154" s="341">
        <f>SUM(D150:D153)</f>
        <v/>
      </c>
      <c r="E154" s="341">
        <f>SUM(E150:E153)</f>
        <v/>
      </c>
      <c r="F154" s="341">
        <f>SUM(F150:F153)</f>
        <v/>
      </c>
      <c r="G154" s="341">
        <f>SUM(G150:G153)</f>
        <v/>
      </c>
      <c r="H154" s="290">
        <f>SUM(D154:G154)</f>
        <v/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56"/>
  <sheetViews>
    <sheetView topLeftCell="A103" zoomScaleNormal="100" workbookViewId="0">
      <pane xSplit="2" topLeftCell="C1" activePane="topRight" state="frozen"/>
      <selection pane="topRight" activeCell="A121" sqref="A121"/>
    </sheetView>
  </sheetViews>
  <sheetFormatPr baseColWidth="8" defaultRowHeight="12.75" customHeight="1"/>
  <cols>
    <col width="21.109375" bestFit="1" customWidth="1" style="130" min="1" max="1"/>
    <col width="70" bestFit="1" customWidth="1" style="1" min="2" max="2"/>
    <col width="24.5546875" bestFit="1" customWidth="1" style="341" min="3" max="3"/>
    <col width="22.44140625" customWidth="1" style="341" min="4" max="7"/>
    <col width="19.44140625" bestFit="1" customWidth="1" style="290" min="8" max="8"/>
    <col width="9.109375" customWidth="1" style="1" min="9" max="9"/>
    <col width="11.33203125" bestFit="1" customWidth="1" style="1" min="10" max="10"/>
    <col width="9.109375" customWidth="1" style="1" min="11" max="11"/>
    <col width="10.88671875" bestFit="1" customWidth="1" style="1" min="12" max="12"/>
    <col width="16.5546875" bestFit="1" customWidth="1" style="1" min="13" max="13"/>
    <col width="33.44140625" customWidth="1" style="1" min="14" max="14"/>
    <col width="9.109375" customWidth="1" style="1" min="15" max="256"/>
    <col width="21.109375" bestFit="1" customWidth="1" style="1" min="257" max="257"/>
    <col width="70" bestFit="1" customWidth="1" style="1" min="258" max="258"/>
    <col width="24.5546875" bestFit="1" customWidth="1" style="1" min="259" max="259"/>
    <col width="22.44140625" customWidth="1" style="1" min="260" max="263"/>
    <col width="19.44140625" bestFit="1" customWidth="1" style="1" min="264" max="264"/>
    <col width="9.109375" customWidth="1" style="1" min="265" max="265"/>
    <col width="11.33203125" bestFit="1" customWidth="1" style="1" min="266" max="266"/>
    <col width="9.109375" customWidth="1" style="1" min="267" max="267"/>
    <col width="10.88671875" bestFit="1" customWidth="1" style="1" min="268" max="268"/>
    <col width="9.109375" customWidth="1" style="1" min="269" max="512"/>
    <col width="21.109375" bestFit="1" customWidth="1" style="1" min="513" max="513"/>
    <col width="70" bestFit="1" customWidth="1" style="1" min="514" max="514"/>
    <col width="24.5546875" bestFit="1" customWidth="1" style="1" min="515" max="515"/>
    <col width="22.44140625" customWidth="1" style="1" min="516" max="519"/>
    <col width="19.44140625" bestFit="1" customWidth="1" style="1" min="520" max="520"/>
    <col width="9.109375" customWidth="1" style="1" min="521" max="521"/>
    <col width="11.33203125" bestFit="1" customWidth="1" style="1" min="522" max="522"/>
    <col width="9.109375" customWidth="1" style="1" min="523" max="523"/>
    <col width="10.88671875" bestFit="1" customWidth="1" style="1" min="524" max="524"/>
    <col width="9.109375" customWidth="1" style="1" min="525" max="768"/>
    <col width="21.109375" bestFit="1" customWidth="1" style="1" min="769" max="769"/>
    <col width="70" bestFit="1" customWidth="1" style="1" min="770" max="770"/>
    <col width="24.5546875" bestFit="1" customWidth="1" style="1" min="771" max="771"/>
    <col width="22.44140625" customWidth="1" style="1" min="772" max="775"/>
    <col width="19.44140625" bestFit="1" customWidth="1" style="1" min="776" max="776"/>
    <col width="9.109375" customWidth="1" style="1" min="777" max="777"/>
    <col width="11.33203125" bestFit="1" customWidth="1" style="1" min="778" max="778"/>
    <col width="9.109375" customWidth="1" style="1" min="779" max="779"/>
    <col width="10.88671875" bestFit="1" customWidth="1" style="1" min="780" max="780"/>
    <col width="9.109375" customWidth="1" style="1" min="781" max="1024"/>
    <col width="21.109375" bestFit="1" customWidth="1" style="1" min="1025" max="1025"/>
    <col width="70" bestFit="1" customWidth="1" style="1" min="1026" max="1026"/>
    <col width="24.5546875" bestFit="1" customWidth="1" style="1" min="1027" max="1027"/>
    <col width="22.44140625" customWidth="1" style="1" min="1028" max="1031"/>
    <col width="19.44140625" bestFit="1" customWidth="1" style="1" min="1032" max="1032"/>
    <col width="9.109375" customWidth="1" style="1" min="1033" max="1033"/>
    <col width="11.33203125" bestFit="1" customWidth="1" style="1" min="1034" max="1034"/>
    <col width="9.109375" customWidth="1" style="1" min="1035" max="1035"/>
    <col width="10.88671875" bestFit="1" customWidth="1" style="1" min="1036" max="1036"/>
    <col width="9.109375" customWidth="1" style="1" min="1037" max="1280"/>
    <col width="21.109375" bestFit="1" customWidth="1" style="1" min="1281" max="1281"/>
    <col width="70" bestFit="1" customWidth="1" style="1" min="1282" max="1282"/>
    <col width="24.5546875" bestFit="1" customWidth="1" style="1" min="1283" max="1283"/>
    <col width="22.44140625" customWidth="1" style="1" min="1284" max="1287"/>
    <col width="19.44140625" bestFit="1" customWidth="1" style="1" min="1288" max="1288"/>
    <col width="9.109375" customWidth="1" style="1" min="1289" max="1289"/>
    <col width="11.33203125" bestFit="1" customWidth="1" style="1" min="1290" max="1290"/>
    <col width="9.109375" customWidth="1" style="1" min="1291" max="1291"/>
    <col width="10.88671875" bestFit="1" customWidth="1" style="1" min="1292" max="1292"/>
    <col width="9.109375" customWidth="1" style="1" min="1293" max="1536"/>
    <col width="21.109375" bestFit="1" customWidth="1" style="1" min="1537" max="1537"/>
    <col width="70" bestFit="1" customWidth="1" style="1" min="1538" max="1538"/>
    <col width="24.5546875" bestFit="1" customWidth="1" style="1" min="1539" max="1539"/>
    <col width="22.44140625" customWidth="1" style="1" min="1540" max="1543"/>
    <col width="19.44140625" bestFit="1" customWidth="1" style="1" min="1544" max="1544"/>
    <col width="9.109375" customWidth="1" style="1" min="1545" max="1545"/>
    <col width="11.33203125" bestFit="1" customWidth="1" style="1" min="1546" max="1546"/>
    <col width="9.109375" customWidth="1" style="1" min="1547" max="1547"/>
    <col width="10.88671875" bestFit="1" customWidth="1" style="1" min="1548" max="1548"/>
    <col width="9.109375" customWidth="1" style="1" min="1549" max="1792"/>
    <col width="21.109375" bestFit="1" customWidth="1" style="1" min="1793" max="1793"/>
    <col width="70" bestFit="1" customWidth="1" style="1" min="1794" max="1794"/>
    <col width="24.5546875" bestFit="1" customWidth="1" style="1" min="1795" max="1795"/>
    <col width="22.44140625" customWidth="1" style="1" min="1796" max="1799"/>
    <col width="19.44140625" bestFit="1" customWidth="1" style="1" min="1800" max="1800"/>
    <col width="9.109375" customWidth="1" style="1" min="1801" max="1801"/>
    <col width="11.33203125" bestFit="1" customWidth="1" style="1" min="1802" max="1802"/>
    <col width="9.109375" customWidth="1" style="1" min="1803" max="1803"/>
    <col width="10.88671875" bestFit="1" customWidth="1" style="1" min="1804" max="1804"/>
    <col width="9.109375" customWidth="1" style="1" min="1805" max="2048"/>
    <col width="21.109375" bestFit="1" customWidth="1" style="1" min="2049" max="2049"/>
    <col width="70" bestFit="1" customWidth="1" style="1" min="2050" max="2050"/>
    <col width="24.5546875" bestFit="1" customWidth="1" style="1" min="2051" max="2051"/>
    <col width="22.44140625" customWidth="1" style="1" min="2052" max="2055"/>
    <col width="19.44140625" bestFit="1" customWidth="1" style="1" min="2056" max="2056"/>
    <col width="9.109375" customWidth="1" style="1" min="2057" max="2057"/>
    <col width="11.33203125" bestFit="1" customWidth="1" style="1" min="2058" max="2058"/>
    <col width="9.109375" customWidth="1" style="1" min="2059" max="2059"/>
    <col width="10.88671875" bestFit="1" customWidth="1" style="1" min="2060" max="2060"/>
    <col width="9.109375" customWidth="1" style="1" min="2061" max="2304"/>
    <col width="21.109375" bestFit="1" customWidth="1" style="1" min="2305" max="2305"/>
    <col width="70" bestFit="1" customWidth="1" style="1" min="2306" max="2306"/>
    <col width="24.5546875" bestFit="1" customWidth="1" style="1" min="2307" max="2307"/>
    <col width="22.44140625" customWidth="1" style="1" min="2308" max="2311"/>
    <col width="19.44140625" bestFit="1" customWidth="1" style="1" min="2312" max="2312"/>
    <col width="9.109375" customWidth="1" style="1" min="2313" max="2313"/>
    <col width="11.33203125" bestFit="1" customWidth="1" style="1" min="2314" max="2314"/>
    <col width="9.109375" customWidth="1" style="1" min="2315" max="2315"/>
    <col width="10.88671875" bestFit="1" customWidth="1" style="1" min="2316" max="2316"/>
    <col width="9.109375" customWidth="1" style="1" min="2317" max="2560"/>
    <col width="21.109375" bestFit="1" customWidth="1" style="1" min="2561" max="2561"/>
    <col width="70" bestFit="1" customWidth="1" style="1" min="2562" max="2562"/>
    <col width="24.5546875" bestFit="1" customWidth="1" style="1" min="2563" max="2563"/>
    <col width="22.44140625" customWidth="1" style="1" min="2564" max="2567"/>
    <col width="19.44140625" bestFit="1" customWidth="1" style="1" min="2568" max="2568"/>
    <col width="9.109375" customWidth="1" style="1" min="2569" max="2569"/>
    <col width="11.33203125" bestFit="1" customWidth="1" style="1" min="2570" max="2570"/>
    <col width="9.109375" customWidth="1" style="1" min="2571" max="2571"/>
    <col width="10.88671875" bestFit="1" customWidth="1" style="1" min="2572" max="2572"/>
    <col width="9.109375" customWidth="1" style="1" min="2573" max="2816"/>
    <col width="21.109375" bestFit="1" customWidth="1" style="1" min="2817" max="2817"/>
    <col width="70" bestFit="1" customWidth="1" style="1" min="2818" max="2818"/>
    <col width="24.5546875" bestFit="1" customWidth="1" style="1" min="2819" max="2819"/>
    <col width="22.44140625" customWidth="1" style="1" min="2820" max="2823"/>
    <col width="19.44140625" bestFit="1" customWidth="1" style="1" min="2824" max="2824"/>
    <col width="9.109375" customWidth="1" style="1" min="2825" max="2825"/>
    <col width="11.33203125" bestFit="1" customWidth="1" style="1" min="2826" max="2826"/>
    <col width="9.109375" customWidth="1" style="1" min="2827" max="2827"/>
    <col width="10.88671875" bestFit="1" customWidth="1" style="1" min="2828" max="2828"/>
    <col width="9.109375" customWidth="1" style="1" min="2829" max="3072"/>
    <col width="21.109375" bestFit="1" customWidth="1" style="1" min="3073" max="3073"/>
    <col width="70" bestFit="1" customWidth="1" style="1" min="3074" max="3074"/>
    <col width="24.5546875" bestFit="1" customWidth="1" style="1" min="3075" max="3075"/>
    <col width="22.44140625" customWidth="1" style="1" min="3076" max="3079"/>
    <col width="19.44140625" bestFit="1" customWidth="1" style="1" min="3080" max="3080"/>
    <col width="9.109375" customWidth="1" style="1" min="3081" max="3081"/>
    <col width="11.33203125" bestFit="1" customWidth="1" style="1" min="3082" max="3082"/>
    <col width="9.109375" customWidth="1" style="1" min="3083" max="3083"/>
    <col width="10.88671875" bestFit="1" customWidth="1" style="1" min="3084" max="3084"/>
    <col width="9.109375" customWidth="1" style="1" min="3085" max="3328"/>
    <col width="21.109375" bestFit="1" customWidth="1" style="1" min="3329" max="3329"/>
    <col width="70" bestFit="1" customWidth="1" style="1" min="3330" max="3330"/>
    <col width="24.5546875" bestFit="1" customWidth="1" style="1" min="3331" max="3331"/>
    <col width="22.44140625" customWidth="1" style="1" min="3332" max="3335"/>
    <col width="19.44140625" bestFit="1" customWidth="1" style="1" min="3336" max="3336"/>
    <col width="9.109375" customWidth="1" style="1" min="3337" max="3337"/>
    <col width="11.33203125" bestFit="1" customWidth="1" style="1" min="3338" max="3338"/>
    <col width="9.109375" customWidth="1" style="1" min="3339" max="3339"/>
    <col width="10.88671875" bestFit="1" customWidth="1" style="1" min="3340" max="3340"/>
    <col width="9.109375" customWidth="1" style="1" min="3341" max="3584"/>
    <col width="21.109375" bestFit="1" customWidth="1" style="1" min="3585" max="3585"/>
    <col width="70" bestFit="1" customWidth="1" style="1" min="3586" max="3586"/>
    <col width="24.5546875" bestFit="1" customWidth="1" style="1" min="3587" max="3587"/>
    <col width="22.44140625" customWidth="1" style="1" min="3588" max="3591"/>
    <col width="19.44140625" bestFit="1" customWidth="1" style="1" min="3592" max="3592"/>
    <col width="9.109375" customWidth="1" style="1" min="3593" max="3593"/>
    <col width="11.33203125" bestFit="1" customWidth="1" style="1" min="3594" max="3594"/>
    <col width="9.109375" customWidth="1" style="1" min="3595" max="3595"/>
    <col width="10.88671875" bestFit="1" customWidth="1" style="1" min="3596" max="3596"/>
    <col width="9.109375" customWidth="1" style="1" min="3597" max="3840"/>
    <col width="21.109375" bestFit="1" customWidth="1" style="1" min="3841" max="3841"/>
    <col width="70" bestFit="1" customWidth="1" style="1" min="3842" max="3842"/>
    <col width="24.5546875" bestFit="1" customWidth="1" style="1" min="3843" max="3843"/>
    <col width="22.44140625" customWidth="1" style="1" min="3844" max="3847"/>
    <col width="19.44140625" bestFit="1" customWidth="1" style="1" min="3848" max="3848"/>
    <col width="9.109375" customWidth="1" style="1" min="3849" max="3849"/>
    <col width="11.33203125" bestFit="1" customWidth="1" style="1" min="3850" max="3850"/>
    <col width="9.109375" customWidth="1" style="1" min="3851" max="3851"/>
    <col width="10.88671875" bestFit="1" customWidth="1" style="1" min="3852" max="3852"/>
    <col width="9.109375" customWidth="1" style="1" min="3853" max="4096"/>
    <col width="21.109375" bestFit="1" customWidth="1" style="1" min="4097" max="4097"/>
    <col width="70" bestFit="1" customWidth="1" style="1" min="4098" max="4098"/>
    <col width="24.5546875" bestFit="1" customWidth="1" style="1" min="4099" max="4099"/>
    <col width="22.44140625" customWidth="1" style="1" min="4100" max="4103"/>
    <col width="19.44140625" bestFit="1" customWidth="1" style="1" min="4104" max="4104"/>
    <col width="9.109375" customWidth="1" style="1" min="4105" max="4105"/>
    <col width="11.33203125" bestFit="1" customWidth="1" style="1" min="4106" max="4106"/>
    <col width="9.109375" customWidth="1" style="1" min="4107" max="4107"/>
    <col width="10.88671875" bestFit="1" customWidth="1" style="1" min="4108" max="4108"/>
    <col width="9.109375" customWidth="1" style="1" min="4109" max="4352"/>
    <col width="21.109375" bestFit="1" customWidth="1" style="1" min="4353" max="4353"/>
    <col width="70" bestFit="1" customWidth="1" style="1" min="4354" max="4354"/>
    <col width="24.5546875" bestFit="1" customWidth="1" style="1" min="4355" max="4355"/>
    <col width="22.44140625" customWidth="1" style="1" min="4356" max="4359"/>
    <col width="19.44140625" bestFit="1" customWidth="1" style="1" min="4360" max="4360"/>
    <col width="9.109375" customWidth="1" style="1" min="4361" max="4361"/>
    <col width="11.33203125" bestFit="1" customWidth="1" style="1" min="4362" max="4362"/>
    <col width="9.109375" customWidth="1" style="1" min="4363" max="4363"/>
    <col width="10.88671875" bestFit="1" customWidth="1" style="1" min="4364" max="4364"/>
    <col width="9.109375" customWidth="1" style="1" min="4365" max="4608"/>
    <col width="21.109375" bestFit="1" customWidth="1" style="1" min="4609" max="4609"/>
    <col width="70" bestFit="1" customWidth="1" style="1" min="4610" max="4610"/>
    <col width="24.5546875" bestFit="1" customWidth="1" style="1" min="4611" max="4611"/>
    <col width="22.44140625" customWidth="1" style="1" min="4612" max="4615"/>
    <col width="19.44140625" bestFit="1" customWidth="1" style="1" min="4616" max="4616"/>
    <col width="9.109375" customWidth="1" style="1" min="4617" max="4617"/>
    <col width="11.33203125" bestFit="1" customWidth="1" style="1" min="4618" max="4618"/>
    <col width="9.109375" customWidth="1" style="1" min="4619" max="4619"/>
    <col width="10.88671875" bestFit="1" customWidth="1" style="1" min="4620" max="4620"/>
    <col width="9.109375" customWidth="1" style="1" min="4621" max="4864"/>
    <col width="21.109375" bestFit="1" customWidth="1" style="1" min="4865" max="4865"/>
    <col width="70" bestFit="1" customWidth="1" style="1" min="4866" max="4866"/>
    <col width="24.5546875" bestFit="1" customWidth="1" style="1" min="4867" max="4867"/>
    <col width="22.44140625" customWidth="1" style="1" min="4868" max="4871"/>
    <col width="19.44140625" bestFit="1" customWidth="1" style="1" min="4872" max="4872"/>
    <col width="9.109375" customWidth="1" style="1" min="4873" max="4873"/>
    <col width="11.33203125" bestFit="1" customWidth="1" style="1" min="4874" max="4874"/>
    <col width="9.109375" customWidth="1" style="1" min="4875" max="4875"/>
    <col width="10.88671875" bestFit="1" customWidth="1" style="1" min="4876" max="4876"/>
    <col width="9.109375" customWidth="1" style="1" min="4877" max="5120"/>
    <col width="21.109375" bestFit="1" customWidth="1" style="1" min="5121" max="5121"/>
    <col width="70" bestFit="1" customWidth="1" style="1" min="5122" max="5122"/>
    <col width="24.5546875" bestFit="1" customWidth="1" style="1" min="5123" max="5123"/>
    <col width="22.44140625" customWidth="1" style="1" min="5124" max="5127"/>
    <col width="19.44140625" bestFit="1" customWidth="1" style="1" min="5128" max="5128"/>
    <col width="9.109375" customWidth="1" style="1" min="5129" max="5129"/>
    <col width="11.33203125" bestFit="1" customWidth="1" style="1" min="5130" max="5130"/>
    <col width="9.109375" customWidth="1" style="1" min="5131" max="5131"/>
    <col width="10.88671875" bestFit="1" customWidth="1" style="1" min="5132" max="5132"/>
    <col width="9.109375" customWidth="1" style="1" min="5133" max="5376"/>
    <col width="21.109375" bestFit="1" customWidth="1" style="1" min="5377" max="5377"/>
    <col width="70" bestFit="1" customWidth="1" style="1" min="5378" max="5378"/>
    <col width="24.5546875" bestFit="1" customWidth="1" style="1" min="5379" max="5379"/>
    <col width="22.44140625" customWidth="1" style="1" min="5380" max="5383"/>
    <col width="19.44140625" bestFit="1" customWidth="1" style="1" min="5384" max="5384"/>
    <col width="9.109375" customWidth="1" style="1" min="5385" max="5385"/>
    <col width="11.33203125" bestFit="1" customWidth="1" style="1" min="5386" max="5386"/>
    <col width="9.109375" customWidth="1" style="1" min="5387" max="5387"/>
    <col width="10.88671875" bestFit="1" customWidth="1" style="1" min="5388" max="5388"/>
    <col width="9.109375" customWidth="1" style="1" min="5389" max="5632"/>
    <col width="21.109375" bestFit="1" customWidth="1" style="1" min="5633" max="5633"/>
    <col width="70" bestFit="1" customWidth="1" style="1" min="5634" max="5634"/>
    <col width="24.5546875" bestFit="1" customWidth="1" style="1" min="5635" max="5635"/>
    <col width="22.44140625" customWidth="1" style="1" min="5636" max="5639"/>
    <col width="19.44140625" bestFit="1" customWidth="1" style="1" min="5640" max="5640"/>
    <col width="9.109375" customWidth="1" style="1" min="5641" max="5641"/>
    <col width="11.33203125" bestFit="1" customWidth="1" style="1" min="5642" max="5642"/>
    <col width="9.109375" customWidth="1" style="1" min="5643" max="5643"/>
    <col width="10.88671875" bestFit="1" customWidth="1" style="1" min="5644" max="5644"/>
    <col width="9.109375" customWidth="1" style="1" min="5645" max="5888"/>
    <col width="21.109375" bestFit="1" customWidth="1" style="1" min="5889" max="5889"/>
    <col width="70" bestFit="1" customWidth="1" style="1" min="5890" max="5890"/>
    <col width="24.5546875" bestFit="1" customWidth="1" style="1" min="5891" max="5891"/>
    <col width="22.44140625" customWidth="1" style="1" min="5892" max="5895"/>
    <col width="19.44140625" bestFit="1" customWidth="1" style="1" min="5896" max="5896"/>
    <col width="9.109375" customWidth="1" style="1" min="5897" max="5897"/>
    <col width="11.33203125" bestFit="1" customWidth="1" style="1" min="5898" max="5898"/>
    <col width="9.109375" customWidth="1" style="1" min="5899" max="5899"/>
    <col width="10.88671875" bestFit="1" customWidth="1" style="1" min="5900" max="5900"/>
    <col width="9.109375" customWidth="1" style="1" min="5901" max="6144"/>
    <col width="21.109375" bestFit="1" customWidth="1" style="1" min="6145" max="6145"/>
    <col width="70" bestFit="1" customWidth="1" style="1" min="6146" max="6146"/>
    <col width="24.5546875" bestFit="1" customWidth="1" style="1" min="6147" max="6147"/>
    <col width="22.44140625" customWidth="1" style="1" min="6148" max="6151"/>
    <col width="19.44140625" bestFit="1" customWidth="1" style="1" min="6152" max="6152"/>
    <col width="9.109375" customWidth="1" style="1" min="6153" max="6153"/>
    <col width="11.33203125" bestFit="1" customWidth="1" style="1" min="6154" max="6154"/>
    <col width="9.109375" customWidth="1" style="1" min="6155" max="6155"/>
    <col width="10.88671875" bestFit="1" customWidth="1" style="1" min="6156" max="6156"/>
    <col width="9.109375" customWidth="1" style="1" min="6157" max="6400"/>
    <col width="21.109375" bestFit="1" customWidth="1" style="1" min="6401" max="6401"/>
    <col width="70" bestFit="1" customWidth="1" style="1" min="6402" max="6402"/>
    <col width="24.5546875" bestFit="1" customWidth="1" style="1" min="6403" max="6403"/>
    <col width="22.44140625" customWidth="1" style="1" min="6404" max="6407"/>
    <col width="19.44140625" bestFit="1" customWidth="1" style="1" min="6408" max="6408"/>
    <col width="9.109375" customWidth="1" style="1" min="6409" max="6409"/>
    <col width="11.33203125" bestFit="1" customWidth="1" style="1" min="6410" max="6410"/>
    <col width="9.109375" customWidth="1" style="1" min="6411" max="6411"/>
    <col width="10.88671875" bestFit="1" customWidth="1" style="1" min="6412" max="6412"/>
    <col width="9.109375" customWidth="1" style="1" min="6413" max="6656"/>
    <col width="21.109375" bestFit="1" customWidth="1" style="1" min="6657" max="6657"/>
    <col width="70" bestFit="1" customWidth="1" style="1" min="6658" max="6658"/>
    <col width="24.5546875" bestFit="1" customWidth="1" style="1" min="6659" max="6659"/>
    <col width="22.44140625" customWidth="1" style="1" min="6660" max="6663"/>
    <col width="19.44140625" bestFit="1" customWidth="1" style="1" min="6664" max="6664"/>
    <col width="9.109375" customWidth="1" style="1" min="6665" max="6665"/>
    <col width="11.33203125" bestFit="1" customWidth="1" style="1" min="6666" max="6666"/>
    <col width="9.109375" customWidth="1" style="1" min="6667" max="6667"/>
    <col width="10.88671875" bestFit="1" customWidth="1" style="1" min="6668" max="6668"/>
    <col width="9.109375" customWidth="1" style="1" min="6669" max="6912"/>
    <col width="21.109375" bestFit="1" customWidth="1" style="1" min="6913" max="6913"/>
    <col width="70" bestFit="1" customWidth="1" style="1" min="6914" max="6914"/>
    <col width="24.5546875" bestFit="1" customWidth="1" style="1" min="6915" max="6915"/>
    <col width="22.44140625" customWidth="1" style="1" min="6916" max="6919"/>
    <col width="19.44140625" bestFit="1" customWidth="1" style="1" min="6920" max="6920"/>
    <col width="9.109375" customWidth="1" style="1" min="6921" max="6921"/>
    <col width="11.33203125" bestFit="1" customWidth="1" style="1" min="6922" max="6922"/>
    <col width="9.109375" customWidth="1" style="1" min="6923" max="6923"/>
    <col width="10.88671875" bestFit="1" customWidth="1" style="1" min="6924" max="6924"/>
    <col width="9.109375" customWidth="1" style="1" min="6925" max="7168"/>
    <col width="21.109375" bestFit="1" customWidth="1" style="1" min="7169" max="7169"/>
    <col width="70" bestFit="1" customWidth="1" style="1" min="7170" max="7170"/>
    <col width="24.5546875" bestFit="1" customWidth="1" style="1" min="7171" max="7171"/>
    <col width="22.44140625" customWidth="1" style="1" min="7172" max="7175"/>
    <col width="19.44140625" bestFit="1" customWidth="1" style="1" min="7176" max="7176"/>
    <col width="9.109375" customWidth="1" style="1" min="7177" max="7177"/>
    <col width="11.33203125" bestFit="1" customWidth="1" style="1" min="7178" max="7178"/>
    <col width="9.109375" customWidth="1" style="1" min="7179" max="7179"/>
    <col width="10.88671875" bestFit="1" customWidth="1" style="1" min="7180" max="7180"/>
    <col width="9.109375" customWidth="1" style="1" min="7181" max="7424"/>
    <col width="21.109375" bestFit="1" customWidth="1" style="1" min="7425" max="7425"/>
    <col width="70" bestFit="1" customWidth="1" style="1" min="7426" max="7426"/>
    <col width="24.5546875" bestFit="1" customWidth="1" style="1" min="7427" max="7427"/>
    <col width="22.44140625" customWidth="1" style="1" min="7428" max="7431"/>
    <col width="19.44140625" bestFit="1" customWidth="1" style="1" min="7432" max="7432"/>
    <col width="9.109375" customWidth="1" style="1" min="7433" max="7433"/>
    <col width="11.33203125" bestFit="1" customWidth="1" style="1" min="7434" max="7434"/>
    <col width="9.109375" customWidth="1" style="1" min="7435" max="7435"/>
    <col width="10.88671875" bestFit="1" customWidth="1" style="1" min="7436" max="7436"/>
    <col width="9.109375" customWidth="1" style="1" min="7437" max="7680"/>
    <col width="21.109375" bestFit="1" customWidth="1" style="1" min="7681" max="7681"/>
    <col width="70" bestFit="1" customWidth="1" style="1" min="7682" max="7682"/>
    <col width="24.5546875" bestFit="1" customWidth="1" style="1" min="7683" max="7683"/>
    <col width="22.44140625" customWidth="1" style="1" min="7684" max="7687"/>
    <col width="19.44140625" bestFit="1" customWidth="1" style="1" min="7688" max="7688"/>
    <col width="9.109375" customWidth="1" style="1" min="7689" max="7689"/>
    <col width="11.33203125" bestFit="1" customWidth="1" style="1" min="7690" max="7690"/>
    <col width="9.109375" customWidth="1" style="1" min="7691" max="7691"/>
    <col width="10.88671875" bestFit="1" customWidth="1" style="1" min="7692" max="7692"/>
    <col width="9.109375" customWidth="1" style="1" min="7693" max="7936"/>
    <col width="21.109375" bestFit="1" customWidth="1" style="1" min="7937" max="7937"/>
    <col width="70" bestFit="1" customWidth="1" style="1" min="7938" max="7938"/>
    <col width="24.5546875" bestFit="1" customWidth="1" style="1" min="7939" max="7939"/>
    <col width="22.44140625" customWidth="1" style="1" min="7940" max="7943"/>
    <col width="19.44140625" bestFit="1" customWidth="1" style="1" min="7944" max="7944"/>
    <col width="9.109375" customWidth="1" style="1" min="7945" max="7945"/>
    <col width="11.33203125" bestFit="1" customWidth="1" style="1" min="7946" max="7946"/>
    <col width="9.109375" customWidth="1" style="1" min="7947" max="7947"/>
    <col width="10.88671875" bestFit="1" customWidth="1" style="1" min="7948" max="7948"/>
    <col width="9.109375" customWidth="1" style="1" min="7949" max="8192"/>
    <col width="21.109375" bestFit="1" customWidth="1" style="1" min="8193" max="8193"/>
    <col width="70" bestFit="1" customWidth="1" style="1" min="8194" max="8194"/>
    <col width="24.5546875" bestFit="1" customWidth="1" style="1" min="8195" max="8195"/>
    <col width="22.44140625" customWidth="1" style="1" min="8196" max="8199"/>
    <col width="19.44140625" bestFit="1" customWidth="1" style="1" min="8200" max="8200"/>
    <col width="9.109375" customWidth="1" style="1" min="8201" max="8201"/>
    <col width="11.33203125" bestFit="1" customWidth="1" style="1" min="8202" max="8202"/>
    <col width="9.109375" customWidth="1" style="1" min="8203" max="8203"/>
    <col width="10.88671875" bestFit="1" customWidth="1" style="1" min="8204" max="8204"/>
    <col width="9.109375" customWidth="1" style="1" min="8205" max="8448"/>
    <col width="21.109375" bestFit="1" customWidth="1" style="1" min="8449" max="8449"/>
    <col width="70" bestFit="1" customWidth="1" style="1" min="8450" max="8450"/>
    <col width="24.5546875" bestFit="1" customWidth="1" style="1" min="8451" max="8451"/>
    <col width="22.44140625" customWidth="1" style="1" min="8452" max="8455"/>
    <col width="19.44140625" bestFit="1" customWidth="1" style="1" min="8456" max="8456"/>
    <col width="9.109375" customWidth="1" style="1" min="8457" max="8457"/>
    <col width="11.33203125" bestFit="1" customWidth="1" style="1" min="8458" max="8458"/>
    <col width="9.109375" customWidth="1" style="1" min="8459" max="8459"/>
    <col width="10.88671875" bestFit="1" customWidth="1" style="1" min="8460" max="8460"/>
    <col width="9.109375" customWidth="1" style="1" min="8461" max="8704"/>
    <col width="21.109375" bestFit="1" customWidth="1" style="1" min="8705" max="8705"/>
    <col width="70" bestFit="1" customWidth="1" style="1" min="8706" max="8706"/>
    <col width="24.5546875" bestFit="1" customWidth="1" style="1" min="8707" max="8707"/>
    <col width="22.44140625" customWidth="1" style="1" min="8708" max="8711"/>
    <col width="19.44140625" bestFit="1" customWidth="1" style="1" min="8712" max="8712"/>
    <col width="9.109375" customWidth="1" style="1" min="8713" max="8713"/>
    <col width="11.33203125" bestFit="1" customWidth="1" style="1" min="8714" max="8714"/>
    <col width="9.109375" customWidth="1" style="1" min="8715" max="8715"/>
    <col width="10.88671875" bestFit="1" customWidth="1" style="1" min="8716" max="8716"/>
    <col width="9.109375" customWidth="1" style="1" min="8717" max="8960"/>
    <col width="21.109375" bestFit="1" customWidth="1" style="1" min="8961" max="8961"/>
    <col width="70" bestFit="1" customWidth="1" style="1" min="8962" max="8962"/>
    <col width="24.5546875" bestFit="1" customWidth="1" style="1" min="8963" max="8963"/>
    <col width="22.44140625" customWidth="1" style="1" min="8964" max="8967"/>
    <col width="19.44140625" bestFit="1" customWidth="1" style="1" min="8968" max="8968"/>
    <col width="9.109375" customWidth="1" style="1" min="8969" max="8969"/>
    <col width="11.33203125" bestFit="1" customWidth="1" style="1" min="8970" max="8970"/>
    <col width="9.109375" customWidth="1" style="1" min="8971" max="8971"/>
    <col width="10.88671875" bestFit="1" customWidth="1" style="1" min="8972" max="8972"/>
    <col width="9.109375" customWidth="1" style="1" min="8973" max="9216"/>
    <col width="21.109375" bestFit="1" customWidth="1" style="1" min="9217" max="9217"/>
    <col width="70" bestFit="1" customWidth="1" style="1" min="9218" max="9218"/>
    <col width="24.5546875" bestFit="1" customWidth="1" style="1" min="9219" max="9219"/>
    <col width="22.44140625" customWidth="1" style="1" min="9220" max="9223"/>
    <col width="19.44140625" bestFit="1" customWidth="1" style="1" min="9224" max="9224"/>
    <col width="9.109375" customWidth="1" style="1" min="9225" max="9225"/>
    <col width="11.33203125" bestFit="1" customWidth="1" style="1" min="9226" max="9226"/>
    <col width="9.109375" customWidth="1" style="1" min="9227" max="9227"/>
    <col width="10.88671875" bestFit="1" customWidth="1" style="1" min="9228" max="9228"/>
    <col width="9.109375" customWidth="1" style="1" min="9229" max="9472"/>
    <col width="21.109375" bestFit="1" customWidth="1" style="1" min="9473" max="9473"/>
    <col width="70" bestFit="1" customWidth="1" style="1" min="9474" max="9474"/>
    <col width="24.5546875" bestFit="1" customWidth="1" style="1" min="9475" max="9475"/>
    <col width="22.44140625" customWidth="1" style="1" min="9476" max="9479"/>
    <col width="19.44140625" bestFit="1" customWidth="1" style="1" min="9480" max="9480"/>
    <col width="9.109375" customWidth="1" style="1" min="9481" max="9481"/>
    <col width="11.33203125" bestFit="1" customWidth="1" style="1" min="9482" max="9482"/>
    <col width="9.109375" customWidth="1" style="1" min="9483" max="9483"/>
    <col width="10.88671875" bestFit="1" customWidth="1" style="1" min="9484" max="9484"/>
    <col width="9.109375" customWidth="1" style="1" min="9485" max="9728"/>
    <col width="21.109375" bestFit="1" customWidth="1" style="1" min="9729" max="9729"/>
    <col width="70" bestFit="1" customWidth="1" style="1" min="9730" max="9730"/>
    <col width="24.5546875" bestFit="1" customWidth="1" style="1" min="9731" max="9731"/>
    <col width="22.44140625" customWidth="1" style="1" min="9732" max="9735"/>
    <col width="19.44140625" bestFit="1" customWidth="1" style="1" min="9736" max="9736"/>
    <col width="9.109375" customWidth="1" style="1" min="9737" max="9737"/>
    <col width="11.33203125" bestFit="1" customWidth="1" style="1" min="9738" max="9738"/>
    <col width="9.109375" customWidth="1" style="1" min="9739" max="9739"/>
    <col width="10.88671875" bestFit="1" customWidth="1" style="1" min="9740" max="9740"/>
    <col width="9.109375" customWidth="1" style="1" min="9741" max="9984"/>
    <col width="21.109375" bestFit="1" customWidth="1" style="1" min="9985" max="9985"/>
    <col width="70" bestFit="1" customWidth="1" style="1" min="9986" max="9986"/>
    <col width="24.5546875" bestFit="1" customWidth="1" style="1" min="9987" max="9987"/>
    <col width="22.44140625" customWidth="1" style="1" min="9988" max="9991"/>
    <col width="19.44140625" bestFit="1" customWidth="1" style="1" min="9992" max="9992"/>
    <col width="9.109375" customWidth="1" style="1" min="9993" max="9993"/>
    <col width="11.33203125" bestFit="1" customWidth="1" style="1" min="9994" max="9994"/>
    <col width="9.109375" customWidth="1" style="1" min="9995" max="9995"/>
    <col width="10.88671875" bestFit="1" customWidth="1" style="1" min="9996" max="9996"/>
    <col width="9.109375" customWidth="1" style="1" min="9997" max="10240"/>
    <col width="21.109375" bestFit="1" customWidth="1" style="1" min="10241" max="10241"/>
    <col width="70" bestFit="1" customWidth="1" style="1" min="10242" max="10242"/>
    <col width="24.5546875" bestFit="1" customWidth="1" style="1" min="10243" max="10243"/>
    <col width="22.44140625" customWidth="1" style="1" min="10244" max="10247"/>
    <col width="19.44140625" bestFit="1" customWidth="1" style="1" min="10248" max="10248"/>
    <col width="9.109375" customWidth="1" style="1" min="10249" max="10249"/>
    <col width="11.33203125" bestFit="1" customWidth="1" style="1" min="10250" max="10250"/>
    <col width="9.109375" customWidth="1" style="1" min="10251" max="10251"/>
    <col width="10.88671875" bestFit="1" customWidth="1" style="1" min="10252" max="10252"/>
    <col width="9.109375" customWidth="1" style="1" min="10253" max="10496"/>
    <col width="21.109375" bestFit="1" customWidth="1" style="1" min="10497" max="10497"/>
    <col width="70" bestFit="1" customWidth="1" style="1" min="10498" max="10498"/>
    <col width="24.5546875" bestFit="1" customWidth="1" style="1" min="10499" max="10499"/>
    <col width="22.44140625" customWidth="1" style="1" min="10500" max="10503"/>
    <col width="19.44140625" bestFit="1" customWidth="1" style="1" min="10504" max="10504"/>
    <col width="9.109375" customWidth="1" style="1" min="10505" max="10505"/>
    <col width="11.33203125" bestFit="1" customWidth="1" style="1" min="10506" max="10506"/>
    <col width="9.109375" customWidth="1" style="1" min="10507" max="10507"/>
    <col width="10.88671875" bestFit="1" customWidth="1" style="1" min="10508" max="10508"/>
    <col width="9.109375" customWidth="1" style="1" min="10509" max="10752"/>
    <col width="21.109375" bestFit="1" customWidth="1" style="1" min="10753" max="10753"/>
    <col width="70" bestFit="1" customWidth="1" style="1" min="10754" max="10754"/>
    <col width="24.5546875" bestFit="1" customWidth="1" style="1" min="10755" max="10755"/>
    <col width="22.44140625" customWidth="1" style="1" min="10756" max="10759"/>
    <col width="19.44140625" bestFit="1" customWidth="1" style="1" min="10760" max="10760"/>
    <col width="9.109375" customWidth="1" style="1" min="10761" max="10761"/>
    <col width="11.33203125" bestFit="1" customWidth="1" style="1" min="10762" max="10762"/>
    <col width="9.109375" customWidth="1" style="1" min="10763" max="10763"/>
    <col width="10.88671875" bestFit="1" customWidth="1" style="1" min="10764" max="10764"/>
    <col width="9.109375" customWidth="1" style="1" min="10765" max="11008"/>
    <col width="21.109375" bestFit="1" customWidth="1" style="1" min="11009" max="11009"/>
    <col width="70" bestFit="1" customWidth="1" style="1" min="11010" max="11010"/>
    <col width="24.5546875" bestFit="1" customWidth="1" style="1" min="11011" max="11011"/>
    <col width="22.44140625" customWidth="1" style="1" min="11012" max="11015"/>
    <col width="19.44140625" bestFit="1" customWidth="1" style="1" min="11016" max="11016"/>
    <col width="9.109375" customWidth="1" style="1" min="11017" max="11017"/>
    <col width="11.33203125" bestFit="1" customWidth="1" style="1" min="11018" max="11018"/>
    <col width="9.109375" customWidth="1" style="1" min="11019" max="11019"/>
    <col width="10.88671875" bestFit="1" customWidth="1" style="1" min="11020" max="11020"/>
    <col width="9.109375" customWidth="1" style="1" min="11021" max="11264"/>
    <col width="21.109375" bestFit="1" customWidth="1" style="1" min="11265" max="11265"/>
    <col width="70" bestFit="1" customWidth="1" style="1" min="11266" max="11266"/>
    <col width="24.5546875" bestFit="1" customWidth="1" style="1" min="11267" max="11267"/>
    <col width="22.44140625" customWidth="1" style="1" min="11268" max="11271"/>
    <col width="19.44140625" bestFit="1" customWidth="1" style="1" min="11272" max="11272"/>
    <col width="9.109375" customWidth="1" style="1" min="11273" max="11273"/>
    <col width="11.33203125" bestFit="1" customWidth="1" style="1" min="11274" max="11274"/>
    <col width="9.109375" customWidth="1" style="1" min="11275" max="11275"/>
    <col width="10.88671875" bestFit="1" customWidth="1" style="1" min="11276" max="11276"/>
    <col width="9.109375" customWidth="1" style="1" min="11277" max="11520"/>
    <col width="21.109375" bestFit="1" customWidth="1" style="1" min="11521" max="11521"/>
    <col width="70" bestFit="1" customWidth="1" style="1" min="11522" max="11522"/>
    <col width="24.5546875" bestFit="1" customWidth="1" style="1" min="11523" max="11523"/>
    <col width="22.44140625" customWidth="1" style="1" min="11524" max="11527"/>
    <col width="19.44140625" bestFit="1" customWidth="1" style="1" min="11528" max="11528"/>
    <col width="9.109375" customWidth="1" style="1" min="11529" max="11529"/>
    <col width="11.33203125" bestFit="1" customWidth="1" style="1" min="11530" max="11530"/>
    <col width="9.109375" customWidth="1" style="1" min="11531" max="11531"/>
    <col width="10.88671875" bestFit="1" customWidth="1" style="1" min="11532" max="11532"/>
    <col width="9.109375" customWidth="1" style="1" min="11533" max="11776"/>
    <col width="21.109375" bestFit="1" customWidth="1" style="1" min="11777" max="11777"/>
    <col width="70" bestFit="1" customWidth="1" style="1" min="11778" max="11778"/>
    <col width="24.5546875" bestFit="1" customWidth="1" style="1" min="11779" max="11779"/>
    <col width="22.44140625" customWidth="1" style="1" min="11780" max="11783"/>
    <col width="19.44140625" bestFit="1" customWidth="1" style="1" min="11784" max="11784"/>
    <col width="9.109375" customWidth="1" style="1" min="11785" max="11785"/>
    <col width="11.33203125" bestFit="1" customWidth="1" style="1" min="11786" max="11786"/>
    <col width="9.109375" customWidth="1" style="1" min="11787" max="11787"/>
    <col width="10.88671875" bestFit="1" customWidth="1" style="1" min="11788" max="11788"/>
    <col width="9.109375" customWidth="1" style="1" min="11789" max="12032"/>
    <col width="21.109375" bestFit="1" customWidth="1" style="1" min="12033" max="12033"/>
    <col width="70" bestFit="1" customWidth="1" style="1" min="12034" max="12034"/>
    <col width="24.5546875" bestFit="1" customWidth="1" style="1" min="12035" max="12035"/>
    <col width="22.44140625" customWidth="1" style="1" min="12036" max="12039"/>
    <col width="19.44140625" bestFit="1" customWidth="1" style="1" min="12040" max="12040"/>
    <col width="9.109375" customWidth="1" style="1" min="12041" max="12041"/>
    <col width="11.33203125" bestFit="1" customWidth="1" style="1" min="12042" max="12042"/>
    <col width="9.109375" customWidth="1" style="1" min="12043" max="12043"/>
    <col width="10.88671875" bestFit="1" customWidth="1" style="1" min="12044" max="12044"/>
    <col width="9.109375" customWidth="1" style="1" min="12045" max="12288"/>
    <col width="21.109375" bestFit="1" customWidth="1" style="1" min="12289" max="12289"/>
    <col width="70" bestFit="1" customWidth="1" style="1" min="12290" max="12290"/>
    <col width="24.5546875" bestFit="1" customWidth="1" style="1" min="12291" max="12291"/>
    <col width="22.44140625" customWidth="1" style="1" min="12292" max="12295"/>
    <col width="19.44140625" bestFit="1" customWidth="1" style="1" min="12296" max="12296"/>
    <col width="9.109375" customWidth="1" style="1" min="12297" max="12297"/>
    <col width="11.33203125" bestFit="1" customWidth="1" style="1" min="12298" max="12298"/>
    <col width="9.109375" customWidth="1" style="1" min="12299" max="12299"/>
    <col width="10.88671875" bestFit="1" customWidth="1" style="1" min="12300" max="12300"/>
    <col width="9.109375" customWidth="1" style="1" min="12301" max="12544"/>
    <col width="21.109375" bestFit="1" customWidth="1" style="1" min="12545" max="12545"/>
    <col width="70" bestFit="1" customWidth="1" style="1" min="12546" max="12546"/>
    <col width="24.5546875" bestFit="1" customWidth="1" style="1" min="12547" max="12547"/>
    <col width="22.44140625" customWidth="1" style="1" min="12548" max="12551"/>
    <col width="19.44140625" bestFit="1" customWidth="1" style="1" min="12552" max="12552"/>
    <col width="9.109375" customWidth="1" style="1" min="12553" max="12553"/>
    <col width="11.33203125" bestFit="1" customWidth="1" style="1" min="12554" max="12554"/>
    <col width="9.109375" customWidth="1" style="1" min="12555" max="12555"/>
    <col width="10.88671875" bestFit="1" customWidth="1" style="1" min="12556" max="12556"/>
    <col width="9.109375" customWidth="1" style="1" min="12557" max="12800"/>
    <col width="21.109375" bestFit="1" customWidth="1" style="1" min="12801" max="12801"/>
    <col width="70" bestFit="1" customWidth="1" style="1" min="12802" max="12802"/>
    <col width="24.5546875" bestFit="1" customWidth="1" style="1" min="12803" max="12803"/>
    <col width="22.44140625" customWidth="1" style="1" min="12804" max="12807"/>
    <col width="19.44140625" bestFit="1" customWidth="1" style="1" min="12808" max="12808"/>
    <col width="9.109375" customWidth="1" style="1" min="12809" max="12809"/>
    <col width="11.33203125" bestFit="1" customWidth="1" style="1" min="12810" max="12810"/>
    <col width="9.109375" customWidth="1" style="1" min="12811" max="12811"/>
    <col width="10.88671875" bestFit="1" customWidth="1" style="1" min="12812" max="12812"/>
    <col width="9.109375" customWidth="1" style="1" min="12813" max="13056"/>
    <col width="21.109375" bestFit="1" customWidth="1" style="1" min="13057" max="13057"/>
    <col width="70" bestFit="1" customWidth="1" style="1" min="13058" max="13058"/>
    <col width="24.5546875" bestFit="1" customWidth="1" style="1" min="13059" max="13059"/>
    <col width="22.44140625" customWidth="1" style="1" min="13060" max="13063"/>
    <col width="19.44140625" bestFit="1" customWidth="1" style="1" min="13064" max="13064"/>
    <col width="9.109375" customWidth="1" style="1" min="13065" max="13065"/>
    <col width="11.33203125" bestFit="1" customWidth="1" style="1" min="13066" max="13066"/>
    <col width="9.109375" customWidth="1" style="1" min="13067" max="13067"/>
    <col width="10.88671875" bestFit="1" customWidth="1" style="1" min="13068" max="13068"/>
    <col width="9.109375" customWidth="1" style="1" min="13069" max="13312"/>
    <col width="21.109375" bestFit="1" customWidth="1" style="1" min="13313" max="13313"/>
    <col width="70" bestFit="1" customWidth="1" style="1" min="13314" max="13314"/>
    <col width="24.5546875" bestFit="1" customWidth="1" style="1" min="13315" max="13315"/>
    <col width="22.44140625" customWidth="1" style="1" min="13316" max="13319"/>
    <col width="19.44140625" bestFit="1" customWidth="1" style="1" min="13320" max="13320"/>
    <col width="9.109375" customWidth="1" style="1" min="13321" max="13321"/>
    <col width="11.33203125" bestFit="1" customWidth="1" style="1" min="13322" max="13322"/>
    <col width="9.109375" customWidth="1" style="1" min="13323" max="13323"/>
    <col width="10.88671875" bestFit="1" customWidth="1" style="1" min="13324" max="13324"/>
    <col width="9.109375" customWidth="1" style="1" min="13325" max="13568"/>
    <col width="21.109375" bestFit="1" customWidth="1" style="1" min="13569" max="13569"/>
    <col width="70" bestFit="1" customWidth="1" style="1" min="13570" max="13570"/>
    <col width="24.5546875" bestFit="1" customWidth="1" style="1" min="13571" max="13571"/>
    <col width="22.44140625" customWidth="1" style="1" min="13572" max="13575"/>
    <col width="19.44140625" bestFit="1" customWidth="1" style="1" min="13576" max="13576"/>
    <col width="9.109375" customWidth="1" style="1" min="13577" max="13577"/>
    <col width="11.33203125" bestFit="1" customWidth="1" style="1" min="13578" max="13578"/>
    <col width="9.109375" customWidth="1" style="1" min="13579" max="13579"/>
    <col width="10.88671875" bestFit="1" customWidth="1" style="1" min="13580" max="13580"/>
    <col width="9.109375" customWidth="1" style="1" min="13581" max="13824"/>
    <col width="21.109375" bestFit="1" customWidth="1" style="1" min="13825" max="13825"/>
    <col width="70" bestFit="1" customWidth="1" style="1" min="13826" max="13826"/>
    <col width="24.5546875" bestFit="1" customWidth="1" style="1" min="13827" max="13827"/>
    <col width="22.44140625" customWidth="1" style="1" min="13828" max="13831"/>
    <col width="19.44140625" bestFit="1" customWidth="1" style="1" min="13832" max="13832"/>
    <col width="9.109375" customWidth="1" style="1" min="13833" max="13833"/>
    <col width="11.33203125" bestFit="1" customWidth="1" style="1" min="13834" max="13834"/>
    <col width="9.109375" customWidth="1" style="1" min="13835" max="13835"/>
    <col width="10.88671875" bestFit="1" customWidth="1" style="1" min="13836" max="13836"/>
    <col width="9.109375" customWidth="1" style="1" min="13837" max="14080"/>
    <col width="21.109375" bestFit="1" customWidth="1" style="1" min="14081" max="14081"/>
    <col width="70" bestFit="1" customWidth="1" style="1" min="14082" max="14082"/>
    <col width="24.5546875" bestFit="1" customWidth="1" style="1" min="14083" max="14083"/>
    <col width="22.44140625" customWidth="1" style="1" min="14084" max="14087"/>
    <col width="19.44140625" bestFit="1" customWidth="1" style="1" min="14088" max="14088"/>
    <col width="9.109375" customWidth="1" style="1" min="14089" max="14089"/>
    <col width="11.33203125" bestFit="1" customWidth="1" style="1" min="14090" max="14090"/>
    <col width="9.109375" customWidth="1" style="1" min="14091" max="14091"/>
    <col width="10.88671875" bestFit="1" customWidth="1" style="1" min="14092" max="14092"/>
    <col width="9.109375" customWidth="1" style="1" min="14093" max="14336"/>
    <col width="21.109375" bestFit="1" customWidth="1" style="1" min="14337" max="14337"/>
    <col width="70" bestFit="1" customWidth="1" style="1" min="14338" max="14338"/>
    <col width="24.5546875" bestFit="1" customWidth="1" style="1" min="14339" max="14339"/>
    <col width="22.44140625" customWidth="1" style="1" min="14340" max="14343"/>
    <col width="19.44140625" bestFit="1" customWidth="1" style="1" min="14344" max="14344"/>
    <col width="9.109375" customWidth="1" style="1" min="14345" max="14345"/>
    <col width="11.33203125" bestFit="1" customWidth="1" style="1" min="14346" max="14346"/>
    <col width="9.109375" customWidth="1" style="1" min="14347" max="14347"/>
    <col width="10.88671875" bestFit="1" customWidth="1" style="1" min="14348" max="14348"/>
    <col width="9.109375" customWidth="1" style="1" min="14349" max="14592"/>
    <col width="21.109375" bestFit="1" customWidth="1" style="1" min="14593" max="14593"/>
    <col width="70" bestFit="1" customWidth="1" style="1" min="14594" max="14594"/>
    <col width="24.5546875" bestFit="1" customWidth="1" style="1" min="14595" max="14595"/>
    <col width="22.44140625" customWidth="1" style="1" min="14596" max="14599"/>
    <col width="19.44140625" bestFit="1" customWidth="1" style="1" min="14600" max="14600"/>
    <col width="9.109375" customWidth="1" style="1" min="14601" max="14601"/>
    <col width="11.33203125" bestFit="1" customWidth="1" style="1" min="14602" max="14602"/>
    <col width="9.109375" customWidth="1" style="1" min="14603" max="14603"/>
    <col width="10.88671875" bestFit="1" customWidth="1" style="1" min="14604" max="14604"/>
    <col width="9.109375" customWidth="1" style="1" min="14605" max="14848"/>
    <col width="21.109375" bestFit="1" customWidth="1" style="1" min="14849" max="14849"/>
    <col width="70" bestFit="1" customWidth="1" style="1" min="14850" max="14850"/>
    <col width="24.5546875" bestFit="1" customWidth="1" style="1" min="14851" max="14851"/>
    <col width="22.44140625" customWidth="1" style="1" min="14852" max="14855"/>
    <col width="19.44140625" bestFit="1" customWidth="1" style="1" min="14856" max="14856"/>
    <col width="9.109375" customWidth="1" style="1" min="14857" max="14857"/>
    <col width="11.33203125" bestFit="1" customWidth="1" style="1" min="14858" max="14858"/>
    <col width="9.109375" customWidth="1" style="1" min="14859" max="14859"/>
    <col width="10.88671875" bestFit="1" customWidth="1" style="1" min="14860" max="14860"/>
    <col width="9.109375" customWidth="1" style="1" min="14861" max="15104"/>
    <col width="21.109375" bestFit="1" customWidth="1" style="1" min="15105" max="15105"/>
    <col width="70" bestFit="1" customWidth="1" style="1" min="15106" max="15106"/>
    <col width="24.5546875" bestFit="1" customWidth="1" style="1" min="15107" max="15107"/>
    <col width="22.44140625" customWidth="1" style="1" min="15108" max="15111"/>
    <col width="19.44140625" bestFit="1" customWidth="1" style="1" min="15112" max="15112"/>
    <col width="9.109375" customWidth="1" style="1" min="15113" max="15113"/>
    <col width="11.33203125" bestFit="1" customWidth="1" style="1" min="15114" max="15114"/>
    <col width="9.109375" customWidth="1" style="1" min="15115" max="15115"/>
    <col width="10.88671875" bestFit="1" customWidth="1" style="1" min="15116" max="15116"/>
    <col width="9.109375" customWidth="1" style="1" min="15117" max="15360"/>
    <col width="21.109375" bestFit="1" customWidth="1" style="1" min="15361" max="15361"/>
    <col width="70" bestFit="1" customWidth="1" style="1" min="15362" max="15362"/>
    <col width="24.5546875" bestFit="1" customWidth="1" style="1" min="15363" max="15363"/>
    <col width="22.44140625" customWidth="1" style="1" min="15364" max="15367"/>
    <col width="19.44140625" bestFit="1" customWidth="1" style="1" min="15368" max="15368"/>
    <col width="9.109375" customWidth="1" style="1" min="15369" max="15369"/>
    <col width="11.33203125" bestFit="1" customWidth="1" style="1" min="15370" max="15370"/>
    <col width="9.109375" customWidth="1" style="1" min="15371" max="15371"/>
    <col width="10.88671875" bestFit="1" customWidth="1" style="1" min="15372" max="15372"/>
    <col width="9.109375" customWidth="1" style="1" min="15373" max="15616"/>
    <col width="21.109375" bestFit="1" customWidth="1" style="1" min="15617" max="15617"/>
    <col width="70" bestFit="1" customWidth="1" style="1" min="15618" max="15618"/>
    <col width="24.5546875" bestFit="1" customWidth="1" style="1" min="15619" max="15619"/>
    <col width="22.44140625" customWidth="1" style="1" min="15620" max="15623"/>
    <col width="19.44140625" bestFit="1" customWidth="1" style="1" min="15624" max="15624"/>
    <col width="9.109375" customWidth="1" style="1" min="15625" max="15625"/>
    <col width="11.33203125" bestFit="1" customWidth="1" style="1" min="15626" max="15626"/>
    <col width="9.109375" customWidth="1" style="1" min="15627" max="15627"/>
    <col width="10.88671875" bestFit="1" customWidth="1" style="1" min="15628" max="15628"/>
    <col width="9.109375" customWidth="1" style="1" min="15629" max="15872"/>
    <col width="21.109375" bestFit="1" customWidth="1" style="1" min="15873" max="15873"/>
    <col width="70" bestFit="1" customWidth="1" style="1" min="15874" max="15874"/>
    <col width="24.5546875" bestFit="1" customWidth="1" style="1" min="15875" max="15875"/>
    <col width="22.44140625" customWidth="1" style="1" min="15876" max="15879"/>
    <col width="19.44140625" bestFit="1" customWidth="1" style="1" min="15880" max="15880"/>
    <col width="9.109375" customWidth="1" style="1" min="15881" max="15881"/>
    <col width="11.33203125" bestFit="1" customWidth="1" style="1" min="15882" max="15882"/>
    <col width="9.109375" customWidth="1" style="1" min="15883" max="15883"/>
    <col width="10.88671875" bestFit="1" customWidth="1" style="1" min="15884" max="15884"/>
    <col width="9.109375" customWidth="1" style="1" min="15885" max="16128"/>
    <col width="21.109375" bestFit="1" customWidth="1" style="1" min="16129" max="16129"/>
    <col width="70" bestFit="1" customWidth="1" style="1" min="16130" max="16130"/>
    <col width="24.5546875" bestFit="1" customWidth="1" style="1" min="16131" max="16131"/>
    <col width="22.44140625" customWidth="1" style="1" min="16132" max="16135"/>
    <col width="19.44140625" bestFit="1" customWidth="1" style="1" min="16136" max="16136"/>
    <col width="9.109375" customWidth="1" style="1" min="16137" max="16137"/>
    <col width="11.33203125" bestFit="1" customWidth="1" style="1" min="16138" max="16138"/>
    <col width="9.109375" customWidth="1" style="1" min="16139" max="16139"/>
    <col width="10.88671875" bestFit="1" customWidth="1" style="1" min="16140" max="16140"/>
    <col width="9.109375" customWidth="1" style="1" min="16141" max="16384"/>
  </cols>
  <sheetData>
    <row r="1" ht="12.75" customHeight="1">
      <c r="C1" s="302" t="inlineStr">
        <is>
          <t>Eindbalans per 30-09-2022</t>
        </is>
      </c>
      <c r="D1" s="302" t="inlineStr">
        <is>
          <t>Mutaties Q4 2022</t>
        </is>
      </c>
      <c r="E1" s="302" t="inlineStr">
        <is>
          <t>Mutaties Q1 2023</t>
        </is>
      </c>
      <c r="F1" s="302" t="inlineStr">
        <is>
          <t>Mutaties Q2 2023</t>
        </is>
      </c>
      <c r="G1" s="302" t="inlineStr">
        <is>
          <t>Mutaties Q3 2023</t>
        </is>
      </c>
      <c r="H1" s="290" t="inlineStr">
        <is>
          <t>Saldi per 30-09-2023</t>
        </is>
      </c>
    </row>
    <row r="3" ht="12.75" customHeight="1">
      <c r="A3" s="132" t="inlineStr">
        <is>
          <t>Balans</t>
        </is>
      </c>
    </row>
    <row r="4" ht="12.75" customHeight="1">
      <c r="A4" s="130" t="n">
        <v>1600000</v>
      </c>
      <c r="B4" s="1" t="inlineStr">
        <is>
          <t>VG Vastgoedbeleggingen Verkrijgings- of vervaardigingsprijs</t>
        </is>
      </c>
      <c r="C4" s="341" t="n">
        <v>124359755.18</v>
      </c>
      <c r="D4" s="341" t="n">
        <v>222347.9</v>
      </c>
      <c r="E4" s="341" t="n">
        <v>369860.81</v>
      </c>
      <c r="F4" s="341" t="n">
        <v>276736.19</v>
      </c>
      <c r="G4" s="341" t="n">
        <v>763364.3100000001</v>
      </c>
      <c r="H4" s="351">
        <f>SUM(C4:G4)</f>
        <v/>
      </c>
      <c r="I4" s="1" t="inlineStr">
        <is>
          <t xml:space="preserve">Activering van EUR 72.170 aan onderhoudskosten </t>
        </is>
      </c>
      <c r="J4" s="341" t="n"/>
      <c r="L4" s="299" t="n"/>
    </row>
    <row r="5" ht="12.75" customHeight="1">
      <c r="A5" s="130" t="inlineStr">
        <is>
          <t>1600200</t>
        </is>
      </c>
      <c r="B5" s="1" t="inlineStr">
        <is>
          <t>VG Vastgoedbeleggingen Cum afschrijvingen en waardeverm</t>
        </is>
      </c>
      <c r="C5" s="341" t="n">
        <v>-15781249</v>
      </c>
      <c r="D5" s="341" t="n">
        <v>-707759</v>
      </c>
      <c r="E5" s="341" t="n">
        <v>-707631</v>
      </c>
      <c r="F5" s="341" t="n">
        <v>-706154</v>
      </c>
      <c r="G5" s="341" t="n">
        <v>-722958</v>
      </c>
      <c r="H5" s="351">
        <f>SUM(C5:G5)</f>
        <v/>
      </c>
      <c r="I5" s="1" t="inlineStr">
        <is>
          <t>Correctie EUR 616 aan afschrijvingskosten</t>
        </is>
      </c>
      <c r="J5" s="341" t="n"/>
      <c r="L5" s="299" t="n"/>
    </row>
    <row r="6" ht="12.75" customHeight="1">
      <c r="A6" s="130" t="inlineStr">
        <is>
          <t>1610803</t>
        </is>
      </c>
      <c r="B6" s="1" t="inlineStr">
        <is>
          <t>VG Comm VG in exploitatie Buitengebruikstellingen aanschaffingswaarde</t>
        </is>
      </c>
      <c r="C6" s="341" t="n">
        <v>-971209</v>
      </c>
      <c r="D6" s="309" t="n">
        <v>-108045</v>
      </c>
      <c r="E6" s="309" t="n">
        <v>-117551</v>
      </c>
      <c r="F6" s="309" t="n">
        <v>-205430</v>
      </c>
      <c r="G6" s="309" t="n">
        <v>-677264</v>
      </c>
      <c r="H6" s="351">
        <f>SUM(C6:G6)</f>
        <v/>
      </c>
    </row>
    <row r="7" ht="12.75" customHeight="1">
      <c r="A7" s="130" t="inlineStr">
        <is>
          <t>1611003</t>
        </is>
      </c>
      <c r="B7" s="1" t="inlineStr">
        <is>
          <t>VG Comm VG in exploitatie Buitengebruikstellingen cum. afschr. en waardeverm.</t>
        </is>
      </c>
      <c r="C7" s="341" t="n">
        <v>126720</v>
      </c>
      <c r="D7" s="341" t="n">
        <v>15030</v>
      </c>
      <c r="E7" s="341" t="n">
        <v>17214</v>
      </c>
      <c r="F7" s="341" t="n">
        <v>31299</v>
      </c>
      <c r="G7" s="341" t="n">
        <v>106809</v>
      </c>
      <c r="H7" s="351">
        <f>SUM(C7:G7)</f>
        <v/>
      </c>
    </row>
    <row r="8" ht="12.75" customHeight="1">
      <c r="A8" s="1" t="inlineStr">
        <is>
          <t>Totaal Vastgoedbeleggingen</t>
        </is>
      </c>
    </row>
    <row r="10" ht="12.75" customHeight="1">
      <c r="A10" s="130" t="n">
        <v>1790000</v>
      </c>
      <c r="B10" s="1" t="inlineStr">
        <is>
          <t>FVA Swap fee</t>
        </is>
      </c>
      <c r="C10" s="341" t="n">
        <v>0</v>
      </c>
      <c r="D10" s="341" t="n">
        <v>2102350.01</v>
      </c>
      <c r="E10" s="341" t="n">
        <v>-110649.99</v>
      </c>
      <c r="F10" s="341" t="n">
        <v>-110649.99</v>
      </c>
      <c r="G10" s="341" t="n">
        <v>-110649.99</v>
      </c>
      <c r="H10" s="351">
        <f>SUM(C10:G10)</f>
        <v/>
      </c>
    </row>
    <row r="11" ht="12.75" customHeight="1">
      <c r="A11" s="130" t="inlineStr">
        <is>
          <t>1790002</t>
        </is>
      </c>
      <c r="B11" s="1" t="inlineStr">
        <is>
          <t>FVA Latente belastingvordering langlopend</t>
        </is>
      </c>
      <c r="C11" s="341" t="n">
        <v>4787168</v>
      </c>
      <c r="D11" s="343" t="n">
        <v>294918</v>
      </c>
      <c r="E11" s="344" t="n">
        <v>181734</v>
      </c>
      <c r="F11" s="343" t="n">
        <v>172942</v>
      </c>
      <c r="G11" s="343">
        <f>-30079+176240</f>
        <v/>
      </c>
      <c r="H11" s="351">
        <f>SUM(C11:G11)</f>
        <v/>
      </c>
    </row>
    <row r="12" ht="12.75" customHeight="1">
      <c r="A12" s="130" t="n">
        <v>1760000</v>
      </c>
      <c r="B12" s="1" t="inlineStr">
        <is>
          <t>FVA Hoofdsom lening DMRRP INV - I BV</t>
        </is>
      </c>
      <c r="C12" s="341" t="n">
        <v>0</v>
      </c>
      <c r="D12" s="341" t="n">
        <v>38320325</v>
      </c>
      <c r="E12" s="341" t="n">
        <v>0</v>
      </c>
      <c r="F12" s="341" t="n">
        <v>0</v>
      </c>
      <c r="H12" s="351">
        <f>SUM(C12:G12)</f>
        <v/>
      </c>
    </row>
    <row r="13" ht="12.75" customHeight="1">
      <c r="A13" s="130" t="n">
        <v>1760300</v>
      </c>
      <c r="B13" s="1" t="inlineStr">
        <is>
          <t>FVA Aflossingen lening DMRRP INV - I BV</t>
        </is>
      </c>
      <c r="C13" s="341" t="n">
        <v>0</v>
      </c>
      <c r="D13" s="341" t="n">
        <v>-95800.81</v>
      </c>
      <c r="E13" s="341" t="n">
        <v>-137679.46</v>
      </c>
      <c r="F13" s="341" t="n">
        <v>-53922.16</v>
      </c>
      <c r="G13" s="341" t="n">
        <v>-95800.81</v>
      </c>
      <c r="H13" s="351">
        <f>SUM(C13:G13)</f>
        <v/>
      </c>
    </row>
    <row r="14" ht="12.75" customHeight="1">
      <c r="A14" s="1" t="inlineStr">
        <is>
          <t>Totaal Financiële vaste activa</t>
        </is>
      </c>
    </row>
    <row r="15" ht="12.75" customHeight="1">
      <c r="N15" s="1" t="inlineStr">
        <is>
          <t>Heemskerk</t>
        </is>
      </c>
      <c r="O15" s="1" t="inlineStr">
        <is>
          <t>Nieuw Schoonoord</t>
        </is>
      </c>
    </row>
    <row r="16" ht="12.75" customHeight="1">
      <c r="A16" s="130" t="inlineStr">
        <is>
          <t>2000000</t>
        </is>
      </c>
      <c r="B16" s="1" t="inlineStr">
        <is>
          <t>VOR Debiteuren</t>
        </is>
      </c>
      <c r="C16" s="341" t="n">
        <v>1286218.25</v>
      </c>
      <c r="D16" s="343" t="n">
        <v>-780026.62</v>
      </c>
      <c r="E16" s="344" t="n">
        <v>523319.01</v>
      </c>
      <c r="F16" s="345" t="n">
        <v>540690</v>
      </c>
      <c r="G16" s="343" t="n">
        <v>568866.17</v>
      </c>
      <c r="H16" s="351">
        <f>SUM(C16:G16)</f>
        <v/>
      </c>
      <c r="I16" s="1" t="inlineStr">
        <is>
          <t>Verderling voor/ achterstanden stonden niet goed. Aangepast.</t>
        </is>
      </c>
      <c r="N16" s="1" t="n">
        <v>100000</v>
      </c>
      <c r="O16" s="1" t="n">
        <v>180000</v>
      </c>
    </row>
    <row r="17" ht="12.75" customHeight="1">
      <c r="A17" s="130" t="inlineStr">
        <is>
          <t>2000300</t>
        </is>
      </c>
      <c r="B17" s="1" t="inlineStr">
        <is>
          <t>VOR Voorziening dubieuze debiteuren</t>
        </is>
      </c>
      <c r="C17" s="341" t="n">
        <v>-91881.58</v>
      </c>
      <c r="D17" s="341" t="n">
        <v>15003.05</v>
      </c>
      <c r="E17" s="341">
        <f>O16</f>
        <v/>
      </c>
      <c r="F17" s="341">
        <f>N16</f>
        <v/>
      </c>
      <c r="H17" s="351">
        <f>SUM(C17:G17)</f>
        <v/>
      </c>
    </row>
    <row r="18" ht="12.75" customHeight="1">
      <c r="A18" s="1" t="inlineStr">
        <is>
          <t>Totaal Debiteuren</t>
        </is>
      </c>
    </row>
    <row r="20" ht="12.75" customHeight="1">
      <c r="A20" s="130" t="n">
        <v>2640000</v>
      </c>
      <c r="B20" s="1" t="inlineStr">
        <is>
          <t>RC Kortlopend DMRRP INV - I BV</t>
        </is>
      </c>
      <c r="C20" s="341" t="n">
        <v>1811072.22</v>
      </c>
      <c r="D20" s="341">
        <f>-2503386-1</f>
        <v/>
      </c>
      <c r="E20" s="341" t="n">
        <v>-6167</v>
      </c>
      <c r="F20" s="341" t="n">
        <v>592347</v>
      </c>
      <c r="G20" s="341" t="n">
        <v>379578</v>
      </c>
      <c r="H20" s="351">
        <f>SUM(C20:G20)</f>
        <v/>
      </c>
    </row>
    <row r="21" ht="12.75" customHeight="1">
      <c r="A21" s="1" t="inlineStr">
        <is>
          <t>Totaal Rekening-courant aandeelhouder</t>
        </is>
      </c>
    </row>
    <row r="22" ht="12.75" customHeight="1">
      <c r="G22" s="290" t="n"/>
    </row>
    <row r="23" ht="12.75" customHeight="1">
      <c r="A23" s="130" t="inlineStr">
        <is>
          <t>2040100</t>
        </is>
      </c>
      <c r="B23" s="1" t="inlineStr">
        <is>
          <t>VOR Nog te factureren bedragen</t>
        </is>
      </c>
      <c r="F23" s="341" t="n">
        <v>-41878.65</v>
      </c>
      <c r="G23" s="341" t="n">
        <v>41878.65</v>
      </c>
      <c r="H23" s="351">
        <f>SUM(C23:G23)</f>
        <v/>
      </c>
    </row>
    <row r="24" ht="12.75" customHeight="1">
      <c r="A24" s="130" t="n">
        <v>2040200</v>
      </c>
      <c r="B24" s="1" t="inlineStr">
        <is>
          <t>VOR Te vorderen waarborgsommen kortlopen</t>
        </is>
      </c>
      <c r="C24" s="341" t="n">
        <v>5000</v>
      </c>
      <c r="D24" s="341" t="n">
        <v>0</v>
      </c>
      <c r="E24" s="341" t="n">
        <v>0</v>
      </c>
      <c r="H24" s="351">
        <f>SUM(C24:G24)</f>
        <v/>
      </c>
    </row>
    <row r="25" ht="12.75" customHeight="1">
      <c r="A25" s="130" t="n">
        <v>2040500</v>
      </c>
      <c r="B25" s="1" t="inlineStr">
        <is>
          <t>VOR Vooruitbetaalde verzekeringen</t>
        </is>
      </c>
      <c r="C25" s="341" t="n">
        <v>29220.54</v>
      </c>
      <c r="D25" s="341" t="n">
        <v>-29220.56</v>
      </c>
      <c r="E25" s="341" t="n">
        <v>86298.88</v>
      </c>
      <c r="F25" s="341" t="n">
        <v>-28766.29</v>
      </c>
      <c r="G25" s="341" t="n">
        <v>-28766.3</v>
      </c>
      <c r="H25" s="290">
        <f>SUM(C25:G25)</f>
        <v/>
      </c>
    </row>
    <row r="26" ht="12.75" customHeight="1">
      <c r="A26" s="130" t="inlineStr">
        <is>
          <t>2040700</t>
        </is>
      </c>
      <c r="B26" s="1" t="inlineStr">
        <is>
          <t>VOR Vooruitbetaalde servicekosten</t>
        </is>
      </c>
      <c r="C26" s="341" t="n">
        <v>-0.04999999999995453</v>
      </c>
      <c r="D26" s="341" t="n">
        <v>0</v>
      </c>
      <c r="E26" s="341" t="n">
        <v>0</v>
      </c>
      <c r="F26" s="341" t="n">
        <v>0</v>
      </c>
      <c r="H26" s="351">
        <f>SUM(C26:G26)</f>
        <v/>
      </c>
    </row>
    <row r="27" ht="12.75" customHeight="1">
      <c r="A27" s="130" t="inlineStr">
        <is>
          <t>2040900</t>
        </is>
      </c>
      <c r="B27" s="1" t="inlineStr">
        <is>
          <t>VOR Vooruitbetaalde overige kosten</t>
        </is>
      </c>
      <c r="C27" s="341" t="n">
        <v>133609.04</v>
      </c>
      <c r="D27" s="341" t="n">
        <v>-133609.04</v>
      </c>
      <c r="E27" s="341" t="n">
        <v>0</v>
      </c>
      <c r="F27" s="341" t="n">
        <v>0</v>
      </c>
      <c r="H27" s="290">
        <f>SUM(C27:G27)</f>
        <v/>
      </c>
    </row>
    <row r="28" ht="12.75" customHeight="1">
      <c r="A28" s="1" t="inlineStr">
        <is>
          <t>Totaal overige vorderingen</t>
        </is>
      </c>
    </row>
    <row r="30" ht="12.75" customHeight="1">
      <c r="A30" s="130" t="inlineStr">
        <is>
          <t>2300000</t>
        </is>
      </c>
      <c r="B30" s="1" t="inlineStr">
        <is>
          <t>LM Kruisposten</t>
        </is>
      </c>
      <c r="H30" s="351">
        <f>SUM(C30:G30)</f>
        <v/>
      </c>
    </row>
    <row r="31" ht="12.75" customHeight="1">
      <c r="A31" s="130" t="n">
        <v>2300001</v>
      </c>
      <c r="B31" s="1" t="inlineStr">
        <is>
          <t>LM Kruisposten pin</t>
        </is>
      </c>
      <c r="C31" s="341" t="n">
        <v>-1094.6</v>
      </c>
      <c r="D31" s="341" t="n">
        <v>1095.07</v>
      </c>
      <c r="E31" s="341" t="n">
        <v>1948.2</v>
      </c>
      <c r="F31" s="341" t="n">
        <v>1958.46</v>
      </c>
      <c r="G31" s="341" t="n">
        <v>-4860.88</v>
      </c>
      <c r="H31" s="351">
        <f>SUM(C31:G31)</f>
        <v/>
      </c>
    </row>
    <row r="32" ht="12.75" customHeight="1">
      <c r="A32" s="130" t="inlineStr">
        <is>
          <t>2400200</t>
        </is>
      </c>
      <c r="B32" s="1" t="inlineStr">
        <is>
          <t>LM ABN AMRO Bank Disposal NL58 ABNA 0818 9180 39</t>
        </is>
      </c>
      <c r="C32" s="341" t="n">
        <v>276380.51</v>
      </c>
      <c r="D32" s="344" t="n">
        <v>261185.75</v>
      </c>
      <c r="E32" s="344" t="n">
        <v>-537566.26</v>
      </c>
      <c r="F32" s="344" t="n">
        <v>128000</v>
      </c>
      <c r="G32" s="344" t="n">
        <v>-128000</v>
      </c>
      <c r="H32" s="351">
        <f>SUM(C32:G32)</f>
        <v/>
      </c>
    </row>
    <row r="33" ht="12.75" customHeight="1">
      <c r="A33" s="130" t="inlineStr">
        <is>
          <t>2400201</t>
        </is>
      </c>
      <c r="B33" s="1" t="inlineStr">
        <is>
          <t>LM ABN AMRO Bank Deposit NL57 ABNA 0541 6205 68</t>
        </is>
      </c>
      <c r="C33" s="341" t="n">
        <v>-597340.33</v>
      </c>
      <c r="D33" s="344" t="n">
        <v>502142.01</v>
      </c>
      <c r="E33" s="344" t="n">
        <v>96845.81</v>
      </c>
      <c r="F33" s="344" t="n">
        <v>-43252.62</v>
      </c>
      <c r="G33" s="344" t="n">
        <v>43840.28</v>
      </c>
      <c r="H33" s="351">
        <f>SUM(C33:G33)</f>
        <v/>
      </c>
    </row>
    <row r="34" ht="12.75" customHeight="1">
      <c r="A34" s="130" t="inlineStr">
        <is>
          <t>2400202</t>
        </is>
      </c>
      <c r="B34" s="1" t="inlineStr">
        <is>
          <t>LM ABN AMRO Bank General NL93 ABNA 0541 6132 27</t>
        </is>
      </c>
      <c r="C34" s="341" t="n">
        <v>191.1299999999974</v>
      </c>
      <c r="D34" s="344" t="n">
        <v>-12.05</v>
      </c>
      <c r="E34" s="344" t="n">
        <v>0</v>
      </c>
      <c r="F34" s="344" t="n">
        <v>0</v>
      </c>
      <c r="G34" s="344" t="n">
        <v>-105.66</v>
      </c>
      <c r="H34" s="351">
        <f>SUM(C34:G34)</f>
        <v/>
      </c>
    </row>
    <row r="35" ht="12.75" customHeight="1">
      <c r="A35" s="130" t="inlineStr">
        <is>
          <t>2400203</t>
        </is>
      </c>
      <c r="B35" s="1" t="inlineStr">
        <is>
          <t>LM ABN AMRO Bank Maintres NL04 ABNA 0541 6188 06</t>
        </is>
      </c>
      <c r="C35" s="341" t="n">
        <v>182761.96</v>
      </c>
      <c r="D35" s="344" t="n">
        <v>-53607.74</v>
      </c>
      <c r="E35" s="344" t="n">
        <v>-109016.02</v>
      </c>
      <c r="F35" s="344" t="n">
        <v>-13039.08</v>
      </c>
      <c r="G35" s="344" t="n">
        <v>-5557.22</v>
      </c>
      <c r="H35" s="351">
        <f>SUM(C35:G35)</f>
        <v/>
      </c>
    </row>
    <row r="36" ht="12.75" customHeight="1">
      <c r="A36" s="130" t="inlineStr">
        <is>
          <t>2400204</t>
        </is>
      </c>
      <c r="B36" s="1" t="inlineStr">
        <is>
          <t>LM ABN AMRO Bank Rent NL46 ABNA 0541 6088 35</t>
        </is>
      </c>
      <c r="C36" s="341" t="n">
        <v>1420393.03</v>
      </c>
      <c r="D36" s="344" t="n">
        <v>-1298518.42</v>
      </c>
      <c r="E36" s="344" t="n">
        <v>273260.99</v>
      </c>
      <c r="F36" s="344" t="n">
        <v>-45193.38</v>
      </c>
      <c r="G36" s="344" t="n">
        <v>-137878.31</v>
      </c>
      <c r="H36" s="351">
        <f>SUM(C36:G36)</f>
        <v/>
      </c>
    </row>
    <row r="37" ht="12.75" customHeight="1">
      <c r="A37" s="130" t="inlineStr">
        <is>
          <t>2400205</t>
        </is>
      </c>
      <c r="B37" s="1" t="inlineStr">
        <is>
          <t>LM ABN AMRO Bank SR EXP NL88 ABNA 0541 6205 92</t>
        </is>
      </c>
      <c r="C37" s="341" t="n">
        <v>102715.99</v>
      </c>
      <c r="D37" s="344" t="n">
        <v>-5460.63</v>
      </c>
      <c r="E37" s="344" t="n">
        <v>-85043.32000000001</v>
      </c>
      <c r="F37" s="344" t="n">
        <v>-9996.629999999999</v>
      </c>
      <c r="G37" s="344" t="n">
        <v>13146.59</v>
      </c>
      <c r="H37" s="351">
        <f>SUM(C37:G37)</f>
        <v/>
      </c>
    </row>
    <row r="38" ht="12.75" customHeight="1">
      <c r="A38" s="130" t="n">
        <v>2400206</v>
      </c>
      <c r="B38" s="1" t="inlineStr">
        <is>
          <t>LM ABN AMRO Bank Capex NL11 ABNA 0114 3362 02</t>
        </is>
      </c>
      <c r="C38" s="341" t="n">
        <v>0</v>
      </c>
      <c r="D38" s="344" t="n">
        <v>-11.39</v>
      </c>
      <c r="E38" s="344" t="n">
        <v>-5.65</v>
      </c>
      <c r="F38" s="344" t="n">
        <v>0</v>
      </c>
      <c r="G38" s="344" t="n"/>
      <c r="H38" s="351">
        <f>SUM(C38:G38)</f>
        <v/>
      </c>
    </row>
    <row r="39" ht="12.75" customHeight="1">
      <c r="A39" s="1" t="inlineStr">
        <is>
          <t>Totaal Liquide middelen</t>
        </is>
      </c>
    </row>
    <row r="41" ht="12.75" customHeight="1">
      <c r="A41" s="130" t="n">
        <v>1000002</v>
      </c>
      <c r="B41" s="1" t="inlineStr">
        <is>
          <t>EV Normale aandelen Saldo</t>
        </is>
      </c>
      <c r="C41" s="341" t="n">
        <v>-1</v>
      </c>
      <c r="D41" s="341" t="n">
        <v>0</v>
      </c>
      <c r="E41" s="341" t="n">
        <v>0</v>
      </c>
      <c r="F41" s="341" t="n">
        <v>0</v>
      </c>
      <c r="H41" s="351">
        <f>SUM(C41:G41)</f>
        <v/>
      </c>
    </row>
    <row r="42" ht="12.75" customHeight="1">
      <c r="A42" s="130" t="n">
        <v>1100000</v>
      </c>
      <c r="B42" s="1" t="inlineStr">
        <is>
          <t>EV Agioreserve Agio aandelen</t>
        </is>
      </c>
      <c r="C42" s="341" t="n">
        <v>-18931219.48</v>
      </c>
      <c r="D42" s="341" t="n">
        <v>0</v>
      </c>
      <c r="E42" s="341" t="n">
        <v>0</v>
      </c>
      <c r="F42" s="341" t="n">
        <v>0</v>
      </c>
      <c r="H42" s="351">
        <f>SUM(C42:G42)</f>
        <v/>
      </c>
    </row>
    <row r="43" ht="12.75" customHeight="1">
      <c r="A43" s="130" t="n">
        <v>1160000</v>
      </c>
      <c r="B43" s="1" t="inlineStr">
        <is>
          <t>EV Overige reserve Reserve aandelen</t>
        </is>
      </c>
      <c r="C43" s="341" t="n">
        <v>5460952.05</v>
      </c>
      <c r="D43" s="341" t="n">
        <v>0</v>
      </c>
      <c r="E43" s="341" t="n">
        <v>0</v>
      </c>
      <c r="F43" s="341" t="n">
        <v>0</v>
      </c>
      <c r="H43" s="351">
        <f>SUM(C43:G43)</f>
        <v/>
      </c>
    </row>
    <row r="44" ht="12.75" customHeight="1">
      <c r="A44" s="130" t="inlineStr">
        <is>
          <t>1160100</t>
        </is>
      </c>
      <c r="B44" s="1" t="inlineStr">
        <is>
          <t>EV Overige reserve  Dividenduitkeringen aandelen</t>
        </is>
      </c>
      <c r="D44" s="341" t="n">
        <v>0</v>
      </c>
      <c r="E44" s="341" t="n">
        <v>0</v>
      </c>
      <c r="F44" s="341" t="n">
        <v>0</v>
      </c>
      <c r="H44" s="290">
        <f>SUM(C44:G44)</f>
        <v/>
      </c>
    </row>
    <row r="45" ht="12.75" customHeight="1">
      <c r="A45" s="1" t="inlineStr">
        <is>
          <t>Totaal Eigen vermogen</t>
        </is>
      </c>
    </row>
    <row r="47" ht="12.75" customHeight="1">
      <c r="A47" s="130" t="n">
        <v>1930001</v>
      </c>
      <c r="B47" s="1" t="inlineStr">
        <is>
          <t>LLS Hoofdsom ABN AMRO Bank NV Senior Facility Agreement</t>
        </is>
      </c>
      <c r="C47" s="341" t="n">
        <v>-130000000</v>
      </c>
      <c r="D47" s="341" t="n">
        <v>-38320325</v>
      </c>
      <c r="E47" s="341" t="n">
        <v>0</v>
      </c>
      <c r="H47" s="351">
        <f>SUM(C47:G47)</f>
        <v/>
      </c>
    </row>
    <row r="48" ht="12.75" customHeight="1">
      <c r="A48" s="130" t="inlineStr">
        <is>
          <t>1930101</t>
        </is>
      </c>
      <c r="B48" s="1" t="inlineStr">
        <is>
          <t>LLS Cum aflossingen ABN AMRO Bank NV Senior Facility Agreement</t>
        </is>
      </c>
      <c r="C48" s="341" t="n">
        <v>28921508.81</v>
      </c>
      <c r="D48" s="343" t="n">
        <v>-251183.98</v>
      </c>
      <c r="E48" s="344" t="n">
        <v>1040566.26</v>
      </c>
      <c r="F48" s="343" t="n">
        <v>531000</v>
      </c>
      <c r="G48" s="343" t="n">
        <v>1446000</v>
      </c>
      <c r="H48" s="351">
        <f>SUM(C48:G48)</f>
        <v/>
      </c>
      <c r="M48" s="352" t="n">
        <v>100191109.27</v>
      </c>
    </row>
    <row r="49" ht="12.75" customHeight="1">
      <c r="A49" s="130" t="n">
        <v>1930200</v>
      </c>
      <c r="B49" s="1" t="inlineStr">
        <is>
          <t>LLS Extension fee &amp; professional fees</t>
        </is>
      </c>
      <c r="C49" s="341" t="n">
        <v>0</v>
      </c>
      <c r="D49" s="343" t="n">
        <v>552312.0600000001</v>
      </c>
      <c r="E49" s="344" t="n">
        <v>-29069.07</v>
      </c>
      <c r="F49" s="343" t="n">
        <v>-29069.06</v>
      </c>
      <c r="G49" s="343" t="n">
        <v>-29069.05</v>
      </c>
      <c r="H49" s="351">
        <f>SUM(C49:G49)</f>
        <v/>
      </c>
      <c r="M49" s="352" t="n">
        <v>37398565.92</v>
      </c>
    </row>
    <row r="50" ht="12.75" customHeight="1">
      <c r="A50" s="1" t="inlineStr">
        <is>
          <t>Totaal Langlopende schulden</t>
        </is>
      </c>
    </row>
    <row r="52" ht="12.75" customHeight="1">
      <c r="A52" s="130" t="inlineStr">
        <is>
          <t>2730000</t>
        </is>
      </c>
      <c r="B52" s="1" t="inlineStr">
        <is>
          <t>KLS Crediteuren</t>
        </is>
      </c>
      <c r="C52" s="341" t="n">
        <v>-577278.97</v>
      </c>
      <c r="D52" s="341" t="n">
        <v>221244.37</v>
      </c>
      <c r="E52" s="302" t="n">
        <v>-339462.09</v>
      </c>
      <c r="F52" s="341" t="n">
        <v>459980.87</v>
      </c>
      <c r="G52" s="341" t="n">
        <v>-129687.64</v>
      </c>
      <c r="H52" s="351">
        <f>SUM(C52:G52)</f>
        <v/>
      </c>
    </row>
    <row r="53" ht="12.75" customHeight="1">
      <c r="A53" s="130" t="inlineStr">
        <is>
          <t>2730001</t>
        </is>
      </c>
      <c r="B53" s="1" t="inlineStr">
        <is>
          <t>KLS Crediteuren intercompany</t>
        </is>
      </c>
      <c r="C53" s="341" t="n">
        <v>-36300</v>
      </c>
      <c r="D53" s="341" t="n">
        <v>-856680</v>
      </c>
      <c r="E53" s="341" t="n">
        <v>-12500</v>
      </c>
      <c r="F53" s="341" t="n">
        <v>-13200</v>
      </c>
      <c r="G53" s="341" t="n">
        <v>-1500</v>
      </c>
      <c r="H53" s="351">
        <f>SUM(C53:G53)</f>
        <v/>
      </c>
    </row>
    <row r="54" ht="12.75" customHeight="1">
      <c r="A54" s="1" t="inlineStr">
        <is>
          <t>Totaal Crediteuren</t>
        </is>
      </c>
    </row>
    <row r="56" ht="12.75" customHeight="1">
      <c r="A56" s="130" t="inlineStr">
        <is>
          <t>2512100</t>
        </is>
      </c>
      <c r="B56" s="1" t="inlineStr">
        <is>
          <t>BEL Afgedragen/ontvangen BTW</t>
        </is>
      </c>
      <c r="C56" s="341" t="n">
        <v>-4728.469999999999</v>
      </c>
      <c r="D56" s="341" t="n">
        <v>-997.53</v>
      </c>
      <c r="E56" s="341" t="n">
        <v>757.23</v>
      </c>
      <c r="F56" s="341" t="n">
        <v>168.17</v>
      </c>
      <c r="G56" s="341" t="n">
        <v>-445.4</v>
      </c>
      <c r="H56" s="351">
        <f>SUM(C56:G56)</f>
        <v/>
      </c>
    </row>
    <row r="57" ht="12.75" customHeight="1">
      <c r="A57" s="130" t="inlineStr">
        <is>
          <t>2530000</t>
        </is>
      </c>
      <c r="B57" s="1" t="inlineStr">
        <is>
          <t>BEL Te betalen vennootschapsbelasting</t>
        </is>
      </c>
      <c r="C57" s="341" t="n">
        <v>0</v>
      </c>
      <c r="D57" s="341" t="n">
        <v>0</v>
      </c>
      <c r="H57" s="351">
        <f>SUM(C57:G57)</f>
        <v/>
      </c>
    </row>
    <row r="58" ht="12.75" customHeight="1">
      <c r="A58" s="130" t="inlineStr">
        <is>
          <t>2550000</t>
        </is>
      </c>
      <c r="B58" s="1" t="inlineStr">
        <is>
          <t>BEL Te betalen overige belastingen</t>
        </is>
      </c>
      <c r="C58" s="341" t="n">
        <v>0</v>
      </c>
      <c r="D58" s="341" t="n">
        <v>0</v>
      </c>
      <c r="H58" s="290">
        <f>SUM(C58:G58)</f>
        <v/>
      </c>
    </row>
    <row r="59" ht="12.75" customHeight="1">
      <c r="A59" s="1" t="inlineStr">
        <is>
          <t>Totaal Belastingen</t>
        </is>
      </c>
    </row>
    <row r="61" ht="12.75" customHeight="1">
      <c r="A61" s="130" t="n">
        <v>2620000</v>
      </c>
      <c r="B61" s="1" t="inlineStr">
        <is>
          <t>KLS Rekening-courant CV I</t>
        </is>
      </c>
      <c r="C61" s="341" t="n">
        <v>0</v>
      </c>
      <c r="D61" s="341" t="n">
        <v>-100000</v>
      </c>
      <c r="E61" s="341" t="n">
        <v>100000</v>
      </c>
      <c r="F61" s="341" t="n">
        <v>0</v>
      </c>
      <c r="G61" s="341" t="n">
        <v>-200000</v>
      </c>
      <c r="H61" s="351">
        <f>SUM(C61:G61)</f>
        <v/>
      </c>
    </row>
    <row r="62" ht="12.75" customHeight="1">
      <c r="A62" s="130" t="inlineStr">
        <is>
          <t>Totaal Rekening-courant groepsmaatschappij</t>
        </is>
      </c>
    </row>
    <row r="64" ht="12.75" customHeight="1">
      <c r="A64" s="130" t="n">
        <v>2740100</v>
      </c>
      <c r="B64" s="1" t="inlineStr">
        <is>
          <t>KLS Vooruitgefactureerde huur</t>
        </is>
      </c>
      <c r="C64" s="341" t="n">
        <v>-1013361.8</v>
      </c>
      <c r="D64" s="341" t="n">
        <v>876536.84</v>
      </c>
      <c r="E64" s="341" t="n">
        <v>-19436.43</v>
      </c>
      <c r="F64" s="342">
        <f>-809308+1</f>
        <v/>
      </c>
      <c r="G64" s="341" t="n">
        <v>801.61</v>
      </c>
      <c r="H64" s="351">
        <f>SUM(C64:G64)</f>
        <v/>
      </c>
      <c r="I64" s="1" t="inlineStr">
        <is>
          <t>Verderling voor/ achterstanden stonden niet goed. Aangepast.</t>
        </is>
      </c>
    </row>
    <row r="65" ht="12.75" customHeight="1">
      <c r="A65" s="130" t="inlineStr">
        <is>
          <t>2740300</t>
        </is>
      </c>
      <c r="B65" s="1" t="inlineStr">
        <is>
          <t>KLS Te betalen waarborgsommen kortlopend</t>
        </is>
      </c>
      <c r="C65" s="341" t="n">
        <v>-843323.2200000001</v>
      </c>
      <c r="D65" s="341" t="n">
        <v>-29141.32</v>
      </c>
      <c r="E65" s="341" t="n">
        <v>-34705.35</v>
      </c>
      <c r="F65" s="341" t="n">
        <v>-20233.89</v>
      </c>
      <c r="G65" s="341" t="n">
        <v>-8275.860000000001</v>
      </c>
      <c r="H65" s="351">
        <f>SUM(C65:G65)</f>
        <v/>
      </c>
    </row>
    <row r="66" ht="12.75" customHeight="1">
      <c r="A66" s="130" t="n">
        <v>2740500</v>
      </c>
      <c r="B66" s="1" t="inlineStr">
        <is>
          <t>KLS Te betalen accountants- en administratiekosten</t>
        </is>
      </c>
      <c r="C66" s="341" t="n">
        <v>-22500</v>
      </c>
      <c r="D66" s="341" t="n">
        <v>-22500</v>
      </c>
      <c r="E66" s="341" t="n">
        <v>400.95</v>
      </c>
      <c r="F66" s="341" t="n">
        <v>-400.49</v>
      </c>
      <c r="H66" s="351">
        <f>SUM(C66:G66)</f>
        <v/>
      </c>
    </row>
    <row r="67" ht="12.75" customHeight="1">
      <c r="A67" s="130" t="inlineStr">
        <is>
          <t>2740600</t>
        </is>
      </c>
      <c r="B67" s="1" t="inlineStr">
        <is>
          <t>KLS Te betalen rente</t>
        </is>
      </c>
      <c r="C67" s="341" t="n">
        <v>0</v>
      </c>
      <c r="D67" s="341" t="n">
        <v>0</v>
      </c>
      <c r="E67" s="341" t="n">
        <v>0</v>
      </c>
      <c r="F67" s="341" t="n">
        <v>0</v>
      </c>
      <c r="H67" s="351">
        <f>SUM(C67:G67)</f>
        <v/>
      </c>
    </row>
    <row r="68" ht="12.75" customHeight="1">
      <c r="A68" s="130" t="inlineStr">
        <is>
          <t>2740700</t>
        </is>
      </c>
      <c r="B68" s="1" t="inlineStr">
        <is>
          <t>KLS Te betalen verzekeringen</t>
        </is>
      </c>
      <c r="C68" s="341" t="n">
        <v>0</v>
      </c>
      <c r="D68" s="341" t="n">
        <v>0</v>
      </c>
      <c r="E68" s="341" t="n">
        <v>0</v>
      </c>
      <c r="F68" s="341" t="n">
        <v>0</v>
      </c>
      <c r="H68" s="290">
        <f>SUM(C68:G68)</f>
        <v/>
      </c>
    </row>
    <row r="69" ht="12.75" customHeight="1">
      <c r="A69" s="130" t="inlineStr">
        <is>
          <t>2741000</t>
        </is>
      </c>
      <c r="B69" s="1" t="inlineStr">
        <is>
          <t>KLS Te betalen servicekosten</t>
        </is>
      </c>
      <c r="C69" s="341" t="n">
        <v>73597.84000000001</v>
      </c>
      <c r="D69" s="341" t="n">
        <v>-76077.46000000001</v>
      </c>
      <c r="E69" s="341" t="n">
        <v>129789</v>
      </c>
      <c r="F69" s="341" t="n">
        <v>32104.41</v>
      </c>
      <c r="G69" s="341" t="n">
        <v>-80946.72</v>
      </c>
      <c r="H69" s="351">
        <f>SUM(C69:G69)</f>
        <v/>
      </c>
    </row>
    <row r="70" ht="12.75" customHeight="1">
      <c r="A70" s="130" t="inlineStr">
        <is>
          <t>2741001</t>
        </is>
      </c>
      <c r="B70" s="1" t="inlineStr">
        <is>
          <t>KLS Te betalen exploitatiekosten</t>
        </is>
      </c>
      <c r="C70" s="341" t="n">
        <v>-0.1300000000001091</v>
      </c>
      <c r="D70" s="341" t="n">
        <v>-42098.85</v>
      </c>
      <c r="E70" s="341" t="n">
        <v>0</v>
      </c>
      <c r="F70" s="341" t="n">
        <v>0</v>
      </c>
      <c r="H70" s="351">
        <f>SUM(C70:G70)</f>
        <v/>
      </c>
    </row>
    <row r="71" ht="12.75" customHeight="1">
      <c r="A71" s="130" t="inlineStr">
        <is>
          <t>2741002</t>
        </is>
      </c>
      <c r="B71" s="1" t="inlineStr">
        <is>
          <t>KLS Te betalen VVE</t>
        </is>
      </c>
      <c r="C71" s="341" t="n">
        <v>-0.3000000000000114</v>
      </c>
      <c r="D71" s="341" t="n">
        <v>0</v>
      </c>
      <c r="E71" s="341" t="n">
        <v>0</v>
      </c>
      <c r="F71" s="341" t="n">
        <v>0</v>
      </c>
      <c r="H71" s="290">
        <f>SUM(C71:G71)</f>
        <v/>
      </c>
    </row>
    <row r="72" ht="12.75" customHeight="1">
      <c r="A72" s="130" t="inlineStr">
        <is>
          <t>2741004</t>
        </is>
      </c>
      <c r="B72" s="1" t="inlineStr">
        <is>
          <t>KLS Te betalen Hoen</t>
        </is>
      </c>
      <c r="C72" s="341" t="n">
        <v>-125776.62</v>
      </c>
      <c r="D72" s="341" t="n">
        <v>-126704.07</v>
      </c>
      <c r="E72" s="341" t="n">
        <v>125173.56</v>
      </c>
      <c r="F72" s="341" t="n">
        <v>-127137.14</v>
      </c>
      <c r="G72" s="341" t="n">
        <v>-130845.14</v>
      </c>
      <c r="H72" s="351">
        <f>SUM(C72:G72)</f>
        <v/>
      </c>
    </row>
    <row r="73" ht="12.75" customHeight="1">
      <c r="A73" s="130" t="inlineStr">
        <is>
          <t>2741005</t>
        </is>
      </c>
      <c r="B73" s="1" t="inlineStr">
        <is>
          <t>KLS Te betalen managementvergoedingen</t>
        </is>
      </c>
      <c r="C73" s="341" t="n">
        <v>0</v>
      </c>
      <c r="D73" s="341" t="n">
        <v>0</v>
      </c>
      <c r="E73" s="341" t="n">
        <v>0</v>
      </c>
      <c r="F73" s="341" t="n">
        <v>0</v>
      </c>
      <c r="H73" s="290">
        <f>SUM(C73:G73)</f>
        <v/>
      </c>
    </row>
    <row r="74" ht="12.75" customHeight="1">
      <c r="A74" s="130" t="inlineStr">
        <is>
          <t>2741200</t>
        </is>
      </c>
      <c r="B74" s="1" t="inlineStr">
        <is>
          <t>KLS Te betalen agency fee</t>
        </is>
      </c>
      <c r="C74" s="341" t="n">
        <v>20000</v>
      </c>
      <c r="D74" s="341" t="n">
        <v>10000</v>
      </c>
      <c r="F74" s="341" t="n">
        <v>40000</v>
      </c>
      <c r="G74" s="341" t="n">
        <v>-40000</v>
      </c>
      <c r="H74" s="351">
        <f>SUM(C74:G74)</f>
        <v/>
      </c>
    </row>
    <row r="75" ht="12.75" customHeight="1">
      <c r="A75" s="130" t="inlineStr">
        <is>
          <t>2741900</t>
        </is>
      </c>
      <c r="B75" s="1" t="inlineStr">
        <is>
          <t>KLS Nog uit te zoeken posten MT940</t>
        </is>
      </c>
      <c r="C75" s="341" t="n">
        <v>0</v>
      </c>
      <c r="F75" s="341" t="n">
        <v>0</v>
      </c>
      <c r="H75" s="290">
        <f>SUM(C75:G75)</f>
        <v/>
      </c>
    </row>
    <row r="76" ht="12.75" customHeight="1">
      <c r="A76" s="130" t="inlineStr">
        <is>
          <t>2742200</t>
        </is>
      </c>
      <c r="B76" s="1" t="inlineStr">
        <is>
          <t>KLS Vooruitontvangen bedragen</t>
        </is>
      </c>
      <c r="C76" s="341" t="n">
        <v>0</v>
      </c>
      <c r="F76" s="341" t="n">
        <v>0</v>
      </c>
      <c r="H76" s="290">
        <f>SUM(C76:G76)</f>
        <v/>
      </c>
    </row>
    <row r="77" ht="12.75" customHeight="1">
      <c r="A77" s="130" t="n">
        <v>2040100</v>
      </c>
      <c r="B77" s="1" t="inlineStr">
        <is>
          <t xml:space="preserve">KLS Nog te factureren bedragen </t>
        </is>
      </c>
      <c r="C77" s="341" t="n">
        <v>0</v>
      </c>
      <c r="D77" s="341" t="n">
        <v>0</v>
      </c>
      <c r="E77" s="341" t="n">
        <v>0</v>
      </c>
      <c r="F77" s="341">
        <f>-41878.65+41878.65</f>
        <v/>
      </c>
      <c r="H77" s="351">
        <f>SUM(C77:G77)</f>
        <v/>
      </c>
    </row>
    <row r="78" ht="12.75" customHeight="1">
      <c r="A78" s="1" t="inlineStr">
        <is>
          <t>Totaal Overige schulden</t>
        </is>
      </c>
    </row>
    <row r="81" ht="12.75" customHeight="1">
      <c r="A81" s="132" t="inlineStr">
        <is>
          <t>Winst- en verliesrekening (baten zijn positief, kosten negatief)</t>
        </is>
      </c>
    </row>
    <row r="82" ht="12.75" customHeight="1">
      <c r="A82" s="130" t="inlineStr">
        <is>
          <t>8000003</t>
        </is>
      </c>
      <c r="B82" s="1" t="inlineStr">
        <is>
          <t>OPB Netto-omzet Theoretische huuropbrengsten</t>
        </is>
      </c>
      <c r="D82" s="341" t="n">
        <v>-2950963.19</v>
      </c>
      <c r="E82" s="341" t="n">
        <v>-2959140.94</v>
      </c>
      <c r="F82" s="341" t="n">
        <v>-2984947.9</v>
      </c>
      <c r="G82" s="341" t="n">
        <v>-3069840.08</v>
      </c>
      <c r="H82" s="290">
        <f>SUM(C82:G82)</f>
        <v/>
      </c>
    </row>
    <row r="83" ht="12.75" customHeight="1">
      <c r="A83" s="130" t="inlineStr">
        <is>
          <t>8000004</t>
        </is>
      </c>
      <c r="B83" s="1" t="inlineStr">
        <is>
          <t>OPB Netto-omzet Leegstand huuropbrengsten</t>
        </is>
      </c>
      <c r="D83" s="341" t="n">
        <v>59011.37</v>
      </c>
      <c r="E83" s="341" t="n">
        <v>55162.54</v>
      </c>
      <c r="F83" s="341" t="n">
        <v>56558</v>
      </c>
      <c r="G83" s="341" t="n">
        <v>66841.78999999999</v>
      </c>
      <c r="H83" s="290">
        <f>SUM(C83:G83)</f>
        <v/>
      </c>
    </row>
    <row r="84" ht="12.75" customHeight="1">
      <c r="A84" s="1" t="inlineStr">
        <is>
          <t>Totaal Netto-omzet</t>
        </is>
      </c>
      <c r="D84" s="341">
        <f>D82+D83</f>
        <v/>
      </c>
      <c r="E84" s="341">
        <f>E82+E83</f>
        <v/>
      </c>
      <c r="F84" s="341">
        <f>F82+F83</f>
        <v/>
      </c>
      <c r="G84" s="341">
        <f>G82+G83</f>
        <v/>
      </c>
      <c r="H84" s="290">
        <f>SUM(C84:G84)</f>
        <v/>
      </c>
    </row>
    <row r="86" ht="12.75" customHeight="1">
      <c r="A86" s="130" t="n">
        <v>8400400</v>
      </c>
      <c r="B86" s="1" t="inlineStr">
        <is>
          <t xml:space="preserve">OPB Overige bedrijfsopbrengsten </t>
        </is>
      </c>
      <c r="H86" s="290">
        <f>SUM(C86:G86)</f>
        <v/>
      </c>
    </row>
    <row r="87" ht="12.75" customHeight="1">
      <c r="A87" s="130" t="inlineStr">
        <is>
          <t>8400600</t>
        </is>
      </c>
      <c r="B87" s="1" t="inlineStr">
        <is>
          <t>OPB Overige bedrijfsopbrengsten Totale servicekosten</t>
        </is>
      </c>
      <c r="D87" s="341" t="n">
        <v>-165044.02</v>
      </c>
      <c r="E87" s="341" t="n">
        <v>-165745.84</v>
      </c>
      <c r="F87" s="341" t="n">
        <v>-166072.95</v>
      </c>
      <c r="G87" s="341" t="n">
        <v>-165720.32</v>
      </c>
      <c r="H87" s="290">
        <f>SUM(C87:G87)</f>
        <v/>
      </c>
    </row>
    <row r="88" ht="12.75" customHeight="1">
      <c r="A88" s="130" t="inlineStr">
        <is>
          <t>8400700</t>
        </is>
      </c>
      <c r="B88" s="1" t="inlineStr">
        <is>
          <t>OPB Overige bedrijfsopbrengsten Servicekosten leegstand</t>
        </is>
      </c>
      <c r="D88" s="341" t="n">
        <v>3789.4</v>
      </c>
      <c r="E88" s="341" t="n">
        <v>9522.030000000001</v>
      </c>
      <c r="F88" s="341" t="n">
        <v>9644.389999999999</v>
      </c>
      <c r="G88" s="341" t="n">
        <v>8306.41</v>
      </c>
      <c r="H88" s="290">
        <f>SUM(C88:G88)</f>
        <v/>
      </c>
    </row>
    <row r="89" ht="12.75" customHeight="1">
      <c r="A89" s="130" t="n">
        <v>8400800</v>
      </c>
      <c r="B89" s="1" t="inlineStr">
        <is>
          <t>OPB Overige bedrijfsopbrengsten Gerealiseerde servicekosten</t>
        </is>
      </c>
      <c r="D89" s="341" t="n">
        <v>220949.51</v>
      </c>
      <c r="E89" s="302">
        <f>353718.65-O16</f>
        <v/>
      </c>
      <c r="F89" s="341">
        <f>267954.63-N16</f>
        <v/>
      </c>
      <c r="G89" s="341" t="n">
        <v>235052.43</v>
      </c>
      <c r="H89" s="290">
        <f>SUM(C89:G89)</f>
        <v/>
      </c>
    </row>
    <row r="90" ht="12.75" customHeight="1">
      <c r="A90" s="1" t="inlineStr">
        <is>
          <t>Totaal Overige bedrijfsopbrengsten</t>
        </is>
      </c>
      <c r="D90" s="341">
        <f>SUM(D86:D89)</f>
        <v/>
      </c>
      <c r="E90" s="341">
        <f>SUM(E86:E89)</f>
        <v/>
      </c>
      <c r="F90" s="341">
        <f>SUM(F87:F89)</f>
        <v/>
      </c>
      <c r="G90" s="341">
        <f>SUM(G87:G89)</f>
        <v/>
      </c>
      <c r="H90" s="290">
        <f>SUM(C90:G90)</f>
        <v/>
      </c>
    </row>
    <row r="92" ht="12.75" customHeight="1">
      <c r="A92" s="130" t="inlineStr">
        <is>
          <t>4051400</t>
        </is>
      </c>
      <c r="B92" s="1" t="inlineStr">
        <is>
          <t>KN Diensten door derden</t>
        </is>
      </c>
      <c r="D92" s="341" t="n">
        <v>125402.18</v>
      </c>
      <c r="E92" s="341" t="n">
        <v>126034.62</v>
      </c>
      <c r="F92" s="341" t="n">
        <v>126358.08</v>
      </c>
      <c r="G92" s="341" t="n">
        <v>130076.16</v>
      </c>
      <c r="H92" s="290">
        <f>SUM(C92:G92)</f>
        <v/>
      </c>
    </row>
    <row r="93" ht="12.75" customHeight="1">
      <c r="A93" s="1" t="inlineStr">
        <is>
          <t>Totaal overige personeelskosten</t>
        </is>
      </c>
      <c r="D93" s="341">
        <f>SUM(D92)</f>
        <v/>
      </c>
      <c r="E93" s="341">
        <f>SUM(E92)</f>
        <v/>
      </c>
      <c r="F93" s="341">
        <f>F92</f>
        <v/>
      </c>
      <c r="G93" s="341">
        <f>G92</f>
        <v/>
      </c>
      <c r="H93" s="290">
        <f>SUM(C93:G93)</f>
        <v/>
      </c>
      <c r="J93" s="248" t="n"/>
    </row>
    <row r="95" ht="12.75" customHeight="1">
      <c r="A95" s="130" t="inlineStr">
        <is>
          <t>4730000</t>
        </is>
      </c>
      <c r="B95" s="1" t="inlineStr">
        <is>
          <t>AFKN Afschrijvingskosten Vastgoedbeleggingen</t>
        </is>
      </c>
      <c r="D95" s="341" t="n">
        <v>707759</v>
      </c>
      <c r="E95" s="341" t="n">
        <v>707631</v>
      </c>
      <c r="F95" s="341" t="n">
        <v>706154</v>
      </c>
      <c r="G95" s="341" t="n">
        <v>722958</v>
      </c>
      <c r="H95" s="290">
        <f>SUM(C95:G95)</f>
        <v/>
      </c>
      <c r="J95" s="341" t="n"/>
      <c r="L95" s="299" t="n"/>
    </row>
    <row r="96" ht="12.75" customHeight="1">
      <c r="A96" s="130" t="inlineStr">
        <is>
          <t>4730200</t>
        </is>
      </c>
      <c r="B96" s="1" t="inlineStr">
        <is>
          <t>AFKN Boekresultaat Vastgoedbeleggingen</t>
        </is>
      </c>
      <c r="D96" s="341" t="n">
        <v>-181985</v>
      </c>
      <c r="E96" s="341" t="n">
        <v>-114663</v>
      </c>
      <c r="F96" s="341" t="n">
        <v>-315876</v>
      </c>
      <c r="G96" s="341" t="n">
        <v>-724209</v>
      </c>
      <c r="H96" s="290">
        <f>SUM(C96:G96)</f>
        <v/>
      </c>
    </row>
    <row r="97" ht="12.75" customHeight="1">
      <c r="A97" s="1" t="inlineStr">
        <is>
          <t>Totaal Afschrijvingen vastgoedbeleggingen</t>
        </is>
      </c>
      <c r="D97" s="341">
        <f>SUM(D95:D96)</f>
        <v/>
      </c>
      <c r="E97" s="341">
        <f>SUM(E95:E96)</f>
        <v/>
      </c>
      <c r="F97" s="341">
        <f>SUM(F95:F96)</f>
        <v/>
      </c>
      <c r="G97" s="341">
        <f>SUM(G95:G96)</f>
        <v/>
      </c>
      <c r="H97" s="290">
        <f>SUM(C97:G97)</f>
        <v/>
      </c>
    </row>
    <row r="99" ht="12.75" customHeight="1">
      <c r="A99" s="130" t="inlineStr">
        <is>
          <t>4100400</t>
        </is>
      </c>
      <c r="B99" s="1" t="inlineStr">
        <is>
          <t>KN Onderhoud gebouwen</t>
        </is>
      </c>
      <c r="D99" s="341" t="n">
        <v>324266.13</v>
      </c>
      <c r="E99" s="341" t="n">
        <v>183914.03</v>
      </c>
      <c r="F99" s="341" t="n">
        <v>180973.26</v>
      </c>
      <c r="G99" s="341" t="n">
        <v>244924.96</v>
      </c>
      <c r="H99" s="290">
        <f>SUM(C99:G99)</f>
        <v/>
      </c>
      <c r="J99" s="341" t="n"/>
      <c r="L99" s="299" t="n"/>
    </row>
    <row r="100" ht="12.75" customHeight="1">
      <c r="A100" s="130" t="inlineStr">
        <is>
          <t>4100410</t>
        </is>
      </c>
      <c r="B100" s="1" t="inlineStr">
        <is>
          <t>Verhuurdersheffing</t>
        </is>
      </c>
      <c r="D100" s="341" t="n">
        <v>119943.23</v>
      </c>
      <c r="E100" s="341" t="n">
        <v>0</v>
      </c>
      <c r="F100" s="341" t="n">
        <v>-6167</v>
      </c>
      <c r="H100" s="290">
        <f>SUM(C100:G100)</f>
        <v/>
      </c>
    </row>
    <row r="101" ht="12.75" customHeight="1">
      <c r="A101" s="130" t="inlineStr">
        <is>
          <t>4100900</t>
        </is>
      </c>
      <c r="B101" s="1" t="inlineStr">
        <is>
          <t>KN Onroerende zaakbelasting</t>
        </is>
      </c>
      <c r="D101" s="341" t="n">
        <v>57028.11</v>
      </c>
      <c r="E101" s="341" t="n">
        <v>85118.19</v>
      </c>
      <c r="F101" s="341" t="n">
        <v>80511.73</v>
      </c>
      <c r="G101" s="341" t="n">
        <v>85689.25999999999</v>
      </c>
      <c r="H101" s="290">
        <f>SUM(C101:G101)</f>
        <v/>
      </c>
    </row>
    <row r="102" ht="12.75" customHeight="1">
      <c r="A102" s="130" t="inlineStr">
        <is>
          <t>4101000</t>
        </is>
      </c>
      <c r="B102" s="1" t="inlineStr">
        <is>
          <t>KN VvE-kosten</t>
        </is>
      </c>
      <c r="D102" s="341" t="n">
        <v>109128.17</v>
      </c>
      <c r="E102" s="341" t="n">
        <v>146200.38</v>
      </c>
      <c r="F102" s="341" t="n">
        <v>179862.97</v>
      </c>
      <c r="G102" s="341" t="n">
        <v>187223.72</v>
      </c>
      <c r="H102" s="290">
        <f>SUM(C102:G102)</f>
        <v/>
      </c>
      <c r="L102" s="299" t="n"/>
    </row>
    <row r="103" ht="12.75" customHeight="1">
      <c r="A103" s="130" t="inlineStr">
        <is>
          <t>4101010</t>
        </is>
      </c>
      <c r="B103" s="1" t="inlineStr">
        <is>
          <t>Gemeentelijke belastingen</t>
        </is>
      </c>
      <c r="D103" s="341" t="n">
        <v>20670.54</v>
      </c>
      <c r="E103" s="341" t="n">
        <v>95071.45</v>
      </c>
      <c r="F103" s="341" t="n">
        <v>13692.19</v>
      </c>
      <c r="G103" s="341" t="n">
        <v>450.4</v>
      </c>
      <c r="H103" s="290">
        <f>SUM(C103:G103)</f>
        <v/>
      </c>
    </row>
    <row r="104" ht="12.75" customHeight="1">
      <c r="A104" s="130" t="inlineStr">
        <is>
          <t>4101020</t>
        </is>
      </c>
      <c r="B104" s="1" t="inlineStr">
        <is>
          <t>Waterschapsbelasting</t>
        </is>
      </c>
      <c r="D104" s="341" t="n">
        <v>15453.02</v>
      </c>
      <c r="E104" s="341" t="n">
        <v>8625.43</v>
      </c>
      <c r="F104" s="341" t="n">
        <v>39880.4</v>
      </c>
      <c r="G104" s="341" t="n">
        <v>44191.93</v>
      </c>
      <c r="H104" s="290">
        <f>SUM(C104:G104)</f>
        <v/>
      </c>
      <c r="L104" s="299" t="n"/>
    </row>
    <row r="105" ht="12.75" customHeight="1">
      <c r="A105" s="130" t="inlineStr">
        <is>
          <t>4101300</t>
        </is>
      </c>
      <c r="B105" s="1" t="inlineStr">
        <is>
          <t>KN Servicekosten leegstand</t>
        </is>
      </c>
      <c r="D105" s="341" t="n">
        <v>0</v>
      </c>
      <c r="E105" s="341" t="n">
        <v>0</v>
      </c>
      <c r="F105" s="341" t="n">
        <v>-76.66</v>
      </c>
      <c r="G105" s="341" t="n">
        <v>-126.11</v>
      </c>
      <c r="H105" s="290">
        <f>SUM(C105:G105)</f>
        <v/>
      </c>
    </row>
    <row r="106" ht="12.75" customHeight="1">
      <c r="A106" s="130" t="inlineStr">
        <is>
          <t>4109800</t>
        </is>
      </c>
      <c r="B106" s="1" t="inlineStr">
        <is>
          <t>KN Overige huisvestingskosten</t>
        </is>
      </c>
      <c r="D106" s="341" t="n">
        <v>0</v>
      </c>
      <c r="E106" s="341" t="n">
        <v>0</v>
      </c>
      <c r="F106" s="341" t="n">
        <v>0</v>
      </c>
      <c r="H106" s="290">
        <f>SUM(C106:G106)</f>
        <v/>
      </c>
    </row>
    <row r="107" ht="12.75" customHeight="1">
      <c r="A107" s="1" t="inlineStr">
        <is>
          <t>Totaal Huisvestingskosten</t>
        </is>
      </c>
      <c r="D107" s="341">
        <f>SUM(D99:D106)</f>
        <v/>
      </c>
      <c r="E107" s="341">
        <f>SUM(E99:E106)</f>
        <v/>
      </c>
      <c r="F107" s="341">
        <f>SUM(F99:F106)</f>
        <v/>
      </c>
      <c r="G107" s="341">
        <f>SUM(G99:G106)</f>
        <v/>
      </c>
      <c r="H107" s="290">
        <f>SUM(C107:G107)</f>
        <v/>
      </c>
    </row>
    <row r="109" ht="12.75" customHeight="1">
      <c r="A109" s="130" t="inlineStr">
        <is>
          <t>4500400</t>
        </is>
      </c>
      <c r="B109" s="1" t="inlineStr">
        <is>
          <t>KN Representatiekosten</t>
        </is>
      </c>
      <c r="D109" s="341" t="n">
        <v>0</v>
      </c>
      <c r="H109" s="290">
        <f>SUM(C109:G109)</f>
        <v/>
      </c>
    </row>
    <row r="110" ht="12.75" customHeight="1">
      <c r="A110" s="130" t="inlineStr">
        <is>
          <t>4501200</t>
        </is>
      </c>
      <c r="B110" s="1" t="inlineStr">
        <is>
          <t>KN Mutatie voorziening dubieuze debiteuren</t>
        </is>
      </c>
      <c r="D110" s="341" t="n">
        <v>-15003.05</v>
      </c>
      <c r="F110" s="341" t="n">
        <v>0</v>
      </c>
      <c r="H110" s="290">
        <f>SUM(C110:G110)</f>
        <v/>
      </c>
    </row>
    <row r="111" ht="12.75" customHeight="1">
      <c r="A111" s="130" t="inlineStr">
        <is>
          <t>4501300</t>
        </is>
      </c>
      <c r="B111" s="1" t="inlineStr">
        <is>
          <t>KN Afboeking dubieuze debiteuren</t>
        </is>
      </c>
      <c r="D111" s="341" t="n">
        <v>-156.08</v>
      </c>
      <c r="E111" s="341" t="n">
        <v>1823.94</v>
      </c>
      <c r="F111" s="341" t="n">
        <v>-4832.51</v>
      </c>
      <c r="G111" s="341" t="n">
        <v>1767.89</v>
      </c>
      <c r="H111" s="290">
        <f>SUM(C111:G111)</f>
        <v/>
      </c>
    </row>
    <row r="112" ht="12.75" customHeight="1">
      <c r="A112" s="1" t="inlineStr">
        <is>
          <t>Totaal Verkoopkosten</t>
        </is>
      </c>
      <c r="D112" s="341">
        <f>SUM(D109:D111)</f>
        <v/>
      </c>
      <c r="E112" s="341">
        <f>SUM(E109:E111)</f>
        <v/>
      </c>
      <c r="F112" s="341">
        <f>SUM(F110:F111)</f>
        <v/>
      </c>
      <c r="G112" s="341">
        <f>SUM(G110:G111)</f>
        <v/>
      </c>
      <c r="H112" s="290">
        <f>SUM(C112:G112)</f>
        <v/>
      </c>
    </row>
    <row r="113" ht="12.75" customHeight="1">
      <c r="H113" s="290">
        <f>SUM(C113:F113)</f>
        <v/>
      </c>
    </row>
    <row r="114" ht="12.75" customHeight="1">
      <c r="A114" s="130" t="inlineStr">
        <is>
          <t>4300500</t>
        </is>
      </c>
      <c r="B114" s="1" t="inlineStr">
        <is>
          <t>KN Incassokosten</t>
        </is>
      </c>
      <c r="D114" s="341" t="n">
        <v>0</v>
      </c>
      <c r="E114" s="341" t="n">
        <v>0</v>
      </c>
      <c r="F114" s="341" t="n">
        <v>300</v>
      </c>
      <c r="G114" s="341" t="n">
        <v>0</v>
      </c>
      <c r="H114" s="290">
        <f>SUM(C114:G114)</f>
        <v/>
      </c>
    </row>
    <row r="115" ht="12.75" customHeight="1">
      <c r="A115" s="1" t="inlineStr">
        <is>
          <t>Totaal Kantoorkosten</t>
        </is>
      </c>
      <c r="D115" s="341" t="n">
        <v>0</v>
      </c>
      <c r="E115" s="341" t="n">
        <v>0</v>
      </c>
      <c r="F115" s="341">
        <f>SUM(F114)</f>
        <v/>
      </c>
      <c r="G115" s="341">
        <f>SUM(G114)</f>
        <v/>
      </c>
      <c r="H115" s="290">
        <f>SUM(C115:G115)</f>
        <v/>
      </c>
    </row>
    <row r="117" ht="12.75" customHeight="1">
      <c r="A117" s="130" t="inlineStr">
        <is>
          <t>4310000</t>
        </is>
      </c>
      <c r="B117" s="1" t="inlineStr">
        <is>
          <t>KN Abonnementen en contributies</t>
        </is>
      </c>
      <c r="D117" s="341" t="n">
        <v>0</v>
      </c>
      <c r="E117" s="341" t="n">
        <v>0</v>
      </c>
      <c r="F117" s="341" t="n">
        <v>0</v>
      </c>
      <c r="G117" s="341" t="n">
        <v>0</v>
      </c>
      <c r="H117" s="290">
        <f>SUM(C117:G117)</f>
        <v/>
      </c>
    </row>
    <row r="118" ht="12.75" customHeight="1">
      <c r="A118" s="130" t="inlineStr">
        <is>
          <t>4310400</t>
        </is>
      </c>
      <c r="B118" s="1" t="inlineStr">
        <is>
          <t>KN Assurantiepremie algemeen</t>
        </is>
      </c>
      <c r="D118" s="341" t="n">
        <v>27618.03</v>
      </c>
      <c r="E118" s="341" t="n">
        <v>29190.65</v>
      </c>
      <c r="F118" s="341" t="n">
        <v>44010.87</v>
      </c>
      <c r="G118" s="341" t="n">
        <v>28766.3</v>
      </c>
      <c r="H118" s="290">
        <f>SUM(C118:G118)</f>
        <v/>
      </c>
    </row>
    <row r="119" ht="12.75" customHeight="1">
      <c r="A119" s="130" t="inlineStr">
        <is>
          <t>4310500</t>
        </is>
      </c>
      <c r="B119" s="1" t="inlineStr">
        <is>
          <t>KN Managementvergoeding</t>
        </is>
      </c>
      <c r="D119" s="341" t="n">
        <v>1815</v>
      </c>
      <c r="E119" s="341" t="n">
        <v>1500</v>
      </c>
      <c r="F119" s="341" t="n">
        <v>1500</v>
      </c>
      <c r="G119" s="341" t="n">
        <v>1500</v>
      </c>
      <c r="H119" s="290">
        <f>SUM(C119:G119)</f>
        <v/>
      </c>
    </row>
    <row r="120" ht="12.75" customHeight="1">
      <c r="A120" s="130" t="inlineStr">
        <is>
          <t>4310600</t>
        </is>
      </c>
      <c r="B120" s="1" t="inlineStr">
        <is>
          <t>KN Accountantskosten</t>
        </is>
      </c>
      <c r="D120" s="341" t="n">
        <v>48042.38</v>
      </c>
      <c r="E120" s="341" t="n">
        <v>5734.87</v>
      </c>
      <c r="F120" s="341" t="n">
        <v>52124.26</v>
      </c>
      <c r="G120" s="341" t="n">
        <v>3122.8</v>
      </c>
      <c r="H120" s="290">
        <f>SUM(C120:G120)</f>
        <v/>
      </c>
    </row>
    <row r="121" ht="12.75" customHeight="1">
      <c r="A121" s="130" t="inlineStr">
        <is>
          <t>4310700</t>
        </is>
      </c>
      <c r="B121" s="1" t="inlineStr">
        <is>
          <t>KN Administratiekosten</t>
        </is>
      </c>
      <c r="D121" s="341" t="n">
        <v>1210</v>
      </c>
      <c r="E121" s="341" t="n">
        <v>1331</v>
      </c>
      <c r="F121" s="341" t="n">
        <v>1397.65</v>
      </c>
      <c r="G121" s="341" t="n">
        <v>3993</v>
      </c>
      <c r="H121" s="290">
        <f>SUM(C121:G121)</f>
        <v/>
      </c>
    </row>
    <row r="122" ht="12.75" customHeight="1">
      <c r="A122" s="130" t="inlineStr">
        <is>
          <t>4310800</t>
        </is>
      </c>
      <c r="B122" s="1" t="inlineStr">
        <is>
          <t>KN Makelaarskosten</t>
        </is>
      </c>
      <c r="D122" s="341" t="n">
        <v>61678.68</v>
      </c>
      <c r="E122" s="341" t="n">
        <v>0</v>
      </c>
      <c r="F122" s="341" t="n">
        <v>0</v>
      </c>
      <c r="G122" s="341" t="n">
        <v>0</v>
      </c>
      <c r="H122" s="290">
        <f>SUM(C122:G122)</f>
        <v/>
      </c>
    </row>
    <row r="123" ht="12.75" customHeight="1">
      <c r="A123" s="130" t="n">
        <v>4310800</v>
      </c>
      <c r="B123" s="1" t="inlineStr">
        <is>
          <t>KN Notariskosten</t>
        </is>
      </c>
      <c r="D123" s="341" t="n">
        <v>0</v>
      </c>
      <c r="E123" s="341" t="n">
        <v>39350.7</v>
      </c>
      <c r="F123" s="341" t="n">
        <v>42090.02</v>
      </c>
      <c r="G123" s="341" t="n">
        <v>56784.23</v>
      </c>
      <c r="H123" s="290">
        <f>SUM(C123:G123)</f>
        <v/>
      </c>
    </row>
    <row r="124" ht="12.75" customHeight="1">
      <c r="A124" s="130" t="inlineStr">
        <is>
          <t>4311000</t>
        </is>
      </c>
      <c r="B124" s="1" t="inlineStr">
        <is>
          <t>KN Juridische kosten</t>
        </is>
      </c>
      <c r="D124" s="341" t="n">
        <v>87957.23</v>
      </c>
      <c r="E124" s="341" t="n">
        <v>23990.48</v>
      </c>
      <c r="F124" s="341" t="n">
        <v>21205</v>
      </c>
      <c r="G124" s="341" t="n">
        <v>12854.12</v>
      </c>
      <c r="H124" s="290">
        <f>SUM(C124:G124)</f>
        <v/>
      </c>
    </row>
    <row r="125" ht="12.75" customHeight="1">
      <c r="A125" s="130" t="inlineStr">
        <is>
          <t>4311800</t>
        </is>
      </c>
      <c r="B125" s="1" t="inlineStr">
        <is>
          <t>KN Advieskosten</t>
        </is>
      </c>
      <c r="D125" s="353" t="n">
        <v>856680</v>
      </c>
      <c r="E125" s="341" t="n">
        <v>11000</v>
      </c>
      <c r="F125" s="341" t="n">
        <v>13200</v>
      </c>
      <c r="G125" s="341" t="n">
        <v>8800</v>
      </c>
      <c r="H125" s="290">
        <f>SUM(C125:G125)</f>
        <v/>
      </c>
    </row>
    <row r="126" ht="12" customHeight="1">
      <c r="A126" s="130" t="inlineStr">
        <is>
          <t>4311900</t>
        </is>
      </c>
      <c r="B126" s="1" t="inlineStr">
        <is>
          <t>KN Bankkosten</t>
        </is>
      </c>
      <c r="D126" s="341" t="n">
        <v>259667.54</v>
      </c>
      <c r="E126" s="341" t="n">
        <v>33232.36</v>
      </c>
      <c r="F126" s="302">
        <f>73312.47-40000</f>
        <v/>
      </c>
      <c r="G126" s="341" t="n">
        <v>33277.08</v>
      </c>
      <c r="H126" s="290">
        <f>SUM(C126:G126)</f>
        <v/>
      </c>
    </row>
    <row r="127" ht="12.75" customHeight="1">
      <c r="A127" s="130" t="inlineStr">
        <is>
          <t>4312600</t>
        </is>
      </c>
      <c r="B127" s="1" t="inlineStr">
        <is>
          <t>KN Agent Fee facility</t>
        </is>
      </c>
      <c r="D127" s="341" t="n">
        <v>0</v>
      </c>
      <c r="E127" s="341" t="n">
        <v>0</v>
      </c>
      <c r="F127" s="341" t="n">
        <v>0</v>
      </c>
      <c r="G127" s="341" t="n">
        <v>40000</v>
      </c>
      <c r="H127" s="290">
        <f>SUM(C127:G127)</f>
        <v/>
      </c>
    </row>
    <row r="128" ht="12.75" customHeight="1">
      <c r="A128" s="130" t="inlineStr">
        <is>
          <t>4319800</t>
        </is>
      </c>
      <c r="B128" s="1" t="inlineStr">
        <is>
          <t>KN Overige algemene kosten</t>
        </is>
      </c>
      <c r="D128" s="341" t="n">
        <v>-9967.809999999999</v>
      </c>
      <c r="E128" s="341" t="n">
        <v>1908.15</v>
      </c>
      <c r="F128" s="341" t="n">
        <v>7984.21</v>
      </c>
      <c r="G128" s="341" t="n">
        <v>591.54</v>
      </c>
      <c r="H128" s="290">
        <f>SUM(C128:G128)</f>
        <v/>
      </c>
    </row>
    <row r="129" ht="12.75" customHeight="1">
      <c r="A129" s="1" t="inlineStr">
        <is>
          <t>Totaal Algemene kosten</t>
        </is>
      </c>
      <c r="D129" s="341">
        <f>SUM(D117:D128)</f>
        <v/>
      </c>
      <c r="E129" s="341">
        <f>SUM(E117:E128)</f>
        <v/>
      </c>
      <c r="F129" s="341">
        <f>SUM(F117:F128)</f>
        <v/>
      </c>
      <c r="G129" s="341">
        <f>SUM(G117:G128)</f>
        <v/>
      </c>
      <c r="H129" s="290">
        <f>SUM(C129:G129)</f>
        <v/>
      </c>
    </row>
    <row r="130" ht="12.75" customHeight="1">
      <c r="H130" s="290">
        <f>SUM(C130:F130)</f>
        <v/>
      </c>
    </row>
    <row r="131" ht="12.75" customHeight="1">
      <c r="A131" s="130" t="n">
        <v>4620200</v>
      </c>
      <c r="B131" s="1" t="inlineStr">
        <is>
          <t>FINBL Rente ABN AMRO Bank</t>
        </is>
      </c>
      <c r="D131" s="341" t="n">
        <v>0.12</v>
      </c>
      <c r="E131" s="341" t="n">
        <v>29.09</v>
      </c>
      <c r="F131" s="341" t="n">
        <v>58.18</v>
      </c>
      <c r="G131" s="341" t="n">
        <v>0</v>
      </c>
      <c r="H131" s="290">
        <f>SUM(C131:G131)</f>
        <v/>
      </c>
    </row>
    <row r="132" ht="12.75" customHeight="1">
      <c r="A132" s="130" t="inlineStr">
        <is>
          <t>4623001</t>
        </is>
      </c>
      <c r="B132" s="1" t="inlineStr">
        <is>
          <t>FINBL Rente ABN AMRO Bank NV Senior Facility Agreement</t>
        </is>
      </c>
      <c r="D132" s="341" t="n">
        <v>1046415.29</v>
      </c>
      <c r="E132" s="341" t="n">
        <v>1389702.3</v>
      </c>
      <c r="F132" s="341" t="n">
        <v>1669531.4</v>
      </c>
      <c r="G132" s="341" t="n">
        <v>1865023.71</v>
      </c>
      <c r="H132" s="290">
        <f>SUM(C132:G132)</f>
        <v/>
      </c>
    </row>
    <row r="133" ht="12.75" customHeight="1">
      <c r="A133" s="130" t="n">
        <v>4611000</v>
      </c>
      <c r="B133" s="1" t="inlineStr">
        <is>
          <t>FINBL Rente RC DMRRP INV - I BV</t>
        </is>
      </c>
      <c r="D133" s="341" t="n">
        <v>-28672</v>
      </c>
      <c r="E133" s="341" t="n">
        <v>0</v>
      </c>
      <c r="F133" s="341" t="n">
        <v>0</v>
      </c>
      <c r="H133" s="290">
        <f>SUM(C133:G133)</f>
        <v/>
      </c>
    </row>
    <row r="134" ht="12.75" customHeight="1">
      <c r="A134" s="130" t="n">
        <v>4630000</v>
      </c>
      <c r="B134" s="1" t="inlineStr">
        <is>
          <t>FINBL Rente belastingen</t>
        </is>
      </c>
      <c r="D134" s="341" t="n">
        <v>0</v>
      </c>
      <c r="F134" s="341" t="n">
        <v>0</v>
      </c>
      <c r="H134" s="290">
        <f>SUM(C134:G134)</f>
        <v/>
      </c>
    </row>
    <row r="135" ht="12.75" customHeight="1">
      <c r="A135" s="130" t="n">
        <v>4663000</v>
      </c>
      <c r="B135" s="1" t="inlineStr">
        <is>
          <t>FINBL Rente vord DMRRP INV - I BV</t>
        </is>
      </c>
      <c r="D135" s="341" t="n">
        <v>-288865</v>
      </c>
      <c r="E135" s="341" t="n">
        <v>-380384.59</v>
      </c>
      <c r="F135" s="341" t="n">
        <v>-456978.46</v>
      </c>
      <c r="G135" s="341" t="n">
        <v>-510488</v>
      </c>
      <c r="H135" s="290">
        <f>SUM(C135:G135)</f>
        <v/>
      </c>
    </row>
    <row r="136" ht="12.75" customHeight="1">
      <c r="A136" s="130" t="inlineStr">
        <is>
          <t>4643000</t>
        </is>
      </c>
      <c r="B136" s="1" t="inlineStr">
        <is>
          <t>FINBL Overige rentelasten</t>
        </is>
      </c>
      <c r="D136" s="341" t="n">
        <v>39866.69</v>
      </c>
      <c r="E136" s="341" t="n">
        <v>-208809.65</v>
      </c>
      <c r="F136" s="341" t="n">
        <v>9994.129999999999</v>
      </c>
      <c r="G136" s="341" t="n">
        <v>-143485.89</v>
      </c>
      <c r="H136" s="290">
        <f>SUM(C136:G136)</f>
        <v/>
      </c>
    </row>
    <row r="137" ht="12.75" customHeight="1">
      <c r="A137" s="130" t="n">
        <v>4642000</v>
      </c>
      <c r="B137" s="1" t="inlineStr">
        <is>
          <t>FINBL overige rentebaten</t>
        </is>
      </c>
      <c r="D137" s="341" t="n">
        <v>0</v>
      </c>
      <c r="E137" s="341" t="n">
        <v>0</v>
      </c>
      <c r="F137" s="341" t="n">
        <v>0</v>
      </c>
      <c r="G137" s="341" t="n">
        <v>0</v>
      </c>
      <c r="H137" s="290">
        <f>SUM(C137:G137)</f>
        <v/>
      </c>
    </row>
    <row r="138" ht="12.75" customHeight="1">
      <c r="A138" s="130" t="inlineStr">
        <is>
          <t>Totaal Financiële baten en lasten</t>
        </is>
      </c>
      <c r="D138" s="341">
        <f>SUM(D131:D137)</f>
        <v/>
      </c>
      <c r="E138" s="341">
        <f>SUM(E131:E137)</f>
        <v/>
      </c>
      <c r="F138" s="341">
        <f>SUM(F131:F137)</f>
        <v/>
      </c>
      <c r="G138" s="341">
        <f>SUM(G131:G137)</f>
        <v/>
      </c>
      <c r="H138" s="290">
        <f>SUM(C138:G138)</f>
        <v/>
      </c>
    </row>
    <row r="139" ht="12.75" customHeight="1">
      <c r="H139" s="290">
        <f>SUM(C139:F139)</f>
        <v/>
      </c>
    </row>
    <row r="140" ht="12.75" customHeight="1">
      <c r="A140" s="130" t="n">
        <v>9500000</v>
      </c>
      <c r="B140" s="1" t="inlineStr">
        <is>
          <t>VPB Vennootschapsbelasting VPB Huidg jaar</t>
        </is>
      </c>
      <c r="D140" s="341" t="n">
        <v>1887899</v>
      </c>
      <c r="E140" s="341" t="n">
        <v>0</v>
      </c>
      <c r="F140" s="341" t="n">
        <v>0</v>
      </c>
      <c r="H140" s="290">
        <f>SUM(C140:G140)</f>
        <v/>
      </c>
    </row>
    <row r="141" ht="12.75" customHeight="1">
      <c r="A141" s="130" t="inlineStr">
        <is>
          <t>9510000</t>
        </is>
      </c>
      <c r="B141" s="1" t="inlineStr">
        <is>
          <t>VPB Mutatie belastinglatentie Mutatie actieve latentie</t>
        </is>
      </c>
      <c r="D141" s="341" t="n">
        <v>-294918</v>
      </c>
      <c r="E141" s="341" t="n">
        <v>-181734</v>
      </c>
      <c r="F141" s="341" t="n">
        <v>-172942</v>
      </c>
      <c r="G141" s="302" t="n">
        <v>-146161</v>
      </c>
      <c r="H141" s="290">
        <f>SUM(C141:G141)</f>
        <v/>
      </c>
    </row>
    <row r="142" ht="12.75" customHeight="1">
      <c r="A142" s="130" t="n">
        <v>9500100</v>
      </c>
      <c r="B142" s="1" t="inlineStr">
        <is>
          <t>VPB Vennootschapsbelasting VPB voorgaande jaren</t>
        </is>
      </c>
      <c r="D142" s="341" t="n">
        <v>0</v>
      </c>
      <c r="F142" s="341" t="n">
        <v>0</v>
      </c>
      <c r="H142" s="290">
        <f>SUM(C142:G142)</f>
        <v/>
      </c>
    </row>
    <row r="143" ht="12.75" customHeight="1">
      <c r="A143" s="130" t="inlineStr">
        <is>
          <t>Totaal vennootschapsbelasting</t>
        </is>
      </c>
      <c r="C143" s="302" t="n"/>
      <c r="D143" s="302">
        <f>SUM(D140:D142)</f>
        <v/>
      </c>
      <c r="E143" s="302">
        <f>SUM(E140:E142)</f>
        <v/>
      </c>
      <c r="F143" s="302">
        <f>SUM(F140:F142)</f>
        <v/>
      </c>
      <c r="G143" s="302">
        <f>SUM(G140:G142)</f>
        <v/>
      </c>
      <c r="H143" s="290">
        <f>SUM(C143:G143)</f>
        <v/>
      </c>
    </row>
    <row r="144" ht="12.75" customHeight="1">
      <c r="H144" s="290">
        <f>SUM(C144:F144)</f>
        <v/>
      </c>
    </row>
    <row r="145" ht="12.75" customHeight="1">
      <c r="A145" s="1" t="inlineStr">
        <is>
          <t>Resultaat na belasting</t>
        </is>
      </c>
      <c r="D145" s="341">
        <f>D84+D90+D93+D97+D107+D112+D115+D129+D138+D143</f>
        <v/>
      </c>
      <c r="E145" s="341">
        <f>E84+E90+E93+E97+E107+E112+E115+E129+E138+E143</f>
        <v/>
      </c>
      <c r="F145" s="341">
        <f>F84+F90+F93+F97+F107+F112+F115+F129+F138+F143</f>
        <v/>
      </c>
      <c r="G145" s="341">
        <f>G84+G90+G93+G97+G107+G112+G115+G129+G138+G143</f>
        <v/>
      </c>
      <c r="H145" s="290">
        <f>SUM(C145:G145)</f>
        <v/>
      </c>
    </row>
    <row r="147" ht="12.75" customHeight="1">
      <c r="C147" s="346" t="n"/>
      <c r="D147" s="346">
        <f>SUM(D4:D78)+D145</f>
        <v/>
      </c>
      <c r="E147" s="346">
        <f>SUM(E4:E78)+E145</f>
        <v/>
      </c>
      <c r="F147" s="346">
        <f>SUM(F4:F78)+F145</f>
        <v/>
      </c>
      <c r="G147" s="346">
        <f>SUM(G4:G78)+G145</f>
        <v/>
      </c>
      <c r="H147" s="346">
        <f>SUM(H4:H78)+H145</f>
        <v/>
      </c>
    </row>
    <row r="149" ht="12.75" customHeight="1">
      <c r="A149" s="130" t="inlineStr">
        <is>
          <t>afschrijving SWAP</t>
        </is>
      </c>
      <c r="D149" s="289">
        <f>36883.33*3</f>
        <v/>
      </c>
      <c r="E149" s="289">
        <f>36883.33*3</f>
        <v/>
      </c>
      <c r="F149" s="289">
        <f>36883.33*3</f>
        <v/>
      </c>
      <c r="G149" s="289">
        <f>36883.33*3</f>
        <v/>
      </c>
    </row>
    <row r="150" ht="12.75" customHeight="1">
      <c r="A150" s="130" t="inlineStr">
        <is>
          <t>Inkomsten SWAP</t>
        </is>
      </c>
      <c r="D150" s="341" t="n">
        <v>-70783.30000000002</v>
      </c>
      <c r="E150" s="341" t="n">
        <v>-319459.64</v>
      </c>
      <c r="F150" s="341" t="n">
        <v>-100655.86</v>
      </c>
      <c r="G150" s="341" t="n">
        <v>-254135.88</v>
      </c>
    </row>
    <row r="152" ht="12.75" customHeight="1">
      <c r="A152" s="130" t="inlineStr">
        <is>
          <t>Rente</t>
        </is>
      </c>
      <c r="D152" s="341">
        <f>D132</f>
        <v/>
      </c>
      <c r="E152" s="341">
        <f>E132</f>
        <v/>
      </c>
      <c r="F152" s="341">
        <f>F132</f>
        <v/>
      </c>
      <c r="G152" s="341">
        <f>G132</f>
        <v/>
      </c>
      <c r="H152" s="290">
        <f>SUM(D152:G152)</f>
        <v/>
      </c>
    </row>
    <row r="153" ht="12.75" customHeight="1">
      <c r="A153" s="130" t="inlineStr">
        <is>
          <t>SWAP</t>
        </is>
      </c>
      <c r="D153" s="341">
        <f>D150</f>
        <v/>
      </c>
      <c r="E153" s="341">
        <f>E150</f>
        <v/>
      </c>
      <c r="F153" s="341">
        <f>F150</f>
        <v/>
      </c>
      <c r="G153" s="341">
        <f>G150</f>
        <v/>
      </c>
      <c r="H153" s="290">
        <f>SUM(D153:G153)</f>
        <v/>
      </c>
    </row>
    <row r="154" ht="12.75" customHeight="1">
      <c r="A154" s="130" t="inlineStr">
        <is>
          <t>Afschrijving prepaid derivatives transaction</t>
        </is>
      </c>
      <c r="D154" s="341">
        <f>D149</f>
        <v/>
      </c>
      <c r="E154" s="341">
        <f>E149</f>
        <v/>
      </c>
      <c r="F154" s="341">
        <f>F149</f>
        <v/>
      </c>
      <c r="G154" s="341">
        <f>G149</f>
        <v/>
      </c>
      <c r="H154" s="290">
        <f>SUM(D154:G154)</f>
        <v/>
      </c>
    </row>
    <row r="155" ht="12.75" customHeight="1">
      <c r="A155" s="130" t="inlineStr">
        <is>
          <t>IC interest</t>
        </is>
      </c>
      <c r="E155" s="341">
        <f>E133+E135</f>
        <v/>
      </c>
      <c r="F155" s="341">
        <f>F133+F135</f>
        <v/>
      </c>
      <c r="G155" s="341">
        <f>G133+G135</f>
        <v/>
      </c>
      <c r="H155" s="290">
        <f>SUM(D155:G155)</f>
        <v/>
      </c>
    </row>
    <row r="156" ht="12.75" customHeight="1">
      <c r="D156" s="341">
        <f>SUM(D152:D155)</f>
        <v/>
      </c>
      <c r="E156" s="341">
        <f>SUM(E152:E155)</f>
        <v/>
      </c>
      <c r="F156" s="341">
        <f>SUM(F152:F155)</f>
        <v/>
      </c>
      <c r="G156" s="341">
        <f>SUM(G152:G155)</f>
        <v/>
      </c>
      <c r="H156" s="290">
        <f>SUM(D156:G156)</f>
        <v/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156"/>
  <sheetViews>
    <sheetView workbookViewId="0">
      <selection activeCell="A134" sqref="A134"/>
    </sheetView>
  </sheetViews>
  <sheetFormatPr baseColWidth="8" defaultRowHeight="13.2"/>
  <cols>
    <col width="21.109375" bestFit="1" customWidth="1" style="130" min="1" max="1"/>
    <col width="70" bestFit="1" customWidth="1" style="1" min="2" max="2"/>
    <col width="24.5546875" bestFit="1" customWidth="1" style="341" min="3" max="3"/>
    <col width="22.44140625" customWidth="1" style="341" min="4" max="7"/>
    <col width="19.44140625" bestFit="1" customWidth="1" style="290" min="8" max="8"/>
    <col width="9.109375" customWidth="1" style="1" min="9" max="9"/>
    <col width="11.33203125" bestFit="1" customWidth="1" style="1" min="10" max="10"/>
    <col width="9.109375" customWidth="1" style="1" min="11" max="11"/>
    <col width="10.88671875" bestFit="1" customWidth="1" style="1" min="12" max="12"/>
    <col width="16.5546875" bestFit="1" customWidth="1" style="1" min="13" max="13"/>
    <col width="33.44140625" customWidth="1" style="1" min="14" max="14"/>
    <col width="9.109375" customWidth="1" style="1" min="15" max="256"/>
    <col width="21.109375" bestFit="1" customWidth="1" style="1" min="257" max="257"/>
    <col width="70" bestFit="1" customWidth="1" style="1" min="258" max="258"/>
    <col width="24.5546875" bestFit="1" customWidth="1" style="1" min="259" max="259"/>
    <col width="22.44140625" customWidth="1" style="1" min="260" max="263"/>
    <col width="19.44140625" bestFit="1" customWidth="1" style="1" min="264" max="264"/>
    <col width="9.109375" customWidth="1" style="1" min="265" max="265"/>
    <col width="11.33203125" bestFit="1" customWidth="1" style="1" min="266" max="266"/>
    <col width="9.109375" customWidth="1" style="1" min="267" max="267"/>
    <col width="10.88671875" bestFit="1" customWidth="1" style="1" min="268" max="268"/>
    <col width="9.109375" customWidth="1" style="1" min="269" max="512"/>
    <col width="21.109375" bestFit="1" customWidth="1" style="1" min="513" max="513"/>
    <col width="70" bestFit="1" customWidth="1" style="1" min="514" max="514"/>
    <col width="24.5546875" bestFit="1" customWidth="1" style="1" min="515" max="515"/>
    <col width="22.44140625" customWidth="1" style="1" min="516" max="519"/>
    <col width="19.44140625" bestFit="1" customWidth="1" style="1" min="520" max="520"/>
    <col width="9.109375" customWidth="1" style="1" min="521" max="521"/>
    <col width="11.33203125" bestFit="1" customWidth="1" style="1" min="522" max="522"/>
    <col width="9.109375" customWidth="1" style="1" min="523" max="523"/>
    <col width="10.88671875" bestFit="1" customWidth="1" style="1" min="524" max="524"/>
    <col width="9.109375" customWidth="1" style="1" min="525" max="768"/>
    <col width="21.109375" bestFit="1" customWidth="1" style="1" min="769" max="769"/>
    <col width="70" bestFit="1" customWidth="1" style="1" min="770" max="770"/>
    <col width="24.5546875" bestFit="1" customWidth="1" style="1" min="771" max="771"/>
    <col width="22.44140625" customWidth="1" style="1" min="772" max="775"/>
    <col width="19.44140625" bestFit="1" customWidth="1" style="1" min="776" max="776"/>
    <col width="9.109375" customWidth="1" style="1" min="777" max="777"/>
    <col width="11.33203125" bestFit="1" customWidth="1" style="1" min="778" max="778"/>
    <col width="9.109375" customWidth="1" style="1" min="779" max="779"/>
    <col width="10.88671875" bestFit="1" customWidth="1" style="1" min="780" max="780"/>
    <col width="9.109375" customWidth="1" style="1" min="781" max="1024"/>
    <col width="21.109375" bestFit="1" customWidth="1" style="1" min="1025" max="1025"/>
    <col width="70" bestFit="1" customWidth="1" style="1" min="1026" max="1026"/>
    <col width="24.5546875" bestFit="1" customWidth="1" style="1" min="1027" max="1027"/>
    <col width="22.44140625" customWidth="1" style="1" min="1028" max="1031"/>
    <col width="19.44140625" bestFit="1" customWidth="1" style="1" min="1032" max="1032"/>
    <col width="9.109375" customWidth="1" style="1" min="1033" max="1033"/>
    <col width="11.33203125" bestFit="1" customWidth="1" style="1" min="1034" max="1034"/>
    <col width="9.109375" customWidth="1" style="1" min="1035" max="1035"/>
    <col width="10.88671875" bestFit="1" customWidth="1" style="1" min="1036" max="1036"/>
    <col width="9.109375" customWidth="1" style="1" min="1037" max="1280"/>
    <col width="21.109375" bestFit="1" customWidth="1" style="1" min="1281" max="1281"/>
    <col width="70" bestFit="1" customWidth="1" style="1" min="1282" max="1282"/>
    <col width="24.5546875" bestFit="1" customWidth="1" style="1" min="1283" max="1283"/>
    <col width="22.44140625" customWidth="1" style="1" min="1284" max="1287"/>
    <col width="19.44140625" bestFit="1" customWidth="1" style="1" min="1288" max="1288"/>
    <col width="9.109375" customWidth="1" style="1" min="1289" max="1289"/>
    <col width="11.33203125" bestFit="1" customWidth="1" style="1" min="1290" max="1290"/>
    <col width="9.109375" customWidth="1" style="1" min="1291" max="1291"/>
    <col width="10.88671875" bestFit="1" customWidth="1" style="1" min="1292" max="1292"/>
    <col width="9.109375" customWidth="1" style="1" min="1293" max="1536"/>
    <col width="21.109375" bestFit="1" customWidth="1" style="1" min="1537" max="1537"/>
    <col width="70" bestFit="1" customWidth="1" style="1" min="1538" max="1538"/>
    <col width="24.5546875" bestFit="1" customWidth="1" style="1" min="1539" max="1539"/>
    <col width="22.44140625" customWidth="1" style="1" min="1540" max="1543"/>
    <col width="19.44140625" bestFit="1" customWidth="1" style="1" min="1544" max="1544"/>
    <col width="9.109375" customWidth="1" style="1" min="1545" max="1545"/>
    <col width="11.33203125" bestFit="1" customWidth="1" style="1" min="1546" max="1546"/>
    <col width="9.109375" customWidth="1" style="1" min="1547" max="1547"/>
    <col width="10.88671875" bestFit="1" customWidth="1" style="1" min="1548" max="1548"/>
    <col width="9.109375" customWidth="1" style="1" min="1549" max="1792"/>
    <col width="21.109375" bestFit="1" customWidth="1" style="1" min="1793" max="1793"/>
    <col width="70" bestFit="1" customWidth="1" style="1" min="1794" max="1794"/>
    <col width="24.5546875" bestFit="1" customWidth="1" style="1" min="1795" max="1795"/>
    <col width="22.44140625" customWidth="1" style="1" min="1796" max="1799"/>
    <col width="19.44140625" bestFit="1" customWidth="1" style="1" min="1800" max="1800"/>
    <col width="9.109375" customWidth="1" style="1" min="1801" max="1801"/>
    <col width="11.33203125" bestFit="1" customWidth="1" style="1" min="1802" max="1802"/>
    <col width="9.109375" customWidth="1" style="1" min="1803" max="1803"/>
    <col width="10.88671875" bestFit="1" customWidth="1" style="1" min="1804" max="1804"/>
    <col width="9.109375" customWidth="1" style="1" min="1805" max="2048"/>
    <col width="21.109375" bestFit="1" customWidth="1" style="1" min="2049" max="2049"/>
    <col width="70" bestFit="1" customWidth="1" style="1" min="2050" max="2050"/>
    <col width="24.5546875" bestFit="1" customWidth="1" style="1" min="2051" max="2051"/>
    <col width="22.44140625" customWidth="1" style="1" min="2052" max="2055"/>
    <col width="19.44140625" bestFit="1" customWidth="1" style="1" min="2056" max="2056"/>
    <col width="9.109375" customWidth="1" style="1" min="2057" max="2057"/>
    <col width="11.33203125" bestFit="1" customWidth="1" style="1" min="2058" max="2058"/>
    <col width="9.109375" customWidth="1" style="1" min="2059" max="2059"/>
    <col width="10.88671875" bestFit="1" customWidth="1" style="1" min="2060" max="2060"/>
    <col width="9.109375" customWidth="1" style="1" min="2061" max="2304"/>
    <col width="21.109375" bestFit="1" customWidth="1" style="1" min="2305" max="2305"/>
    <col width="70" bestFit="1" customWidth="1" style="1" min="2306" max="2306"/>
    <col width="24.5546875" bestFit="1" customWidth="1" style="1" min="2307" max="2307"/>
    <col width="22.44140625" customWidth="1" style="1" min="2308" max="2311"/>
    <col width="19.44140625" bestFit="1" customWidth="1" style="1" min="2312" max="2312"/>
    <col width="9.109375" customWidth="1" style="1" min="2313" max="2313"/>
    <col width="11.33203125" bestFit="1" customWidth="1" style="1" min="2314" max="2314"/>
    <col width="9.109375" customWidth="1" style="1" min="2315" max="2315"/>
    <col width="10.88671875" bestFit="1" customWidth="1" style="1" min="2316" max="2316"/>
    <col width="9.109375" customWidth="1" style="1" min="2317" max="2560"/>
    <col width="21.109375" bestFit="1" customWidth="1" style="1" min="2561" max="2561"/>
    <col width="70" bestFit="1" customWidth="1" style="1" min="2562" max="2562"/>
    <col width="24.5546875" bestFit="1" customWidth="1" style="1" min="2563" max="2563"/>
    <col width="22.44140625" customWidth="1" style="1" min="2564" max="2567"/>
    <col width="19.44140625" bestFit="1" customWidth="1" style="1" min="2568" max="2568"/>
    <col width="9.109375" customWidth="1" style="1" min="2569" max="2569"/>
    <col width="11.33203125" bestFit="1" customWidth="1" style="1" min="2570" max="2570"/>
    <col width="9.109375" customWidth="1" style="1" min="2571" max="2571"/>
    <col width="10.88671875" bestFit="1" customWidth="1" style="1" min="2572" max="2572"/>
    <col width="9.109375" customWidth="1" style="1" min="2573" max="2816"/>
    <col width="21.109375" bestFit="1" customWidth="1" style="1" min="2817" max="2817"/>
    <col width="70" bestFit="1" customWidth="1" style="1" min="2818" max="2818"/>
    <col width="24.5546875" bestFit="1" customWidth="1" style="1" min="2819" max="2819"/>
    <col width="22.44140625" customWidth="1" style="1" min="2820" max="2823"/>
    <col width="19.44140625" bestFit="1" customWidth="1" style="1" min="2824" max="2824"/>
    <col width="9.109375" customWidth="1" style="1" min="2825" max="2825"/>
    <col width="11.33203125" bestFit="1" customWidth="1" style="1" min="2826" max="2826"/>
    <col width="9.109375" customWidth="1" style="1" min="2827" max="2827"/>
    <col width="10.88671875" bestFit="1" customWidth="1" style="1" min="2828" max="2828"/>
    <col width="9.109375" customWidth="1" style="1" min="2829" max="3072"/>
    <col width="21.109375" bestFit="1" customWidth="1" style="1" min="3073" max="3073"/>
    <col width="70" bestFit="1" customWidth="1" style="1" min="3074" max="3074"/>
    <col width="24.5546875" bestFit="1" customWidth="1" style="1" min="3075" max="3075"/>
    <col width="22.44140625" customWidth="1" style="1" min="3076" max="3079"/>
    <col width="19.44140625" bestFit="1" customWidth="1" style="1" min="3080" max="3080"/>
    <col width="9.109375" customWidth="1" style="1" min="3081" max="3081"/>
    <col width="11.33203125" bestFit="1" customWidth="1" style="1" min="3082" max="3082"/>
    <col width="9.109375" customWidth="1" style="1" min="3083" max="3083"/>
    <col width="10.88671875" bestFit="1" customWidth="1" style="1" min="3084" max="3084"/>
    <col width="9.109375" customWidth="1" style="1" min="3085" max="3328"/>
    <col width="21.109375" bestFit="1" customWidth="1" style="1" min="3329" max="3329"/>
    <col width="70" bestFit="1" customWidth="1" style="1" min="3330" max="3330"/>
    <col width="24.5546875" bestFit="1" customWidth="1" style="1" min="3331" max="3331"/>
    <col width="22.44140625" customWidth="1" style="1" min="3332" max="3335"/>
    <col width="19.44140625" bestFit="1" customWidth="1" style="1" min="3336" max="3336"/>
    <col width="9.109375" customWidth="1" style="1" min="3337" max="3337"/>
    <col width="11.33203125" bestFit="1" customWidth="1" style="1" min="3338" max="3338"/>
    <col width="9.109375" customWidth="1" style="1" min="3339" max="3339"/>
    <col width="10.88671875" bestFit="1" customWidth="1" style="1" min="3340" max="3340"/>
    <col width="9.109375" customWidth="1" style="1" min="3341" max="3584"/>
    <col width="21.109375" bestFit="1" customWidth="1" style="1" min="3585" max="3585"/>
    <col width="70" bestFit="1" customWidth="1" style="1" min="3586" max="3586"/>
    <col width="24.5546875" bestFit="1" customWidth="1" style="1" min="3587" max="3587"/>
    <col width="22.44140625" customWidth="1" style="1" min="3588" max="3591"/>
    <col width="19.44140625" bestFit="1" customWidth="1" style="1" min="3592" max="3592"/>
    <col width="9.109375" customWidth="1" style="1" min="3593" max="3593"/>
    <col width="11.33203125" bestFit="1" customWidth="1" style="1" min="3594" max="3594"/>
    <col width="9.109375" customWidth="1" style="1" min="3595" max="3595"/>
    <col width="10.88671875" bestFit="1" customWidth="1" style="1" min="3596" max="3596"/>
    <col width="9.109375" customWidth="1" style="1" min="3597" max="3840"/>
    <col width="21.109375" bestFit="1" customWidth="1" style="1" min="3841" max="3841"/>
    <col width="70" bestFit="1" customWidth="1" style="1" min="3842" max="3842"/>
    <col width="24.5546875" bestFit="1" customWidth="1" style="1" min="3843" max="3843"/>
    <col width="22.44140625" customWidth="1" style="1" min="3844" max="3847"/>
    <col width="19.44140625" bestFit="1" customWidth="1" style="1" min="3848" max="3848"/>
    <col width="9.109375" customWidth="1" style="1" min="3849" max="3849"/>
    <col width="11.33203125" bestFit="1" customWidth="1" style="1" min="3850" max="3850"/>
    <col width="9.109375" customWidth="1" style="1" min="3851" max="3851"/>
    <col width="10.88671875" bestFit="1" customWidth="1" style="1" min="3852" max="3852"/>
    <col width="9.109375" customWidth="1" style="1" min="3853" max="4096"/>
    <col width="21.109375" bestFit="1" customWidth="1" style="1" min="4097" max="4097"/>
    <col width="70" bestFit="1" customWidth="1" style="1" min="4098" max="4098"/>
    <col width="24.5546875" bestFit="1" customWidth="1" style="1" min="4099" max="4099"/>
    <col width="22.44140625" customWidth="1" style="1" min="4100" max="4103"/>
    <col width="19.44140625" bestFit="1" customWidth="1" style="1" min="4104" max="4104"/>
    <col width="9.109375" customWidth="1" style="1" min="4105" max="4105"/>
    <col width="11.33203125" bestFit="1" customWidth="1" style="1" min="4106" max="4106"/>
    <col width="9.109375" customWidth="1" style="1" min="4107" max="4107"/>
    <col width="10.88671875" bestFit="1" customWidth="1" style="1" min="4108" max="4108"/>
    <col width="9.109375" customWidth="1" style="1" min="4109" max="4352"/>
    <col width="21.109375" bestFit="1" customWidth="1" style="1" min="4353" max="4353"/>
    <col width="70" bestFit="1" customWidth="1" style="1" min="4354" max="4354"/>
    <col width="24.5546875" bestFit="1" customWidth="1" style="1" min="4355" max="4355"/>
    <col width="22.44140625" customWidth="1" style="1" min="4356" max="4359"/>
    <col width="19.44140625" bestFit="1" customWidth="1" style="1" min="4360" max="4360"/>
    <col width="9.109375" customWidth="1" style="1" min="4361" max="4361"/>
    <col width="11.33203125" bestFit="1" customWidth="1" style="1" min="4362" max="4362"/>
    <col width="9.109375" customWidth="1" style="1" min="4363" max="4363"/>
    <col width="10.88671875" bestFit="1" customWidth="1" style="1" min="4364" max="4364"/>
    <col width="9.109375" customWidth="1" style="1" min="4365" max="4608"/>
    <col width="21.109375" bestFit="1" customWidth="1" style="1" min="4609" max="4609"/>
    <col width="70" bestFit="1" customWidth="1" style="1" min="4610" max="4610"/>
    <col width="24.5546875" bestFit="1" customWidth="1" style="1" min="4611" max="4611"/>
    <col width="22.44140625" customWidth="1" style="1" min="4612" max="4615"/>
    <col width="19.44140625" bestFit="1" customWidth="1" style="1" min="4616" max="4616"/>
    <col width="9.109375" customWidth="1" style="1" min="4617" max="4617"/>
    <col width="11.33203125" bestFit="1" customWidth="1" style="1" min="4618" max="4618"/>
    <col width="9.109375" customWidth="1" style="1" min="4619" max="4619"/>
    <col width="10.88671875" bestFit="1" customWidth="1" style="1" min="4620" max="4620"/>
    <col width="9.109375" customWidth="1" style="1" min="4621" max="4864"/>
    <col width="21.109375" bestFit="1" customWidth="1" style="1" min="4865" max="4865"/>
    <col width="70" bestFit="1" customWidth="1" style="1" min="4866" max="4866"/>
    <col width="24.5546875" bestFit="1" customWidth="1" style="1" min="4867" max="4867"/>
    <col width="22.44140625" customWidth="1" style="1" min="4868" max="4871"/>
    <col width="19.44140625" bestFit="1" customWidth="1" style="1" min="4872" max="4872"/>
    <col width="9.109375" customWidth="1" style="1" min="4873" max="4873"/>
    <col width="11.33203125" bestFit="1" customWidth="1" style="1" min="4874" max="4874"/>
    <col width="9.109375" customWidth="1" style="1" min="4875" max="4875"/>
    <col width="10.88671875" bestFit="1" customWidth="1" style="1" min="4876" max="4876"/>
    <col width="9.109375" customWidth="1" style="1" min="4877" max="5120"/>
    <col width="21.109375" bestFit="1" customWidth="1" style="1" min="5121" max="5121"/>
    <col width="70" bestFit="1" customWidth="1" style="1" min="5122" max="5122"/>
    <col width="24.5546875" bestFit="1" customWidth="1" style="1" min="5123" max="5123"/>
    <col width="22.44140625" customWidth="1" style="1" min="5124" max="5127"/>
    <col width="19.44140625" bestFit="1" customWidth="1" style="1" min="5128" max="5128"/>
    <col width="9.109375" customWidth="1" style="1" min="5129" max="5129"/>
    <col width="11.33203125" bestFit="1" customWidth="1" style="1" min="5130" max="5130"/>
    <col width="9.109375" customWidth="1" style="1" min="5131" max="5131"/>
    <col width="10.88671875" bestFit="1" customWidth="1" style="1" min="5132" max="5132"/>
    <col width="9.109375" customWidth="1" style="1" min="5133" max="5376"/>
    <col width="21.109375" bestFit="1" customWidth="1" style="1" min="5377" max="5377"/>
    <col width="70" bestFit="1" customWidth="1" style="1" min="5378" max="5378"/>
    <col width="24.5546875" bestFit="1" customWidth="1" style="1" min="5379" max="5379"/>
    <col width="22.44140625" customWidth="1" style="1" min="5380" max="5383"/>
    <col width="19.44140625" bestFit="1" customWidth="1" style="1" min="5384" max="5384"/>
    <col width="9.109375" customWidth="1" style="1" min="5385" max="5385"/>
    <col width="11.33203125" bestFit="1" customWidth="1" style="1" min="5386" max="5386"/>
    <col width="9.109375" customWidth="1" style="1" min="5387" max="5387"/>
    <col width="10.88671875" bestFit="1" customWidth="1" style="1" min="5388" max="5388"/>
    <col width="9.109375" customWidth="1" style="1" min="5389" max="5632"/>
    <col width="21.109375" bestFit="1" customWidth="1" style="1" min="5633" max="5633"/>
    <col width="70" bestFit="1" customWidth="1" style="1" min="5634" max="5634"/>
    <col width="24.5546875" bestFit="1" customWidth="1" style="1" min="5635" max="5635"/>
    <col width="22.44140625" customWidth="1" style="1" min="5636" max="5639"/>
    <col width="19.44140625" bestFit="1" customWidth="1" style="1" min="5640" max="5640"/>
    <col width="9.109375" customWidth="1" style="1" min="5641" max="5641"/>
    <col width="11.33203125" bestFit="1" customWidth="1" style="1" min="5642" max="5642"/>
    <col width="9.109375" customWidth="1" style="1" min="5643" max="5643"/>
    <col width="10.88671875" bestFit="1" customWidth="1" style="1" min="5644" max="5644"/>
    <col width="9.109375" customWidth="1" style="1" min="5645" max="5888"/>
    <col width="21.109375" bestFit="1" customWidth="1" style="1" min="5889" max="5889"/>
    <col width="70" bestFit="1" customWidth="1" style="1" min="5890" max="5890"/>
    <col width="24.5546875" bestFit="1" customWidth="1" style="1" min="5891" max="5891"/>
    <col width="22.44140625" customWidth="1" style="1" min="5892" max="5895"/>
    <col width="19.44140625" bestFit="1" customWidth="1" style="1" min="5896" max="5896"/>
    <col width="9.109375" customWidth="1" style="1" min="5897" max="5897"/>
    <col width="11.33203125" bestFit="1" customWidth="1" style="1" min="5898" max="5898"/>
    <col width="9.109375" customWidth="1" style="1" min="5899" max="5899"/>
    <col width="10.88671875" bestFit="1" customWidth="1" style="1" min="5900" max="5900"/>
    <col width="9.109375" customWidth="1" style="1" min="5901" max="6144"/>
    <col width="21.109375" bestFit="1" customWidth="1" style="1" min="6145" max="6145"/>
    <col width="70" bestFit="1" customWidth="1" style="1" min="6146" max="6146"/>
    <col width="24.5546875" bestFit="1" customWidth="1" style="1" min="6147" max="6147"/>
    <col width="22.44140625" customWidth="1" style="1" min="6148" max="6151"/>
    <col width="19.44140625" bestFit="1" customWidth="1" style="1" min="6152" max="6152"/>
    <col width="9.109375" customWidth="1" style="1" min="6153" max="6153"/>
    <col width="11.33203125" bestFit="1" customWidth="1" style="1" min="6154" max="6154"/>
    <col width="9.109375" customWidth="1" style="1" min="6155" max="6155"/>
    <col width="10.88671875" bestFit="1" customWidth="1" style="1" min="6156" max="6156"/>
    <col width="9.109375" customWidth="1" style="1" min="6157" max="6400"/>
    <col width="21.109375" bestFit="1" customWidth="1" style="1" min="6401" max="6401"/>
    <col width="70" bestFit="1" customWidth="1" style="1" min="6402" max="6402"/>
    <col width="24.5546875" bestFit="1" customWidth="1" style="1" min="6403" max="6403"/>
    <col width="22.44140625" customWidth="1" style="1" min="6404" max="6407"/>
    <col width="19.44140625" bestFit="1" customWidth="1" style="1" min="6408" max="6408"/>
    <col width="9.109375" customWidth="1" style="1" min="6409" max="6409"/>
    <col width="11.33203125" bestFit="1" customWidth="1" style="1" min="6410" max="6410"/>
    <col width="9.109375" customWidth="1" style="1" min="6411" max="6411"/>
    <col width="10.88671875" bestFit="1" customWidth="1" style="1" min="6412" max="6412"/>
    <col width="9.109375" customWidth="1" style="1" min="6413" max="6656"/>
    <col width="21.109375" bestFit="1" customWidth="1" style="1" min="6657" max="6657"/>
    <col width="70" bestFit="1" customWidth="1" style="1" min="6658" max="6658"/>
    <col width="24.5546875" bestFit="1" customWidth="1" style="1" min="6659" max="6659"/>
    <col width="22.44140625" customWidth="1" style="1" min="6660" max="6663"/>
    <col width="19.44140625" bestFit="1" customWidth="1" style="1" min="6664" max="6664"/>
    <col width="9.109375" customWidth="1" style="1" min="6665" max="6665"/>
    <col width="11.33203125" bestFit="1" customWidth="1" style="1" min="6666" max="6666"/>
    <col width="9.109375" customWidth="1" style="1" min="6667" max="6667"/>
    <col width="10.88671875" bestFit="1" customWidth="1" style="1" min="6668" max="6668"/>
    <col width="9.109375" customWidth="1" style="1" min="6669" max="6912"/>
    <col width="21.109375" bestFit="1" customWidth="1" style="1" min="6913" max="6913"/>
    <col width="70" bestFit="1" customWidth="1" style="1" min="6914" max="6914"/>
    <col width="24.5546875" bestFit="1" customWidth="1" style="1" min="6915" max="6915"/>
    <col width="22.44140625" customWidth="1" style="1" min="6916" max="6919"/>
    <col width="19.44140625" bestFit="1" customWidth="1" style="1" min="6920" max="6920"/>
    <col width="9.109375" customWidth="1" style="1" min="6921" max="6921"/>
    <col width="11.33203125" bestFit="1" customWidth="1" style="1" min="6922" max="6922"/>
    <col width="9.109375" customWidth="1" style="1" min="6923" max="6923"/>
    <col width="10.88671875" bestFit="1" customWidth="1" style="1" min="6924" max="6924"/>
    <col width="9.109375" customWidth="1" style="1" min="6925" max="7168"/>
    <col width="21.109375" bestFit="1" customWidth="1" style="1" min="7169" max="7169"/>
    <col width="70" bestFit="1" customWidth="1" style="1" min="7170" max="7170"/>
    <col width="24.5546875" bestFit="1" customWidth="1" style="1" min="7171" max="7171"/>
    <col width="22.44140625" customWidth="1" style="1" min="7172" max="7175"/>
    <col width="19.44140625" bestFit="1" customWidth="1" style="1" min="7176" max="7176"/>
    <col width="9.109375" customWidth="1" style="1" min="7177" max="7177"/>
    <col width="11.33203125" bestFit="1" customWidth="1" style="1" min="7178" max="7178"/>
    <col width="9.109375" customWidth="1" style="1" min="7179" max="7179"/>
    <col width="10.88671875" bestFit="1" customWidth="1" style="1" min="7180" max="7180"/>
    <col width="9.109375" customWidth="1" style="1" min="7181" max="7424"/>
    <col width="21.109375" bestFit="1" customWidth="1" style="1" min="7425" max="7425"/>
    <col width="70" bestFit="1" customWidth="1" style="1" min="7426" max="7426"/>
    <col width="24.5546875" bestFit="1" customWidth="1" style="1" min="7427" max="7427"/>
    <col width="22.44140625" customWidth="1" style="1" min="7428" max="7431"/>
    <col width="19.44140625" bestFit="1" customWidth="1" style="1" min="7432" max="7432"/>
    <col width="9.109375" customWidth="1" style="1" min="7433" max="7433"/>
    <col width="11.33203125" bestFit="1" customWidth="1" style="1" min="7434" max="7434"/>
    <col width="9.109375" customWidth="1" style="1" min="7435" max="7435"/>
    <col width="10.88671875" bestFit="1" customWidth="1" style="1" min="7436" max="7436"/>
    <col width="9.109375" customWidth="1" style="1" min="7437" max="7680"/>
    <col width="21.109375" bestFit="1" customWidth="1" style="1" min="7681" max="7681"/>
    <col width="70" bestFit="1" customWidth="1" style="1" min="7682" max="7682"/>
    <col width="24.5546875" bestFit="1" customWidth="1" style="1" min="7683" max="7683"/>
    <col width="22.44140625" customWidth="1" style="1" min="7684" max="7687"/>
    <col width="19.44140625" bestFit="1" customWidth="1" style="1" min="7688" max="7688"/>
    <col width="9.109375" customWidth="1" style="1" min="7689" max="7689"/>
    <col width="11.33203125" bestFit="1" customWidth="1" style="1" min="7690" max="7690"/>
    <col width="9.109375" customWidth="1" style="1" min="7691" max="7691"/>
    <col width="10.88671875" bestFit="1" customWidth="1" style="1" min="7692" max="7692"/>
    <col width="9.109375" customWidth="1" style="1" min="7693" max="7936"/>
    <col width="21.109375" bestFit="1" customWidth="1" style="1" min="7937" max="7937"/>
    <col width="70" bestFit="1" customWidth="1" style="1" min="7938" max="7938"/>
    <col width="24.5546875" bestFit="1" customWidth="1" style="1" min="7939" max="7939"/>
    <col width="22.44140625" customWidth="1" style="1" min="7940" max="7943"/>
    <col width="19.44140625" bestFit="1" customWidth="1" style="1" min="7944" max="7944"/>
    <col width="9.109375" customWidth="1" style="1" min="7945" max="7945"/>
    <col width="11.33203125" bestFit="1" customWidth="1" style="1" min="7946" max="7946"/>
    <col width="9.109375" customWidth="1" style="1" min="7947" max="7947"/>
    <col width="10.88671875" bestFit="1" customWidth="1" style="1" min="7948" max="7948"/>
    <col width="9.109375" customWidth="1" style="1" min="7949" max="8192"/>
    <col width="21.109375" bestFit="1" customWidth="1" style="1" min="8193" max="8193"/>
    <col width="70" bestFit="1" customWidth="1" style="1" min="8194" max="8194"/>
    <col width="24.5546875" bestFit="1" customWidth="1" style="1" min="8195" max="8195"/>
    <col width="22.44140625" customWidth="1" style="1" min="8196" max="8199"/>
    <col width="19.44140625" bestFit="1" customWidth="1" style="1" min="8200" max="8200"/>
    <col width="9.109375" customWidth="1" style="1" min="8201" max="8201"/>
    <col width="11.33203125" bestFit="1" customWidth="1" style="1" min="8202" max="8202"/>
    <col width="9.109375" customWidth="1" style="1" min="8203" max="8203"/>
    <col width="10.88671875" bestFit="1" customWidth="1" style="1" min="8204" max="8204"/>
    <col width="9.109375" customWidth="1" style="1" min="8205" max="8448"/>
    <col width="21.109375" bestFit="1" customWidth="1" style="1" min="8449" max="8449"/>
    <col width="70" bestFit="1" customWidth="1" style="1" min="8450" max="8450"/>
    <col width="24.5546875" bestFit="1" customWidth="1" style="1" min="8451" max="8451"/>
    <col width="22.44140625" customWidth="1" style="1" min="8452" max="8455"/>
    <col width="19.44140625" bestFit="1" customWidth="1" style="1" min="8456" max="8456"/>
    <col width="9.109375" customWidth="1" style="1" min="8457" max="8457"/>
    <col width="11.33203125" bestFit="1" customWidth="1" style="1" min="8458" max="8458"/>
    <col width="9.109375" customWidth="1" style="1" min="8459" max="8459"/>
    <col width="10.88671875" bestFit="1" customWidth="1" style="1" min="8460" max="8460"/>
    <col width="9.109375" customWidth="1" style="1" min="8461" max="8704"/>
    <col width="21.109375" bestFit="1" customWidth="1" style="1" min="8705" max="8705"/>
    <col width="70" bestFit="1" customWidth="1" style="1" min="8706" max="8706"/>
    <col width="24.5546875" bestFit="1" customWidth="1" style="1" min="8707" max="8707"/>
    <col width="22.44140625" customWidth="1" style="1" min="8708" max="8711"/>
    <col width="19.44140625" bestFit="1" customWidth="1" style="1" min="8712" max="8712"/>
    <col width="9.109375" customWidth="1" style="1" min="8713" max="8713"/>
    <col width="11.33203125" bestFit="1" customWidth="1" style="1" min="8714" max="8714"/>
    <col width="9.109375" customWidth="1" style="1" min="8715" max="8715"/>
    <col width="10.88671875" bestFit="1" customWidth="1" style="1" min="8716" max="8716"/>
    <col width="9.109375" customWidth="1" style="1" min="8717" max="8960"/>
    <col width="21.109375" bestFit="1" customWidth="1" style="1" min="8961" max="8961"/>
    <col width="70" bestFit="1" customWidth="1" style="1" min="8962" max="8962"/>
    <col width="24.5546875" bestFit="1" customWidth="1" style="1" min="8963" max="8963"/>
    <col width="22.44140625" customWidth="1" style="1" min="8964" max="8967"/>
    <col width="19.44140625" bestFit="1" customWidth="1" style="1" min="8968" max="8968"/>
    <col width="9.109375" customWidth="1" style="1" min="8969" max="8969"/>
    <col width="11.33203125" bestFit="1" customWidth="1" style="1" min="8970" max="8970"/>
    <col width="9.109375" customWidth="1" style="1" min="8971" max="8971"/>
    <col width="10.88671875" bestFit="1" customWidth="1" style="1" min="8972" max="8972"/>
    <col width="9.109375" customWidth="1" style="1" min="8973" max="9216"/>
    <col width="21.109375" bestFit="1" customWidth="1" style="1" min="9217" max="9217"/>
    <col width="70" bestFit="1" customWidth="1" style="1" min="9218" max="9218"/>
    <col width="24.5546875" bestFit="1" customWidth="1" style="1" min="9219" max="9219"/>
    <col width="22.44140625" customWidth="1" style="1" min="9220" max="9223"/>
    <col width="19.44140625" bestFit="1" customWidth="1" style="1" min="9224" max="9224"/>
    <col width="9.109375" customWidth="1" style="1" min="9225" max="9225"/>
    <col width="11.33203125" bestFit="1" customWidth="1" style="1" min="9226" max="9226"/>
    <col width="9.109375" customWidth="1" style="1" min="9227" max="9227"/>
    <col width="10.88671875" bestFit="1" customWidth="1" style="1" min="9228" max="9228"/>
    <col width="9.109375" customWidth="1" style="1" min="9229" max="9472"/>
    <col width="21.109375" bestFit="1" customWidth="1" style="1" min="9473" max="9473"/>
    <col width="70" bestFit="1" customWidth="1" style="1" min="9474" max="9474"/>
    <col width="24.5546875" bestFit="1" customWidth="1" style="1" min="9475" max="9475"/>
    <col width="22.44140625" customWidth="1" style="1" min="9476" max="9479"/>
    <col width="19.44140625" bestFit="1" customWidth="1" style="1" min="9480" max="9480"/>
    <col width="9.109375" customWidth="1" style="1" min="9481" max="9481"/>
    <col width="11.33203125" bestFit="1" customWidth="1" style="1" min="9482" max="9482"/>
    <col width="9.109375" customWidth="1" style="1" min="9483" max="9483"/>
    <col width="10.88671875" bestFit="1" customWidth="1" style="1" min="9484" max="9484"/>
    <col width="9.109375" customWidth="1" style="1" min="9485" max="9728"/>
    <col width="21.109375" bestFit="1" customWidth="1" style="1" min="9729" max="9729"/>
    <col width="70" bestFit="1" customWidth="1" style="1" min="9730" max="9730"/>
    <col width="24.5546875" bestFit="1" customWidth="1" style="1" min="9731" max="9731"/>
    <col width="22.44140625" customWidth="1" style="1" min="9732" max="9735"/>
    <col width="19.44140625" bestFit="1" customWidth="1" style="1" min="9736" max="9736"/>
    <col width="9.109375" customWidth="1" style="1" min="9737" max="9737"/>
    <col width="11.33203125" bestFit="1" customWidth="1" style="1" min="9738" max="9738"/>
    <col width="9.109375" customWidth="1" style="1" min="9739" max="9739"/>
    <col width="10.88671875" bestFit="1" customWidth="1" style="1" min="9740" max="9740"/>
    <col width="9.109375" customWidth="1" style="1" min="9741" max="9984"/>
    <col width="21.109375" bestFit="1" customWidth="1" style="1" min="9985" max="9985"/>
    <col width="70" bestFit="1" customWidth="1" style="1" min="9986" max="9986"/>
    <col width="24.5546875" bestFit="1" customWidth="1" style="1" min="9987" max="9987"/>
    <col width="22.44140625" customWidth="1" style="1" min="9988" max="9991"/>
    <col width="19.44140625" bestFit="1" customWidth="1" style="1" min="9992" max="9992"/>
    <col width="9.109375" customWidth="1" style="1" min="9993" max="9993"/>
    <col width="11.33203125" bestFit="1" customWidth="1" style="1" min="9994" max="9994"/>
    <col width="9.109375" customWidth="1" style="1" min="9995" max="9995"/>
    <col width="10.88671875" bestFit="1" customWidth="1" style="1" min="9996" max="9996"/>
    <col width="9.109375" customWidth="1" style="1" min="9997" max="10240"/>
    <col width="21.109375" bestFit="1" customWidth="1" style="1" min="10241" max="10241"/>
    <col width="70" bestFit="1" customWidth="1" style="1" min="10242" max="10242"/>
    <col width="24.5546875" bestFit="1" customWidth="1" style="1" min="10243" max="10243"/>
    <col width="22.44140625" customWidth="1" style="1" min="10244" max="10247"/>
    <col width="19.44140625" bestFit="1" customWidth="1" style="1" min="10248" max="10248"/>
    <col width="9.109375" customWidth="1" style="1" min="10249" max="10249"/>
    <col width="11.33203125" bestFit="1" customWidth="1" style="1" min="10250" max="10250"/>
    <col width="9.109375" customWidth="1" style="1" min="10251" max="10251"/>
    <col width="10.88671875" bestFit="1" customWidth="1" style="1" min="10252" max="10252"/>
    <col width="9.109375" customWidth="1" style="1" min="10253" max="10496"/>
    <col width="21.109375" bestFit="1" customWidth="1" style="1" min="10497" max="10497"/>
    <col width="70" bestFit="1" customWidth="1" style="1" min="10498" max="10498"/>
    <col width="24.5546875" bestFit="1" customWidth="1" style="1" min="10499" max="10499"/>
    <col width="22.44140625" customWidth="1" style="1" min="10500" max="10503"/>
    <col width="19.44140625" bestFit="1" customWidth="1" style="1" min="10504" max="10504"/>
    <col width="9.109375" customWidth="1" style="1" min="10505" max="10505"/>
    <col width="11.33203125" bestFit="1" customWidth="1" style="1" min="10506" max="10506"/>
    <col width="9.109375" customWidth="1" style="1" min="10507" max="10507"/>
    <col width="10.88671875" bestFit="1" customWidth="1" style="1" min="10508" max="10508"/>
    <col width="9.109375" customWidth="1" style="1" min="10509" max="10752"/>
    <col width="21.109375" bestFit="1" customWidth="1" style="1" min="10753" max="10753"/>
    <col width="70" bestFit="1" customWidth="1" style="1" min="10754" max="10754"/>
    <col width="24.5546875" bestFit="1" customWidth="1" style="1" min="10755" max="10755"/>
    <col width="22.44140625" customWidth="1" style="1" min="10756" max="10759"/>
    <col width="19.44140625" bestFit="1" customWidth="1" style="1" min="10760" max="10760"/>
    <col width="9.109375" customWidth="1" style="1" min="10761" max="10761"/>
    <col width="11.33203125" bestFit="1" customWidth="1" style="1" min="10762" max="10762"/>
    <col width="9.109375" customWidth="1" style="1" min="10763" max="10763"/>
    <col width="10.88671875" bestFit="1" customWidth="1" style="1" min="10764" max="10764"/>
    <col width="9.109375" customWidth="1" style="1" min="10765" max="11008"/>
    <col width="21.109375" bestFit="1" customWidth="1" style="1" min="11009" max="11009"/>
    <col width="70" bestFit="1" customWidth="1" style="1" min="11010" max="11010"/>
    <col width="24.5546875" bestFit="1" customWidth="1" style="1" min="11011" max="11011"/>
    <col width="22.44140625" customWidth="1" style="1" min="11012" max="11015"/>
    <col width="19.44140625" bestFit="1" customWidth="1" style="1" min="11016" max="11016"/>
    <col width="9.109375" customWidth="1" style="1" min="11017" max="11017"/>
    <col width="11.33203125" bestFit="1" customWidth="1" style="1" min="11018" max="11018"/>
    <col width="9.109375" customWidth="1" style="1" min="11019" max="11019"/>
    <col width="10.88671875" bestFit="1" customWidth="1" style="1" min="11020" max="11020"/>
    <col width="9.109375" customWidth="1" style="1" min="11021" max="11264"/>
    <col width="21.109375" bestFit="1" customWidth="1" style="1" min="11265" max="11265"/>
    <col width="70" bestFit="1" customWidth="1" style="1" min="11266" max="11266"/>
    <col width="24.5546875" bestFit="1" customWidth="1" style="1" min="11267" max="11267"/>
    <col width="22.44140625" customWidth="1" style="1" min="11268" max="11271"/>
    <col width="19.44140625" bestFit="1" customWidth="1" style="1" min="11272" max="11272"/>
    <col width="9.109375" customWidth="1" style="1" min="11273" max="11273"/>
    <col width="11.33203125" bestFit="1" customWidth="1" style="1" min="11274" max="11274"/>
    <col width="9.109375" customWidth="1" style="1" min="11275" max="11275"/>
    <col width="10.88671875" bestFit="1" customWidth="1" style="1" min="11276" max="11276"/>
    <col width="9.109375" customWidth="1" style="1" min="11277" max="11520"/>
    <col width="21.109375" bestFit="1" customWidth="1" style="1" min="11521" max="11521"/>
    <col width="70" bestFit="1" customWidth="1" style="1" min="11522" max="11522"/>
    <col width="24.5546875" bestFit="1" customWidth="1" style="1" min="11523" max="11523"/>
    <col width="22.44140625" customWidth="1" style="1" min="11524" max="11527"/>
    <col width="19.44140625" bestFit="1" customWidth="1" style="1" min="11528" max="11528"/>
    <col width="9.109375" customWidth="1" style="1" min="11529" max="11529"/>
    <col width="11.33203125" bestFit="1" customWidth="1" style="1" min="11530" max="11530"/>
    <col width="9.109375" customWidth="1" style="1" min="11531" max="11531"/>
    <col width="10.88671875" bestFit="1" customWidth="1" style="1" min="11532" max="11532"/>
    <col width="9.109375" customWidth="1" style="1" min="11533" max="11776"/>
    <col width="21.109375" bestFit="1" customWidth="1" style="1" min="11777" max="11777"/>
    <col width="70" bestFit="1" customWidth="1" style="1" min="11778" max="11778"/>
    <col width="24.5546875" bestFit="1" customWidth="1" style="1" min="11779" max="11779"/>
    <col width="22.44140625" customWidth="1" style="1" min="11780" max="11783"/>
    <col width="19.44140625" bestFit="1" customWidth="1" style="1" min="11784" max="11784"/>
    <col width="9.109375" customWidth="1" style="1" min="11785" max="11785"/>
    <col width="11.33203125" bestFit="1" customWidth="1" style="1" min="11786" max="11786"/>
    <col width="9.109375" customWidth="1" style="1" min="11787" max="11787"/>
    <col width="10.88671875" bestFit="1" customWidth="1" style="1" min="11788" max="11788"/>
    <col width="9.109375" customWidth="1" style="1" min="11789" max="12032"/>
    <col width="21.109375" bestFit="1" customWidth="1" style="1" min="12033" max="12033"/>
    <col width="70" bestFit="1" customWidth="1" style="1" min="12034" max="12034"/>
    <col width="24.5546875" bestFit="1" customWidth="1" style="1" min="12035" max="12035"/>
    <col width="22.44140625" customWidth="1" style="1" min="12036" max="12039"/>
    <col width="19.44140625" bestFit="1" customWidth="1" style="1" min="12040" max="12040"/>
    <col width="9.109375" customWidth="1" style="1" min="12041" max="12041"/>
    <col width="11.33203125" bestFit="1" customWidth="1" style="1" min="12042" max="12042"/>
    <col width="9.109375" customWidth="1" style="1" min="12043" max="12043"/>
    <col width="10.88671875" bestFit="1" customWidth="1" style="1" min="12044" max="12044"/>
    <col width="9.109375" customWidth="1" style="1" min="12045" max="12288"/>
    <col width="21.109375" bestFit="1" customWidth="1" style="1" min="12289" max="12289"/>
    <col width="70" bestFit="1" customWidth="1" style="1" min="12290" max="12290"/>
    <col width="24.5546875" bestFit="1" customWidth="1" style="1" min="12291" max="12291"/>
    <col width="22.44140625" customWidth="1" style="1" min="12292" max="12295"/>
    <col width="19.44140625" bestFit="1" customWidth="1" style="1" min="12296" max="12296"/>
    <col width="9.109375" customWidth="1" style="1" min="12297" max="12297"/>
    <col width="11.33203125" bestFit="1" customWidth="1" style="1" min="12298" max="12298"/>
    <col width="9.109375" customWidth="1" style="1" min="12299" max="12299"/>
    <col width="10.88671875" bestFit="1" customWidth="1" style="1" min="12300" max="12300"/>
    <col width="9.109375" customWidth="1" style="1" min="12301" max="12544"/>
    <col width="21.109375" bestFit="1" customWidth="1" style="1" min="12545" max="12545"/>
    <col width="70" bestFit="1" customWidth="1" style="1" min="12546" max="12546"/>
    <col width="24.5546875" bestFit="1" customWidth="1" style="1" min="12547" max="12547"/>
    <col width="22.44140625" customWidth="1" style="1" min="12548" max="12551"/>
    <col width="19.44140625" bestFit="1" customWidth="1" style="1" min="12552" max="12552"/>
    <col width="9.109375" customWidth="1" style="1" min="12553" max="12553"/>
    <col width="11.33203125" bestFit="1" customWidth="1" style="1" min="12554" max="12554"/>
    <col width="9.109375" customWidth="1" style="1" min="12555" max="12555"/>
    <col width="10.88671875" bestFit="1" customWidth="1" style="1" min="12556" max="12556"/>
    <col width="9.109375" customWidth="1" style="1" min="12557" max="12800"/>
    <col width="21.109375" bestFit="1" customWidth="1" style="1" min="12801" max="12801"/>
    <col width="70" bestFit="1" customWidth="1" style="1" min="12802" max="12802"/>
    <col width="24.5546875" bestFit="1" customWidth="1" style="1" min="12803" max="12803"/>
    <col width="22.44140625" customWidth="1" style="1" min="12804" max="12807"/>
    <col width="19.44140625" bestFit="1" customWidth="1" style="1" min="12808" max="12808"/>
    <col width="9.109375" customWidth="1" style="1" min="12809" max="12809"/>
    <col width="11.33203125" bestFit="1" customWidth="1" style="1" min="12810" max="12810"/>
    <col width="9.109375" customWidth="1" style="1" min="12811" max="12811"/>
    <col width="10.88671875" bestFit="1" customWidth="1" style="1" min="12812" max="12812"/>
    <col width="9.109375" customWidth="1" style="1" min="12813" max="13056"/>
    <col width="21.109375" bestFit="1" customWidth="1" style="1" min="13057" max="13057"/>
    <col width="70" bestFit="1" customWidth="1" style="1" min="13058" max="13058"/>
    <col width="24.5546875" bestFit="1" customWidth="1" style="1" min="13059" max="13059"/>
    <col width="22.44140625" customWidth="1" style="1" min="13060" max="13063"/>
    <col width="19.44140625" bestFit="1" customWidth="1" style="1" min="13064" max="13064"/>
    <col width="9.109375" customWidth="1" style="1" min="13065" max="13065"/>
    <col width="11.33203125" bestFit="1" customWidth="1" style="1" min="13066" max="13066"/>
    <col width="9.109375" customWidth="1" style="1" min="13067" max="13067"/>
    <col width="10.88671875" bestFit="1" customWidth="1" style="1" min="13068" max="13068"/>
    <col width="9.109375" customWidth="1" style="1" min="13069" max="13312"/>
    <col width="21.109375" bestFit="1" customWidth="1" style="1" min="13313" max="13313"/>
    <col width="70" bestFit="1" customWidth="1" style="1" min="13314" max="13314"/>
    <col width="24.5546875" bestFit="1" customWidth="1" style="1" min="13315" max="13315"/>
    <col width="22.44140625" customWidth="1" style="1" min="13316" max="13319"/>
    <col width="19.44140625" bestFit="1" customWidth="1" style="1" min="13320" max="13320"/>
    <col width="9.109375" customWidth="1" style="1" min="13321" max="13321"/>
    <col width="11.33203125" bestFit="1" customWidth="1" style="1" min="13322" max="13322"/>
    <col width="9.109375" customWidth="1" style="1" min="13323" max="13323"/>
    <col width="10.88671875" bestFit="1" customWidth="1" style="1" min="13324" max="13324"/>
    <col width="9.109375" customWidth="1" style="1" min="13325" max="13568"/>
    <col width="21.109375" bestFit="1" customWidth="1" style="1" min="13569" max="13569"/>
    <col width="70" bestFit="1" customWidth="1" style="1" min="13570" max="13570"/>
    <col width="24.5546875" bestFit="1" customWidth="1" style="1" min="13571" max="13571"/>
    <col width="22.44140625" customWidth="1" style="1" min="13572" max="13575"/>
    <col width="19.44140625" bestFit="1" customWidth="1" style="1" min="13576" max="13576"/>
    <col width="9.109375" customWidth="1" style="1" min="13577" max="13577"/>
    <col width="11.33203125" bestFit="1" customWidth="1" style="1" min="13578" max="13578"/>
    <col width="9.109375" customWidth="1" style="1" min="13579" max="13579"/>
    <col width="10.88671875" bestFit="1" customWidth="1" style="1" min="13580" max="13580"/>
    <col width="9.109375" customWidth="1" style="1" min="13581" max="13824"/>
    <col width="21.109375" bestFit="1" customWidth="1" style="1" min="13825" max="13825"/>
    <col width="70" bestFit="1" customWidth="1" style="1" min="13826" max="13826"/>
    <col width="24.5546875" bestFit="1" customWidth="1" style="1" min="13827" max="13827"/>
    <col width="22.44140625" customWidth="1" style="1" min="13828" max="13831"/>
    <col width="19.44140625" bestFit="1" customWidth="1" style="1" min="13832" max="13832"/>
    <col width="9.109375" customWidth="1" style="1" min="13833" max="13833"/>
    <col width="11.33203125" bestFit="1" customWidth="1" style="1" min="13834" max="13834"/>
    <col width="9.109375" customWidth="1" style="1" min="13835" max="13835"/>
    <col width="10.88671875" bestFit="1" customWidth="1" style="1" min="13836" max="13836"/>
    <col width="9.109375" customWidth="1" style="1" min="13837" max="14080"/>
    <col width="21.109375" bestFit="1" customWidth="1" style="1" min="14081" max="14081"/>
    <col width="70" bestFit="1" customWidth="1" style="1" min="14082" max="14082"/>
    <col width="24.5546875" bestFit="1" customWidth="1" style="1" min="14083" max="14083"/>
    <col width="22.44140625" customWidth="1" style="1" min="14084" max="14087"/>
    <col width="19.44140625" bestFit="1" customWidth="1" style="1" min="14088" max="14088"/>
    <col width="9.109375" customWidth="1" style="1" min="14089" max="14089"/>
    <col width="11.33203125" bestFit="1" customWidth="1" style="1" min="14090" max="14090"/>
    <col width="9.109375" customWidth="1" style="1" min="14091" max="14091"/>
    <col width="10.88671875" bestFit="1" customWidth="1" style="1" min="14092" max="14092"/>
    <col width="9.109375" customWidth="1" style="1" min="14093" max="14336"/>
    <col width="21.109375" bestFit="1" customWidth="1" style="1" min="14337" max="14337"/>
    <col width="70" bestFit="1" customWidth="1" style="1" min="14338" max="14338"/>
    <col width="24.5546875" bestFit="1" customWidth="1" style="1" min="14339" max="14339"/>
    <col width="22.44140625" customWidth="1" style="1" min="14340" max="14343"/>
    <col width="19.44140625" bestFit="1" customWidth="1" style="1" min="14344" max="14344"/>
    <col width="9.109375" customWidth="1" style="1" min="14345" max="14345"/>
    <col width="11.33203125" bestFit="1" customWidth="1" style="1" min="14346" max="14346"/>
    <col width="9.109375" customWidth="1" style="1" min="14347" max="14347"/>
    <col width="10.88671875" bestFit="1" customWidth="1" style="1" min="14348" max="14348"/>
    <col width="9.109375" customWidth="1" style="1" min="14349" max="14592"/>
    <col width="21.109375" bestFit="1" customWidth="1" style="1" min="14593" max="14593"/>
    <col width="70" bestFit="1" customWidth="1" style="1" min="14594" max="14594"/>
    <col width="24.5546875" bestFit="1" customWidth="1" style="1" min="14595" max="14595"/>
    <col width="22.44140625" customWidth="1" style="1" min="14596" max="14599"/>
    <col width="19.44140625" bestFit="1" customWidth="1" style="1" min="14600" max="14600"/>
    <col width="9.109375" customWidth="1" style="1" min="14601" max="14601"/>
    <col width="11.33203125" bestFit="1" customWidth="1" style="1" min="14602" max="14602"/>
    <col width="9.109375" customWidth="1" style="1" min="14603" max="14603"/>
    <col width="10.88671875" bestFit="1" customWidth="1" style="1" min="14604" max="14604"/>
    <col width="9.109375" customWidth="1" style="1" min="14605" max="14848"/>
    <col width="21.109375" bestFit="1" customWidth="1" style="1" min="14849" max="14849"/>
    <col width="70" bestFit="1" customWidth="1" style="1" min="14850" max="14850"/>
    <col width="24.5546875" bestFit="1" customWidth="1" style="1" min="14851" max="14851"/>
    <col width="22.44140625" customWidth="1" style="1" min="14852" max="14855"/>
    <col width="19.44140625" bestFit="1" customWidth="1" style="1" min="14856" max="14856"/>
    <col width="9.109375" customWidth="1" style="1" min="14857" max="14857"/>
    <col width="11.33203125" bestFit="1" customWidth="1" style="1" min="14858" max="14858"/>
    <col width="9.109375" customWidth="1" style="1" min="14859" max="14859"/>
    <col width="10.88671875" bestFit="1" customWidth="1" style="1" min="14860" max="14860"/>
    <col width="9.109375" customWidth="1" style="1" min="14861" max="15104"/>
    <col width="21.109375" bestFit="1" customWidth="1" style="1" min="15105" max="15105"/>
    <col width="70" bestFit="1" customWidth="1" style="1" min="15106" max="15106"/>
    <col width="24.5546875" bestFit="1" customWidth="1" style="1" min="15107" max="15107"/>
    <col width="22.44140625" customWidth="1" style="1" min="15108" max="15111"/>
    <col width="19.44140625" bestFit="1" customWidth="1" style="1" min="15112" max="15112"/>
    <col width="9.109375" customWidth="1" style="1" min="15113" max="15113"/>
    <col width="11.33203125" bestFit="1" customWidth="1" style="1" min="15114" max="15114"/>
    <col width="9.109375" customWidth="1" style="1" min="15115" max="15115"/>
    <col width="10.88671875" bestFit="1" customWidth="1" style="1" min="15116" max="15116"/>
    <col width="9.109375" customWidth="1" style="1" min="15117" max="15360"/>
    <col width="21.109375" bestFit="1" customWidth="1" style="1" min="15361" max="15361"/>
    <col width="70" bestFit="1" customWidth="1" style="1" min="15362" max="15362"/>
    <col width="24.5546875" bestFit="1" customWidth="1" style="1" min="15363" max="15363"/>
    <col width="22.44140625" customWidth="1" style="1" min="15364" max="15367"/>
    <col width="19.44140625" bestFit="1" customWidth="1" style="1" min="15368" max="15368"/>
    <col width="9.109375" customWidth="1" style="1" min="15369" max="15369"/>
    <col width="11.33203125" bestFit="1" customWidth="1" style="1" min="15370" max="15370"/>
    <col width="9.109375" customWidth="1" style="1" min="15371" max="15371"/>
    <col width="10.88671875" bestFit="1" customWidth="1" style="1" min="15372" max="15372"/>
    <col width="9.109375" customWidth="1" style="1" min="15373" max="15616"/>
    <col width="21.109375" bestFit="1" customWidth="1" style="1" min="15617" max="15617"/>
    <col width="70" bestFit="1" customWidth="1" style="1" min="15618" max="15618"/>
    <col width="24.5546875" bestFit="1" customWidth="1" style="1" min="15619" max="15619"/>
    <col width="22.44140625" customWidth="1" style="1" min="15620" max="15623"/>
    <col width="19.44140625" bestFit="1" customWidth="1" style="1" min="15624" max="15624"/>
    <col width="9.109375" customWidth="1" style="1" min="15625" max="15625"/>
    <col width="11.33203125" bestFit="1" customWidth="1" style="1" min="15626" max="15626"/>
    <col width="9.109375" customWidth="1" style="1" min="15627" max="15627"/>
    <col width="10.88671875" bestFit="1" customWidth="1" style="1" min="15628" max="15628"/>
    <col width="9.109375" customWidth="1" style="1" min="15629" max="15872"/>
    <col width="21.109375" bestFit="1" customWidth="1" style="1" min="15873" max="15873"/>
    <col width="70" bestFit="1" customWidth="1" style="1" min="15874" max="15874"/>
    <col width="24.5546875" bestFit="1" customWidth="1" style="1" min="15875" max="15875"/>
    <col width="22.44140625" customWidth="1" style="1" min="15876" max="15879"/>
    <col width="19.44140625" bestFit="1" customWidth="1" style="1" min="15880" max="15880"/>
    <col width="9.109375" customWidth="1" style="1" min="15881" max="15881"/>
    <col width="11.33203125" bestFit="1" customWidth="1" style="1" min="15882" max="15882"/>
    <col width="9.109375" customWidth="1" style="1" min="15883" max="15883"/>
    <col width="10.88671875" bestFit="1" customWidth="1" style="1" min="15884" max="15884"/>
    <col width="9.109375" customWidth="1" style="1" min="15885" max="16128"/>
    <col width="21.109375" bestFit="1" customWidth="1" style="1" min="16129" max="16129"/>
    <col width="70" bestFit="1" customWidth="1" style="1" min="16130" max="16130"/>
    <col width="24.5546875" bestFit="1" customWidth="1" style="1" min="16131" max="16131"/>
    <col width="22.44140625" customWidth="1" style="1" min="16132" max="16135"/>
    <col width="19.44140625" bestFit="1" customWidth="1" style="1" min="16136" max="16136"/>
    <col width="9.109375" customWidth="1" style="1" min="16137" max="16137"/>
    <col width="11.33203125" bestFit="1" customWidth="1" style="1" min="16138" max="16138"/>
    <col width="9.109375" customWidth="1" style="1" min="16139" max="16139"/>
    <col width="10.88671875" bestFit="1" customWidth="1" style="1" min="16140" max="16140"/>
    <col width="9.109375" customWidth="1" style="1" min="16141" max="16384"/>
  </cols>
  <sheetData>
    <row r="1" ht="12.75" customHeight="1">
      <c r="C1" s="302" t="inlineStr">
        <is>
          <t>Eindbalans per 31-12-2022</t>
        </is>
      </c>
      <c r="D1" s="302" t="inlineStr">
        <is>
          <t>Mutaties Q1 2023</t>
        </is>
      </c>
      <c r="E1" s="302" t="inlineStr">
        <is>
          <t>Mutaties Q2 2023</t>
        </is>
      </c>
      <c r="F1" s="302" t="inlineStr">
        <is>
          <t>Mutaties Q3 2023</t>
        </is>
      </c>
      <c r="G1" s="302" t="inlineStr">
        <is>
          <t>Mutaties Q4 2023</t>
        </is>
      </c>
      <c r="H1" s="290" t="inlineStr">
        <is>
          <t>Saldi per 31-12-2023</t>
        </is>
      </c>
    </row>
    <row r="3" ht="12.75" customHeight="1">
      <c r="A3" s="132" t="inlineStr">
        <is>
          <t>Balans</t>
        </is>
      </c>
    </row>
    <row r="4" ht="12.75" customHeight="1">
      <c r="A4" s="130" t="n">
        <v>1600000</v>
      </c>
      <c r="B4" s="1" t="inlineStr">
        <is>
          <t>VG Vastgoedbeleggingen Verkrijgings- of vervaardigingsprijs</t>
        </is>
      </c>
      <c r="C4" s="341" t="n">
        <v>124631913.08</v>
      </c>
      <c r="D4" s="341" t="n">
        <v>369860.81</v>
      </c>
      <c r="E4" s="341" t="n">
        <v>276736.19</v>
      </c>
      <c r="F4" s="341" t="n">
        <v>763364.3100000001</v>
      </c>
      <c r="G4" s="341" t="n">
        <v>784367.5900000001</v>
      </c>
      <c r="H4" s="351">
        <f>SUM(C4:G4)</f>
        <v/>
      </c>
      <c r="J4" s="341" t="n"/>
      <c r="L4" s="299" t="n"/>
    </row>
    <row r="5" ht="12.75" customHeight="1">
      <c r="A5" s="130" t="inlineStr">
        <is>
          <t>1600200</t>
        </is>
      </c>
      <c r="B5" s="1" t="inlineStr">
        <is>
          <t>VG Vastgoedbeleggingen Cum afschrijvingen en waardeverm</t>
        </is>
      </c>
      <c r="C5" s="341" t="n">
        <v>-17476322</v>
      </c>
      <c r="D5" s="341" t="n">
        <v>-707631</v>
      </c>
      <c r="E5" s="341" t="n">
        <v>-706154</v>
      </c>
      <c r="F5" s="341" t="n">
        <v>-722958</v>
      </c>
      <c r="G5" s="341" t="n">
        <v>-747378</v>
      </c>
      <c r="H5" s="351">
        <f>SUM(C5:G5)</f>
        <v/>
      </c>
      <c r="J5" s="341" t="n"/>
      <c r="L5" s="299" t="n"/>
    </row>
    <row r="6" ht="12.75" customHeight="1">
      <c r="A6" s="130" t="inlineStr">
        <is>
          <t>1610803</t>
        </is>
      </c>
      <c r="B6" s="1" t="inlineStr">
        <is>
          <t>VG Comm VG in exploitatie Buitengebruikstellingen aanschaffingswaarde</t>
        </is>
      </c>
      <c r="D6" s="309" t="n">
        <v>-117551</v>
      </c>
      <c r="E6" s="309" t="n">
        <v>-205430</v>
      </c>
      <c r="F6" s="309" t="n">
        <v>-677264</v>
      </c>
      <c r="G6" s="309" t="n">
        <v>-890320</v>
      </c>
      <c r="H6" s="351">
        <f>SUM(C6:G6)</f>
        <v/>
      </c>
    </row>
    <row r="7" ht="12.75" customHeight="1">
      <c r="A7" s="130" t="inlineStr">
        <is>
          <t>1611003</t>
        </is>
      </c>
      <c r="B7" s="1" t="inlineStr">
        <is>
          <t>VG Comm VG in exploitatie Buitengebruikstellingen cum. afschr. en waardeverm.</t>
        </is>
      </c>
      <c r="D7" s="341" t="n">
        <v>17214</v>
      </c>
      <c r="E7" s="341" t="n">
        <v>31299</v>
      </c>
      <c r="F7" s="341" t="n">
        <v>106809</v>
      </c>
      <c r="G7" s="341" t="n">
        <v>141605</v>
      </c>
      <c r="H7" s="351">
        <f>SUM(C7:G7)</f>
        <v/>
      </c>
    </row>
    <row r="8" ht="12.75" customHeight="1">
      <c r="A8" s="1" t="inlineStr">
        <is>
          <t>Totaal Vastgoedbeleggingen</t>
        </is>
      </c>
    </row>
    <row r="10" ht="12.75" customHeight="1">
      <c r="A10" s="130" t="n">
        <v>1790000</v>
      </c>
      <c r="B10" s="1" t="inlineStr">
        <is>
          <t>FVA Swap fee</t>
        </is>
      </c>
      <c r="C10" s="341" t="n">
        <v>2102350.01</v>
      </c>
      <c r="D10" s="341" t="n">
        <v>-110649.99</v>
      </c>
      <c r="E10" s="341" t="n">
        <v>-110649.99</v>
      </c>
      <c r="F10" s="341" t="n">
        <v>-110649.99</v>
      </c>
      <c r="G10" s="341" t="n">
        <v>-110649.99</v>
      </c>
      <c r="H10" s="351">
        <f>SUM(C10:G10)</f>
        <v/>
      </c>
    </row>
    <row r="11" ht="12.75" customHeight="1">
      <c r="A11" s="130" t="inlineStr">
        <is>
          <t>1790002</t>
        </is>
      </c>
      <c r="B11" s="1" t="inlineStr">
        <is>
          <t>FVA Latente belastingvordering langlopend</t>
        </is>
      </c>
      <c r="C11" s="341" t="n">
        <v>5082086</v>
      </c>
      <c r="D11" s="343" t="n">
        <v>181734</v>
      </c>
      <c r="E11" s="344" t="n">
        <v>172942</v>
      </c>
      <c r="F11" s="343" t="n">
        <v>146161</v>
      </c>
      <c r="G11" s="343" t="n">
        <v>153491</v>
      </c>
      <c r="H11" s="351">
        <f>SUM(C11:G11)</f>
        <v/>
      </c>
    </row>
    <row r="12" ht="12.75" customHeight="1">
      <c r="A12" s="130" t="n">
        <v>1760000</v>
      </c>
      <c r="B12" s="1" t="inlineStr">
        <is>
          <t>FVA Hoofdsom lening DMRRP INV - I BV</t>
        </is>
      </c>
      <c r="C12" s="341" t="n">
        <v>38320325</v>
      </c>
      <c r="D12" s="341" t="n">
        <v>0</v>
      </c>
      <c r="E12" s="341" t="n">
        <v>0</v>
      </c>
      <c r="H12" s="351">
        <f>SUM(C12:G12)</f>
        <v/>
      </c>
    </row>
    <row r="13" ht="12.75" customHeight="1">
      <c r="A13" s="130" t="n">
        <v>1760300</v>
      </c>
      <c r="B13" s="1" t="inlineStr">
        <is>
          <t>FVA Aflossingen lening DMRRP INV - I BV</t>
        </is>
      </c>
      <c r="C13" s="341" t="n">
        <v>-95800.81</v>
      </c>
      <c r="D13" s="341" t="n">
        <v>-137679.46</v>
      </c>
      <c r="E13" s="341" t="n">
        <v>-53922.16</v>
      </c>
      <c r="F13" s="341" t="n">
        <v>-95800.81</v>
      </c>
      <c r="G13" s="341" t="n">
        <v>-95800.81</v>
      </c>
      <c r="H13" s="351">
        <f>SUM(C13:G13)</f>
        <v/>
      </c>
    </row>
    <row r="14" ht="12.75" customHeight="1">
      <c r="A14" s="1" t="inlineStr">
        <is>
          <t>Totaal Financiële vaste activa</t>
        </is>
      </c>
    </row>
    <row r="15" ht="12.75" customHeight="1"/>
    <row r="16" ht="12.75" customHeight="1">
      <c r="A16" s="130" t="inlineStr">
        <is>
          <t>2000000</t>
        </is>
      </c>
      <c r="B16" s="1" t="inlineStr">
        <is>
          <t>VOR Debiteuren</t>
        </is>
      </c>
      <c r="C16" s="341" t="n">
        <v>506191.63</v>
      </c>
      <c r="D16" s="343" t="n">
        <v>523319.01</v>
      </c>
      <c r="E16" s="344" t="n">
        <v>540691.2999999999</v>
      </c>
      <c r="F16" s="345" t="n">
        <v>568866.17</v>
      </c>
      <c r="G16" s="343" t="n">
        <v>641465.5399999999</v>
      </c>
      <c r="H16" s="351">
        <f>SUM(C16:G16)</f>
        <v/>
      </c>
    </row>
    <row r="17" ht="12.75" customHeight="1">
      <c r="A17" s="130" t="inlineStr">
        <is>
          <t>2000300</t>
        </is>
      </c>
      <c r="B17" s="1" t="inlineStr">
        <is>
          <t>VOR Voorziening dubieuze debiteuren</t>
        </is>
      </c>
      <c r="C17" s="341" t="n">
        <v>-76878.53</v>
      </c>
      <c r="D17" s="341" t="n">
        <v>0</v>
      </c>
      <c r="E17" s="341" t="n">
        <v>0</v>
      </c>
      <c r="F17" s="341" t="n">
        <v>0</v>
      </c>
      <c r="G17" s="341" t="n">
        <v>0</v>
      </c>
      <c r="H17" s="351">
        <f>SUM(C17:G17)</f>
        <v/>
      </c>
    </row>
    <row r="18" ht="12.75" customHeight="1">
      <c r="A18" s="1" t="inlineStr">
        <is>
          <t>Totaal Debiteuren</t>
        </is>
      </c>
    </row>
    <row r="20" ht="12.75" customHeight="1">
      <c r="A20" s="130" t="n">
        <v>2640000</v>
      </c>
      <c r="B20" s="1" t="inlineStr">
        <is>
          <t>RC Kortlopend DMRRP INV - I BV</t>
        </is>
      </c>
      <c r="C20" s="341" t="n">
        <v>-692314.86</v>
      </c>
      <c r="D20" s="341" t="n">
        <v>-6167</v>
      </c>
      <c r="E20" s="341" t="n">
        <v>592347</v>
      </c>
      <c r="F20" s="341" t="n">
        <v>379578</v>
      </c>
      <c r="G20" s="341" t="n">
        <v>952774</v>
      </c>
      <c r="H20" s="351">
        <f>SUM(C20:G20)</f>
        <v/>
      </c>
    </row>
    <row r="21" ht="12.75" customHeight="1">
      <c r="A21" s="1" t="inlineStr">
        <is>
          <t>Totaal Rekening-courant aandeelhouder</t>
        </is>
      </c>
    </row>
    <row r="22" ht="12.75" customHeight="1">
      <c r="G22" s="290" t="n"/>
    </row>
    <row r="23" ht="12.75" customHeight="1">
      <c r="A23" s="130" t="inlineStr">
        <is>
          <t>2040100</t>
        </is>
      </c>
      <c r="B23" s="1" t="inlineStr">
        <is>
          <t>VOR Nog te factureren bedragen</t>
        </is>
      </c>
      <c r="D23" s="341" t="n">
        <v>0</v>
      </c>
      <c r="E23" s="341" t="n">
        <v>-41878.65</v>
      </c>
      <c r="F23" s="341" t="n">
        <v>41878.65</v>
      </c>
      <c r="G23" s="341" t="n">
        <v>0</v>
      </c>
      <c r="H23" s="351">
        <f>SUM(C23:G23)</f>
        <v/>
      </c>
    </row>
    <row r="24" ht="12.75" customHeight="1">
      <c r="A24" s="130" t="n">
        <v>2040200</v>
      </c>
      <c r="B24" s="1" t="inlineStr">
        <is>
          <t>VOR Te vorderen waarborgsommen kortlopen</t>
        </is>
      </c>
      <c r="C24" s="341" t="n">
        <v>5000</v>
      </c>
      <c r="D24" s="341" t="n">
        <v>0</v>
      </c>
      <c r="E24" s="341" t="n">
        <v>0</v>
      </c>
      <c r="F24" s="341" t="n">
        <v>0</v>
      </c>
      <c r="G24" s="341" t="n">
        <v>0</v>
      </c>
      <c r="H24" s="351">
        <f>SUM(C24:G24)</f>
        <v/>
      </c>
    </row>
    <row r="25" ht="12.75" customHeight="1">
      <c r="A25" s="130" t="n">
        <v>2040500</v>
      </c>
      <c r="B25" s="1" t="inlineStr">
        <is>
          <t>VOR Vooruitbetaalde verzekeringen</t>
        </is>
      </c>
      <c r="D25" s="341" t="n">
        <v>86298.88</v>
      </c>
      <c r="E25" s="341" t="n">
        <v>-28766.29</v>
      </c>
      <c r="F25" s="341" t="n">
        <v>-28766.3</v>
      </c>
      <c r="G25" s="341" t="n">
        <v>-28766.29</v>
      </c>
      <c r="H25" s="351">
        <f>SUM(C25:G25)</f>
        <v/>
      </c>
    </row>
    <row r="26" ht="12.75" customHeight="1">
      <c r="A26" s="130" t="inlineStr">
        <is>
          <t>2040700</t>
        </is>
      </c>
      <c r="B26" s="1" t="inlineStr">
        <is>
          <t>VOR Vooruitbetaalde servicekosten</t>
        </is>
      </c>
      <c r="D26" s="341" t="n">
        <v>0</v>
      </c>
      <c r="E26" s="341" t="n">
        <v>0</v>
      </c>
      <c r="H26" s="351">
        <f>SUM(C26:G26)</f>
        <v/>
      </c>
    </row>
    <row r="27" ht="12.75" customHeight="1">
      <c r="A27" s="130" t="inlineStr">
        <is>
          <t>2040900</t>
        </is>
      </c>
      <c r="B27" s="1" t="inlineStr">
        <is>
          <t>VOR Vooruitbetaalde overige kosten</t>
        </is>
      </c>
      <c r="D27" s="341" t="n">
        <v>0</v>
      </c>
      <c r="E27" s="341" t="n">
        <v>0</v>
      </c>
      <c r="H27" s="351">
        <f>SUM(C27:G27)</f>
        <v/>
      </c>
    </row>
    <row r="28" ht="12.75" customHeight="1">
      <c r="A28" s="1" t="inlineStr">
        <is>
          <t>Totaal overige vorderingen</t>
        </is>
      </c>
    </row>
    <row r="30" ht="12.75" customHeight="1">
      <c r="A30" s="130" t="inlineStr">
        <is>
          <t>2300000</t>
        </is>
      </c>
      <c r="B30" s="1" t="inlineStr">
        <is>
          <t>LM Kruisposten</t>
        </is>
      </c>
      <c r="C30" s="341" t="n">
        <v>0.48</v>
      </c>
      <c r="D30" s="341" t="n">
        <v>0</v>
      </c>
      <c r="E30" s="341" t="n">
        <v>0</v>
      </c>
      <c r="F30" s="341" t="n">
        <v>0</v>
      </c>
      <c r="G30" s="341" t="n">
        <v>0</v>
      </c>
      <c r="H30" s="351">
        <f>SUM(C30:G30)</f>
        <v/>
      </c>
    </row>
    <row r="31" ht="12.75" customHeight="1">
      <c r="A31" s="130" t="n">
        <v>2300001</v>
      </c>
      <c r="B31" s="1" t="inlineStr">
        <is>
          <t>LM Kruisposten pin</t>
        </is>
      </c>
      <c r="D31" s="341" t="n">
        <v>1948.2</v>
      </c>
      <c r="E31" s="341" t="n">
        <v>1958.459999999999</v>
      </c>
      <c r="F31" s="341" t="n">
        <v>-4860.88</v>
      </c>
      <c r="G31" s="341" t="n">
        <v>-1134.07</v>
      </c>
      <c r="H31" s="351">
        <f>SUM(C31:G31)</f>
        <v/>
      </c>
    </row>
    <row r="32" ht="12.75" customHeight="1">
      <c r="A32" s="130" t="inlineStr">
        <is>
          <t>2400200</t>
        </is>
      </c>
      <c r="B32" s="1" t="inlineStr">
        <is>
          <t>LM ABN AMRO Bank Disposal NL58 ABNA 0818 9180 39</t>
        </is>
      </c>
      <c r="C32" s="341" t="n">
        <v>537566.26</v>
      </c>
      <c r="D32" s="344" t="n">
        <v>-537566.26</v>
      </c>
      <c r="E32" s="344" t="n">
        <v>128000</v>
      </c>
      <c r="F32" s="344" t="n">
        <v>-128000</v>
      </c>
      <c r="G32" s="344" t="n">
        <v>0</v>
      </c>
      <c r="H32" s="351">
        <f>SUM(C32:G32)</f>
        <v/>
      </c>
    </row>
    <row r="33" ht="12.75" customHeight="1">
      <c r="A33" s="130" t="inlineStr">
        <is>
          <t>2400201</t>
        </is>
      </c>
      <c r="B33" s="1" t="inlineStr">
        <is>
          <t>LM ABN AMRO Bank Deposit NL57 ABNA 0541 6205 68</t>
        </is>
      </c>
      <c r="C33" s="341" t="n">
        <v>-95198.32000000001</v>
      </c>
      <c r="D33" s="344" t="n">
        <v>96845.91</v>
      </c>
      <c r="E33" s="344" t="n">
        <v>-43252.62</v>
      </c>
      <c r="F33" s="344" t="n">
        <v>43840.28</v>
      </c>
      <c r="G33" s="344" t="n">
        <v>2206.93</v>
      </c>
      <c r="H33" s="351">
        <f>SUM(C33:G33)</f>
        <v/>
      </c>
    </row>
    <row r="34" ht="12.75" customHeight="1">
      <c r="A34" s="130" t="inlineStr">
        <is>
          <t>2400202</t>
        </is>
      </c>
      <c r="B34" s="1" t="inlineStr">
        <is>
          <t>LM ABN AMRO Bank General NL93 ABNA 0541 6132 27</t>
        </is>
      </c>
      <c r="C34" s="341" t="n">
        <v>179.08</v>
      </c>
      <c r="D34" s="344" t="n">
        <v>0</v>
      </c>
      <c r="E34" s="344" t="n">
        <v>0</v>
      </c>
      <c r="F34" s="344" t="n">
        <v>-105.66</v>
      </c>
      <c r="G34" s="344" t="n">
        <v>0</v>
      </c>
      <c r="H34" s="351">
        <f>SUM(C34:G34)</f>
        <v/>
      </c>
    </row>
    <row r="35" ht="12.75" customHeight="1">
      <c r="A35" s="130" t="inlineStr">
        <is>
          <t>2400203</t>
        </is>
      </c>
      <c r="B35" s="1" t="inlineStr">
        <is>
          <t>LM ABN AMRO Bank Maintres NL04 ABNA 0541 6188 06</t>
        </is>
      </c>
      <c r="C35" s="341" t="n">
        <v>129154.22</v>
      </c>
      <c r="D35" s="344" t="n">
        <v>-109016.02</v>
      </c>
      <c r="E35" s="344" t="n">
        <v>-13039.08</v>
      </c>
      <c r="F35" s="344" t="n">
        <v>-5557.219999999999</v>
      </c>
      <c r="G35" s="344" t="n">
        <v>-826.01</v>
      </c>
      <c r="H35" s="351">
        <f>SUM(C35:G35)</f>
        <v/>
      </c>
    </row>
    <row r="36" ht="12.75" customHeight="1">
      <c r="A36" s="130" t="inlineStr">
        <is>
          <t>2400204</t>
        </is>
      </c>
      <c r="B36" s="1" t="inlineStr">
        <is>
          <t>LM ABN AMRO Bank Rent NL46 ABNA 0541 6088 35</t>
        </is>
      </c>
      <c r="C36" s="341" t="n">
        <v>121874.61</v>
      </c>
      <c r="D36" s="344" t="n">
        <v>273260.9899999999</v>
      </c>
      <c r="E36" s="344" t="n">
        <v>-45193.38</v>
      </c>
      <c r="F36" s="344" t="n">
        <v>-137878.31</v>
      </c>
      <c r="G36" s="344" t="n">
        <v>-145583.27</v>
      </c>
      <c r="H36" s="351">
        <f>SUM(C36:G36)</f>
        <v/>
      </c>
    </row>
    <row r="37" ht="12.75" customHeight="1">
      <c r="A37" s="130" t="inlineStr">
        <is>
          <t>2400205</t>
        </is>
      </c>
      <c r="B37" s="1" t="inlineStr">
        <is>
          <t>LM ABN AMRO Bank SR EXP NL88 ABNA 0541 6205 92</t>
        </is>
      </c>
      <c r="C37" s="341" t="n">
        <v>97255.36</v>
      </c>
      <c r="D37" s="344" t="n">
        <v>-85043.31999999999</v>
      </c>
      <c r="E37" s="344" t="n">
        <v>-9996.629999999997</v>
      </c>
      <c r="F37" s="344" t="n">
        <v>13146.59</v>
      </c>
      <c r="G37" s="344" t="n">
        <v>-6180.97</v>
      </c>
      <c r="H37" s="351">
        <f>SUM(C37:G37)</f>
        <v/>
      </c>
    </row>
    <row r="38" ht="12.75" customHeight="1">
      <c r="A38" s="130" t="n">
        <v>2400206</v>
      </c>
      <c r="B38" s="1" t="inlineStr">
        <is>
          <t>LM ABN AMRO Bank Capex NL11 ABNA 0114 3362 02</t>
        </is>
      </c>
      <c r="C38" s="341" t="n">
        <v>-11.39</v>
      </c>
      <c r="D38" s="344" t="n">
        <v>-5.65</v>
      </c>
      <c r="E38" s="344" t="n">
        <v>0</v>
      </c>
      <c r="F38" s="344" t="n">
        <v>0</v>
      </c>
      <c r="G38" s="344" t="n">
        <v>5661</v>
      </c>
      <c r="H38" s="351">
        <f>SUM(C38:G38)</f>
        <v/>
      </c>
    </row>
    <row r="39" ht="12.75" customHeight="1">
      <c r="A39" s="1" t="inlineStr">
        <is>
          <t>Totaal Liquide middelen</t>
        </is>
      </c>
    </row>
    <row r="41" ht="12.75" customHeight="1">
      <c r="A41" s="130" t="n">
        <v>1000002</v>
      </c>
      <c r="B41" s="1" t="inlineStr">
        <is>
          <t>EV Normale aandelen Saldo</t>
        </is>
      </c>
      <c r="C41" s="341" t="n">
        <v>-1</v>
      </c>
      <c r="D41" s="341" t="n">
        <v>0</v>
      </c>
      <c r="E41" s="341" t="n">
        <v>0</v>
      </c>
      <c r="F41" s="341" t="n">
        <v>0</v>
      </c>
      <c r="G41" s="341" t="n">
        <v>0</v>
      </c>
      <c r="H41" s="351">
        <f>SUM(C41:G41)</f>
        <v/>
      </c>
    </row>
    <row r="42" ht="12.75" customHeight="1">
      <c r="A42" s="130" t="n">
        <v>1100000</v>
      </c>
      <c r="B42" s="1" t="inlineStr">
        <is>
          <t>EV Agioreserve Agio aandelen</t>
        </is>
      </c>
      <c r="C42" s="341" t="n">
        <v>-18931219.48</v>
      </c>
      <c r="D42" s="341" t="n">
        <v>0</v>
      </c>
      <c r="E42" s="341" t="n">
        <v>0</v>
      </c>
      <c r="F42" s="341" t="n">
        <v>0</v>
      </c>
      <c r="G42" s="341" t="n">
        <v>0</v>
      </c>
      <c r="H42" s="351">
        <f>SUM(C42:G42)</f>
        <v/>
      </c>
    </row>
    <row r="43" ht="12.75" customHeight="1">
      <c r="A43" s="130" t="n">
        <v>1160000</v>
      </c>
      <c r="B43" s="1" t="inlineStr">
        <is>
          <t>EV Overige reserve Reserve aandelen</t>
        </is>
      </c>
      <c r="C43" s="341" t="n">
        <v>7605148.66</v>
      </c>
      <c r="D43" s="341" t="n">
        <v>0</v>
      </c>
      <c r="E43" s="341" t="n">
        <v>0</v>
      </c>
      <c r="F43" s="341" t="n">
        <v>0</v>
      </c>
      <c r="G43" s="341" t="n">
        <v>0</v>
      </c>
      <c r="H43" s="351">
        <f>SUM(C43:G43)</f>
        <v/>
      </c>
    </row>
    <row r="44" ht="12.75" customHeight="1">
      <c r="A44" s="130" t="inlineStr">
        <is>
          <t>1160100</t>
        </is>
      </c>
      <c r="B44" s="1" t="inlineStr">
        <is>
          <t>EV Overige reserve  Dividenduitkeringen aandelen</t>
        </is>
      </c>
      <c r="D44" s="341" t="n">
        <v>0</v>
      </c>
      <c r="E44" s="341" t="n">
        <v>0</v>
      </c>
      <c r="H44" s="351">
        <f>SUM(C44:G44)</f>
        <v/>
      </c>
    </row>
    <row r="45" ht="12.75" customHeight="1">
      <c r="A45" s="1" t="inlineStr">
        <is>
          <t>Totaal Eigen vermogen</t>
        </is>
      </c>
    </row>
    <row r="47" ht="12.75" customHeight="1">
      <c r="A47" s="130" t="n">
        <v>1930001</v>
      </c>
      <c r="B47" s="1" t="inlineStr">
        <is>
          <t>LLS Hoofdsom ABN AMRO Bank NV Senior Facility Agreement</t>
        </is>
      </c>
      <c r="C47" s="341" t="n">
        <v>-168320325</v>
      </c>
      <c r="D47" s="341" t="n">
        <v>0</v>
      </c>
      <c r="E47" s="341" t="n">
        <v>0</v>
      </c>
      <c r="F47" s="341" t="n">
        <v>0</v>
      </c>
      <c r="G47" s="341" t="n">
        <v>0</v>
      </c>
      <c r="H47" s="351">
        <f>SUM(C47:G47)</f>
        <v/>
      </c>
    </row>
    <row r="48" ht="12.75" customHeight="1">
      <c r="A48" s="130" t="inlineStr">
        <is>
          <t>1930101</t>
        </is>
      </c>
      <c r="B48" s="1" t="inlineStr">
        <is>
          <t>LLS Cum aflossingen ABN AMRO Bank NV Senior Facility Agreement</t>
        </is>
      </c>
      <c r="C48" s="341" t="n">
        <v>28670324.81</v>
      </c>
      <c r="D48" s="343" t="n">
        <v>1040566.26</v>
      </c>
      <c r="E48" s="344" t="n">
        <v>531000</v>
      </c>
      <c r="F48" s="343" t="n">
        <v>1446000</v>
      </c>
      <c r="G48" s="343" t="n">
        <v>865339</v>
      </c>
      <c r="H48" s="351">
        <f>SUM(C48:G48)</f>
        <v/>
      </c>
      <c r="M48" s="352" t="n"/>
    </row>
    <row r="49" ht="12.75" customHeight="1">
      <c r="A49" s="130" t="n">
        <v>1930200</v>
      </c>
      <c r="B49" s="1" t="inlineStr">
        <is>
          <t>LLS Extension fee &amp; professional fees</t>
        </is>
      </c>
      <c r="C49" s="341" t="n">
        <v>552312.0600000001</v>
      </c>
      <c r="D49" s="343" t="n">
        <v>-29069.07</v>
      </c>
      <c r="E49" s="344" t="n">
        <v>-29069.06</v>
      </c>
      <c r="F49" s="343" t="n">
        <v>-29069.05</v>
      </c>
      <c r="G49" s="343" t="n">
        <v>-29069.06</v>
      </c>
      <c r="H49" s="351">
        <f>SUM(C49:G49)</f>
        <v/>
      </c>
      <c r="M49" s="352" t="n"/>
    </row>
    <row r="50" ht="12.75" customHeight="1">
      <c r="A50" s="1" t="inlineStr">
        <is>
          <t>Totaal Langlopende schulden</t>
        </is>
      </c>
    </row>
    <row r="52" ht="12.75" customHeight="1">
      <c r="A52" s="130" t="inlineStr">
        <is>
          <t>2730000</t>
        </is>
      </c>
      <c r="B52" s="1" t="inlineStr">
        <is>
          <t>KLS Crediteuren</t>
        </is>
      </c>
      <c r="C52" s="341" t="n">
        <v>-356034.6</v>
      </c>
      <c r="D52" s="341" t="n">
        <v>-339462.09</v>
      </c>
      <c r="E52" s="302" t="n">
        <v>459980.87</v>
      </c>
      <c r="F52" s="341" t="n">
        <v>-134611.64</v>
      </c>
      <c r="G52" s="341" t="n">
        <v>-65993.45000000001</v>
      </c>
      <c r="H52" s="351">
        <f>SUM(C52:G52)</f>
        <v/>
      </c>
      <c r="I52" s="1" t="inlineStr">
        <is>
          <t>4924 gecrediteerd i.v.m. BTW Q2 QSP</t>
        </is>
      </c>
    </row>
    <row r="53" ht="12.75" customHeight="1">
      <c r="A53" s="130" t="inlineStr">
        <is>
          <t>2730001</t>
        </is>
      </c>
      <c r="B53" s="1" t="inlineStr">
        <is>
          <t>KLS Crediteuren intercompany</t>
        </is>
      </c>
      <c r="C53" s="341" t="n">
        <v>-892980</v>
      </c>
      <c r="D53" s="341" t="n">
        <v>-12500</v>
      </c>
      <c r="E53" s="341" t="n">
        <v>-13200</v>
      </c>
      <c r="F53" s="341" t="n">
        <v>-1500</v>
      </c>
      <c r="G53" s="341" t="n">
        <v>-12500</v>
      </c>
      <c r="H53" s="351">
        <f>SUM(C53:G53)</f>
        <v/>
      </c>
    </row>
    <row r="54" ht="12.75" customHeight="1">
      <c r="A54" s="1" t="inlineStr">
        <is>
          <t>Totaal Crediteuren</t>
        </is>
      </c>
    </row>
    <row r="56" ht="12.75" customHeight="1">
      <c r="A56" s="130" t="inlineStr">
        <is>
          <t>2512100</t>
        </is>
      </c>
      <c r="B56" s="1" t="inlineStr">
        <is>
          <t>BEL Afgedragen/ontvangen BTW</t>
        </is>
      </c>
      <c r="C56" s="341" t="n">
        <v>-5726</v>
      </c>
      <c r="D56" s="341" t="n">
        <v>757.2299999999993</v>
      </c>
      <c r="E56" s="341" t="n">
        <v>168.1700000000001</v>
      </c>
      <c r="F56" s="341" t="n">
        <v>-445.4000000000001</v>
      </c>
      <c r="G56" s="341" t="n">
        <v>-961.8599999999997</v>
      </c>
      <c r="H56" s="351">
        <f>SUM(C56:G56)</f>
        <v/>
      </c>
    </row>
    <row r="57" ht="12.75" customHeight="1">
      <c r="A57" s="130" t="inlineStr">
        <is>
          <t>2530000</t>
        </is>
      </c>
      <c r="B57" s="1" t="inlineStr">
        <is>
          <t>BEL Te betalen vennootschapsbelasting</t>
        </is>
      </c>
      <c r="H57" s="290">
        <f>SUM(C57:G57)</f>
        <v/>
      </c>
    </row>
    <row r="58" ht="12.75" customHeight="1">
      <c r="A58" s="130" t="inlineStr">
        <is>
          <t>2550000</t>
        </is>
      </c>
      <c r="B58" s="1" t="inlineStr">
        <is>
          <t>BEL Te betalen overige belastingen</t>
        </is>
      </c>
      <c r="H58" s="290">
        <f>SUM(C58:G58)</f>
        <v/>
      </c>
    </row>
    <row r="59" ht="12.75" customHeight="1">
      <c r="A59" s="1" t="inlineStr">
        <is>
          <t>Totaal Belastingen</t>
        </is>
      </c>
    </row>
    <row r="61">
      <c r="A61" s="130" t="n">
        <v>2620000</v>
      </c>
      <c r="B61" s="1" t="inlineStr">
        <is>
          <t>KLS Rekening-courant CV I</t>
        </is>
      </c>
      <c r="C61" s="341" t="n">
        <v>-100000</v>
      </c>
      <c r="D61" s="341" t="n">
        <v>100000</v>
      </c>
      <c r="E61" s="341" t="n">
        <v>0</v>
      </c>
      <c r="F61" s="341" t="n">
        <v>-200000</v>
      </c>
      <c r="G61" s="341" t="n">
        <v>-200000</v>
      </c>
      <c r="H61" s="351">
        <f>SUM(C61:G61)</f>
        <v/>
      </c>
    </row>
    <row r="62" ht="12.75" customHeight="1">
      <c r="A62" s="130" t="inlineStr">
        <is>
          <t>Totaal Rekening-courant groepsmaatschappij</t>
        </is>
      </c>
      <c r="F62" s="342" t="n"/>
    </row>
    <row r="63" ht="12.75" customHeight="1"/>
    <row r="64" ht="12.75" customHeight="1">
      <c r="A64" s="130" t="n">
        <v>2740100</v>
      </c>
      <c r="B64" s="1" t="inlineStr">
        <is>
          <t>KLS Vooruitgefactureerde huur</t>
        </is>
      </c>
      <c r="C64" s="341" t="n">
        <v>-136824.96</v>
      </c>
      <c r="D64" s="341" t="n">
        <v>-19436.43</v>
      </c>
      <c r="E64" s="341" t="n">
        <v>-809307.91</v>
      </c>
      <c r="F64" s="341" t="n">
        <v>801.6100000000006</v>
      </c>
      <c r="G64" s="341" t="n">
        <v>1175.869999999995</v>
      </c>
      <c r="H64" s="351">
        <f>SUM(C64:G64)</f>
        <v/>
      </c>
    </row>
    <row r="65" ht="12.75" customHeight="1">
      <c r="A65" s="130" t="inlineStr">
        <is>
          <t>2740300</t>
        </is>
      </c>
      <c r="B65" s="1" t="inlineStr">
        <is>
          <t>KLS Te betalen waarborgsommen kortlopend</t>
        </is>
      </c>
      <c r="C65" s="341" t="n">
        <v>-872464.54</v>
      </c>
      <c r="D65" s="341" t="n">
        <v>-34705.35</v>
      </c>
      <c r="E65" s="341" t="n">
        <v>-20233.89</v>
      </c>
      <c r="F65" s="341" t="n">
        <v>-8275.860000000001</v>
      </c>
      <c r="G65" s="341" t="n">
        <v>-30315.36</v>
      </c>
      <c r="H65" s="351">
        <f>SUM(C65:G65)</f>
        <v/>
      </c>
    </row>
    <row r="66" ht="12.75" customHeight="1">
      <c r="A66" s="130" t="n">
        <v>2740500</v>
      </c>
      <c r="B66" s="1" t="inlineStr">
        <is>
          <t>KLS Te betalen accountants- en administratiekosten</t>
        </is>
      </c>
      <c r="C66" s="341" t="n">
        <v>-45000</v>
      </c>
      <c r="D66" s="341" t="n">
        <v>400.95</v>
      </c>
      <c r="E66" s="341" t="n">
        <v>-400.95</v>
      </c>
      <c r="F66" s="341" t="n">
        <v>0</v>
      </c>
      <c r="G66" s="341" t="n">
        <v>0</v>
      </c>
      <c r="H66" s="351">
        <f>SUM(C66:G66)</f>
        <v/>
      </c>
    </row>
    <row r="67" ht="12.75" customHeight="1">
      <c r="A67" s="130" t="inlineStr">
        <is>
          <t>2740600</t>
        </is>
      </c>
      <c r="B67" s="1" t="inlineStr">
        <is>
          <t>KLS Te betalen rente</t>
        </is>
      </c>
      <c r="D67" s="341" t="n">
        <v>0</v>
      </c>
      <c r="E67" s="341" t="n">
        <v>0</v>
      </c>
      <c r="H67" s="351">
        <f>SUM(C67:G67)</f>
        <v/>
      </c>
    </row>
    <row r="68" ht="12.75" customHeight="1">
      <c r="A68" s="130" t="inlineStr">
        <is>
          <t>2740700</t>
        </is>
      </c>
      <c r="B68" s="1" t="inlineStr">
        <is>
          <t>KLS Te betalen verzekeringen</t>
        </is>
      </c>
      <c r="D68" s="341" t="n">
        <v>0</v>
      </c>
      <c r="E68" s="341" t="n">
        <v>0</v>
      </c>
      <c r="H68" s="351">
        <f>SUM(C68:G68)</f>
        <v/>
      </c>
    </row>
    <row r="69" ht="12.75" customHeight="1">
      <c r="A69" s="130" t="inlineStr">
        <is>
          <t>2741000</t>
        </is>
      </c>
      <c r="B69" s="1" t="inlineStr">
        <is>
          <t>KLS Te betalen servicekosten</t>
        </is>
      </c>
      <c r="D69" s="341" t="n">
        <v>129789</v>
      </c>
      <c r="E69" s="341" t="n">
        <v>32104.40999999999</v>
      </c>
      <c r="F69" s="341" t="n">
        <v>-80946.72</v>
      </c>
      <c r="G69" s="341" t="n">
        <v>-80946.69</v>
      </c>
      <c r="H69" s="351">
        <f>SUM(C69:G69)</f>
        <v/>
      </c>
    </row>
    <row r="70" ht="12.75" customHeight="1">
      <c r="A70" s="130" t="inlineStr">
        <is>
          <t>2741001</t>
        </is>
      </c>
      <c r="B70" s="1" t="inlineStr">
        <is>
          <t>KLS Te betalen exploitatiekosten</t>
        </is>
      </c>
      <c r="C70" s="341" t="n">
        <v>-42098.85</v>
      </c>
      <c r="D70" s="341" t="n">
        <v>0</v>
      </c>
      <c r="E70" s="341" t="n">
        <v>0</v>
      </c>
      <c r="F70" s="341" t="n">
        <v>0</v>
      </c>
      <c r="G70" s="341" t="n">
        <v>0</v>
      </c>
      <c r="H70" s="351">
        <f>SUM(C70:G70)</f>
        <v/>
      </c>
    </row>
    <row r="71" ht="12.75" customHeight="1">
      <c r="A71" s="130" t="inlineStr">
        <is>
          <t>2741002</t>
        </is>
      </c>
      <c r="B71" s="1" t="inlineStr">
        <is>
          <t>KLS Te betalen VVE</t>
        </is>
      </c>
      <c r="D71" s="341" t="n">
        <v>0</v>
      </c>
      <c r="E71" s="341" t="n">
        <v>0</v>
      </c>
      <c r="F71" s="341" t="n">
        <v>0</v>
      </c>
      <c r="G71" s="341" t="n">
        <v>0</v>
      </c>
      <c r="H71" s="351">
        <f>SUM(C71:G71)</f>
        <v/>
      </c>
    </row>
    <row r="72" ht="12.75" customHeight="1">
      <c r="A72" s="130" t="inlineStr">
        <is>
          <t>2741004</t>
        </is>
      </c>
      <c r="B72" s="1" t="inlineStr">
        <is>
          <t>KLS Te betalen Hoen</t>
        </is>
      </c>
      <c r="C72" s="341" t="n">
        <v>-252480.92</v>
      </c>
      <c r="D72" s="341" t="n">
        <v>125173.56</v>
      </c>
      <c r="E72" s="341" t="n">
        <v>-127137.14</v>
      </c>
      <c r="F72" s="341" t="n">
        <v>-130845.14</v>
      </c>
      <c r="G72" s="341" t="n">
        <v>297866.29</v>
      </c>
      <c r="H72" s="351">
        <f>SUM(C72:G72)</f>
        <v/>
      </c>
    </row>
    <row r="73" ht="12.75" customHeight="1">
      <c r="A73" s="130" t="inlineStr">
        <is>
          <t>2741005</t>
        </is>
      </c>
      <c r="B73" s="1" t="inlineStr">
        <is>
          <t>KLS Te betalen managementvergoedingen</t>
        </is>
      </c>
      <c r="D73" s="341" t="n">
        <v>0</v>
      </c>
      <c r="E73" s="341" t="n">
        <v>0</v>
      </c>
      <c r="H73" s="290">
        <f>SUM(C73:G73)</f>
        <v/>
      </c>
    </row>
    <row r="74" ht="12.75" customHeight="1">
      <c r="A74" s="130" t="inlineStr">
        <is>
          <t>2741200</t>
        </is>
      </c>
      <c r="B74" s="1" t="inlineStr">
        <is>
          <t>KLS Te betalen agency fee</t>
        </is>
      </c>
      <c r="C74" s="341" t="n">
        <v>30000</v>
      </c>
      <c r="D74" s="341" t="n">
        <v>0</v>
      </c>
      <c r="E74" s="341" t="n">
        <v>40000</v>
      </c>
      <c r="F74" s="341" t="n">
        <v>-40000</v>
      </c>
      <c r="G74" s="341" t="n">
        <v>0</v>
      </c>
      <c r="H74" s="351">
        <f>SUM(C74:G74)</f>
        <v/>
      </c>
    </row>
    <row r="75" ht="12.75" customHeight="1">
      <c r="A75" s="130" t="inlineStr">
        <is>
          <t>2741900</t>
        </is>
      </c>
      <c r="B75" s="1" t="inlineStr">
        <is>
          <t>KLS Nog uit te zoeken posten MT940</t>
        </is>
      </c>
      <c r="E75" s="341" t="n">
        <v>0</v>
      </c>
      <c r="H75" s="290">
        <f>SUM(C75:G75)</f>
        <v/>
      </c>
    </row>
    <row r="76" ht="12.75" customHeight="1">
      <c r="A76" s="1" t="inlineStr">
        <is>
          <t>2742200</t>
        </is>
      </c>
      <c r="B76" s="1" t="inlineStr">
        <is>
          <t>KLS Vooruitontvangen bedragen</t>
        </is>
      </c>
      <c r="E76" s="341" t="n">
        <v>0</v>
      </c>
      <c r="H76" s="290">
        <f>SUM(C76:G76)</f>
        <v/>
      </c>
    </row>
    <row r="77">
      <c r="A77" s="130" t="n">
        <v>2040100</v>
      </c>
      <c r="B77" s="1" t="inlineStr">
        <is>
          <t xml:space="preserve">KLS Nog te factureren bedragen </t>
        </is>
      </c>
      <c r="D77" s="341" t="n">
        <v>0</v>
      </c>
      <c r="E77" s="341">
        <f>-41878.65+41878.65</f>
        <v/>
      </c>
      <c r="H77" s="290">
        <f>SUM(C77:G77)</f>
        <v/>
      </c>
    </row>
    <row r="78">
      <c r="A78" s="130" t="inlineStr">
        <is>
          <t>Totaal Overige schulden</t>
        </is>
      </c>
    </row>
    <row r="79" ht="12.75" customHeight="1">
      <c r="A79" s="132" t="n"/>
    </row>
    <row r="80" ht="12.75" customHeight="1"/>
    <row r="81" ht="12.75" customHeight="1">
      <c r="A81" s="130" t="inlineStr">
        <is>
          <t>Winst- en verliesrekening (baten zijn positief, kosten negatief)</t>
        </is>
      </c>
    </row>
    <row r="82" ht="12.75" customHeight="1">
      <c r="A82" s="1" t="inlineStr">
        <is>
          <t>8000003</t>
        </is>
      </c>
      <c r="B82" s="1" t="inlineStr">
        <is>
          <t>OPB Netto-omzet Theoretische huuropbrengsten</t>
        </is>
      </c>
      <c r="D82" s="341" t="n">
        <v>-2959140.94</v>
      </c>
      <c r="E82" s="341" t="n">
        <v>-2984947.88</v>
      </c>
      <c r="F82" s="341" t="n">
        <v>-3069840.08</v>
      </c>
      <c r="G82" s="341" t="n">
        <v>-3070216.69</v>
      </c>
      <c r="H82" s="290">
        <f>SUM(C82:G82)</f>
        <v/>
      </c>
    </row>
    <row r="83">
      <c r="A83" s="130" t="inlineStr">
        <is>
          <t>8000004</t>
        </is>
      </c>
      <c r="B83" s="1" t="inlineStr">
        <is>
          <t>OPB Netto-omzet Leegstand huuropbrengsten</t>
        </is>
      </c>
      <c r="D83" s="341" t="n">
        <v>55162.54</v>
      </c>
      <c r="E83" s="341" t="n">
        <v>56558</v>
      </c>
      <c r="F83" s="341" t="n">
        <v>66841.79000000001</v>
      </c>
      <c r="G83" s="341" t="n">
        <v>59363.37999999999</v>
      </c>
      <c r="H83" s="290">
        <f>SUM(C83:G83)</f>
        <v/>
      </c>
    </row>
    <row r="84" ht="12.75" customHeight="1">
      <c r="A84" s="130" t="inlineStr">
        <is>
          <t>Totaal Netto-omzet</t>
        </is>
      </c>
      <c r="D84" s="341">
        <f>D82+D83</f>
        <v/>
      </c>
      <c r="E84" s="341">
        <f>E82+E83</f>
        <v/>
      </c>
      <c r="F84" s="341">
        <f>F82+F83</f>
        <v/>
      </c>
      <c r="G84" s="341">
        <f>G82+G83</f>
        <v/>
      </c>
      <c r="H84" s="351">
        <f>SUM(C84:G84)</f>
        <v/>
      </c>
    </row>
    <row r="85" ht="12.75" customHeight="1"/>
    <row r="86" ht="12.75" customHeight="1">
      <c r="A86" s="130" t="n">
        <v>8400400</v>
      </c>
      <c r="B86" s="1" t="inlineStr">
        <is>
          <t xml:space="preserve">OPB Overige bedrijfsopbrengsten </t>
        </is>
      </c>
      <c r="H86" s="290">
        <f>SUM(C86:F86)</f>
        <v/>
      </c>
    </row>
    <row r="87" ht="12.75" customHeight="1">
      <c r="A87" s="130" t="inlineStr">
        <is>
          <t>8400600</t>
        </is>
      </c>
      <c r="B87" s="1" t="inlineStr">
        <is>
          <t>OPB Overige bedrijfsopbrengsten Totale servicekosten</t>
        </is>
      </c>
      <c r="D87" s="341" t="n">
        <v>-165745.84</v>
      </c>
      <c r="E87" s="302" t="n">
        <v>-166072.95</v>
      </c>
      <c r="F87" s="341" t="n">
        <v>-165720.32</v>
      </c>
      <c r="G87" s="341">
        <f>-158681.53-I87</f>
        <v/>
      </c>
      <c r="H87" s="351">
        <f>SUM(C87:G87)</f>
        <v/>
      </c>
      <c r="I87" s="1">
        <f>534760-80000</f>
        <v/>
      </c>
    </row>
    <row r="88" ht="12.75" customHeight="1">
      <c r="A88" s="1" t="inlineStr">
        <is>
          <t>8400700</t>
        </is>
      </c>
      <c r="B88" s="1" t="inlineStr">
        <is>
          <t>OPB Overige bedrijfsopbrengsten Servicekosten leegstand</t>
        </is>
      </c>
      <c r="D88" s="341" t="n">
        <v>9522.029999999999</v>
      </c>
      <c r="E88" s="341" t="n">
        <v>9644.389999999999</v>
      </c>
      <c r="F88" s="341" t="n">
        <v>8306.41</v>
      </c>
      <c r="G88" s="341" t="n">
        <v>7851.73</v>
      </c>
      <c r="H88" s="351">
        <f>SUM(C88:G88)</f>
        <v/>
      </c>
    </row>
    <row r="89">
      <c r="A89" s="130" t="inlineStr">
        <is>
          <t>8400800</t>
        </is>
      </c>
      <c r="B89" s="1" t="inlineStr">
        <is>
          <t>OPB Overige bedrijfsopbrengsten Gerealiseerde servicekosten</t>
        </is>
      </c>
      <c r="D89" s="341" t="n">
        <v>353718.65</v>
      </c>
      <c r="E89" s="341" t="n">
        <v>267954.63</v>
      </c>
      <c r="F89" s="341" t="n">
        <v>235052.43</v>
      </c>
      <c r="G89" s="341" t="n">
        <v>298930.42</v>
      </c>
      <c r="H89" s="351">
        <f>SUM(C89:G89)</f>
        <v/>
      </c>
    </row>
    <row r="90" ht="12.75" customHeight="1">
      <c r="A90" s="130" t="inlineStr">
        <is>
          <t>Totaal Overige bedrijfsopbrengsten</t>
        </is>
      </c>
      <c r="D90" s="341">
        <f>SUM(D86:D89)</f>
        <v/>
      </c>
      <c r="E90" s="341">
        <f>SUM(E87:E89)</f>
        <v/>
      </c>
      <c r="F90" s="341">
        <f>SUM(F87:F89)</f>
        <v/>
      </c>
      <c r="G90" s="341">
        <f>SUM(G87:G89)</f>
        <v/>
      </c>
      <c r="H90" s="290">
        <f>SUM(C90:G90)</f>
        <v/>
      </c>
    </row>
    <row r="91" ht="12.75" customHeight="1">
      <c r="A91" s="1" t="n"/>
      <c r="J91" s="248" t="n"/>
    </row>
    <row r="92">
      <c r="A92" s="130" t="inlineStr">
        <is>
          <t>4051400</t>
        </is>
      </c>
      <c r="B92" s="1" t="inlineStr">
        <is>
          <t>KN Diensten door derden</t>
        </is>
      </c>
      <c r="D92" s="341" t="n">
        <v>126034.62</v>
      </c>
      <c r="E92" s="341" t="n">
        <v>126358.08</v>
      </c>
      <c r="F92" s="341" t="n">
        <v>130076.16</v>
      </c>
      <c r="G92" s="341" t="n">
        <v>129917.19</v>
      </c>
      <c r="H92" s="351">
        <f>SUM(C92:G92)</f>
        <v/>
      </c>
    </row>
    <row r="93" ht="12.75" customHeight="1">
      <c r="A93" s="130" t="inlineStr">
        <is>
          <t>Totaal overige personeelskosten</t>
        </is>
      </c>
      <c r="D93" s="341">
        <f>SUM(D92)</f>
        <v/>
      </c>
      <c r="E93" s="341">
        <f>E92</f>
        <v/>
      </c>
      <c r="F93" s="341">
        <f>F92</f>
        <v/>
      </c>
      <c r="G93" s="341">
        <f>G92</f>
        <v/>
      </c>
      <c r="H93" s="290">
        <f>SUM(C93:G93)</f>
        <v/>
      </c>
      <c r="J93" s="341" t="n"/>
      <c r="L93" s="299" t="n"/>
    </row>
    <row r="94" ht="12.75" customHeight="1"/>
    <row r="95" ht="12.75" customHeight="1">
      <c r="A95" s="1" t="inlineStr">
        <is>
          <t>4730000</t>
        </is>
      </c>
      <c r="B95" s="1" t="inlineStr">
        <is>
          <t>AFKN Afschrijvingskosten Vastgoedbeleggingen</t>
        </is>
      </c>
      <c r="D95" s="341" t="n">
        <v>707631</v>
      </c>
      <c r="E95" s="341" t="n">
        <v>706154</v>
      </c>
      <c r="F95" s="341" t="n">
        <v>722958</v>
      </c>
      <c r="G95" s="341" t="n">
        <v>747378</v>
      </c>
      <c r="H95" s="351">
        <f>SUM(C95:G95)</f>
        <v/>
      </c>
    </row>
    <row r="96">
      <c r="A96" s="130" t="inlineStr">
        <is>
          <t>4730200</t>
        </is>
      </c>
      <c r="B96" s="1" t="inlineStr">
        <is>
          <t>AFKN Boekresultaat Vastgoedbeleggingen</t>
        </is>
      </c>
      <c r="D96" s="341" t="n">
        <v>-114663</v>
      </c>
      <c r="E96" s="341" t="n">
        <v>-315876</v>
      </c>
      <c r="F96" s="341" t="n">
        <v>-724209</v>
      </c>
      <c r="G96" s="341" t="n">
        <v>-1422615</v>
      </c>
      <c r="H96" s="351">
        <f>SUM(C96:G96)</f>
        <v/>
      </c>
    </row>
    <row r="97" ht="12.75" customHeight="1">
      <c r="A97" s="130" t="inlineStr">
        <is>
          <t>Totaal Afschrijvingen vastgoedbeleggingen</t>
        </is>
      </c>
      <c r="D97" s="341">
        <f>SUM(D95:D96)</f>
        <v/>
      </c>
      <c r="E97" s="341">
        <f>SUM(E95:E96)</f>
        <v/>
      </c>
      <c r="F97" s="341">
        <f>SUM(F95:F96)</f>
        <v/>
      </c>
      <c r="G97" s="341">
        <f>SUM(G95:G96)</f>
        <v/>
      </c>
      <c r="H97" s="290">
        <f>SUM(C97:G97)</f>
        <v/>
      </c>
      <c r="J97" s="341" t="n"/>
      <c r="L97" s="299" t="n"/>
    </row>
    <row r="98" ht="12.75" customHeight="1"/>
    <row r="99" ht="12.75" customHeight="1">
      <c r="A99" s="130" t="inlineStr">
        <is>
          <t>4100400</t>
        </is>
      </c>
      <c r="B99" s="1" t="inlineStr">
        <is>
          <t>KN Onderhoud gebouwen</t>
        </is>
      </c>
      <c r="D99" s="341" t="n">
        <v>183914.03</v>
      </c>
      <c r="E99" s="341" t="n">
        <v>180973.26</v>
      </c>
      <c r="F99" s="341" t="n">
        <v>244924.96</v>
      </c>
      <c r="G99" s="341" t="n">
        <v>423015.4400000001</v>
      </c>
      <c r="H99" s="351">
        <f>SUM(C99:G99)</f>
        <v/>
      </c>
    </row>
    <row r="100" ht="12.75" customHeight="1">
      <c r="A100" s="130" t="inlineStr">
        <is>
          <t>4100410</t>
        </is>
      </c>
      <c r="B100" s="1" t="inlineStr">
        <is>
          <t>Verhuurdersheffing</t>
        </is>
      </c>
      <c r="D100" s="341" t="n">
        <v>0</v>
      </c>
      <c r="E100" s="341" t="n">
        <v>-6167</v>
      </c>
      <c r="F100" s="341" t="n">
        <v>0</v>
      </c>
      <c r="G100" s="341" t="n">
        <v>0</v>
      </c>
      <c r="H100" s="351">
        <f>SUM(C100:G100)</f>
        <v/>
      </c>
      <c r="L100" s="299" t="n"/>
    </row>
    <row r="101" ht="12.75" customHeight="1">
      <c r="A101" s="130" t="inlineStr">
        <is>
          <t>4100900</t>
        </is>
      </c>
      <c r="B101" s="1" t="inlineStr">
        <is>
          <t>KN Onroerende zaakbelasting</t>
        </is>
      </c>
      <c r="D101" s="341" t="n">
        <v>85118.19</v>
      </c>
      <c r="E101" s="341" t="n">
        <v>80511.73000000001</v>
      </c>
      <c r="F101" s="341" t="n">
        <v>85689.25999999999</v>
      </c>
      <c r="G101" s="341" t="n">
        <v>81195.06999999999</v>
      </c>
      <c r="H101" s="351">
        <f>SUM(C101:G101)</f>
        <v/>
      </c>
    </row>
    <row r="102" ht="12.75" customHeight="1">
      <c r="A102" s="130" t="inlineStr">
        <is>
          <t>4101000</t>
        </is>
      </c>
      <c r="B102" s="1" t="inlineStr">
        <is>
          <t>KN VvE-kosten</t>
        </is>
      </c>
      <c r="D102" s="341" t="n">
        <v>146200.38</v>
      </c>
      <c r="E102" s="341" t="n">
        <v>179862.97</v>
      </c>
      <c r="F102" s="341" t="n">
        <v>187223.72</v>
      </c>
      <c r="G102" s="341" t="n">
        <v>160678.76</v>
      </c>
      <c r="H102" s="351">
        <f>SUM(C102:G102)</f>
        <v/>
      </c>
      <c r="L102" s="299" t="n"/>
    </row>
    <row r="103" ht="12.75" customHeight="1">
      <c r="A103" s="130" t="inlineStr">
        <is>
          <t>4101010</t>
        </is>
      </c>
      <c r="B103" s="1" t="inlineStr">
        <is>
          <t>Gemeentelijke belastingen</t>
        </is>
      </c>
      <c r="D103" s="341" t="n">
        <v>95071.45</v>
      </c>
      <c r="E103" s="341" t="n">
        <v>13692.19</v>
      </c>
      <c r="F103" s="341" t="n">
        <v>450.4</v>
      </c>
      <c r="H103" s="351">
        <f>SUM(C103:G103)</f>
        <v/>
      </c>
    </row>
    <row r="104" ht="12.75" customHeight="1">
      <c r="A104" s="130" t="inlineStr">
        <is>
          <t>4101020</t>
        </is>
      </c>
      <c r="B104" s="1" t="inlineStr">
        <is>
          <t>Waterschapsbelasting</t>
        </is>
      </c>
      <c r="D104" s="341" t="n">
        <v>8625.43</v>
      </c>
      <c r="E104" s="341" t="n">
        <v>39880.4</v>
      </c>
      <c r="F104" s="341" t="n">
        <v>44191.93</v>
      </c>
      <c r="G104" s="341" t="n">
        <v>3224.63</v>
      </c>
      <c r="H104" s="351">
        <f>SUM(C104:G104)</f>
        <v/>
      </c>
    </row>
    <row r="105" ht="12.75" customHeight="1">
      <c r="A105" s="1" t="inlineStr">
        <is>
          <t>4101300</t>
        </is>
      </c>
      <c r="B105" s="1" t="inlineStr">
        <is>
          <t>KN Servicekosten leegstand</t>
        </is>
      </c>
      <c r="D105" s="341" t="n">
        <v>0</v>
      </c>
      <c r="E105" s="341" t="n">
        <v>-76.66</v>
      </c>
      <c r="F105" s="341" t="n">
        <v>-126.11</v>
      </c>
      <c r="H105" s="351">
        <f>SUM(C105:G105)</f>
        <v/>
      </c>
    </row>
    <row r="106">
      <c r="A106" s="130" t="inlineStr">
        <is>
          <t>4109800</t>
        </is>
      </c>
      <c r="B106" s="1" t="inlineStr">
        <is>
          <t>KN Overige huisvestingskosten</t>
        </is>
      </c>
      <c r="D106" s="341" t="n">
        <v>0</v>
      </c>
      <c r="E106" s="341" t="n">
        <v>0</v>
      </c>
      <c r="H106" s="290">
        <f>SUM(C106:G106)</f>
        <v/>
      </c>
    </row>
    <row r="107" ht="12.75" customHeight="1">
      <c r="A107" s="130" t="inlineStr">
        <is>
          <t>Totaal Huisvestingskosten</t>
        </is>
      </c>
      <c r="D107" s="341">
        <f>SUM(D99:D106)</f>
        <v/>
      </c>
      <c r="E107" s="341">
        <f>SUM(E99:E106)</f>
        <v/>
      </c>
      <c r="F107" s="341">
        <f>SUM(F99:F106)</f>
        <v/>
      </c>
      <c r="G107" s="341">
        <f>SUM(G99:G106)</f>
        <v/>
      </c>
      <c r="H107" s="290">
        <f>SUM(C107:G107)</f>
        <v/>
      </c>
    </row>
    <row r="108" ht="12.75" customHeight="1"/>
    <row r="109" ht="12.75" customHeight="1">
      <c r="A109" s="130" t="inlineStr">
        <is>
          <t>4500400</t>
        </is>
      </c>
      <c r="B109" s="1" t="inlineStr">
        <is>
          <t>KN Representatiekosten</t>
        </is>
      </c>
      <c r="H109" s="290">
        <f>SUM(C109:G109)</f>
        <v/>
      </c>
    </row>
    <row r="110" ht="12.75" customHeight="1">
      <c r="A110" s="1" t="inlineStr">
        <is>
          <t>4501200</t>
        </is>
      </c>
      <c r="B110" s="1" t="inlineStr">
        <is>
          <t>KN Mutatie voorziening dubieuze debiteuren</t>
        </is>
      </c>
      <c r="E110" s="341" t="n">
        <v>0</v>
      </c>
      <c r="H110" s="290">
        <f>SUM(C110:G110)</f>
        <v/>
      </c>
    </row>
    <row r="111" ht="12.75" customHeight="1">
      <c r="A111" s="130" t="inlineStr">
        <is>
          <t>4501300</t>
        </is>
      </c>
      <c r="B111" s="1" t="inlineStr">
        <is>
          <t>KN Afboeking dubieuze debiteuren</t>
        </is>
      </c>
      <c r="D111" s="341" t="n">
        <v>1823.94</v>
      </c>
      <c r="E111" s="341" t="n">
        <v>-4832.51</v>
      </c>
      <c r="F111" s="341" t="n">
        <v>1767.89</v>
      </c>
      <c r="G111" s="341" t="n">
        <v>9613.93</v>
      </c>
      <c r="H111" s="290">
        <f>SUM(C111:G111)</f>
        <v/>
      </c>
    </row>
    <row r="112" ht="12.75" customHeight="1">
      <c r="A112" s="130" t="inlineStr">
        <is>
          <t>Totaal Verkoopkosten</t>
        </is>
      </c>
      <c r="D112" s="341">
        <f>SUM(D109:D111)</f>
        <v/>
      </c>
      <c r="E112" s="341">
        <f>SUM(E110:E111)</f>
        <v/>
      </c>
      <c r="F112" s="341">
        <f>SUM(F110:F111)</f>
        <v/>
      </c>
      <c r="G112" s="353">
        <f>SUM(G110:G111)</f>
        <v/>
      </c>
      <c r="H112" s="348">
        <f>SUM(C112:G112)</f>
        <v/>
      </c>
    </row>
    <row r="113" ht="12.75" customHeight="1">
      <c r="A113" s="1" t="n"/>
    </row>
    <row r="114">
      <c r="A114" s="130" t="inlineStr">
        <is>
          <t>4300200</t>
        </is>
      </c>
      <c r="B114" s="1" t="inlineStr">
        <is>
          <t>KN Communicatiekosten</t>
        </is>
      </c>
      <c r="D114" s="341" t="n">
        <v>0</v>
      </c>
      <c r="E114" s="341" t="n">
        <v>0</v>
      </c>
      <c r="F114" s="341" t="n">
        <v>0</v>
      </c>
      <c r="G114" s="341" t="n">
        <v>145.2</v>
      </c>
      <c r="H114" s="290">
        <f>SUM(C114:G114)</f>
        <v/>
      </c>
    </row>
    <row r="115" ht="12.75" customHeight="1">
      <c r="A115" s="130" t="inlineStr">
        <is>
          <t>4300500</t>
        </is>
      </c>
      <c r="B115" s="1" t="inlineStr">
        <is>
          <t>KN Incassokosten</t>
        </is>
      </c>
      <c r="D115" s="341" t="n">
        <v>0</v>
      </c>
      <c r="E115" s="341" t="n">
        <v>300</v>
      </c>
      <c r="F115" s="341" t="n">
        <v>0</v>
      </c>
      <c r="G115" s="353" t="n">
        <v>3001.8</v>
      </c>
      <c r="H115" s="348">
        <f>SUM(C115:G115)</f>
        <v/>
      </c>
    </row>
    <row r="116" ht="12.75" customHeight="1">
      <c r="A116" s="130" t="inlineStr">
        <is>
          <t>Totaal Kantoorkosten</t>
        </is>
      </c>
      <c r="D116" s="341" t="n">
        <v>0</v>
      </c>
      <c r="E116" s="341">
        <f>SUM(E114:E115)</f>
        <v/>
      </c>
      <c r="F116" s="341">
        <f>SUM(F114:F115)</f>
        <v/>
      </c>
      <c r="G116" s="341">
        <f>SUM(G114:G115)</f>
        <v/>
      </c>
      <c r="H116" s="290">
        <f>SUM(C116:G116)</f>
        <v/>
      </c>
    </row>
    <row r="117" ht="12.75" customHeight="1"/>
    <row r="118" ht="12.75" customHeight="1">
      <c r="A118" s="130" t="inlineStr">
        <is>
          <t>4310000</t>
        </is>
      </c>
      <c r="B118" s="1" t="inlineStr">
        <is>
          <t>KN Abonnementen en contributies</t>
        </is>
      </c>
      <c r="D118" s="341" t="n">
        <v>0</v>
      </c>
      <c r="E118" s="341" t="n">
        <v>0</v>
      </c>
      <c r="F118" s="341" t="n">
        <v>0</v>
      </c>
      <c r="H118" s="290">
        <f>SUM(C118:G118)</f>
        <v/>
      </c>
    </row>
    <row r="119" ht="12.75" customHeight="1">
      <c r="A119" s="130" t="inlineStr">
        <is>
          <t>4310400</t>
        </is>
      </c>
      <c r="B119" s="1" t="inlineStr">
        <is>
          <t>KN Assurantiepremie algemeen</t>
        </is>
      </c>
      <c r="D119" s="341" t="n">
        <v>29190.65</v>
      </c>
      <c r="E119" s="341" t="n">
        <v>44010.87</v>
      </c>
      <c r="F119" s="341" t="n">
        <v>28766.3</v>
      </c>
      <c r="G119" s="341" t="n">
        <v>38354.78999999999</v>
      </c>
      <c r="H119" s="351">
        <f>SUM(C119:G119)</f>
        <v/>
      </c>
    </row>
    <row r="120" ht="12.75" customHeight="1">
      <c r="A120" s="130" t="inlineStr">
        <is>
          <t>4310500</t>
        </is>
      </c>
      <c r="B120" s="1" t="inlineStr">
        <is>
          <t>KN Managementvergoeding</t>
        </is>
      </c>
      <c r="D120" s="341" t="n">
        <v>1500</v>
      </c>
      <c r="E120" s="341" t="n">
        <v>1500</v>
      </c>
      <c r="F120" s="341" t="n">
        <v>1500</v>
      </c>
      <c r="G120" s="341" t="n">
        <v>1500</v>
      </c>
      <c r="H120" s="351">
        <f>SUM(C120:G120)</f>
        <v/>
      </c>
    </row>
    <row r="121" ht="12.75" customHeight="1">
      <c r="A121" s="130" t="inlineStr">
        <is>
          <t>4310600</t>
        </is>
      </c>
      <c r="B121" s="1" t="inlineStr">
        <is>
          <t>KN Accountantskosten</t>
        </is>
      </c>
      <c r="D121" s="341" t="n">
        <v>5734.87</v>
      </c>
      <c r="E121" s="341" t="n">
        <v>52124.25999999999</v>
      </c>
      <c r="F121" s="341" t="n">
        <v>3122.8</v>
      </c>
      <c r="G121" s="353" t="n">
        <v>24818.14</v>
      </c>
      <c r="H121" s="351">
        <f>SUM(C121:G121)</f>
        <v/>
      </c>
    </row>
    <row r="122" ht="12.75" customHeight="1">
      <c r="A122" s="130" t="inlineStr">
        <is>
          <t>4310700</t>
        </is>
      </c>
      <c r="B122" s="1" t="inlineStr">
        <is>
          <t>KN Administratiekosten</t>
        </is>
      </c>
      <c r="D122" s="341" t="n">
        <v>1331</v>
      </c>
      <c r="E122" s="341" t="n">
        <v>1397.65</v>
      </c>
      <c r="F122" s="341" t="n">
        <v>3993</v>
      </c>
      <c r="G122" s="341" t="n">
        <v>2280.85</v>
      </c>
      <c r="H122" s="348">
        <f>SUM(C122:G122)</f>
        <v/>
      </c>
    </row>
    <row r="123" ht="12.75" customHeight="1">
      <c r="A123" s="130" t="n">
        <v>4310800</v>
      </c>
      <c r="B123" s="1" t="inlineStr">
        <is>
          <t>KN Notariskosten</t>
        </is>
      </c>
      <c r="D123" s="353" t="n">
        <v>39350.7</v>
      </c>
      <c r="E123" s="341" t="n">
        <v>42090.02</v>
      </c>
      <c r="F123" s="341" t="n">
        <v>56784.23</v>
      </c>
      <c r="G123" s="353" t="n">
        <v>80380.91</v>
      </c>
      <c r="H123" s="348">
        <f>SUM(C123:G123)</f>
        <v/>
      </c>
    </row>
    <row r="124" ht="12" customHeight="1">
      <c r="A124" s="130" t="inlineStr">
        <is>
          <t>4311000</t>
        </is>
      </c>
      <c r="B124" s="1" t="inlineStr">
        <is>
          <t>KN Juridische kosten</t>
        </is>
      </c>
      <c r="D124" s="341" t="n">
        <v>23990.48</v>
      </c>
      <c r="E124" s="341" t="n">
        <v>21205</v>
      </c>
      <c r="F124" s="302" t="n">
        <v>12854.12</v>
      </c>
      <c r="G124" s="353" t="n">
        <v>29807.87</v>
      </c>
      <c r="H124" s="348">
        <f>SUM(C124:G124)</f>
        <v/>
      </c>
    </row>
    <row r="125" ht="12.75" customHeight="1">
      <c r="A125" s="130" t="inlineStr">
        <is>
          <t>4311800</t>
        </is>
      </c>
      <c r="B125" s="1" t="inlineStr">
        <is>
          <t>KN Advieskosten</t>
        </is>
      </c>
      <c r="D125" s="341" t="n">
        <v>11000</v>
      </c>
      <c r="E125" s="341" t="n">
        <v>13200</v>
      </c>
      <c r="F125" s="341" t="n">
        <v>8800</v>
      </c>
      <c r="G125" s="341" t="n">
        <v>11000</v>
      </c>
      <c r="H125" s="351">
        <f>SUM(C125:G125)</f>
        <v/>
      </c>
    </row>
    <row r="126" ht="12.75" customHeight="1">
      <c r="A126" s="130" t="inlineStr">
        <is>
          <t>4311900</t>
        </is>
      </c>
      <c r="B126" s="1" t="inlineStr">
        <is>
          <t>KN Bankkosten</t>
        </is>
      </c>
      <c r="D126" s="341" t="n">
        <v>33232.36</v>
      </c>
      <c r="E126" s="341" t="n">
        <v>33312.47</v>
      </c>
      <c r="F126" s="341" t="n">
        <v>33277.08</v>
      </c>
      <c r="G126" s="353" t="n">
        <v>94379.49000000001</v>
      </c>
      <c r="H126" s="348">
        <f>SUM(C126:G126)</f>
        <v/>
      </c>
    </row>
    <row r="127" ht="12.75" customHeight="1">
      <c r="A127" s="1" t="inlineStr">
        <is>
          <t>4312600</t>
        </is>
      </c>
      <c r="B127" s="1" t="inlineStr">
        <is>
          <t>KN Agent Fee facility</t>
        </is>
      </c>
      <c r="D127" s="341" t="n">
        <v>0</v>
      </c>
      <c r="E127" s="341" t="n">
        <v>0</v>
      </c>
      <c r="F127" s="341" t="n">
        <v>40000</v>
      </c>
      <c r="G127" s="341" t="n">
        <v>0</v>
      </c>
      <c r="H127" s="351">
        <f>SUM(C127:G127)</f>
        <v/>
      </c>
    </row>
    <row r="128" ht="12.75" customHeight="1">
      <c r="A128" s="130" t="inlineStr">
        <is>
          <t>4319800</t>
        </is>
      </c>
      <c r="B128" s="1" t="inlineStr">
        <is>
          <t>KN Overige algemene kosten</t>
        </is>
      </c>
      <c r="D128" s="341" t="n">
        <v>1908.15</v>
      </c>
      <c r="E128" s="341" t="n">
        <v>7984.209999999999</v>
      </c>
      <c r="F128" s="341" t="n">
        <v>5515.540000000001</v>
      </c>
      <c r="G128" s="353" t="n">
        <v>1117.08</v>
      </c>
      <c r="H128" s="348">
        <f>SUM(C128:G128)</f>
        <v/>
      </c>
      <c r="I128" s="1" t="inlineStr">
        <is>
          <t>4924 gedebiteerd i.v.m. BTW Q2 QSP</t>
        </is>
      </c>
      <c r="L128" s="1" t="inlineStr">
        <is>
          <t>CHECK</t>
        </is>
      </c>
    </row>
    <row r="129" ht="12.75" customHeight="1">
      <c r="A129" s="130" t="inlineStr">
        <is>
          <t>Totaal Algemene kosten</t>
        </is>
      </c>
      <c r="D129" s="341">
        <f>SUM(D118:D128)</f>
        <v/>
      </c>
      <c r="E129" s="341">
        <f>SUM(E118:E128)</f>
        <v/>
      </c>
      <c r="F129" s="341">
        <f>SUM(F118:F128)</f>
        <v/>
      </c>
      <c r="G129" s="341">
        <f>SUM(G118:G128)</f>
        <v/>
      </c>
      <c r="H129" s="290">
        <f>SUM(C129:G129)</f>
        <v/>
      </c>
    </row>
    <row r="130" ht="12.75" customHeight="1"/>
    <row r="131" ht="12.75" customHeight="1">
      <c r="A131" s="130" t="n">
        <v>4620200</v>
      </c>
      <c r="B131" s="1" t="inlineStr">
        <is>
          <t>FINBL Rente ABN AMRO Bank</t>
        </is>
      </c>
      <c r="D131" s="341" t="n">
        <v>29.09</v>
      </c>
      <c r="E131" s="341" t="n">
        <v>58.18</v>
      </c>
      <c r="F131" s="341" t="n">
        <v>0</v>
      </c>
      <c r="G131" s="341" t="n">
        <v>53.16</v>
      </c>
      <c r="H131" s="351">
        <f>SUM(C131:G131)</f>
        <v/>
      </c>
    </row>
    <row r="132" ht="12.75" customHeight="1">
      <c r="A132" s="130" t="inlineStr">
        <is>
          <t>4623001</t>
        </is>
      </c>
      <c r="B132" s="1" t="inlineStr">
        <is>
          <t>FINBL Rente ABN AMRO Bank NV Senior Facility Agreement</t>
        </is>
      </c>
      <c r="D132" s="341" t="n">
        <v>1389702.3</v>
      </c>
      <c r="E132" s="341" t="n">
        <v>1669531.37</v>
      </c>
      <c r="F132" s="341" t="n">
        <v>1865023.71</v>
      </c>
      <c r="G132" s="341" t="n">
        <v>1976243.93</v>
      </c>
      <c r="H132" s="351">
        <f>SUM(C132:G132)</f>
        <v/>
      </c>
    </row>
    <row r="133" ht="12.75" customHeight="1">
      <c r="A133" s="130" t="n">
        <v>4611000</v>
      </c>
      <c r="B133" s="1" t="inlineStr">
        <is>
          <t>FINBL Rente RC DMRRP INV - I BV</t>
        </is>
      </c>
      <c r="D133" s="341" t="n">
        <v>0</v>
      </c>
      <c r="E133" s="341" t="n">
        <v>0</v>
      </c>
      <c r="H133" s="290">
        <f>SUM(C133:G133)</f>
        <v/>
      </c>
    </row>
    <row r="134" ht="12.75" customHeight="1">
      <c r="A134" s="130" t="n">
        <v>4630000</v>
      </c>
      <c r="B134" s="1" t="inlineStr">
        <is>
          <t>FINBL Rente belastingen</t>
        </is>
      </c>
      <c r="E134" s="341" t="n">
        <v>0</v>
      </c>
      <c r="H134" s="290">
        <f>SUM(C134:G134)</f>
        <v/>
      </c>
    </row>
    <row r="135" ht="12.75" customHeight="1">
      <c r="A135" s="130" t="n">
        <v>4663000</v>
      </c>
      <c r="B135" s="1" t="inlineStr">
        <is>
          <t>FINBL Rente vord DMRRP INV - I BV</t>
        </is>
      </c>
      <c r="D135" s="341" t="n">
        <v>-380384.59</v>
      </c>
      <c r="E135" s="341" t="n">
        <v>-456978.46</v>
      </c>
      <c r="F135" s="341" t="n">
        <v>-510487.96</v>
      </c>
      <c r="G135" s="341" t="n">
        <v>-540930.78</v>
      </c>
      <c r="H135" s="290">
        <f>SUM(C135:G135)</f>
        <v/>
      </c>
    </row>
    <row r="136" ht="12.75" customHeight="1">
      <c r="A136" s="130" t="inlineStr">
        <is>
          <t>4643000</t>
        </is>
      </c>
      <c r="B136" s="1" t="inlineStr">
        <is>
          <t>FINBL Overige rentelasten</t>
        </is>
      </c>
      <c r="D136" s="341" t="n">
        <v>-208809.65</v>
      </c>
      <c r="E136" s="341" t="n">
        <v>9994.130000000005</v>
      </c>
      <c r="F136" s="341" t="n">
        <v>-143485.89</v>
      </c>
      <c r="G136" s="341" t="n">
        <v>-237843.16</v>
      </c>
      <c r="H136" s="290">
        <f>SUM(C136:G136)</f>
        <v/>
      </c>
    </row>
    <row r="137" ht="12.75" customHeight="1">
      <c r="A137" s="130" t="n">
        <v>4642000</v>
      </c>
      <c r="B137" s="1" t="inlineStr">
        <is>
          <t>FINBL overige rentebaten</t>
        </is>
      </c>
      <c r="D137" s="341" t="n">
        <v>0</v>
      </c>
      <c r="E137" s="341" t="n">
        <v>0</v>
      </c>
      <c r="F137" s="341" t="n">
        <v>0</v>
      </c>
      <c r="G137" s="341" t="n">
        <v>0</v>
      </c>
      <c r="H137" s="290">
        <f>SUM(C137:G137)</f>
        <v/>
      </c>
    </row>
    <row r="138" ht="12.75" customHeight="1">
      <c r="A138" s="130" t="inlineStr">
        <is>
          <t>Totaal Financiële baten en lasten</t>
        </is>
      </c>
      <c r="D138" s="341">
        <f>SUM(D131:D137)</f>
        <v/>
      </c>
      <c r="E138" s="341">
        <f>SUM(E131:E137)</f>
        <v/>
      </c>
      <c r="F138" s="341">
        <f>SUM(F131:F137)</f>
        <v/>
      </c>
      <c r="G138" s="341">
        <f>SUM(G131:G137)</f>
        <v/>
      </c>
      <c r="H138" s="290">
        <f>SUM(C138:G138)</f>
        <v/>
      </c>
    </row>
    <row r="139" ht="12.75" customHeight="1">
      <c r="G139" s="302" t="n"/>
    </row>
    <row r="140" ht="12.75" customHeight="1">
      <c r="A140" s="130" t="n">
        <v>9500000</v>
      </c>
      <c r="B140" s="1" t="inlineStr">
        <is>
          <t>VPB Vennootschapsbelasting VPB Huidg jaar</t>
        </is>
      </c>
      <c r="D140" s="341" t="n">
        <v>0</v>
      </c>
      <c r="E140" s="341" t="n">
        <v>0</v>
      </c>
      <c r="H140" s="290">
        <f>SUM(C140:G140)</f>
        <v/>
      </c>
    </row>
    <row r="141" ht="12.75" customHeight="1">
      <c r="A141" s="130" t="inlineStr">
        <is>
          <t>9510000</t>
        </is>
      </c>
      <c r="B141" s="1" t="inlineStr">
        <is>
          <t>VPB Mutatie belastinglatentie Mutatie actieve latentie</t>
        </is>
      </c>
      <c r="C141" s="302" t="n"/>
      <c r="D141" s="302" t="n">
        <v>-181734</v>
      </c>
      <c r="E141" s="302" t="n">
        <v>-172942</v>
      </c>
      <c r="F141" s="302" t="n">
        <v>-146161</v>
      </c>
      <c r="G141" s="302" t="n">
        <v>-153491</v>
      </c>
      <c r="H141" s="290">
        <f>SUM(C141:G141)</f>
        <v/>
      </c>
    </row>
    <row r="142" ht="12.75" customHeight="1">
      <c r="A142" s="130" t="n">
        <v>9500100</v>
      </c>
      <c r="B142" s="1" t="inlineStr">
        <is>
          <t>VPB Vennootschapsbelasting VPB voorgaande jaren</t>
        </is>
      </c>
      <c r="E142" s="341" t="n">
        <v>0</v>
      </c>
      <c r="H142" s="290">
        <f>SUM(C142:G142)</f>
        <v/>
      </c>
    </row>
    <row r="143" ht="12.75" customHeight="1">
      <c r="A143" s="1" t="inlineStr">
        <is>
          <t>Totaal vennootschapsbelasting</t>
        </is>
      </c>
      <c r="D143" s="341">
        <f>SUM(D140:D142)</f>
        <v/>
      </c>
      <c r="E143" s="341">
        <f>SUM(E140:E142)</f>
        <v/>
      </c>
      <c r="F143" s="341">
        <f>SUM(F140:F142)</f>
        <v/>
      </c>
      <c r="G143" s="341">
        <f>SUM(G140:G142)</f>
        <v/>
      </c>
      <c r="H143" s="290">
        <f>SUM(C143:G143)</f>
        <v/>
      </c>
    </row>
    <row r="145" ht="12.75" customHeight="1">
      <c r="A145" s="130" t="inlineStr">
        <is>
          <t>Resultaat na belasting</t>
        </is>
      </c>
      <c r="C145" s="346" t="n"/>
      <c r="D145" s="346">
        <f>D84+D90+D93+D97+D107+D112+D116+D129+D138+D143</f>
        <v/>
      </c>
      <c r="E145" s="346">
        <f>E84+E90+E93+E97+E107+E112+E116+E129+E138+E143</f>
        <v/>
      </c>
      <c r="F145" s="346">
        <f>F84+F90+F93+F97+F107+F112+F116+F129+F138+F143</f>
        <v/>
      </c>
      <c r="G145" s="346">
        <f>G84+G90+G93+G97+G107+G112+G116+G129+G138+G143</f>
        <v/>
      </c>
      <c r="H145" s="346">
        <f>SUM(C145:G145)</f>
        <v/>
      </c>
    </row>
    <row r="147" ht="12.75" customHeight="1">
      <c r="D147" s="289">
        <f>SUM(D4:D78)+D145</f>
        <v/>
      </c>
      <c r="E147" s="289">
        <f>SUM(E4:E78)+E145</f>
        <v/>
      </c>
      <c r="F147" s="289">
        <f>SUM(F4:F78)+F145</f>
        <v/>
      </c>
      <c r="G147" s="289">
        <f>SUM(G4:G78)+G145</f>
        <v/>
      </c>
      <c r="H147" s="290">
        <f>SUM(C147:G147)</f>
        <v/>
      </c>
    </row>
    <row r="148" ht="12.75" customHeight="1"/>
    <row r="149">
      <c r="A149" s="130" t="inlineStr">
        <is>
          <t>afschrijving SWAP</t>
        </is>
      </c>
      <c r="D149" s="289">
        <f>36883.33*3</f>
        <v/>
      </c>
      <c r="E149" s="289">
        <f>36883.33*3</f>
        <v/>
      </c>
      <c r="F149" s="289">
        <f>36883.33*3</f>
        <v/>
      </c>
      <c r="G149" s="289">
        <f>36883.33*3</f>
        <v/>
      </c>
    </row>
    <row r="150" ht="12.75" customHeight="1">
      <c r="A150" s="130" t="inlineStr">
        <is>
          <t>Inkomsten SWAP</t>
        </is>
      </c>
      <c r="D150" s="341" t="n">
        <v>-319459.64</v>
      </c>
      <c r="E150" s="341" t="n">
        <v>-100655.86</v>
      </c>
      <c r="F150" s="341" t="n">
        <v>-254135.88</v>
      </c>
      <c r="G150" s="341" t="n">
        <v>-348493.15</v>
      </c>
    </row>
    <row r="151" ht="12.75" customHeight="1"/>
    <row r="152" ht="12.75" customHeight="1">
      <c r="A152" s="130" t="inlineStr">
        <is>
          <t>Rente</t>
        </is>
      </c>
      <c r="D152" s="341">
        <f>D132</f>
        <v/>
      </c>
      <c r="E152" s="341">
        <f>E132</f>
        <v/>
      </c>
      <c r="F152" s="341">
        <f>F132</f>
        <v/>
      </c>
      <c r="G152" s="341">
        <f>G132</f>
        <v/>
      </c>
      <c r="H152" s="290">
        <f>SUM(D152:G152)</f>
        <v/>
      </c>
    </row>
    <row r="153" ht="12.75" customHeight="1">
      <c r="A153" s="130" t="inlineStr">
        <is>
          <t>SWAP</t>
        </is>
      </c>
      <c r="D153" s="341">
        <f>D150</f>
        <v/>
      </c>
      <c r="E153" s="341">
        <f>E150</f>
        <v/>
      </c>
      <c r="F153" s="341">
        <f>F150</f>
        <v/>
      </c>
      <c r="G153" s="341">
        <f>G150</f>
        <v/>
      </c>
      <c r="H153" s="351">
        <f>SUM(D153:G153)</f>
        <v/>
      </c>
    </row>
    <row r="154" ht="12.75" customHeight="1">
      <c r="A154" s="130" t="inlineStr">
        <is>
          <t>Afschrijving prepaid derivatives transaction</t>
        </is>
      </c>
      <c r="D154" s="341">
        <f>D149</f>
        <v/>
      </c>
      <c r="E154" s="341">
        <f>E149</f>
        <v/>
      </c>
      <c r="F154" s="341">
        <f>F149</f>
        <v/>
      </c>
      <c r="G154" s="341">
        <f>G149</f>
        <v/>
      </c>
      <c r="H154" s="351">
        <f>SUM(D154:G154)</f>
        <v/>
      </c>
    </row>
    <row r="155">
      <c r="A155" s="130" t="inlineStr">
        <is>
          <t>IC interest</t>
        </is>
      </c>
      <c r="D155" s="341">
        <f>D133+D135</f>
        <v/>
      </c>
      <c r="E155" s="341">
        <f>E133+E135</f>
        <v/>
      </c>
      <c r="F155" s="341">
        <f>F133+F135</f>
        <v/>
      </c>
      <c r="G155" s="341">
        <f>G133+G135</f>
        <v/>
      </c>
      <c r="H155" s="290">
        <f>SUM(D155:G155)</f>
        <v/>
      </c>
    </row>
    <row r="156">
      <c r="D156" s="341">
        <f>SUM(D152:D155)</f>
        <v/>
      </c>
      <c r="E156" s="341">
        <f>SUM(E152:E155)</f>
        <v/>
      </c>
      <c r="F156" s="341">
        <f>SUM(F152:F155)</f>
        <v/>
      </c>
      <c r="G156" s="341">
        <f>SUM(G152:G155)</f>
        <v/>
      </c>
      <c r="H156" s="290">
        <f>SUM(D156:G156)</f>
        <v/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35"/>
  <sheetViews>
    <sheetView topLeftCell="A85" zoomScaleNormal="100" workbookViewId="0">
      <selection activeCell="F113" sqref="F113"/>
    </sheetView>
  </sheetViews>
  <sheetFormatPr baseColWidth="8" defaultRowHeight="12.75" customHeight="1"/>
  <cols>
    <col width="9.109375" customWidth="1" style="1" min="1" max="1"/>
    <col width="73" customWidth="1" style="1" min="2" max="2"/>
    <col width="26" bestFit="1" customWidth="1" style="293" min="3" max="3"/>
    <col width="17.5546875" bestFit="1" customWidth="1" style="293" min="4" max="7"/>
    <col width="20.44140625" bestFit="1" customWidth="1" style="1" min="8" max="8"/>
    <col width="10.88671875" bestFit="1" customWidth="1" style="1" min="9" max="9"/>
    <col width="9.109375" customWidth="1" style="1" min="10" max="257"/>
    <col width="73" customWidth="1" style="1" min="258" max="258"/>
    <col width="26" bestFit="1" customWidth="1" style="1" min="259" max="259"/>
    <col width="17.5546875" bestFit="1" customWidth="1" style="1" min="260" max="263"/>
    <col width="20.44140625" bestFit="1" customWidth="1" style="1" min="264" max="264"/>
    <col width="10.88671875" bestFit="1" customWidth="1" style="1" min="265" max="265"/>
    <col width="9.109375" customWidth="1" style="1" min="266" max="513"/>
    <col width="73" customWidth="1" style="1" min="514" max="514"/>
    <col width="26" bestFit="1" customWidth="1" style="1" min="515" max="515"/>
    <col width="17.5546875" bestFit="1" customWidth="1" style="1" min="516" max="519"/>
    <col width="20.44140625" bestFit="1" customWidth="1" style="1" min="520" max="520"/>
    <col width="10.88671875" bestFit="1" customWidth="1" style="1" min="521" max="521"/>
    <col width="9.109375" customWidth="1" style="1" min="522" max="769"/>
    <col width="73" customWidth="1" style="1" min="770" max="770"/>
    <col width="26" bestFit="1" customWidth="1" style="1" min="771" max="771"/>
    <col width="17.5546875" bestFit="1" customWidth="1" style="1" min="772" max="775"/>
    <col width="20.44140625" bestFit="1" customWidth="1" style="1" min="776" max="776"/>
    <col width="10.88671875" bestFit="1" customWidth="1" style="1" min="777" max="777"/>
    <col width="9.109375" customWidth="1" style="1" min="778" max="1025"/>
    <col width="73" customWidth="1" style="1" min="1026" max="1026"/>
    <col width="26" bestFit="1" customWidth="1" style="1" min="1027" max="1027"/>
    <col width="17.5546875" bestFit="1" customWidth="1" style="1" min="1028" max="1031"/>
    <col width="20.44140625" bestFit="1" customWidth="1" style="1" min="1032" max="1032"/>
    <col width="10.88671875" bestFit="1" customWidth="1" style="1" min="1033" max="1033"/>
    <col width="9.109375" customWidth="1" style="1" min="1034" max="1281"/>
    <col width="73" customWidth="1" style="1" min="1282" max="1282"/>
    <col width="26" bestFit="1" customWidth="1" style="1" min="1283" max="1283"/>
    <col width="17.5546875" bestFit="1" customWidth="1" style="1" min="1284" max="1287"/>
    <col width="20.44140625" bestFit="1" customWidth="1" style="1" min="1288" max="1288"/>
    <col width="10.88671875" bestFit="1" customWidth="1" style="1" min="1289" max="1289"/>
    <col width="9.109375" customWidth="1" style="1" min="1290" max="1537"/>
    <col width="73" customWidth="1" style="1" min="1538" max="1538"/>
    <col width="26" bestFit="1" customWidth="1" style="1" min="1539" max="1539"/>
    <col width="17.5546875" bestFit="1" customWidth="1" style="1" min="1540" max="1543"/>
    <col width="20.44140625" bestFit="1" customWidth="1" style="1" min="1544" max="1544"/>
    <col width="10.88671875" bestFit="1" customWidth="1" style="1" min="1545" max="1545"/>
    <col width="9.109375" customWidth="1" style="1" min="1546" max="1793"/>
    <col width="73" customWidth="1" style="1" min="1794" max="1794"/>
    <col width="26" bestFit="1" customWidth="1" style="1" min="1795" max="1795"/>
    <col width="17.5546875" bestFit="1" customWidth="1" style="1" min="1796" max="1799"/>
    <col width="20.44140625" bestFit="1" customWidth="1" style="1" min="1800" max="1800"/>
    <col width="10.88671875" bestFit="1" customWidth="1" style="1" min="1801" max="1801"/>
    <col width="9.109375" customWidth="1" style="1" min="1802" max="2049"/>
    <col width="73" customWidth="1" style="1" min="2050" max="2050"/>
    <col width="26" bestFit="1" customWidth="1" style="1" min="2051" max="2051"/>
    <col width="17.5546875" bestFit="1" customWidth="1" style="1" min="2052" max="2055"/>
    <col width="20.44140625" bestFit="1" customWidth="1" style="1" min="2056" max="2056"/>
    <col width="10.88671875" bestFit="1" customWidth="1" style="1" min="2057" max="2057"/>
    <col width="9.109375" customWidth="1" style="1" min="2058" max="2305"/>
    <col width="73" customWidth="1" style="1" min="2306" max="2306"/>
    <col width="26" bestFit="1" customWidth="1" style="1" min="2307" max="2307"/>
    <col width="17.5546875" bestFit="1" customWidth="1" style="1" min="2308" max="2311"/>
    <col width="20.44140625" bestFit="1" customWidth="1" style="1" min="2312" max="2312"/>
    <col width="10.88671875" bestFit="1" customWidth="1" style="1" min="2313" max="2313"/>
    <col width="9.109375" customWidth="1" style="1" min="2314" max="2561"/>
    <col width="73" customWidth="1" style="1" min="2562" max="2562"/>
    <col width="26" bestFit="1" customWidth="1" style="1" min="2563" max="2563"/>
    <col width="17.5546875" bestFit="1" customWidth="1" style="1" min="2564" max="2567"/>
    <col width="20.44140625" bestFit="1" customWidth="1" style="1" min="2568" max="2568"/>
    <col width="10.88671875" bestFit="1" customWidth="1" style="1" min="2569" max="2569"/>
    <col width="9.109375" customWidth="1" style="1" min="2570" max="2817"/>
    <col width="73" customWidth="1" style="1" min="2818" max="2818"/>
    <col width="26" bestFit="1" customWidth="1" style="1" min="2819" max="2819"/>
    <col width="17.5546875" bestFit="1" customWidth="1" style="1" min="2820" max="2823"/>
    <col width="20.44140625" bestFit="1" customWidth="1" style="1" min="2824" max="2824"/>
    <col width="10.88671875" bestFit="1" customWidth="1" style="1" min="2825" max="2825"/>
    <col width="9.109375" customWidth="1" style="1" min="2826" max="3073"/>
    <col width="73" customWidth="1" style="1" min="3074" max="3074"/>
    <col width="26" bestFit="1" customWidth="1" style="1" min="3075" max="3075"/>
    <col width="17.5546875" bestFit="1" customWidth="1" style="1" min="3076" max="3079"/>
    <col width="20.44140625" bestFit="1" customWidth="1" style="1" min="3080" max="3080"/>
    <col width="10.88671875" bestFit="1" customWidth="1" style="1" min="3081" max="3081"/>
    <col width="9.109375" customWidth="1" style="1" min="3082" max="3329"/>
    <col width="73" customWidth="1" style="1" min="3330" max="3330"/>
    <col width="26" bestFit="1" customWidth="1" style="1" min="3331" max="3331"/>
    <col width="17.5546875" bestFit="1" customWidth="1" style="1" min="3332" max="3335"/>
    <col width="20.44140625" bestFit="1" customWidth="1" style="1" min="3336" max="3336"/>
    <col width="10.88671875" bestFit="1" customWidth="1" style="1" min="3337" max="3337"/>
    <col width="9.109375" customWidth="1" style="1" min="3338" max="3585"/>
    <col width="73" customWidth="1" style="1" min="3586" max="3586"/>
    <col width="26" bestFit="1" customWidth="1" style="1" min="3587" max="3587"/>
    <col width="17.5546875" bestFit="1" customWidth="1" style="1" min="3588" max="3591"/>
    <col width="20.44140625" bestFit="1" customWidth="1" style="1" min="3592" max="3592"/>
    <col width="10.88671875" bestFit="1" customWidth="1" style="1" min="3593" max="3593"/>
    <col width="9.109375" customWidth="1" style="1" min="3594" max="3841"/>
    <col width="73" customWidth="1" style="1" min="3842" max="3842"/>
    <col width="26" bestFit="1" customWidth="1" style="1" min="3843" max="3843"/>
    <col width="17.5546875" bestFit="1" customWidth="1" style="1" min="3844" max="3847"/>
    <col width="20.44140625" bestFit="1" customWidth="1" style="1" min="3848" max="3848"/>
    <col width="10.88671875" bestFit="1" customWidth="1" style="1" min="3849" max="3849"/>
    <col width="9.109375" customWidth="1" style="1" min="3850" max="4097"/>
    <col width="73" customWidth="1" style="1" min="4098" max="4098"/>
    <col width="26" bestFit="1" customWidth="1" style="1" min="4099" max="4099"/>
    <col width="17.5546875" bestFit="1" customWidth="1" style="1" min="4100" max="4103"/>
    <col width="20.44140625" bestFit="1" customWidth="1" style="1" min="4104" max="4104"/>
    <col width="10.88671875" bestFit="1" customWidth="1" style="1" min="4105" max="4105"/>
    <col width="9.109375" customWidth="1" style="1" min="4106" max="4353"/>
    <col width="73" customWidth="1" style="1" min="4354" max="4354"/>
    <col width="26" bestFit="1" customWidth="1" style="1" min="4355" max="4355"/>
    <col width="17.5546875" bestFit="1" customWidth="1" style="1" min="4356" max="4359"/>
    <col width="20.44140625" bestFit="1" customWidth="1" style="1" min="4360" max="4360"/>
    <col width="10.88671875" bestFit="1" customWidth="1" style="1" min="4361" max="4361"/>
    <col width="9.109375" customWidth="1" style="1" min="4362" max="4609"/>
    <col width="73" customWidth="1" style="1" min="4610" max="4610"/>
    <col width="26" bestFit="1" customWidth="1" style="1" min="4611" max="4611"/>
    <col width="17.5546875" bestFit="1" customWidth="1" style="1" min="4612" max="4615"/>
    <col width="20.44140625" bestFit="1" customWidth="1" style="1" min="4616" max="4616"/>
    <col width="10.88671875" bestFit="1" customWidth="1" style="1" min="4617" max="4617"/>
    <col width="9.109375" customWidth="1" style="1" min="4618" max="4865"/>
    <col width="73" customWidth="1" style="1" min="4866" max="4866"/>
    <col width="26" bestFit="1" customWidth="1" style="1" min="4867" max="4867"/>
    <col width="17.5546875" bestFit="1" customWidth="1" style="1" min="4868" max="4871"/>
    <col width="20.44140625" bestFit="1" customWidth="1" style="1" min="4872" max="4872"/>
    <col width="10.88671875" bestFit="1" customWidth="1" style="1" min="4873" max="4873"/>
    <col width="9.109375" customWidth="1" style="1" min="4874" max="5121"/>
    <col width="73" customWidth="1" style="1" min="5122" max="5122"/>
    <col width="26" bestFit="1" customWidth="1" style="1" min="5123" max="5123"/>
    <col width="17.5546875" bestFit="1" customWidth="1" style="1" min="5124" max="5127"/>
    <col width="20.44140625" bestFit="1" customWidth="1" style="1" min="5128" max="5128"/>
    <col width="10.88671875" bestFit="1" customWidth="1" style="1" min="5129" max="5129"/>
    <col width="9.109375" customWidth="1" style="1" min="5130" max="5377"/>
    <col width="73" customWidth="1" style="1" min="5378" max="5378"/>
    <col width="26" bestFit="1" customWidth="1" style="1" min="5379" max="5379"/>
    <col width="17.5546875" bestFit="1" customWidth="1" style="1" min="5380" max="5383"/>
    <col width="20.44140625" bestFit="1" customWidth="1" style="1" min="5384" max="5384"/>
    <col width="10.88671875" bestFit="1" customWidth="1" style="1" min="5385" max="5385"/>
    <col width="9.109375" customWidth="1" style="1" min="5386" max="5633"/>
    <col width="73" customWidth="1" style="1" min="5634" max="5634"/>
    <col width="26" bestFit="1" customWidth="1" style="1" min="5635" max="5635"/>
    <col width="17.5546875" bestFit="1" customWidth="1" style="1" min="5636" max="5639"/>
    <col width="20.44140625" bestFit="1" customWidth="1" style="1" min="5640" max="5640"/>
    <col width="10.88671875" bestFit="1" customWidth="1" style="1" min="5641" max="5641"/>
    <col width="9.109375" customWidth="1" style="1" min="5642" max="5889"/>
    <col width="73" customWidth="1" style="1" min="5890" max="5890"/>
    <col width="26" bestFit="1" customWidth="1" style="1" min="5891" max="5891"/>
    <col width="17.5546875" bestFit="1" customWidth="1" style="1" min="5892" max="5895"/>
    <col width="20.44140625" bestFit="1" customWidth="1" style="1" min="5896" max="5896"/>
    <col width="10.88671875" bestFit="1" customWidth="1" style="1" min="5897" max="5897"/>
    <col width="9.109375" customWidth="1" style="1" min="5898" max="6145"/>
    <col width="73" customWidth="1" style="1" min="6146" max="6146"/>
    <col width="26" bestFit="1" customWidth="1" style="1" min="6147" max="6147"/>
    <col width="17.5546875" bestFit="1" customWidth="1" style="1" min="6148" max="6151"/>
    <col width="20.44140625" bestFit="1" customWidth="1" style="1" min="6152" max="6152"/>
    <col width="10.88671875" bestFit="1" customWidth="1" style="1" min="6153" max="6153"/>
    <col width="9.109375" customWidth="1" style="1" min="6154" max="6401"/>
    <col width="73" customWidth="1" style="1" min="6402" max="6402"/>
    <col width="26" bestFit="1" customWidth="1" style="1" min="6403" max="6403"/>
    <col width="17.5546875" bestFit="1" customWidth="1" style="1" min="6404" max="6407"/>
    <col width="20.44140625" bestFit="1" customWidth="1" style="1" min="6408" max="6408"/>
    <col width="10.88671875" bestFit="1" customWidth="1" style="1" min="6409" max="6409"/>
    <col width="9.109375" customWidth="1" style="1" min="6410" max="6657"/>
    <col width="73" customWidth="1" style="1" min="6658" max="6658"/>
    <col width="26" bestFit="1" customWidth="1" style="1" min="6659" max="6659"/>
    <col width="17.5546875" bestFit="1" customWidth="1" style="1" min="6660" max="6663"/>
    <col width="20.44140625" bestFit="1" customWidth="1" style="1" min="6664" max="6664"/>
    <col width="10.88671875" bestFit="1" customWidth="1" style="1" min="6665" max="6665"/>
    <col width="9.109375" customWidth="1" style="1" min="6666" max="6913"/>
    <col width="73" customWidth="1" style="1" min="6914" max="6914"/>
    <col width="26" bestFit="1" customWidth="1" style="1" min="6915" max="6915"/>
    <col width="17.5546875" bestFit="1" customWidth="1" style="1" min="6916" max="6919"/>
    <col width="20.44140625" bestFit="1" customWidth="1" style="1" min="6920" max="6920"/>
    <col width="10.88671875" bestFit="1" customWidth="1" style="1" min="6921" max="6921"/>
    <col width="9.109375" customWidth="1" style="1" min="6922" max="7169"/>
    <col width="73" customWidth="1" style="1" min="7170" max="7170"/>
    <col width="26" bestFit="1" customWidth="1" style="1" min="7171" max="7171"/>
    <col width="17.5546875" bestFit="1" customWidth="1" style="1" min="7172" max="7175"/>
    <col width="20.44140625" bestFit="1" customWidth="1" style="1" min="7176" max="7176"/>
    <col width="10.88671875" bestFit="1" customWidth="1" style="1" min="7177" max="7177"/>
    <col width="9.109375" customWidth="1" style="1" min="7178" max="7425"/>
    <col width="73" customWidth="1" style="1" min="7426" max="7426"/>
    <col width="26" bestFit="1" customWidth="1" style="1" min="7427" max="7427"/>
    <col width="17.5546875" bestFit="1" customWidth="1" style="1" min="7428" max="7431"/>
    <col width="20.44140625" bestFit="1" customWidth="1" style="1" min="7432" max="7432"/>
    <col width="10.88671875" bestFit="1" customWidth="1" style="1" min="7433" max="7433"/>
    <col width="9.109375" customWidth="1" style="1" min="7434" max="7681"/>
    <col width="73" customWidth="1" style="1" min="7682" max="7682"/>
    <col width="26" bestFit="1" customWidth="1" style="1" min="7683" max="7683"/>
    <col width="17.5546875" bestFit="1" customWidth="1" style="1" min="7684" max="7687"/>
    <col width="20.44140625" bestFit="1" customWidth="1" style="1" min="7688" max="7688"/>
    <col width="10.88671875" bestFit="1" customWidth="1" style="1" min="7689" max="7689"/>
    <col width="9.109375" customWidth="1" style="1" min="7690" max="7937"/>
    <col width="73" customWidth="1" style="1" min="7938" max="7938"/>
    <col width="26" bestFit="1" customWidth="1" style="1" min="7939" max="7939"/>
    <col width="17.5546875" bestFit="1" customWidth="1" style="1" min="7940" max="7943"/>
    <col width="20.44140625" bestFit="1" customWidth="1" style="1" min="7944" max="7944"/>
    <col width="10.88671875" bestFit="1" customWidth="1" style="1" min="7945" max="7945"/>
    <col width="9.109375" customWidth="1" style="1" min="7946" max="8193"/>
    <col width="73" customWidth="1" style="1" min="8194" max="8194"/>
    <col width="26" bestFit="1" customWidth="1" style="1" min="8195" max="8195"/>
    <col width="17.5546875" bestFit="1" customWidth="1" style="1" min="8196" max="8199"/>
    <col width="20.44140625" bestFit="1" customWidth="1" style="1" min="8200" max="8200"/>
    <col width="10.88671875" bestFit="1" customWidth="1" style="1" min="8201" max="8201"/>
    <col width="9.109375" customWidth="1" style="1" min="8202" max="8449"/>
    <col width="73" customWidth="1" style="1" min="8450" max="8450"/>
    <col width="26" bestFit="1" customWidth="1" style="1" min="8451" max="8451"/>
    <col width="17.5546875" bestFit="1" customWidth="1" style="1" min="8452" max="8455"/>
    <col width="20.44140625" bestFit="1" customWidth="1" style="1" min="8456" max="8456"/>
    <col width="10.88671875" bestFit="1" customWidth="1" style="1" min="8457" max="8457"/>
    <col width="9.109375" customWidth="1" style="1" min="8458" max="8705"/>
    <col width="73" customWidth="1" style="1" min="8706" max="8706"/>
    <col width="26" bestFit="1" customWidth="1" style="1" min="8707" max="8707"/>
    <col width="17.5546875" bestFit="1" customWidth="1" style="1" min="8708" max="8711"/>
    <col width="20.44140625" bestFit="1" customWidth="1" style="1" min="8712" max="8712"/>
    <col width="10.88671875" bestFit="1" customWidth="1" style="1" min="8713" max="8713"/>
    <col width="9.109375" customWidth="1" style="1" min="8714" max="8961"/>
    <col width="73" customWidth="1" style="1" min="8962" max="8962"/>
    <col width="26" bestFit="1" customWidth="1" style="1" min="8963" max="8963"/>
    <col width="17.5546875" bestFit="1" customWidth="1" style="1" min="8964" max="8967"/>
    <col width="20.44140625" bestFit="1" customWidth="1" style="1" min="8968" max="8968"/>
    <col width="10.88671875" bestFit="1" customWidth="1" style="1" min="8969" max="8969"/>
    <col width="9.109375" customWidth="1" style="1" min="8970" max="9217"/>
    <col width="73" customWidth="1" style="1" min="9218" max="9218"/>
    <col width="26" bestFit="1" customWidth="1" style="1" min="9219" max="9219"/>
    <col width="17.5546875" bestFit="1" customWidth="1" style="1" min="9220" max="9223"/>
    <col width="20.44140625" bestFit="1" customWidth="1" style="1" min="9224" max="9224"/>
    <col width="10.88671875" bestFit="1" customWidth="1" style="1" min="9225" max="9225"/>
    <col width="9.109375" customWidth="1" style="1" min="9226" max="9473"/>
    <col width="73" customWidth="1" style="1" min="9474" max="9474"/>
    <col width="26" bestFit="1" customWidth="1" style="1" min="9475" max="9475"/>
    <col width="17.5546875" bestFit="1" customWidth="1" style="1" min="9476" max="9479"/>
    <col width="20.44140625" bestFit="1" customWidth="1" style="1" min="9480" max="9480"/>
    <col width="10.88671875" bestFit="1" customWidth="1" style="1" min="9481" max="9481"/>
    <col width="9.109375" customWidth="1" style="1" min="9482" max="9729"/>
    <col width="73" customWidth="1" style="1" min="9730" max="9730"/>
    <col width="26" bestFit="1" customWidth="1" style="1" min="9731" max="9731"/>
    <col width="17.5546875" bestFit="1" customWidth="1" style="1" min="9732" max="9735"/>
    <col width="20.44140625" bestFit="1" customWidth="1" style="1" min="9736" max="9736"/>
    <col width="10.88671875" bestFit="1" customWidth="1" style="1" min="9737" max="9737"/>
    <col width="9.109375" customWidth="1" style="1" min="9738" max="9985"/>
    <col width="73" customWidth="1" style="1" min="9986" max="9986"/>
    <col width="26" bestFit="1" customWidth="1" style="1" min="9987" max="9987"/>
    <col width="17.5546875" bestFit="1" customWidth="1" style="1" min="9988" max="9991"/>
    <col width="20.44140625" bestFit="1" customWidth="1" style="1" min="9992" max="9992"/>
    <col width="10.88671875" bestFit="1" customWidth="1" style="1" min="9993" max="9993"/>
    <col width="9.109375" customWidth="1" style="1" min="9994" max="10241"/>
    <col width="73" customWidth="1" style="1" min="10242" max="10242"/>
    <col width="26" bestFit="1" customWidth="1" style="1" min="10243" max="10243"/>
    <col width="17.5546875" bestFit="1" customWidth="1" style="1" min="10244" max="10247"/>
    <col width="20.44140625" bestFit="1" customWidth="1" style="1" min="10248" max="10248"/>
    <col width="10.88671875" bestFit="1" customWidth="1" style="1" min="10249" max="10249"/>
    <col width="9.109375" customWidth="1" style="1" min="10250" max="10497"/>
    <col width="73" customWidth="1" style="1" min="10498" max="10498"/>
    <col width="26" bestFit="1" customWidth="1" style="1" min="10499" max="10499"/>
    <col width="17.5546875" bestFit="1" customWidth="1" style="1" min="10500" max="10503"/>
    <col width="20.44140625" bestFit="1" customWidth="1" style="1" min="10504" max="10504"/>
    <col width="10.88671875" bestFit="1" customWidth="1" style="1" min="10505" max="10505"/>
    <col width="9.109375" customWidth="1" style="1" min="10506" max="10753"/>
    <col width="73" customWidth="1" style="1" min="10754" max="10754"/>
    <col width="26" bestFit="1" customWidth="1" style="1" min="10755" max="10755"/>
    <col width="17.5546875" bestFit="1" customWidth="1" style="1" min="10756" max="10759"/>
    <col width="20.44140625" bestFit="1" customWidth="1" style="1" min="10760" max="10760"/>
    <col width="10.88671875" bestFit="1" customWidth="1" style="1" min="10761" max="10761"/>
    <col width="9.109375" customWidth="1" style="1" min="10762" max="11009"/>
    <col width="73" customWidth="1" style="1" min="11010" max="11010"/>
    <col width="26" bestFit="1" customWidth="1" style="1" min="11011" max="11011"/>
    <col width="17.5546875" bestFit="1" customWidth="1" style="1" min="11012" max="11015"/>
    <col width="20.44140625" bestFit="1" customWidth="1" style="1" min="11016" max="11016"/>
    <col width="10.88671875" bestFit="1" customWidth="1" style="1" min="11017" max="11017"/>
    <col width="9.109375" customWidth="1" style="1" min="11018" max="11265"/>
    <col width="73" customWidth="1" style="1" min="11266" max="11266"/>
    <col width="26" bestFit="1" customWidth="1" style="1" min="11267" max="11267"/>
    <col width="17.5546875" bestFit="1" customWidth="1" style="1" min="11268" max="11271"/>
    <col width="20.44140625" bestFit="1" customWidth="1" style="1" min="11272" max="11272"/>
    <col width="10.88671875" bestFit="1" customWidth="1" style="1" min="11273" max="11273"/>
    <col width="9.109375" customWidth="1" style="1" min="11274" max="11521"/>
    <col width="73" customWidth="1" style="1" min="11522" max="11522"/>
    <col width="26" bestFit="1" customWidth="1" style="1" min="11523" max="11523"/>
    <col width="17.5546875" bestFit="1" customWidth="1" style="1" min="11524" max="11527"/>
    <col width="20.44140625" bestFit="1" customWidth="1" style="1" min="11528" max="11528"/>
    <col width="10.88671875" bestFit="1" customWidth="1" style="1" min="11529" max="11529"/>
    <col width="9.109375" customWidth="1" style="1" min="11530" max="11777"/>
    <col width="73" customWidth="1" style="1" min="11778" max="11778"/>
    <col width="26" bestFit="1" customWidth="1" style="1" min="11779" max="11779"/>
    <col width="17.5546875" bestFit="1" customWidth="1" style="1" min="11780" max="11783"/>
    <col width="20.44140625" bestFit="1" customWidth="1" style="1" min="11784" max="11784"/>
    <col width="10.88671875" bestFit="1" customWidth="1" style="1" min="11785" max="11785"/>
    <col width="9.109375" customWidth="1" style="1" min="11786" max="12033"/>
    <col width="73" customWidth="1" style="1" min="12034" max="12034"/>
    <col width="26" bestFit="1" customWidth="1" style="1" min="12035" max="12035"/>
    <col width="17.5546875" bestFit="1" customWidth="1" style="1" min="12036" max="12039"/>
    <col width="20.44140625" bestFit="1" customWidth="1" style="1" min="12040" max="12040"/>
    <col width="10.88671875" bestFit="1" customWidth="1" style="1" min="12041" max="12041"/>
    <col width="9.109375" customWidth="1" style="1" min="12042" max="12289"/>
    <col width="73" customWidth="1" style="1" min="12290" max="12290"/>
    <col width="26" bestFit="1" customWidth="1" style="1" min="12291" max="12291"/>
    <col width="17.5546875" bestFit="1" customWidth="1" style="1" min="12292" max="12295"/>
    <col width="20.44140625" bestFit="1" customWidth="1" style="1" min="12296" max="12296"/>
    <col width="10.88671875" bestFit="1" customWidth="1" style="1" min="12297" max="12297"/>
    <col width="9.109375" customWidth="1" style="1" min="12298" max="12545"/>
    <col width="73" customWidth="1" style="1" min="12546" max="12546"/>
    <col width="26" bestFit="1" customWidth="1" style="1" min="12547" max="12547"/>
    <col width="17.5546875" bestFit="1" customWidth="1" style="1" min="12548" max="12551"/>
    <col width="20.44140625" bestFit="1" customWidth="1" style="1" min="12552" max="12552"/>
    <col width="10.88671875" bestFit="1" customWidth="1" style="1" min="12553" max="12553"/>
    <col width="9.109375" customWidth="1" style="1" min="12554" max="12801"/>
    <col width="73" customWidth="1" style="1" min="12802" max="12802"/>
    <col width="26" bestFit="1" customWidth="1" style="1" min="12803" max="12803"/>
    <col width="17.5546875" bestFit="1" customWidth="1" style="1" min="12804" max="12807"/>
    <col width="20.44140625" bestFit="1" customWidth="1" style="1" min="12808" max="12808"/>
    <col width="10.88671875" bestFit="1" customWidth="1" style="1" min="12809" max="12809"/>
    <col width="9.109375" customWidth="1" style="1" min="12810" max="13057"/>
    <col width="73" customWidth="1" style="1" min="13058" max="13058"/>
    <col width="26" bestFit="1" customWidth="1" style="1" min="13059" max="13059"/>
    <col width="17.5546875" bestFit="1" customWidth="1" style="1" min="13060" max="13063"/>
    <col width="20.44140625" bestFit="1" customWidth="1" style="1" min="13064" max="13064"/>
    <col width="10.88671875" bestFit="1" customWidth="1" style="1" min="13065" max="13065"/>
    <col width="9.109375" customWidth="1" style="1" min="13066" max="13313"/>
    <col width="73" customWidth="1" style="1" min="13314" max="13314"/>
    <col width="26" bestFit="1" customWidth="1" style="1" min="13315" max="13315"/>
    <col width="17.5546875" bestFit="1" customWidth="1" style="1" min="13316" max="13319"/>
    <col width="20.44140625" bestFit="1" customWidth="1" style="1" min="13320" max="13320"/>
    <col width="10.88671875" bestFit="1" customWidth="1" style="1" min="13321" max="13321"/>
    <col width="9.109375" customWidth="1" style="1" min="13322" max="13569"/>
    <col width="73" customWidth="1" style="1" min="13570" max="13570"/>
    <col width="26" bestFit="1" customWidth="1" style="1" min="13571" max="13571"/>
    <col width="17.5546875" bestFit="1" customWidth="1" style="1" min="13572" max="13575"/>
    <col width="20.44140625" bestFit="1" customWidth="1" style="1" min="13576" max="13576"/>
    <col width="10.88671875" bestFit="1" customWidth="1" style="1" min="13577" max="13577"/>
    <col width="9.109375" customWidth="1" style="1" min="13578" max="13825"/>
    <col width="73" customWidth="1" style="1" min="13826" max="13826"/>
    <col width="26" bestFit="1" customWidth="1" style="1" min="13827" max="13827"/>
    <col width="17.5546875" bestFit="1" customWidth="1" style="1" min="13828" max="13831"/>
    <col width="20.44140625" bestFit="1" customWidth="1" style="1" min="13832" max="13832"/>
    <col width="10.88671875" bestFit="1" customWidth="1" style="1" min="13833" max="13833"/>
    <col width="9.109375" customWidth="1" style="1" min="13834" max="14081"/>
    <col width="73" customWidth="1" style="1" min="14082" max="14082"/>
    <col width="26" bestFit="1" customWidth="1" style="1" min="14083" max="14083"/>
    <col width="17.5546875" bestFit="1" customWidth="1" style="1" min="14084" max="14087"/>
    <col width="20.44140625" bestFit="1" customWidth="1" style="1" min="14088" max="14088"/>
    <col width="10.88671875" bestFit="1" customWidth="1" style="1" min="14089" max="14089"/>
    <col width="9.109375" customWidth="1" style="1" min="14090" max="14337"/>
    <col width="73" customWidth="1" style="1" min="14338" max="14338"/>
    <col width="26" bestFit="1" customWidth="1" style="1" min="14339" max="14339"/>
    <col width="17.5546875" bestFit="1" customWidth="1" style="1" min="14340" max="14343"/>
    <col width="20.44140625" bestFit="1" customWidth="1" style="1" min="14344" max="14344"/>
    <col width="10.88671875" bestFit="1" customWidth="1" style="1" min="14345" max="14345"/>
    <col width="9.109375" customWidth="1" style="1" min="14346" max="14593"/>
    <col width="73" customWidth="1" style="1" min="14594" max="14594"/>
    <col width="26" bestFit="1" customWidth="1" style="1" min="14595" max="14595"/>
    <col width="17.5546875" bestFit="1" customWidth="1" style="1" min="14596" max="14599"/>
    <col width="20.44140625" bestFit="1" customWidth="1" style="1" min="14600" max="14600"/>
    <col width="10.88671875" bestFit="1" customWidth="1" style="1" min="14601" max="14601"/>
    <col width="9.109375" customWidth="1" style="1" min="14602" max="14849"/>
    <col width="73" customWidth="1" style="1" min="14850" max="14850"/>
    <col width="26" bestFit="1" customWidth="1" style="1" min="14851" max="14851"/>
    <col width="17.5546875" bestFit="1" customWidth="1" style="1" min="14852" max="14855"/>
    <col width="20.44140625" bestFit="1" customWidth="1" style="1" min="14856" max="14856"/>
    <col width="10.88671875" bestFit="1" customWidth="1" style="1" min="14857" max="14857"/>
    <col width="9.109375" customWidth="1" style="1" min="14858" max="15105"/>
    <col width="73" customWidth="1" style="1" min="15106" max="15106"/>
    <col width="26" bestFit="1" customWidth="1" style="1" min="15107" max="15107"/>
    <col width="17.5546875" bestFit="1" customWidth="1" style="1" min="15108" max="15111"/>
    <col width="20.44140625" bestFit="1" customWidth="1" style="1" min="15112" max="15112"/>
    <col width="10.88671875" bestFit="1" customWidth="1" style="1" min="15113" max="15113"/>
    <col width="9.109375" customWidth="1" style="1" min="15114" max="15361"/>
    <col width="73" customWidth="1" style="1" min="15362" max="15362"/>
    <col width="26" bestFit="1" customWidth="1" style="1" min="15363" max="15363"/>
    <col width="17.5546875" bestFit="1" customWidth="1" style="1" min="15364" max="15367"/>
    <col width="20.44140625" bestFit="1" customWidth="1" style="1" min="15368" max="15368"/>
    <col width="10.88671875" bestFit="1" customWidth="1" style="1" min="15369" max="15369"/>
    <col width="9.109375" customWidth="1" style="1" min="15370" max="15617"/>
    <col width="73" customWidth="1" style="1" min="15618" max="15618"/>
    <col width="26" bestFit="1" customWidth="1" style="1" min="15619" max="15619"/>
    <col width="17.5546875" bestFit="1" customWidth="1" style="1" min="15620" max="15623"/>
    <col width="20.44140625" bestFit="1" customWidth="1" style="1" min="15624" max="15624"/>
    <col width="10.88671875" bestFit="1" customWidth="1" style="1" min="15625" max="15625"/>
    <col width="9.109375" customWidth="1" style="1" min="15626" max="15873"/>
    <col width="73" customWidth="1" style="1" min="15874" max="15874"/>
    <col width="26" bestFit="1" customWidth="1" style="1" min="15875" max="15875"/>
    <col width="17.5546875" bestFit="1" customWidth="1" style="1" min="15876" max="15879"/>
    <col width="20.44140625" bestFit="1" customWidth="1" style="1" min="15880" max="15880"/>
    <col width="10.88671875" bestFit="1" customWidth="1" style="1" min="15881" max="15881"/>
    <col width="9.109375" customWidth="1" style="1" min="15882" max="16129"/>
    <col width="73" customWidth="1" style="1" min="16130" max="16130"/>
    <col width="26" bestFit="1" customWidth="1" style="1" min="16131" max="16131"/>
    <col width="17.5546875" bestFit="1" customWidth="1" style="1" min="16132" max="16135"/>
    <col width="20.44140625" bestFit="1" customWidth="1" style="1" min="16136" max="16136"/>
    <col width="10.88671875" bestFit="1" customWidth="1" style="1" min="16137" max="16137"/>
    <col width="9.109375" customWidth="1" style="1" min="16138" max="16384"/>
  </cols>
  <sheetData>
    <row r="1" ht="12.75" customHeight="1">
      <c r="A1" s="112" t="n"/>
      <c r="B1" s="112" t="n"/>
      <c r="C1" s="354" t="inlineStr">
        <is>
          <t>Eindbalans per 31-03-2023</t>
        </is>
      </c>
      <c r="D1" s="354" t="inlineStr">
        <is>
          <t>Mutaties Q2 2023</t>
        </is>
      </c>
      <c r="E1" s="354" t="inlineStr">
        <is>
          <t>Mutaties Q3 2023</t>
        </is>
      </c>
      <c r="F1" s="354" t="inlineStr">
        <is>
          <t>Mutaties Q4 2023</t>
        </is>
      </c>
      <c r="G1" s="354" t="inlineStr">
        <is>
          <t>Mutaties Q1 2024</t>
        </is>
      </c>
      <c r="H1" s="354" t="inlineStr">
        <is>
          <t>Saldi per 31-03-2024</t>
        </is>
      </c>
    </row>
    <row r="2" ht="12.75" customHeight="1">
      <c r="A2" s="112" t="n"/>
      <c r="B2" s="112" t="n"/>
      <c r="H2" s="112" t="n"/>
    </row>
    <row r="3" ht="12.75" customHeight="1">
      <c r="A3" s="113" t="inlineStr">
        <is>
          <t>Balans</t>
        </is>
      </c>
      <c r="B3" s="112" t="n"/>
      <c r="H3" s="112" t="n"/>
    </row>
    <row r="4" ht="12.75" customHeight="1">
      <c r="A4" s="113" t="n"/>
      <c r="B4" s="112" t="n"/>
      <c r="H4" s="112" t="n"/>
    </row>
    <row r="5" ht="12.75" customHeight="1">
      <c r="A5" s="113" t="inlineStr">
        <is>
          <t>Materiële vaste activa</t>
        </is>
      </c>
      <c r="B5" s="112" t="n"/>
      <c r="H5" s="112" t="n"/>
    </row>
    <row r="6" ht="12.75" customHeight="1">
      <c r="A6" s="112" t="inlineStr">
        <is>
          <t>1600000</t>
        </is>
      </c>
      <c r="B6" s="112" t="inlineStr">
        <is>
          <t>VG Vastgoedbeleggingen Verkrijgings- of vervaardigingsprijs -</t>
        </is>
      </c>
      <c r="C6" s="293" t="n">
        <v>125001774</v>
      </c>
      <c r="D6" s="293" t="n">
        <v>276736</v>
      </c>
      <c r="E6" s="293" t="n">
        <v>763364</v>
      </c>
      <c r="F6" s="293" t="n">
        <v>822372</v>
      </c>
      <c r="G6" s="293" t="n">
        <v>-1419718</v>
      </c>
      <c r="H6" s="296">
        <f>SUM(C6:G6)</f>
        <v/>
      </c>
    </row>
    <row r="7" ht="12.75" customHeight="1">
      <c r="A7" s="112" t="inlineStr">
        <is>
          <t>1600200</t>
        </is>
      </c>
      <c r="B7" s="112" t="inlineStr">
        <is>
          <t>VG Vastgoedbeleggingen Cum afschrijvingen en waardeverm -</t>
        </is>
      </c>
      <c r="C7" s="293" t="n">
        <v>-18183953</v>
      </c>
      <c r="D7" s="293" t="n">
        <v>-706154</v>
      </c>
      <c r="E7" s="293" t="n">
        <v>-722958</v>
      </c>
      <c r="F7" s="293" t="n">
        <v>-747378</v>
      </c>
      <c r="G7" s="293" t="n">
        <v>-456675</v>
      </c>
      <c r="H7" s="296">
        <f>SUM(C7:G7)</f>
        <v/>
      </c>
    </row>
    <row r="8" ht="12.75" customHeight="1">
      <c r="A8" s="302" t="inlineStr">
        <is>
          <t>1601000</t>
        </is>
      </c>
      <c r="B8" s="302" t="inlineStr">
        <is>
          <t>VG Vastgoedbeleggingen Buitengebruikstellingen CA en waardeverm. -</t>
        </is>
      </c>
      <c r="G8" s="293" t="n">
        <v>-722644</v>
      </c>
      <c r="H8" s="296">
        <f>SUM(C8:G8)</f>
        <v/>
      </c>
    </row>
    <row r="9" ht="12.75" customHeight="1">
      <c r="A9" s="112" t="inlineStr">
        <is>
          <t>1611003</t>
        </is>
      </c>
      <c r="B9" s="112" t="inlineStr">
        <is>
          <t>VG Comm VG in exploitatie Buitengebruikstellingen cum. afschr. en waardeverm.</t>
        </is>
      </c>
      <c r="C9" s="293" t="n">
        <v>17214</v>
      </c>
      <c r="D9" s="293" t="n">
        <v>31299</v>
      </c>
      <c r="E9" s="293" t="n">
        <v>106809</v>
      </c>
      <c r="F9" s="293" t="n">
        <v>141605</v>
      </c>
      <c r="G9" s="293" t="n">
        <v>-177274</v>
      </c>
      <c r="H9" s="296">
        <f>SUM(C9:G9)</f>
        <v/>
      </c>
    </row>
    <row r="10" ht="12.75" customHeight="1">
      <c r="A10" s="112" t="inlineStr">
        <is>
          <t>1610803</t>
        </is>
      </c>
      <c r="B10" s="112" t="inlineStr">
        <is>
          <t>VG Comm VG in exploitatie Buitengebruikstellingen aanschaffingswaarde</t>
        </is>
      </c>
      <c r="C10" s="293" t="n">
        <v>-117551</v>
      </c>
      <c r="D10" s="293" t="n">
        <v>-205430</v>
      </c>
      <c r="E10" s="293" t="n">
        <v>-677264</v>
      </c>
      <c r="F10" s="293" t="n">
        <v>-890320</v>
      </c>
      <c r="G10" s="293" t="n">
        <v>1890565</v>
      </c>
      <c r="H10" s="296">
        <f>SUM(C10:G10)</f>
        <v/>
      </c>
    </row>
    <row r="11" ht="12.75" customHeight="1">
      <c r="A11" s="112" t="n"/>
      <c r="B11" s="112" t="n"/>
      <c r="H11" s="112" t="n"/>
    </row>
    <row r="12" ht="12.75" customHeight="1">
      <c r="A12" s="254" t="inlineStr">
        <is>
          <t>Financiële Vaste Lasten</t>
        </is>
      </c>
      <c r="B12" s="112" t="n"/>
      <c r="H12" s="112" t="n"/>
    </row>
    <row r="13" ht="12.75" customHeight="1">
      <c r="A13" s="112" t="inlineStr">
        <is>
          <t>1760000</t>
        </is>
      </c>
      <c r="B13" s="112" t="inlineStr">
        <is>
          <t>FVA Vord op DMRRP INV - I BV  saldo</t>
        </is>
      </c>
      <c r="C13" s="293" t="n">
        <v>38320325</v>
      </c>
      <c r="D13" s="293" t="n">
        <v>0</v>
      </c>
      <c r="E13" s="293" t="n">
        <v>0</v>
      </c>
      <c r="F13" s="293" t="n">
        <v>0</v>
      </c>
      <c r="H13" s="296">
        <f>SUM(C13:G13)</f>
        <v/>
      </c>
    </row>
    <row r="14" ht="12.75" customHeight="1">
      <c r="A14" s="112" t="inlineStr">
        <is>
          <t>1760300</t>
        </is>
      </c>
      <c r="B14" s="112" t="inlineStr">
        <is>
          <t>FVA Vord op DMRRP INV - I BV  aflossingen</t>
        </is>
      </c>
      <c r="C14" s="293" t="n">
        <v>-233480</v>
      </c>
      <c r="D14" s="293" t="n">
        <v>-53922</v>
      </c>
      <c r="E14" s="293" t="n">
        <v>-95800</v>
      </c>
      <c r="F14" s="293" t="n">
        <v>-982251</v>
      </c>
      <c r="G14" s="293" t="n">
        <v>-236217</v>
      </c>
      <c r="H14" s="296">
        <f>SUM(C14:G14)</f>
        <v/>
      </c>
    </row>
    <row r="15" ht="12.75" customHeight="1">
      <c r="A15" s="112" t="inlineStr">
        <is>
          <t>1790000</t>
        </is>
      </c>
      <c r="B15" s="112" t="inlineStr">
        <is>
          <t>FVA Swap fee</t>
        </is>
      </c>
      <c r="C15" s="293" t="n">
        <v>1991701</v>
      </c>
      <c r="D15" s="293" t="n">
        <v>-110649</v>
      </c>
      <c r="E15" s="293" t="n">
        <v>-110649</v>
      </c>
      <c r="F15" s="293" t="n">
        <v>-110649</v>
      </c>
      <c r="G15" s="293" t="n">
        <v>-110649</v>
      </c>
      <c r="H15" s="296">
        <f>SUM(C15:G15)</f>
        <v/>
      </c>
    </row>
    <row r="16" ht="12.75" customHeight="1">
      <c r="A16" s="112" t="inlineStr">
        <is>
          <t>1790002</t>
        </is>
      </c>
      <c r="B16" s="112" t="inlineStr">
        <is>
          <t>FVA Latente belastingvordering langlopend</t>
        </is>
      </c>
      <c r="C16" s="293" t="n">
        <v>5263820</v>
      </c>
      <c r="D16" s="293" t="n">
        <v>172942</v>
      </c>
      <c r="E16" s="293" t="n">
        <v>146161</v>
      </c>
      <c r="F16" s="293" t="n">
        <v>810982</v>
      </c>
      <c r="G16" s="293" t="n">
        <v>160838</v>
      </c>
      <c r="H16" s="296">
        <f>SUM(C16:G16)</f>
        <v/>
      </c>
    </row>
    <row r="17" ht="12.75" customHeight="1">
      <c r="A17" s="112" t="n"/>
      <c r="B17" s="112" t="n"/>
      <c r="H17" s="112" t="n"/>
    </row>
    <row r="18" ht="12.75" customHeight="1">
      <c r="A18" s="254" t="inlineStr">
        <is>
          <t>Vorderingen</t>
        </is>
      </c>
      <c r="B18" s="112" t="n"/>
      <c r="H18" s="112" t="n"/>
    </row>
    <row r="19" ht="12.75" customHeight="1">
      <c r="A19" s="112" t="inlineStr">
        <is>
          <t>2000000</t>
        </is>
      </c>
      <c r="B19" s="112" t="inlineStr">
        <is>
          <t>VOR Debiteuren</t>
        </is>
      </c>
      <c r="C19" s="293" t="n">
        <v>1029511</v>
      </c>
      <c r="D19" s="293" t="n">
        <v>540691</v>
      </c>
      <c r="E19" s="293" t="n">
        <v>568867</v>
      </c>
      <c r="F19" s="293" t="n">
        <v>-2015185</v>
      </c>
      <c r="G19" s="293" t="n">
        <v>-125</v>
      </c>
      <c r="H19" s="296">
        <f>SUM(C19:G19)</f>
        <v/>
      </c>
    </row>
    <row r="20" ht="12.75" customHeight="1">
      <c r="A20" s="112" t="inlineStr">
        <is>
          <t>2000100</t>
        </is>
      </c>
      <c r="B20" s="112" t="inlineStr">
        <is>
          <t>VOR Debiteuren intercompany</t>
        </is>
      </c>
      <c r="C20" s="293" t="n">
        <v>0</v>
      </c>
      <c r="D20" s="293" t="n">
        <v>0</v>
      </c>
      <c r="E20" s="293" t="n">
        <v>0</v>
      </c>
      <c r="F20" s="293" t="n">
        <v>2656651</v>
      </c>
      <c r="G20" s="293" t="n">
        <v>620098</v>
      </c>
      <c r="H20" s="296">
        <f>SUM(C20:G20)</f>
        <v/>
      </c>
    </row>
    <row r="21" ht="12.75" customHeight="1">
      <c r="A21" s="112" t="inlineStr">
        <is>
          <t>2000300</t>
        </is>
      </c>
      <c r="B21" s="112" t="inlineStr">
        <is>
          <t>VOR Voorziening dubieuze debiteuren</t>
        </is>
      </c>
      <c r="C21" s="293" t="n">
        <v>-76879</v>
      </c>
      <c r="D21" s="293" t="n">
        <v>0</v>
      </c>
      <c r="E21" s="293" t="n">
        <v>0</v>
      </c>
      <c r="F21" s="293" t="n">
        <v>68505</v>
      </c>
      <c r="H21" s="296">
        <f>SUM(C21:G21)</f>
        <v/>
      </c>
    </row>
    <row r="22" ht="12.75" customHeight="1">
      <c r="A22" s="112" t="inlineStr">
        <is>
          <t>2040100</t>
        </is>
      </c>
      <c r="B22" s="112" t="inlineStr">
        <is>
          <t>VOR Nog te factureren bedragen</t>
        </is>
      </c>
      <c r="C22" s="293" t="n">
        <v>0</v>
      </c>
      <c r="D22" s="293" t="n">
        <v>-41879</v>
      </c>
      <c r="E22" s="293" t="n">
        <v>41879</v>
      </c>
      <c r="F22" s="293" t="n">
        <v>0</v>
      </c>
      <c r="H22" s="296">
        <f>SUM(C22:G22)</f>
        <v/>
      </c>
    </row>
    <row r="23" ht="12.75" customHeight="1">
      <c r="A23" s="112" t="inlineStr">
        <is>
          <t>2040200</t>
        </is>
      </c>
      <c r="B23" s="112" t="inlineStr">
        <is>
          <t>VOR Te vorderen waarborgsommen kortlopend</t>
        </is>
      </c>
      <c r="C23" s="293" t="n">
        <v>5000</v>
      </c>
      <c r="D23" s="293" t="n">
        <v>0</v>
      </c>
      <c r="E23" s="293" t="n">
        <v>0</v>
      </c>
      <c r="F23" s="293" t="n">
        <v>0</v>
      </c>
      <c r="H23" s="296">
        <f>SUM(C23:G23)</f>
        <v/>
      </c>
    </row>
    <row r="24" ht="12.75" customHeight="1">
      <c r="A24" s="112" t="inlineStr">
        <is>
          <t>2040500</t>
        </is>
      </c>
      <c r="B24" s="112" t="inlineStr">
        <is>
          <t>VOR Vooruitbetaalde verzekeringen</t>
        </is>
      </c>
      <c r="C24" s="293" t="n">
        <v>86298</v>
      </c>
      <c r="D24" s="293" t="n">
        <v>-28767</v>
      </c>
      <c r="E24" s="293" t="n">
        <v>-28767</v>
      </c>
      <c r="F24" s="293" t="n">
        <v>-28767</v>
      </c>
      <c r="G24" s="293" t="n">
        <v>85740</v>
      </c>
      <c r="H24" s="296">
        <f>SUM(C24:G24)</f>
        <v/>
      </c>
    </row>
    <row r="25" ht="12.75" customHeight="1">
      <c r="A25" s="112" t="n">
        <v>2040900</v>
      </c>
      <c r="B25" s="112" t="inlineStr">
        <is>
          <t>VOR Vooruitbetaalde overige kosten</t>
        </is>
      </c>
      <c r="C25" s="293" t="n">
        <v>0</v>
      </c>
      <c r="D25" s="293" t="n">
        <v>0</v>
      </c>
      <c r="E25" s="293" t="n">
        <v>0</v>
      </c>
      <c r="F25" s="293" t="n">
        <v>0</v>
      </c>
      <c r="G25" s="293" t="n">
        <v>357512</v>
      </c>
      <c r="H25" s="296">
        <f>SUM(C25:G25)</f>
        <v/>
      </c>
    </row>
    <row r="26" ht="12.75" customHeight="1">
      <c r="A26" s="112" t="n"/>
      <c r="B26" s="112" t="n"/>
      <c r="H26" s="112" t="n"/>
    </row>
    <row r="27" ht="12.75" customHeight="1">
      <c r="A27" s="254" t="inlineStr">
        <is>
          <t>Liquide middelen</t>
        </is>
      </c>
      <c r="B27" s="112" t="n"/>
      <c r="H27" s="112" t="n"/>
    </row>
    <row r="28" ht="12.75" customHeight="1">
      <c r="A28" s="112" t="inlineStr">
        <is>
          <t>2300000</t>
        </is>
      </c>
      <c r="B28" s="112" t="inlineStr">
        <is>
          <t>LM Kruisposten</t>
        </is>
      </c>
      <c r="C28" s="293" t="n">
        <v>0</v>
      </c>
      <c r="D28" s="293" t="n">
        <v>0</v>
      </c>
      <c r="E28" s="293" t="n">
        <v>0</v>
      </c>
      <c r="F28" s="293" t="n">
        <v>0</v>
      </c>
      <c r="H28" s="296">
        <f>SUM(C28:G28)</f>
        <v/>
      </c>
    </row>
    <row r="29" ht="12.75" customHeight="1">
      <c r="A29" s="112" t="inlineStr">
        <is>
          <t>2300001</t>
        </is>
      </c>
      <c r="B29" s="112" t="inlineStr">
        <is>
          <t>LM Kruisposten pin</t>
        </is>
      </c>
      <c r="C29" s="293" t="n">
        <v>1949</v>
      </c>
      <c r="D29" s="293" t="n">
        <v>1958</v>
      </c>
      <c r="E29" s="293" t="n">
        <v>-4861</v>
      </c>
      <c r="F29" s="293" t="n">
        <v>954</v>
      </c>
      <c r="G29" s="293" t="n">
        <v>122</v>
      </c>
      <c r="H29" s="296">
        <f>SUM(C29:G29)</f>
        <v/>
      </c>
    </row>
    <row r="30" ht="12.75" customHeight="1">
      <c r="A30" s="112" t="inlineStr">
        <is>
          <t>2400200</t>
        </is>
      </c>
      <c r="B30" s="112" t="inlineStr">
        <is>
          <t>LM ABN AMRO Bank Disposal NL58 ABNA 0818 9180 39</t>
        </is>
      </c>
      <c r="C30" s="293" t="n">
        <v>0</v>
      </c>
      <c r="D30" s="293" t="n">
        <v>128000</v>
      </c>
      <c r="E30" s="293" t="n">
        <v>-128000</v>
      </c>
      <c r="F30" s="293" t="n">
        <v>0</v>
      </c>
      <c r="G30" s="293" t="n">
        <v>490000</v>
      </c>
      <c r="H30" s="296">
        <f>SUM(C30:G30)</f>
        <v/>
      </c>
    </row>
    <row r="31" ht="12.75" customHeight="1">
      <c r="A31" s="112" t="inlineStr">
        <is>
          <t>2400201</t>
        </is>
      </c>
      <c r="B31" s="112" t="inlineStr">
        <is>
          <t>LM ABN AMRO Bank Deposit NL57 ABNA 0541 6205 68</t>
        </is>
      </c>
      <c r="C31" s="293" t="n">
        <v>1648</v>
      </c>
      <c r="D31" s="293" t="n">
        <v>-43252</v>
      </c>
      <c r="E31" s="293" t="n">
        <v>43840</v>
      </c>
      <c r="F31" s="293" t="n">
        <v>2207</v>
      </c>
      <c r="G31" s="293" t="n">
        <v>51</v>
      </c>
      <c r="H31" s="296">
        <f>SUM(C31:G31)</f>
        <v/>
      </c>
    </row>
    <row r="32" ht="12.75" customHeight="1">
      <c r="A32" s="112" t="inlineStr">
        <is>
          <t>2400202</t>
        </is>
      </c>
      <c r="B32" s="112" t="inlineStr">
        <is>
          <t>LM ABN AMRO Bank General NL93 ABNA 0541 6132 27</t>
        </is>
      </c>
      <c r="C32" s="293" t="n">
        <v>179</v>
      </c>
      <c r="D32" s="293" t="n">
        <v>0</v>
      </c>
      <c r="E32" s="293" t="n">
        <v>-106</v>
      </c>
      <c r="F32" s="293" t="n">
        <v>0</v>
      </c>
      <c r="H32" s="296">
        <f>SUM(C32:G32)</f>
        <v/>
      </c>
    </row>
    <row r="33" ht="12.75" customHeight="1">
      <c r="A33" s="112" t="inlineStr">
        <is>
          <t>2400203</t>
        </is>
      </c>
      <c r="B33" s="112" t="inlineStr">
        <is>
          <t>LM ABN AMRO Bank Maintres NL04 ABNA 0541 6188 06</t>
        </is>
      </c>
      <c r="C33" s="293" t="n">
        <v>20139</v>
      </c>
      <c r="D33" s="293" t="n">
        <v>-13039</v>
      </c>
      <c r="E33" s="293" t="n">
        <v>-5557</v>
      </c>
      <c r="F33" s="293" t="n">
        <v>-827</v>
      </c>
      <c r="G33" s="293" t="n">
        <v>6673</v>
      </c>
      <c r="H33" s="296">
        <f>SUM(C33:G33)</f>
        <v/>
      </c>
    </row>
    <row r="34" ht="12.75" customHeight="1">
      <c r="A34" s="112" t="inlineStr">
        <is>
          <t>2400204</t>
        </is>
      </c>
      <c r="B34" s="112" t="inlineStr">
        <is>
          <t>LM ABN AMRO Bank Rent NL46 ABNA 0541 6088 35</t>
        </is>
      </c>
      <c r="C34" s="293" t="n">
        <v>395135</v>
      </c>
      <c r="D34" s="293" t="n">
        <v>-45193</v>
      </c>
      <c r="E34" s="293" t="n">
        <v>-137878</v>
      </c>
      <c r="F34" s="293" t="n">
        <v>-145584</v>
      </c>
      <c r="G34" s="293" t="n">
        <v>227168</v>
      </c>
      <c r="H34" s="296">
        <f>SUM(C34:G34)</f>
        <v/>
      </c>
    </row>
    <row r="35" ht="12.75" customHeight="1">
      <c r="A35" s="112" t="inlineStr">
        <is>
          <t>2400205</t>
        </is>
      </c>
      <c r="B35" s="112" t="inlineStr">
        <is>
          <t>LM ABN AMRO Bank SR EXP NL88 ABNA 0541 6205 92</t>
        </is>
      </c>
      <c r="C35" s="293" t="n">
        <v>12212</v>
      </c>
      <c r="D35" s="293" t="n">
        <v>-9997</v>
      </c>
      <c r="E35" s="293" t="n">
        <v>13147</v>
      </c>
      <c r="F35" s="293" t="n">
        <v>-6182</v>
      </c>
      <c r="G35" s="293" t="n">
        <v>138903</v>
      </c>
      <c r="H35" s="296">
        <f>SUM(C35:G35)</f>
        <v/>
      </c>
    </row>
    <row r="36" ht="12.75" customHeight="1">
      <c r="A36" s="112" t="inlineStr">
        <is>
          <t>2400206</t>
        </is>
      </c>
      <c r="B36" s="112" t="inlineStr">
        <is>
          <t>LM ABN AMRO Bank Capex NL11 ABNA 0114 3362 02</t>
        </is>
      </c>
      <c r="C36" s="293" t="n">
        <v>-17</v>
      </c>
      <c r="D36" s="293" t="n">
        <v>0</v>
      </c>
      <c r="E36" s="293" t="n">
        <v>0</v>
      </c>
      <c r="F36" s="293" t="n">
        <v>5661</v>
      </c>
      <c r="H36" s="296">
        <f>SUM(C36:G36)</f>
        <v/>
      </c>
    </row>
    <row r="37" ht="12.75" customHeight="1">
      <c r="A37" s="112" t="n"/>
      <c r="B37" s="112" t="n"/>
      <c r="H37" s="112" t="n"/>
    </row>
    <row r="38" ht="12.75" customHeight="1">
      <c r="A38" s="254" t="inlineStr">
        <is>
          <t>Eigen vermogen</t>
        </is>
      </c>
      <c r="B38" s="112" t="n"/>
      <c r="H38" s="112" t="n"/>
    </row>
    <row r="39" ht="12.75" customHeight="1">
      <c r="A39" s="112" t="inlineStr">
        <is>
          <t>1000002</t>
        </is>
      </c>
      <c r="B39" s="112" t="inlineStr">
        <is>
          <t>EV Normale aandelen  Saldo</t>
        </is>
      </c>
      <c r="C39" s="293" t="n">
        <v>-1</v>
      </c>
      <c r="D39" s="293" t="n">
        <v>0</v>
      </c>
      <c r="E39" s="293" t="n">
        <v>0</v>
      </c>
      <c r="F39" s="293" t="n">
        <v>0</v>
      </c>
      <c r="G39" s="293" t="n">
        <v>0</v>
      </c>
      <c r="H39" s="296">
        <f>SUM(C39:G39)</f>
        <v/>
      </c>
    </row>
    <row r="40" ht="12.75" customHeight="1">
      <c r="A40" s="112" t="inlineStr">
        <is>
          <t>1100000</t>
        </is>
      </c>
      <c r="B40" s="112" t="inlineStr">
        <is>
          <t>EV Agioreserve Agio aandelen</t>
        </is>
      </c>
      <c r="C40" s="293" t="n">
        <v>-18931219</v>
      </c>
      <c r="D40" s="293" t="n">
        <v>0</v>
      </c>
      <c r="E40" s="293" t="n">
        <v>0</v>
      </c>
      <c r="F40" s="293" t="n">
        <v>0</v>
      </c>
      <c r="G40" s="293" t="n">
        <v>0</v>
      </c>
      <c r="H40" s="296">
        <f>SUM(C40:G40)</f>
        <v/>
      </c>
    </row>
    <row r="41" ht="12.75" customHeight="1">
      <c r="A41" s="112" t="inlineStr">
        <is>
          <t>1160000</t>
        </is>
      </c>
      <c r="B41" s="112" t="inlineStr">
        <is>
          <t>EV Overige reserve Reserve aandelen</t>
        </is>
      </c>
      <c r="C41" s="293">
        <f>7605149-742784</f>
        <v/>
      </c>
      <c r="D41" s="293" t="n">
        <v>0</v>
      </c>
      <c r="E41" s="293" t="n">
        <v>0</v>
      </c>
      <c r="F41" s="293" t="n">
        <v>0</v>
      </c>
      <c r="G41" s="293" t="n">
        <v>0</v>
      </c>
      <c r="H41" s="296">
        <f>SUM(C41:G41)</f>
        <v/>
      </c>
    </row>
    <row r="42" ht="12.75" customHeight="1">
      <c r="A42" s="112" t="n"/>
      <c r="B42" s="112" t="n"/>
      <c r="H42" s="112" t="n"/>
    </row>
    <row r="43" ht="12.75" customHeight="1">
      <c r="A43" s="254" t="inlineStr">
        <is>
          <t>Langlopende schulden</t>
        </is>
      </c>
      <c r="B43" s="112" t="n"/>
      <c r="H43" s="112" t="n"/>
    </row>
    <row r="44" ht="12.75" customHeight="1">
      <c r="A44" s="112" t="inlineStr">
        <is>
          <t>1930001</t>
        </is>
      </c>
      <c r="B44" s="112" t="inlineStr">
        <is>
          <t>LLS Hoofdsom ABN AMRO Bank NV Senior Facility Agreement</t>
        </is>
      </c>
      <c r="C44" s="293" t="n">
        <v>-168320325</v>
      </c>
      <c r="D44" s="293" t="n">
        <v>0</v>
      </c>
      <c r="E44" s="293" t="n">
        <v>0</v>
      </c>
      <c r="F44" s="293" t="n">
        <v>-755661</v>
      </c>
      <c r="G44" s="293" t="n">
        <v>0</v>
      </c>
      <c r="H44" s="296">
        <f>SUM(C44:G44)</f>
        <v/>
      </c>
    </row>
    <row r="45" ht="12.75" customHeight="1">
      <c r="A45" s="112" t="inlineStr">
        <is>
          <t>1930101</t>
        </is>
      </c>
      <c r="B45" s="112" t="inlineStr">
        <is>
          <t>LLS Cum aflossingen ABN AMRO Bank NV Senior Facility Agreement</t>
        </is>
      </c>
      <c r="C45" s="293" t="n">
        <v>29710891</v>
      </c>
      <c r="D45" s="293" t="n">
        <v>531000</v>
      </c>
      <c r="E45" s="293" t="n">
        <v>1446000</v>
      </c>
      <c r="F45" s="293" t="n">
        <v>1621000</v>
      </c>
      <c r="G45" s="293" t="n">
        <v>863000</v>
      </c>
      <c r="H45" s="296">
        <f>SUM(C45:G45)</f>
        <v/>
      </c>
    </row>
    <row r="46" ht="12.75" customHeight="1">
      <c r="A46" s="112" t="inlineStr">
        <is>
          <t>1930200</t>
        </is>
      </c>
      <c r="B46" s="112" t="inlineStr">
        <is>
          <t>LLS Extension fee&amp; professional fees</t>
        </is>
      </c>
      <c r="C46" s="293" t="n">
        <v>523242</v>
      </c>
      <c r="D46" s="293" t="n">
        <v>-29070</v>
      </c>
      <c r="E46" s="293" t="n">
        <v>-29070</v>
      </c>
      <c r="F46" s="293" t="n">
        <v>-29070</v>
      </c>
      <c r="G46" s="293">
        <f>-9690-9690-9690</f>
        <v/>
      </c>
      <c r="H46" s="296">
        <f>SUM(C46:G46)</f>
        <v/>
      </c>
    </row>
    <row r="47" ht="12.75" customHeight="1">
      <c r="A47" s="112" t="n"/>
      <c r="B47" s="112" t="n"/>
      <c r="H47" s="112" t="n"/>
    </row>
    <row r="48" ht="12.75" customHeight="1">
      <c r="A48" s="254" t="inlineStr">
        <is>
          <t>Kortlopende schulden</t>
        </is>
      </c>
      <c r="B48" s="112" t="n"/>
      <c r="H48" s="112" t="n"/>
    </row>
    <row r="49" ht="12.75" customHeight="1">
      <c r="A49" s="112" t="inlineStr">
        <is>
          <t>2730000</t>
        </is>
      </c>
      <c r="B49" s="112" t="inlineStr">
        <is>
          <t>KLS Crediteuren</t>
        </is>
      </c>
      <c r="C49" s="293" t="n">
        <v>-695497</v>
      </c>
      <c r="D49" s="293" t="n">
        <v>459981</v>
      </c>
      <c r="E49" s="293" t="n">
        <v>-134612</v>
      </c>
      <c r="F49" s="293" t="n">
        <v>-65993</v>
      </c>
      <c r="G49" s="293" t="n">
        <v>-562454</v>
      </c>
      <c r="H49" s="296">
        <f>SUM(C49:G49)</f>
        <v/>
      </c>
    </row>
    <row r="50" ht="12.75" customHeight="1">
      <c r="A50" s="112" t="inlineStr">
        <is>
          <t>2730001</t>
        </is>
      </c>
      <c r="B50" s="112" t="inlineStr">
        <is>
          <t>KLS Crediteuren intercompany</t>
        </is>
      </c>
      <c r="C50" s="293" t="n">
        <v>-905480</v>
      </c>
      <c r="D50" s="293" t="n">
        <v>-13200</v>
      </c>
      <c r="E50" s="293" t="n">
        <v>-1500</v>
      </c>
      <c r="F50" s="293" t="n">
        <v>-12500</v>
      </c>
      <c r="G50" s="293" t="n">
        <v>-14700</v>
      </c>
      <c r="H50" s="296">
        <f>SUM(C50:G50)</f>
        <v/>
      </c>
    </row>
    <row r="51" ht="12.75" customHeight="1">
      <c r="A51" s="112" t="inlineStr">
        <is>
          <t>2620000</t>
        </is>
      </c>
      <c r="B51" s="112" t="inlineStr">
        <is>
          <t>RC Kortlopend D.M. Equity Partners C.V.</t>
        </is>
      </c>
      <c r="C51" s="293" t="n">
        <v>0</v>
      </c>
      <c r="D51" s="293" t="n">
        <v>0</v>
      </c>
      <c r="E51" s="293" t="n">
        <v>-200000</v>
      </c>
      <c r="F51" s="293" t="n">
        <v>-201205</v>
      </c>
      <c r="H51" s="296">
        <f>SUM(C51:G51)</f>
        <v/>
      </c>
    </row>
    <row r="52" ht="12.75" customHeight="1">
      <c r="A52" s="112" t="inlineStr">
        <is>
          <t>2640000</t>
        </is>
      </c>
      <c r="B52" s="112" t="inlineStr">
        <is>
          <t>RC Kortlopend DMRRP INV - I BV</t>
        </is>
      </c>
      <c r="C52" s="293" t="n">
        <v>-698482</v>
      </c>
      <c r="D52" s="293" t="n">
        <v>592347</v>
      </c>
      <c r="E52" s="293" t="n">
        <v>379578</v>
      </c>
      <c r="F52" s="293" t="n">
        <v>-356711</v>
      </c>
      <c r="G52" s="293" t="n">
        <v>464407</v>
      </c>
      <c r="H52" s="296">
        <f>SUM(C52:G52)</f>
        <v/>
      </c>
    </row>
    <row r="53" ht="12.75" customHeight="1">
      <c r="A53" s="112" t="inlineStr">
        <is>
          <t>2512100</t>
        </is>
      </c>
      <c r="B53" s="112" t="inlineStr">
        <is>
          <t>BEL Afgedragen/ontvangen BTW</t>
        </is>
      </c>
      <c r="C53" s="293" t="n">
        <v>-4969</v>
      </c>
      <c r="D53" s="293" t="n">
        <v>169</v>
      </c>
      <c r="E53" s="293" t="n">
        <v>-446</v>
      </c>
      <c r="F53" s="293" t="n">
        <v>-961</v>
      </c>
      <c r="G53" s="293" t="n">
        <v>-5308</v>
      </c>
      <c r="H53" s="296">
        <f>SUM(C53:G53)</f>
        <v/>
      </c>
    </row>
    <row r="54" ht="12.75" customHeight="1">
      <c r="A54" s="112" t="inlineStr">
        <is>
          <t>2740100</t>
        </is>
      </c>
      <c r="B54" s="112" t="inlineStr">
        <is>
          <t>KLS Vooruitgefactureerde bedragen</t>
        </is>
      </c>
      <c r="C54" s="293" t="n">
        <v>-156261</v>
      </c>
      <c r="D54" s="293" t="n">
        <v>-809308</v>
      </c>
      <c r="E54" s="293" t="n">
        <v>801</v>
      </c>
      <c r="F54" s="293" t="n">
        <v>1176</v>
      </c>
      <c r="G54" s="293" t="n">
        <v>-17077</v>
      </c>
      <c r="H54" s="296">
        <f>SUM(C54:G54)</f>
        <v/>
      </c>
    </row>
    <row r="55" ht="12.75" customHeight="1">
      <c r="A55" s="112" t="inlineStr">
        <is>
          <t>2740300</t>
        </is>
      </c>
      <c r="B55" s="112" t="inlineStr">
        <is>
          <t>KLS Te betalen waarborgsommen kortlopend</t>
        </is>
      </c>
      <c r="C55" s="293" t="n">
        <v>-907171</v>
      </c>
      <c r="D55" s="293" t="n">
        <v>-20234</v>
      </c>
      <c r="E55" s="293" t="n">
        <v>-8277</v>
      </c>
      <c r="F55" s="293" t="n">
        <v>-30315</v>
      </c>
      <c r="G55" s="293" t="n">
        <v>8491</v>
      </c>
      <c r="H55" s="296">
        <f>SUM(C55:G55)</f>
        <v/>
      </c>
    </row>
    <row r="56" ht="12.75" customHeight="1">
      <c r="A56" s="112" t="inlineStr">
        <is>
          <t>2740500</t>
        </is>
      </c>
      <c r="B56" s="112" t="inlineStr">
        <is>
          <t>KLS Te betalen accountants- en administratiekosten</t>
        </is>
      </c>
      <c r="C56" s="293" t="n">
        <v>-44599</v>
      </c>
      <c r="D56" s="293" t="n">
        <v>-401</v>
      </c>
      <c r="E56" s="293" t="n">
        <v>0</v>
      </c>
      <c r="F56" s="293" t="n">
        <v>0</v>
      </c>
      <c r="H56" s="296">
        <f>SUM(C56:G56)</f>
        <v/>
      </c>
    </row>
    <row r="57" ht="12.75" customHeight="1">
      <c r="A57" s="112" t="inlineStr">
        <is>
          <t>2741000</t>
        </is>
      </c>
      <c r="B57" s="112" t="inlineStr">
        <is>
          <t>KLS Te betalen servicekosten</t>
        </is>
      </c>
      <c r="C57" s="293" t="n">
        <v>129789</v>
      </c>
      <c r="D57" s="293" t="n">
        <v>32105</v>
      </c>
      <c r="E57" s="293" t="n">
        <v>-80946</v>
      </c>
      <c r="F57" s="293" t="n">
        <v>-89877</v>
      </c>
      <c r="G57" s="293" t="n">
        <v>8930</v>
      </c>
      <c r="H57" s="296">
        <f>SUM(C57:G57)</f>
        <v/>
      </c>
    </row>
    <row r="58" ht="12.75" customHeight="1">
      <c r="A58" s="112" t="inlineStr">
        <is>
          <t>2741001</t>
        </is>
      </c>
      <c r="B58" s="112" t="inlineStr">
        <is>
          <t>KLS Te betalen servicekosten -</t>
        </is>
      </c>
      <c r="C58" s="293" t="n">
        <v>0</v>
      </c>
      <c r="D58" s="293" t="n">
        <v>0</v>
      </c>
      <c r="E58" s="293" t="n">
        <v>0</v>
      </c>
      <c r="F58" s="293" t="n">
        <v>0</v>
      </c>
      <c r="H58" s="296">
        <f>SUM(C58:G58)</f>
        <v/>
      </c>
    </row>
    <row r="59" ht="12.75" customHeight="1">
      <c r="A59" s="112" t="inlineStr">
        <is>
          <t>2741004</t>
        </is>
      </c>
      <c r="B59" s="112" t="inlineStr">
        <is>
          <t>KLS Te betalen Hoen</t>
        </is>
      </c>
      <c r="C59" s="293" t="n">
        <v>-127308</v>
      </c>
      <c r="D59" s="293" t="n">
        <v>-127136</v>
      </c>
      <c r="E59" s="293" t="n">
        <v>-130845</v>
      </c>
      <c r="F59" s="293" t="n">
        <v>341806</v>
      </c>
      <c r="G59" s="293" t="n">
        <v>-130818</v>
      </c>
      <c r="H59" s="296">
        <f>SUM(C59:G59)</f>
        <v/>
      </c>
    </row>
    <row r="60" ht="12.75" customHeight="1">
      <c r="A60" s="112" t="inlineStr">
        <is>
          <t>2741200</t>
        </is>
      </c>
      <c r="B60" s="112" t="inlineStr">
        <is>
          <t>KLS Te betalen overige kosten</t>
        </is>
      </c>
      <c r="C60" s="293" t="n">
        <v>30000</v>
      </c>
      <c r="D60" s="293" t="n">
        <v>40000</v>
      </c>
      <c r="E60" s="293" t="n">
        <v>-40000</v>
      </c>
      <c r="F60" s="293">
        <f>-116207+2</f>
        <v/>
      </c>
      <c r="G60" s="293" t="n">
        <v>116207</v>
      </c>
      <c r="H60" s="296">
        <f>SUM(C60:G60)</f>
        <v/>
      </c>
    </row>
    <row r="61" ht="12.75" customHeight="1">
      <c r="A61" s="112" t="inlineStr">
        <is>
          <t>2742000</t>
        </is>
      </c>
      <c r="B61" s="112" t="inlineStr">
        <is>
          <t>KLS Vraagposten</t>
        </is>
      </c>
      <c r="C61" s="293" t="n">
        <v>0</v>
      </c>
      <c r="D61" s="293" t="n">
        <v>0</v>
      </c>
      <c r="E61" s="293" t="n">
        <v>0</v>
      </c>
      <c r="F61" s="293" t="n">
        <v>0</v>
      </c>
      <c r="G61" s="346" t="n"/>
      <c r="H61" s="296">
        <f>SUM(C61:G61)</f>
        <v/>
      </c>
      <c r="I61" s="1" t="inlineStr">
        <is>
          <t>Saldo regultatie 9999999999</t>
        </is>
      </c>
    </row>
    <row r="62" ht="12.75" customHeight="1">
      <c r="A62" s="112" t="inlineStr">
        <is>
          <t>2760000</t>
        </is>
      </c>
      <c r="B62" s="112" t="inlineStr">
        <is>
          <t>KLS Saldo lening DMRRP INV - I BV</t>
        </is>
      </c>
      <c r="C62" s="293" t="n">
        <v>0</v>
      </c>
      <c r="D62" s="293" t="n">
        <v>0</v>
      </c>
      <c r="E62" s="293" t="n">
        <v>0</v>
      </c>
      <c r="F62" s="293" t="n">
        <v>0</v>
      </c>
      <c r="H62" s="296">
        <f>SUM(C62:G62)</f>
        <v/>
      </c>
    </row>
    <row r="63" ht="12.75" customHeight="1">
      <c r="A63" s="112" t="n">
        <v>2502020</v>
      </c>
      <c r="B63" s="112" t="inlineStr">
        <is>
          <t>Servicekosten 2020</t>
        </is>
      </c>
      <c r="C63" s="293" t="n">
        <v>0</v>
      </c>
      <c r="D63" s="293" t="n">
        <v>0</v>
      </c>
      <c r="E63" s="293" t="n">
        <v>0</v>
      </c>
      <c r="F63" s="293" t="n">
        <v>789</v>
      </c>
      <c r="G63" s="293" t="n">
        <v>0</v>
      </c>
      <c r="H63" s="296">
        <f>SUM(C63:G63)</f>
        <v/>
      </c>
      <c r="I63" s="290" t="n"/>
    </row>
    <row r="64" ht="12.75" customHeight="1">
      <c r="A64" s="112" t="n">
        <v>2502021</v>
      </c>
      <c r="B64" s="112" t="inlineStr">
        <is>
          <t>Servicekosten 2021</t>
        </is>
      </c>
      <c r="C64" s="293" t="n">
        <v>0</v>
      </c>
      <c r="D64" s="293" t="n">
        <v>0</v>
      </c>
      <c r="E64" s="293" t="n">
        <v>0</v>
      </c>
      <c r="F64" s="293" t="n">
        <v>91489</v>
      </c>
      <c r="G64" s="293" t="n">
        <v>-2046</v>
      </c>
      <c r="H64" s="296">
        <f>SUM(C64:G64)</f>
        <v/>
      </c>
      <c r="I64" s="290" t="n"/>
    </row>
    <row r="65" ht="12.75" customHeight="1">
      <c r="A65" s="112" t="n">
        <v>2502022</v>
      </c>
      <c r="B65" s="112" t="inlineStr">
        <is>
          <t>Servicekosten 2022</t>
        </is>
      </c>
      <c r="C65" s="293" t="n">
        <v>0</v>
      </c>
      <c r="D65" s="293" t="n">
        <v>0</v>
      </c>
      <c r="E65" s="293" t="n">
        <v>0</v>
      </c>
      <c r="F65" s="293" t="n">
        <v>179376</v>
      </c>
      <c r="G65" s="293" t="n">
        <v>-27</v>
      </c>
      <c r="H65" s="296">
        <f>SUM(C65:G65)</f>
        <v/>
      </c>
      <c r="I65" s="290" t="n"/>
    </row>
    <row r="66" ht="12.75" customHeight="1">
      <c r="A66" s="112" t="n">
        <v>2502023</v>
      </c>
      <c r="B66" s="112" t="inlineStr">
        <is>
          <t>Servicekosten 2023</t>
        </is>
      </c>
      <c r="C66" s="293" t="n">
        <v>0</v>
      </c>
      <c r="D66" s="293" t="n">
        <v>0</v>
      </c>
      <c r="E66" s="293" t="n">
        <v>0</v>
      </c>
      <c r="F66" s="293">
        <f>160650+179864</f>
        <v/>
      </c>
      <c r="G66" s="293">
        <f>-3822-179864</f>
        <v/>
      </c>
      <c r="H66" s="296">
        <f>SUM(C66:G66)</f>
        <v/>
      </c>
      <c r="I66" s="290" t="n"/>
    </row>
    <row r="67" ht="12.75" customHeight="1">
      <c r="A67" s="302" t="inlineStr">
        <is>
          <t>2502024</t>
        </is>
      </c>
      <c r="B67" s="302" t="inlineStr">
        <is>
          <t>Servicekosten 2024</t>
        </is>
      </c>
      <c r="C67" s="293" t="n">
        <v>0</v>
      </c>
      <c r="D67" s="293" t="n">
        <v>0</v>
      </c>
      <c r="E67" s="293" t="n">
        <v>0</v>
      </c>
      <c r="F67" s="293" t="n">
        <v>0</v>
      </c>
      <c r="G67" s="293" t="n">
        <v>-6716</v>
      </c>
      <c r="H67" s="296">
        <f>SUM(C67:G67)</f>
        <v/>
      </c>
    </row>
    <row r="68" ht="12.75" customHeight="1">
      <c r="A68" s="112" t="n"/>
      <c r="B68" s="112" t="n"/>
      <c r="H68" s="112" t="n"/>
    </row>
    <row r="69" ht="12.75" customHeight="1">
      <c r="A69" s="113" t="inlineStr">
        <is>
          <t>Winst- en verliesrekening (baten zijn negatief, kosten positief)</t>
        </is>
      </c>
      <c r="B69" s="112" t="n"/>
      <c r="H69" s="112" t="n"/>
    </row>
    <row r="70" ht="12.75" customHeight="1">
      <c r="A70" s="112" t="n"/>
      <c r="B70" s="112" t="n"/>
      <c r="H70" s="112" t="n"/>
    </row>
    <row r="71" ht="12.75" customHeight="1">
      <c r="A71" s="112" t="inlineStr">
        <is>
          <t>8000003</t>
        </is>
      </c>
      <c r="B71" s="112" t="inlineStr">
        <is>
          <t>OPB Netto-omzet Theoretische huuropbrengsten</t>
        </is>
      </c>
      <c r="D71" s="293" t="n">
        <v>-2984948</v>
      </c>
      <c r="E71" s="293" t="n">
        <v>-3069841</v>
      </c>
      <c r="F71" s="293" t="n">
        <v>-3070217</v>
      </c>
      <c r="G71" s="293" t="n">
        <v>-3068644</v>
      </c>
      <c r="H71" s="296">
        <f>SUM(C71:G71)</f>
        <v/>
      </c>
      <c r="I71" s="290" t="n"/>
    </row>
    <row r="72" ht="12.75" customHeight="1">
      <c r="A72" s="112" t="inlineStr">
        <is>
          <t>8000004</t>
        </is>
      </c>
      <c r="B72" s="112" t="inlineStr">
        <is>
          <t>OPB Netto-omzet Leegstand huuropbrengsten</t>
        </is>
      </c>
      <c r="D72" s="293" t="n">
        <v>56557</v>
      </c>
      <c r="E72" s="293" t="n">
        <v>66842</v>
      </c>
      <c r="F72" s="293" t="n">
        <v>59363</v>
      </c>
      <c r="G72" s="293" t="n">
        <v>55043</v>
      </c>
      <c r="H72" s="296">
        <f>SUM(C72:G72)</f>
        <v/>
      </c>
      <c r="I72" s="290" t="n"/>
    </row>
    <row r="73" ht="12.75" customHeight="1">
      <c r="A73" s="112" t="n"/>
      <c r="B73" s="112" t="n"/>
      <c r="H73" s="296" t="n"/>
      <c r="I73" s="290" t="n"/>
    </row>
    <row r="74" ht="12.75" customHeight="1">
      <c r="A74" s="112" t="inlineStr">
        <is>
          <t>8400600</t>
        </is>
      </c>
      <c r="B74" s="112" t="inlineStr">
        <is>
          <t>OPB Overige bedrijfsopbrengsten Totale servicekosten</t>
        </is>
      </c>
      <c r="D74" s="293" t="n">
        <v>-166073</v>
      </c>
      <c r="E74" s="293" t="n">
        <v>-165720</v>
      </c>
      <c r="F74" s="293" t="n">
        <v>-158682</v>
      </c>
      <c r="G74" s="293" t="n">
        <v>-284</v>
      </c>
      <c r="H74" s="296">
        <f>SUM(C74:G74)</f>
        <v/>
      </c>
      <c r="I74" s="290" t="n"/>
    </row>
    <row r="75" ht="12.75" customHeight="1">
      <c r="A75" s="112" t="inlineStr">
        <is>
          <t>8400700</t>
        </is>
      </c>
      <c r="B75" s="112" t="inlineStr">
        <is>
          <t>OPB Overige bedrijfsopbrengsten Servicekosten leegstand</t>
        </is>
      </c>
      <c r="D75" s="293" t="n">
        <v>9645</v>
      </c>
      <c r="E75" s="293" t="n">
        <v>8306</v>
      </c>
      <c r="F75" s="293" t="n">
        <v>6138</v>
      </c>
      <c r="G75" s="293" t="n">
        <v>13194</v>
      </c>
      <c r="H75" s="296">
        <f>SUM(C75:G75)</f>
        <v/>
      </c>
      <c r="I75" s="290" t="n"/>
    </row>
    <row r="76" ht="12.75" customHeight="1">
      <c r="A76" s="112" t="inlineStr">
        <is>
          <t>8400800</t>
        </is>
      </c>
      <c r="B76" s="112" t="inlineStr">
        <is>
          <t>OPB Overige bedrijfsopbrengsten Gerealiseerde servicekosten</t>
        </is>
      </c>
      <c r="D76" s="293" t="n">
        <v>267955</v>
      </c>
      <c r="E76" s="293" t="n">
        <v>235052</v>
      </c>
      <c r="F76" s="293">
        <f>-122730-179864</f>
        <v/>
      </c>
      <c r="G76" s="293" t="n">
        <v>-43221</v>
      </c>
      <c r="H76" s="296">
        <f>SUM(C76:G76)</f>
        <v/>
      </c>
      <c r="I76" s="290" t="n"/>
    </row>
    <row r="77" ht="12.75" customHeight="1">
      <c r="A77" s="112" t="n"/>
      <c r="B77" s="112" t="n"/>
      <c r="H77" s="296" t="n"/>
      <c r="I77" s="290" t="n"/>
    </row>
    <row r="78" ht="12.75" customHeight="1">
      <c r="A78" s="112" t="inlineStr">
        <is>
          <t>4051400</t>
        </is>
      </c>
      <c r="B78" s="112" t="inlineStr">
        <is>
          <t>KN Diensten door derden</t>
        </is>
      </c>
      <c r="D78" s="293" t="n">
        <v>126357</v>
      </c>
      <c r="E78" s="293" t="n">
        <v>130077</v>
      </c>
      <c r="F78" s="293" t="n">
        <v>129917</v>
      </c>
      <c r="G78" s="293" t="n">
        <v>129820</v>
      </c>
      <c r="H78" s="296">
        <f>SUM(C78:G78)</f>
        <v/>
      </c>
      <c r="I78" s="290" t="n"/>
    </row>
    <row r="79" ht="12.75" customHeight="1">
      <c r="A79" s="112" t="n"/>
      <c r="B79" s="112" t="n"/>
      <c r="H79" s="296" t="n"/>
      <c r="I79" s="290" t="n"/>
    </row>
    <row r="80" ht="12.75" customHeight="1">
      <c r="A80" s="112" t="inlineStr">
        <is>
          <t>4730000</t>
        </is>
      </c>
      <c r="B80" s="112" t="inlineStr">
        <is>
          <t>AFKN Afschrijvingskosten -</t>
        </is>
      </c>
      <c r="D80" s="293" t="n">
        <v>706154</v>
      </c>
      <c r="E80" s="293" t="n">
        <v>722958</v>
      </c>
      <c r="F80" s="293" t="n">
        <v>747378</v>
      </c>
      <c r="G80" s="293" t="n">
        <v>753602</v>
      </c>
      <c r="H80" s="296">
        <f>SUM(C80:G80)</f>
        <v/>
      </c>
      <c r="I80" s="290" t="n"/>
    </row>
    <row r="81" ht="12.75" customHeight="1">
      <c r="A81" s="112" t="inlineStr">
        <is>
          <t>4730200</t>
        </is>
      </c>
      <c r="B81" s="112" t="inlineStr">
        <is>
          <t>AFKN Boekresultaat -</t>
        </is>
      </c>
      <c r="D81" s="293" t="n">
        <v>-315876</v>
      </c>
      <c r="E81" s="293" t="n">
        <v>-724209</v>
      </c>
      <c r="F81" s="293" t="n">
        <v>-1422615</v>
      </c>
      <c r="G81" s="293" t="n">
        <v>-990509</v>
      </c>
      <c r="H81" s="296">
        <f>SUM(C81:G81)</f>
        <v/>
      </c>
      <c r="I81" s="290" t="n"/>
    </row>
    <row r="82" ht="12.75" customHeight="1">
      <c r="A82" s="112" t="n"/>
      <c r="B82" s="112" t="n"/>
      <c r="H82" s="296" t="n"/>
      <c r="I82" s="290" t="n"/>
    </row>
    <row r="83" ht="12.75" customHeight="1">
      <c r="A83" s="112" t="inlineStr">
        <is>
          <t>4100400</t>
        </is>
      </c>
      <c r="B83" s="112" t="inlineStr">
        <is>
          <t>KN Onderhoud gebouwen</t>
        </is>
      </c>
      <c r="D83" s="293" t="n">
        <v>180974</v>
      </c>
      <c r="E83" s="293" t="n">
        <v>244925</v>
      </c>
      <c r="F83" s="293" t="n">
        <v>450180</v>
      </c>
      <c r="G83" s="293" t="n">
        <v>242739</v>
      </c>
      <c r="H83" s="296">
        <f>SUM(C83:G83)</f>
        <v/>
      </c>
      <c r="I83" s="290" t="n"/>
    </row>
    <row r="84" ht="12.75" customHeight="1">
      <c r="A84" s="112" t="inlineStr">
        <is>
          <t>4100900</t>
        </is>
      </c>
      <c r="B84" s="112" t="inlineStr">
        <is>
          <t>KN Onroerende zaakbelasting</t>
        </is>
      </c>
      <c r="D84" s="293" t="n">
        <v>80511</v>
      </c>
      <c r="E84" s="293" t="n">
        <v>85689</v>
      </c>
      <c r="F84" s="293" t="n">
        <v>81195</v>
      </c>
      <c r="G84" s="293" t="n">
        <v>87160</v>
      </c>
      <c r="H84" s="296">
        <f>SUM(C84:G84)</f>
        <v/>
      </c>
      <c r="I84" s="290" t="n"/>
      <c r="J84" s="290" t="n"/>
    </row>
    <row r="85" ht="12.75" customHeight="1">
      <c r="A85" s="112" t="inlineStr">
        <is>
          <t>4101000</t>
        </is>
      </c>
      <c r="B85" s="112" t="inlineStr">
        <is>
          <t>KN Vaste lasten</t>
        </is>
      </c>
      <c r="D85" s="293" t="n">
        <v>179863</v>
      </c>
      <c r="E85" s="293" t="n">
        <v>187224</v>
      </c>
      <c r="F85" s="293" t="n">
        <v>165587</v>
      </c>
      <c r="G85" s="293" t="n">
        <v>178643</v>
      </c>
      <c r="H85" s="296">
        <f>SUM(C85:G85)</f>
        <v/>
      </c>
      <c r="I85" s="290" t="n"/>
    </row>
    <row r="86" ht="12.75" customHeight="1">
      <c r="A86" s="112" t="inlineStr">
        <is>
          <t>4100410</t>
        </is>
      </c>
      <c r="B86" s="112" t="inlineStr">
        <is>
          <t>Verhuurdersheffing</t>
        </is>
      </c>
      <c r="D86" s="293" t="n">
        <v>-6167</v>
      </c>
      <c r="E86" s="293" t="n">
        <v>0</v>
      </c>
      <c r="F86" s="293" t="n">
        <v>0</v>
      </c>
      <c r="G86" s="293" t="n">
        <v>0</v>
      </c>
      <c r="H86" s="296">
        <f>SUM(C86:G86)</f>
        <v/>
      </c>
      <c r="I86" s="290" t="n"/>
    </row>
    <row r="87" ht="12.75" customHeight="1">
      <c r="A87" s="112" t="inlineStr">
        <is>
          <t>4101010</t>
        </is>
      </c>
      <c r="B87" s="112" t="inlineStr">
        <is>
          <t>Gemeentelijke belastingen</t>
        </is>
      </c>
      <c r="D87" s="293" t="n">
        <v>13693</v>
      </c>
      <c r="E87" s="293" t="n">
        <v>451</v>
      </c>
      <c r="F87" s="293" t="n">
        <v>0</v>
      </c>
      <c r="G87" s="293" t="n">
        <v>32010</v>
      </c>
      <c r="H87" s="296">
        <f>SUM(C87:G87)</f>
        <v/>
      </c>
      <c r="I87" s="290" t="n"/>
      <c r="J87" s="290" t="n"/>
    </row>
    <row r="88" ht="12.75" customHeight="1">
      <c r="A88" s="112" t="inlineStr">
        <is>
          <t>4101020</t>
        </is>
      </c>
      <c r="B88" s="112" t="inlineStr">
        <is>
          <t>Waterschapsbelasting</t>
        </is>
      </c>
      <c r="D88" s="293" t="n">
        <v>39881</v>
      </c>
      <c r="E88" s="293" t="n">
        <v>44192</v>
      </c>
      <c r="F88" s="293" t="n">
        <v>3224</v>
      </c>
      <c r="G88" s="293" t="n">
        <v>8746</v>
      </c>
      <c r="H88" s="296">
        <f>SUM(C88:G88)</f>
        <v/>
      </c>
      <c r="I88" s="290" t="n"/>
    </row>
    <row r="89" ht="12.75" customHeight="1">
      <c r="A89" s="112" t="inlineStr">
        <is>
          <t>4101300</t>
        </is>
      </c>
      <c r="B89" s="112" t="inlineStr">
        <is>
          <t>KN Servicekosten leegstand</t>
        </is>
      </c>
      <c r="D89" s="293" t="n">
        <v>-77</v>
      </c>
      <c r="E89" s="293" t="n">
        <v>-126</v>
      </c>
      <c r="F89" s="293" t="n">
        <v>0</v>
      </c>
      <c r="G89" s="293" t="n">
        <v>0</v>
      </c>
      <c r="H89" s="296">
        <f>SUM(C89:G89)</f>
        <v/>
      </c>
      <c r="I89" s="290" t="n"/>
    </row>
    <row r="90" ht="12.75" customHeight="1">
      <c r="A90" s="112" t="n"/>
      <c r="B90" s="112" t="n"/>
      <c r="H90" s="296" t="n"/>
      <c r="I90" s="290" t="n"/>
    </row>
    <row r="91" ht="12.75" customHeight="1">
      <c r="A91" s="112" t="inlineStr">
        <is>
          <t>4501200</t>
        </is>
      </c>
      <c r="B91" s="112" t="inlineStr">
        <is>
          <t>KN Mutatie voorziening dubieuze debiteuren</t>
        </is>
      </c>
      <c r="D91" s="293" t="n">
        <v>0</v>
      </c>
      <c r="E91" s="293" t="n">
        <v>0</v>
      </c>
      <c r="F91" s="293" t="n">
        <v>-68505</v>
      </c>
      <c r="G91" s="293" t="n">
        <v>23863</v>
      </c>
      <c r="H91" s="296">
        <f>SUM(C91:G91)</f>
        <v/>
      </c>
      <c r="I91" s="290" t="n"/>
    </row>
    <row r="92" ht="12.75" customHeight="1">
      <c r="A92" s="112" t="inlineStr">
        <is>
          <t>4501300</t>
        </is>
      </c>
      <c r="B92" s="112" t="inlineStr">
        <is>
          <t>KN Afboeking dubieuze debiteuren</t>
        </is>
      </c>
      <c r="D92" s="293" t="n">
        <v>-4832</v>
      </c>
      <c r="E92" s="293" t="n">
        <v>1767</v>
      </c>
      <c r="F92" s="293" t="n">
        <v>9614</v>
      </c>
      <c r="G92" s="293" t="n">
        <v>0</v>
      </c>
      <c r="H92" s="296">
        <f>SUM(C92:G92)</f>
        <v/>
      </c>
      <c r="I92" s="290" t="n"/>
    </row>
    <row r="93" ht="12.75" customHeight="1">
      <c r="A93" s="112" t="n"/>
      <c r="B93" s="112" t="n"/>
      <c r="H93" s="296" t="n"/>
      <c r="I93" s="290" t="n"/>
    </row>
    <row r="94" ht="12.75" customHeight="1">
      <c r="A94" s="112" t="inlineStr">
        <is>
          <t>4300200</t>
        </is>
      </c>
      <c r="B94" s="112" t="inlineStr">
        <is>
          <t>KN Communicatiekosten</t>
        </is>
      </c>
      <c r="D94" s="293" t="n">
        <v>0</v>
      </c>
      <c r="E94" s="293" t="n">
        <v>0</v>
      </c>
      <c r="F94" s="293" t="n">
        <v>145</v>
      </c>
      <c r="G94" s="293" t="n">
        <v>0</v>
      </c>
      <c r="H94" s="296">
        <f>SUM(C94:G94)</f>
        <v/>
      </c>
      <c r="I94" s="290" t="n"/>
    </row>
    <row r="95" ht="12.75" customHeight="1">
      <c r="A95" s="112" t="inlineStr">
        <is>
          <t>4300500</t>
        </is>
      </c>
      <c r="B95" s="112" t="inlineStr">
        <is>
          <t>KN Incassokosten</t>
        </is>
      </c>
      <c r="D95" s="293" t="n">
        <v>300</v>
      </c>
      <c r="E95" s="293" t="n">
        <v>0</v>
      </c>
      <c r="F95" s="293" t="n">
        <v>3002</v>
      </c>
      <c r="G95" s="293" t="n">
        <v>300</v>
      </c>
      <c r="H95" s="296">
        <f>SUM(C95:G95)</f>
        <v/>
      </c>
      <c r="I95" s="290" t="n"/>
    </row>
    <row r="96" ht="12.75" customHeight="1">
      <c r="A96" s="112" t="n"/>
      <c r="B96" s="112" t="n"/>
      <c r="H96" s="296" t="n"/>
      <c r="I96" s="290" t="n"/>
    </row>
    <row r="97" ht="12.75" customHeight="1">
      <c r="A97" s="112" t="inlineStr">
        <is>
          <t>4310400</t>
        </is>
      </c>
      <c r="B97" s="112" t="inlineStr">
        <is>
          <t>KN Assurantiepremie algemeen</t>
        </is>
      </c>
      <c r="D97" s="293" t="n">
        <v>44011</v>
      </c>
      <c r="E97" s="293" t="n">
        <v>28767</v>
      </c>
      <c r="F97" s="293" t="n">
        <v>38355</v>
      </c>
      <c r="G97" s="293" t="n">
        <v>28580</v>
      </c>
      <c r="H97" s="296">
        <f>SUM(C97:G97)</f>
        <v/>
      </c>
      <c r="I97" s="290" t="n"/>
      <c r="J97" s="290" t="n"/>
    </row>
    <row r="98" ht="12.75" customHeight="1">
      <c r="A98" s="112" t="inlineStr">
        <is>
          <t>4310500</t>
        </is>
      </c>
      <c r="B98" s="112" t="inlineStr">
        <is>
          <t>KN Managementvergoeding</t>
        </is>
      </c>
      <c r="D98" s="293" t="n">
        <v>1500</v>
      </c>
      <c r="E98" s="293" t="n">
        <v>1500</v>
      </c>
      <c r="F98" s="293" t="n">
        <v>1500</v>
      </c>
      <c r="G98" s="293" t="n">
        <v>1500</v>
      </c>
      <c r="H98" s="296">
        <f>SUM(C98:G98)</f>
        <v/>
      </c>
      <c r="I98" s="290" t="n"/>
    </row>
    <row r="99" ht="12.75" customHeight="1">
      <c r="A99" s="112" t="inlineStr">
        <is>
          <t>4310600</t>
        </is>
      </c>
      <c r="B99" s="112" t="inlineStr">
        <is>
          <t>KN Accountantskosten</t>
        </is>
      </c>
      <c r="D99" s="293" t="n">
        <v>52124</v>
      </c>
      <c r="E99" s="293" t="n">
        <v>3123</v>
      </c>
      <c r="F99" s="293" t="n">
        <v>24818</v>
      </c>
      <c r="G99" s="293" t="n">
        <v>39840</v>
      </c>
      <c r="H99" s="296">
        <f>SUM(C99:G99)</f>
        <v/>
      </c>
      <c r="I99" s="290" t="n"/>
    </row>
    <row r="100" ht="12.75" customHeight="1">
      <c r="A100" s="112" t="inlineStr">
        <is>
          <t>4310700</t>
        </is>
      </c>
      <c r="B100" s="112" t="inlineStr">
        <is>
          <t>KN Administratiekosten</t>
        </is>
      </c>
      <c r="D100" s="293" t="n">
        <v>1398</v>
      </c>
      <c r="E100" s="293" t="n">
        <v>3993</v>
      </c>
      <c r="F100" s="293" t="n">
        <v>2281</v>
      </c>
      <c r="G100" s="293" t="n">
        <v>1398</v>
      </c>
      <c r="H100" s="296">
        <f>SUM(C100:G100)</f>
        <v/>
      </c>
      <c r="I100" s="290" t="n"/>
    </row>
    <row r="101" ht="12.75" customHeight="1">
      <c r="A101" s="112" t="inlineStr">
        <is>
          <t>4310800</t>
        </is>
      </c>
      <c r="B101" s="112" t="inlineStr">
        <is>
          <t>KN Notariskosten</t>
        </is>
      </c>
      <c r="D101" s="293" t="n">
        <v>42090</v>
      </c>
      <c r="E101" s="293" t="n">
        <v>56784</v>
      </c>
      <c r="F101" s="293" t="n">
        <v>81565</v>
      </c>
      <c r="G101" s="293" t="n">
        <v>56181</v>
      </c>
      <c r="H101" s="296">
        <f>SUM(C101:G101)</f>
        <v/>
      </c>
      <c r="I101" s="290" t="n"/>
    </row>
    <row r="102" ht="12.75" customHeight="1">
      <c r="A102" s="112" t="inlineStr">
        <is>
          <t>4311000</t>
        </is>
      </c>
      <c r="B102" s="112" t="inlineStr">
        <is>
          <t>KN Juridische kosten</t>
        </is>
      </c>
      <c r="D102" s="293" t="n">
        <v>21205</v>
      </c>
      <c r="E102" s="293" t="n">
        <v>12854</v>
      </c>
      <c r="F102" s="293" t="n">
        <v>30812</v>
      </c>
      <c r="G102" s="293" t="n">
        <v>11000</v>
      </c>
      <c r="H102" s="296">
        <f>SUM(C102:G102)</f>
        <v/>
      </c>
      <c r="I102" s="290" t="n"/>
    </row>
    <row r="103" ht="12.75" customHeight="1">
      <c r="A103" s="112" t="inlineStr">
        <is>
          <t>4311800</t>
        </is>
      </c>
      <c r="B103" s="112" t="inlineStr">
        <is>
          <t>KN Advieskosten</t>
        </is>
      </c>
      <c r="D103" s="293" t="n">
        <v>13200</v>
      </c>
      <c r="E103" s="293" t="n">
        <v>8800</v>
      </c>
      <c r="F103" s="293" t="n">
        <v>11000</v>
      </c>
      <c r="G103" s="293" t="n">
        <v>13200</v>
      </c>
      <c r="H103" s="296">
        <f>SUM(C103:G103)</f>
        <v/>
      </c>
      <c r="I103" s="290" t="n"/>
    </row>
    <row r="104" ht="12.75" customHeight="1">
      <c r="A104" s="112" t="inlineStr">
        <is>
          <t>4311900</t>
        </is>
      </c>
      <c r="B104" s="112" t="inlineStr">
        <is>
          <t>KN Bankkosten</t>
        </is>
      </c>
      <c r="D104" s="293" t="n">
        <v>33313</v>
      </c>
      <c r="E104" s="293" t="n">
        <v>33277</v>
      </c>
      <c r="F104" s="293" t="n">
        <v>94379</v>
      </c>
      <c r="G104" s="355">
        <f>8388+21752</f>
        <v/>
      </c>
      <c r="H104" s="296">
        <f>SUM(C104:G104)</f>
        <v/>
      </c>
      <c r="I104" s="290" t="n"/>
    </row>
    <row r="105" ht="12.75" customHeight="1">
      <c r="A105" s="112" t="inlineStr">
        <is>
          <t>4312600</t>
        </is>
      </c>
      <c r="B105" s="112" t="inlineStr">
        <is>
          <t>KN Diverse lasten</t>
        </is>
      </c>
      <c r="D105" s="293" t="n">
        <v>0</v>
      </c>
      <c r="E105" s="293" t="n">
        <v>40000</v>
      </c>
      <c r="F105" s="293" t="n">
        <v>0</v>
      </c>
      <c r="G105" s="293" t="n">
        <v>0</v>
      </c>
      <c r="H105" s="296">
        <f>SUM(C105:G105)</f>
        <v/>
      </c>
      <c r="I105" s="290" t="n"/>
    </row>
    <row r="106" ht="12.75" customHeight="1">
      <c r="A106" s="112" t="inlineStr">
        <is>
          <t>4319800</t>
        </is>
      </c>
      <c r="B106" s="112" t="inlineStr">
        <is>
          <t>KN Overige algemene kosten</t>
        </is>
      </c>
      <c r="D106" s="293" t="n">
        <v>7984</v>
      </c>
      <c r="E106" s="293" t="n">
        <v>5515</v>
      </c>
      <c r="F106" s="293" t="n">
        <v>-971</v>
      </c>
      <c r="G106" s="293" t="n">
        <v>1946</v>
      </c>
      <c r="H106" s="296">
        <f>SUM(C106:G106)</f>
        <v/>
      </c>
      <c r="I106" s="290" t="n"/>
    </row>
    <row r="107" ht="12.75" customHeight="1">
      <c r="A107" s="112" t="n"/>
      <c r="B107" s="112" t="n"/>
      <c r="H107" s="296" t="n"/>
      <c r="I107" s="290" t="n"/>
    </row>
    <row r="108" ht="12.75" customHeight="1">
      <c r="A108" s="112" t="inlineStr">
        <is>
          <t>4601000</t>
        </is>
      </c>
      <c r="B108" s="112" t="inlineStr">
        <is>
          <t>FINBL Rente RC D.M. Equity Partners C.V.</t>
        </is>
      </c>
      <c r="D108" s="293" t="n">
        <v>0</v>
      </c>
      <c r="E108" s="293" t="n">
        <v>0</v>
      </c>
      <c r="F108" s="293" t="n">
        <v>1205</v>
      </c>
      <c r="G108" s="293" t="n">
        <v>0</v>
      </c>
      <c r="H108" s="296">
        <f>SUM(C108:G108)</f>
        <v/>
      </c>
      <c r="I108" s="290" t="n"/>
    </row>
    <row r="109" ht="12.75" customHeight="1">
      <c r="A109" s="112" t="inlineStr">
        <is>
          <t>4611000</t>
        </is>
      </c>
      <c r="B109" s="112" t="inlineStr">
        <is>
          <t>FINBL Rente RC DMRRP INV - I BV</t>
        </is>
      </c>
      <c r="D109" s="293" t="n">
        <v>0</v>
      </c>
      <c r="E109" s="293" t="n">
        <v>0</v>
      </c>
      <c r="F109" s="293" t="n">
        <v>3371</v>
      </c>
      <c r="G109" s="293" t="n">
        <v>0</v>
      </c>
      <c r="H109" s="296">
        <f>SUM(C109:G109)</f>
        <v/>
      </c>
      <c r="I109" s="290" t="n"/>
    </row>
    <row r="110" ht="12.75" customHeight="1">
      <c r="A110" s="112" t="inlineStr">
        <is>
          <t>4620200</t>
        </is>
      </c>
      <c r="B110" s="112" t="inlineStr">
        <is>
          <t>FINBL Rente ABN AMRO Bank Disposal NL58 ABNA 0818 9180 39</t>
        </is>
      </c>
      <c r="D110" s="293" t="n">
        <v>57</v>
      </c>
      <c r="E110" s="293" t="n">
        <v>2</v>
      </c>
      <c r="F110" s="293" t="n">
        <v>58</v>
      </c>
      <c r="G110" s="293" t="n">
        <v>0</v>
      </c>
      <c r="H110" s="296">
        <f>SUM(C110:G110)</f>
        <v/>
      </c>
      <c r="I110" s="290" t="n"/>
    </row>
    <row r="111" ht="12.75" customHeight="1">
      <c r="A111" s="112" t="inlineStr">
        <is>
          <t>4623001</t>
        </is>
      </c>
      <c r="B111" s="112" t="inlineStr">
        <is>
          <t>FINBL Rente ABN AMRO Bank NV Senior Facility Agreement</t>
        </is>
      </c>
      <c r="D111" s="293" t="n">
        <v>1669531</v>
      </c>
      <c r="E111" s="293" t="n">
        <v>1865024</v>
      </c>
      <c r="F111" s="293" t="n">
        <v>1976244</v>
      </c>
      <c r="G111" s="293" t="n">
        <v>1936807</v>
      </c>
      <c r="H111" s="296">
        <f>SUM(C111:G111)</f>
        <v/>
      </c>
      <c r="I111" s="290" t="n"/>
    </row>
    <row r="112" ht="12.75" customHeight="1">
      <c r="A112" s="112" t="inlineStr">
        <is>
          <t>4643000</t>
        </is>
      </c>
      <c r="B112" s="112" t="inlineStr">
        <is>
          <t>FINBL Overige rentelasten</t>
        </is>
      </c>
      <c r="D112" s="293" t="n">
        <v>9993</v>
      </c>
      <c r="E112" s="293" t="n">
        <v>-143487</v>
      </c>
      <c r="F112" s="293" t="n">
        <v>-237844</v>
      </c>
      <c r="G112" s="355" t="n">
        <v>-199617</v>
      </c>
      <c r="H112" s="296">
        <f>SUM(C112:G112)</f>
        <v/>
      </c>
      <c r="I112" s="290" t="n"/>
      <c r="K112" s="290" t="n"/>
    </row>
    <row r="113" ht="12.75" customHeight="1">
      <c r="A113" s="112" t="inlineStr">
        <is>
          <t>4642000</t>
        </is>
      </c>
      <c r="B113" s="112" t="inlineStr">
        <is>
          <t>FINBL Overige rentebaten</t>
        </is>
      </c>
      <c r="D113" s="293" t="n">
        <v>0</v>
      </c>
      <c r="E113" s="293" t="n">
        <v>0</v>
      </c>
      <c r="F113" s="293" t="n">
        <v>0</v>
      </c>
      <c r="G113" s="293" t="n">
        <v>-51</v>
      </c>
      <c r="H113" s="296">
        <f>SUM(C113:G113)</f>
        <v/>
      </c>
      <c r="I113" s="290" t="n"/>
    </row>
    <row r="114" ht="12.75" customHeight="1">
      <c r="A114" s="112" t="inlineStr">
        <is>
          <t>4663000</t>
        </is>
      </c>
      <c r="B114" s="112" t="inlineStr">
        <is>
          <t>FINBL Rente vord DMRRP INV - I BV</t>
        </is>
      </c>
      <c r="D114" s="293" t="n">
        <v>-456978</v>
      </c>
      <c r="E114" s="293" t="n">
        <v>-510488</v>
      </c>
      <c r="F114" s="293" t="n">
        <v>-540931</v>
      </c>
      <c r="G114" s="293" t="n">
        <v>-524297</v>
      </c>
      <c r="H114" s="296">
        <f>SUM(C114:G114)</f>
        <v/>
      </c>
      <c r="I114" s="290" t="n"/>
    </row>
    <row r="115" ht="12.75" customHeight="1">
      <c r="A115" s="112" t="n"/>
      <c r="B115" s="112" t="n"/>
      <c r="H115" s="296" t="n"/>
      <c r="I115" s="290" t="n"/>
    </row>
    <row r="116" ht="12.75" customHeight="1">
      <c r="A116" s="112" t="inlineStr">
        <is>
          <t>9500000</t>
        </is>
      </c>
      <c r="B116" s="112" t="inlineStr">
        <is>
          <t>VPB Vennootschapsbelasting VPB huidig jaar</t>
        </is>
      </c>
      <c r="D116" s="293" t="n">
        <v>0</v>
      </c>
      <c r="E116" s="293" t="n">
        <v>0</v>
      </c>
      <c r="F116" s="293" t="n">
        <v>2192564</v>
      </c>
      <c r="G116" s="293" t="n">
        <v>0</v>
      </c>
      <c r="H116" s="296">
        <f>SUM(C116:G116)</f>
        <v/>
      </c>
      <c r="I116" s="290" t="n"/>
    </row>
    <row r="117" ht="12.75" customHeight="1">
      <c r="A117" s="112" t="inlineStr">
        <is>
          <t>9510000</t>
        </is>
      </c>
      <c r="B117" s="112" t="inlineStr">
        <is>
          <t>VPB Mutatie belastinglatentie Mutatie actieve latentie</t>
        </is>
      </c>
      <c r="D117" s="293" t="n">
        <v>-172942</v>
      </c>
      <c r="E117" s="293" t="n">
        <v>-146161</v>
      </c>
      <c r="F117" s="293" t="n">
        <v>-810982</v>
      </c>
      <c r="G117" s="293" t="n">
        <v>-160838</v>
      </c>
      <c r="H117" s="296">
        <f>SUM(C117:G117)</f>
        <v/>
      </c>
      <c r="I117" s="290" t="n"/>
    </row>
    <row r="118" ht="12.75" customHeight="1">
      <c r="A118" s="112" t="n"/>
      <c r="B118" s="112" t="n"/>
      <c r="H118" s="296" t="n"/>
      <c r="I118" s="290" t="n"/>
    </row>
    <row r="119" ht="12.75" customHeight="1">
      <c r="A119" s="112" t="inlineStr">
        <is>
          <t>Resultaat na belasting</t>
        </is>
      </c>
      <c r="B119" s="112" t="n"/>
      <c r="D119" s="293">
        <f>SUM(D71:D117)</f>
        <v/>
      </c>
      <c r="E119" s="293">
        <f>SUM(E71:E117)</f>
        <v/>
      </c>
      <c r="F119" s="293">
        <f>SUM(F71:F117)</f>
        <v/>
      </c>
      <c r="G119" s="293">
        <f>SUM(G71:G117)</f>
        <v/>
      </c>
      <c r="H119" s="296">
        <f>SUM(C119:G119)</f>
        <v/>
      </c>
      <c r="I119" s="290" t="n"/>
    </row>
    <row r="120" ht="12.75" customHeight="1">
      <c r="A120" s="112" t="n"/>
      <c r="B120" s="112" t="n"/>
      <c r="H120" s="112" t="n"/>
    </row>
    <row r="121" ht="12.75" customHeight="1">
      <c r="A121" s="112" t="inlineStr">
        <is>
          <t>Verschil balans en winst-en-verlies</t>
        </is>
      </c>
      <c r="B121" s="112" t="n"/>
      <c r="C121" s="293">
        <f>SUM(C5:C117)</f>
        <v/>
      </c>
      <c r="D121" s="293">
        <f>SUM(D5:D117)</f>
        <v/>
      </c>
      <c r="E121" s="293">
        <f>SUM(E5:E117)</f>
        <v/>
      </c>
      <c r="F121" s="293">
        <f>SUM(F5:F117)</f>
        <v/>
      </c>
      <c r="G121" s="293">
        <f>SUM(G5:G117)</f>
        <v/>
      </c>
      <c r="H121" s="293">
        <f>SUM(H5:H117)</f>
        <v/>
      </c>
    </row>
    <row r="123" ht="12.75" customHeight="1">
      <c r="A123" s="130" t="inlineStr">
        <is>
          <t>afschrijving SWAP</t>
        </is>
      </c>
      <c r="C123" s="341" t="n"/>
      <c r="D123" s="289">
        <f>36883.33*3</f>
        <v/>
      </c>
      <c r="E123" s="289">
        <f>36883.33*3</f>
        <v/>
      </c>
      <c r="F123" s="289">
        <f>36883.33*3</f>
        <v/>
      </c>
      <c r="G123" s="289">
        <f>36883.33*3</f>
        <v/>
      </c>
      <c r="H123" s="290" t="n"/>
    </row>
    <row r="124" ht="12.75" customHeight="1">
      <c r="A124" s="130" t="inlineStr">
        <is>
          <t>Inkomsten SWAP</t>
        </is>
      </c>
      <c r="C124" s="341" t="n"/>
      <c r="D124" s="341" t="n">
        <v>-100655.86</v>
      </c>
      <c r="E124" s="341" t="n">
        <v>-254135.88</v>
      </c>
      <c r="F124" s="341" t="n">
        <v>-348493.15</v>
      </c>
      <c r="G124" s="341" t="n">
        <v>-332016.32</v>
      </c>
      <c r="H124" s="290" t="n"/>
    </row>
    <row r="125" ht="12.75" customHeight="1">
      <c r="A125" s="130" t="n"/>
      <c r="C125" s="341" t="n"/>
      <c r="D125" s="341" t="n"/>
      <c r="E125" s="341" t="n"/>
      <c r="F125" s="341" t="n"/>
      <c r="G125" s="341" t="n"/>
      <c r="H125" s="290" t="n"/>
    </row>
    <row r="126" ht="12.75" customHeight="1">
      <c r="A126" s="130" t="inlineStr">
        <is>
          <t>Rente</t>
        </is>
      </c>
      <c r="C126" s="341" t="n"/>
      <c r="D126" s="341">
        <f>D111</f>
        <v/>
      </c>
      <c r="E126" s="341">
        <f>E111</f>
        <v/>
      </c>
      <c r="F126" s="341">
        <f>F111+F108+F110</f>
        <v/>
      </c>
      <c r="G126" s="341">
        <f>G111+G108+G110</f>
        <v/>
      </c>
      <c r="H126" s="341">
        <f>H111+H108+H110</f>
        <v/>
      </c>
    </row>
    <row r="127" ht="12.75" customHeight="1">
      <c r="A127" s="130" t="inlineStr">
        <is>
          <t>SWAP</t>
        </is>
      </c>
      <c r="C127" s="341" t="n"/>
      <c r="D127" s="341">
        <f>D124</f>
        <v/>
      </c>
      <c r="E127" s="341">
        <f>E124</f>
        <v/>
      </c>
      <c r="F127" s="341">
        <f>F124</f>
        <v/>
      </c>
      <c r="G127" s="356">
        <f>G124</f>
        <v/>
      </c>
      <c r="H127" s="351">
        <f>SUM(D127:G127)</f>
        <v/>
      </c>
    </row>
    <row r="128" ht="12.75" customHeight="1">
      <c r="A128" s="130" t="inlineStr">
        <is>
          <t>Afschrijving prepaid derivatives transaction</t>
        </is>
      </c>
      <c r="C128" s="341" t="n"/>
      <c r="D128" s="341">
        <f>D123</f>
        <v/>
      </c>
      <c r="E128" s="341">
        <f>E123</f>
        <v/>
      </c>
      <c r="F128" s="341">
        <f>F123</f>
        <v/>
      </c>
      <c r="G128" s="356">
        <f>G123</f>
        <v/>
      </c>
      <c r="H128" s="351">
        <f>SUM(D128:G128)</f>
        <v/>
      </c>
    </row>
    <row r="129" ht="12.75" customHeight="1">
      <c r="A129" s="130" t="inlineStr">
        <is>
          <t>IC interest</t>
        </is>
      </c>
      <c r="C129" s="341" t="n"/>
      <c r="D129" s="341">
        <f>D109+D114</f>
        <v/>
      </c>
      <c r="E129" s="341">
        <f>E109+E114</f>
        <v/>
      </c>
      <c r="F129" s="341">
        <f>F114</f>
        <v/>
      </c>
      <c r="G129" s="341">
        <f>G114</f>
        <v/>
      </c>
      <c r="H129" s="290">
        <f>SUM(D129:G129)</f>
        <v/>
      </c>
    </row>
    <row r="130" ht="12.75" customHeight="1">
      <c r="A130" s="130" t="n"/>
      <c r="C130" s="341" t="n"/>
      <c r="D130" s="341">
        <f>SUM(D126:D129)</f>
        <v/>
      </c>
      <c r="E130" s="341">
        <f>SUM(E126:E129)</f>
        <v/>
      </c>
      <c r="F130" s="341">
        <f>SUM(F126:F129)</f>
        <v/>
      </c>
      <c r="G130" s="341">
        <f>SUM(G126:G129)</f>
        <v/>
      </c>
      <c r="H130" s="290">
        <f>SUM(D130:G130)</f>
        <v/>
      </c>
    </row>
    <row r="134" ht="12.75" customHeight="1">
      <c r="G134" s="293">
        <f>SUM(G127:G128)</f>
        <v/>
      </c>
    </row>
    <row r="135" ht="12.75" customHeight="1">
      <c r="G135" s="293">
        <f>G112-G134</f>
        <v/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34"/>
  <sheetViews>
    <sheetView topLeftCell="A70" zoomScale="80" zoomScaleNormal="80" workbookViewId="0">
      <selection activeCell="G113" sqref="G113"/>
    </sheetView>
  </sheetViews>
  <sheetFormatPr baseColWidth="8" defaultRowHeight="12.75" customHeight="1"/>
  <cols>
    <col width="9.109375" customWidth="1" style="1" min="1" max="1"/>
    <col width="70" bestFit="1" customWidth="1" style="1" min="2" max="2"/>
    <col width="26" bestFit="1" customWidth="1" style="293" min="3" max="3"/>
    <col width="17.5546875" bestFit="1" customWidth="1" style="293" min="4" max="5"/>
    <col width="17.5546875" bestFit="1" customWidth="1" style="293" min="6" max="6"/>
    <col width="17.5546875" customWidth="1" style="293" min="7" max="7"/>
    <col width="20.44140625" bestFit="1" customWidth="1" style="1" min="8" max="8"/>
    <col width="36.33203125" bestFit="1" customWidth="1" style="1" min="9" max="9"/>
    <col width="13.5546875" bestFit="1" customWidth="1" style="1" min="10" max="11"/>
    <col width="9.109375" customWidth="1" style="1" min="12" max="257"/>
    <col width="70" bestFit="1" customWidth="1" style="1" min="258" max="258"/>
    <col width="26" bestFit="1" customWidth="1" style="1" min="259" max="259"/>
    <col width="17.5546875" bestFit="1" customWidth="1" style="1" min="260" max="262"/>
    <col width="17.5546875" customWidth="1" style="1" min="263" max="263"/>
    <col width="20.44140625" bestFit="1" customWidth="1" style="1" min="264" max="264"/>
    <col width="36.33203125" bestFit="1" customWidth="1" style="1" min="265" max="265"/>
    <col width="9.109375" customWidth="1" style="1" min="266" max="266"/>
    <col width="10.88671875" bestFit="1" customWidth="1" style="1" min="267" max="267"/>
    <col width="9.109375" customWidth="1" style="1" min="268" max="513"/>
    <col width="70" bestFit="1" customWidth="1" style="1" min="514" max="514"/>
    <col width="26" bestFit="1" customWidth="1" style="1" min="515" max="515"/>
    <col width="17.5546875" bestFit="1" customWidth="1" style="1" min="516" max="518"/>
    <col width="17.5546875" customWidth="1" style="1" min="519" max="519"/>
    <col width="20.44140625" bestFit="1" customWidth="1" style="1" min="520" max="520"/>
    <col width="36.33203125" bestFit="1" customWidth="1" style="1" min="521" max="521"/>
    <col width="9.109375" customWidth="1" style="1" min="522" max="522"/>
    <col width="10.88671875" bestFit="1" customWidth="1" style="1" min="523" max="523"/>
    <col width="9.109375" customWidth="1" style="1" min="524" max="769"/>
    <col width="70" bestFit="1" customWidth="1" style="1" min="770" max="770"/>
    <col width="26" bestFit="1" customWidth="1" style="1" min="771" max="771"/>
    <col width="17.5546875" bestFit="1" customWidth="1" style="1" min="772" max="774"/>
    <col width="17.5546875" customWidth="1" style="1" min="775" max="775"/>
    <col width="20.44140625" bestFit="1" customWidth="1" style="1" min="776" max="776"/>
    <col width="36.33203125" bestFit="1" customWidth="1" style="1" min="777" max="777"/>
    <col width="9.109375" customWidth="1" style="1" min="778" max="778"/>
    <col width="10.88671875" bestFit="1" customWidth="1" style="1" min="779" max="779"/>
    <col width="9.109375" customWidth="1" style="1" min="780" max="1025"/>
    <col width="70" bestFit="1" customWidth="1" style="1" min="1026" max="1026"/>
    <col width="26" bestFit="1" customWidth="1" style="1" min="1027" max="1027"/>
    <col width="17.5546875" bestFit="1" customWidth="1" style="1" min="1028" max="1030"/>
    <col width="17.5546875" customWidth="1" style="1" min="1031" max="1031"/>
    <col width="20.44140625" bestFit="1" customWidth="1" style="1" min="1032" max="1032"/>
    <col width="36.33203125" bestFit="1" customWidth="1" style="1" min="1033" max="1033"/>
    <col width="9.109375" customWidth="1" style="1" min="1034" max="1034"/>
    <col width="10.88671875" bestFit="1" customWidth="1" style="1" min="1035" max="1035"/>
    <col width="9.109375" customWidth="1" style="1" min="1036" max="1281"/>
    <col width="70" bestFit="1" customWidth="1" style="1" min="1282" max="1282"/>
    <col width="26" bestFit="1" customWidth="1" style="1" min="1283" max="1283"/>
    <col width="17.5546875" bestFit="1" customWidth="1" style="1" min="1284" max="1286"/>
    <col width="17.5546875" customWidth="1" style="1" min="1287" max="1287"/>
    <col width="20.44140625" bestFit="1" customWidth="1" style="1" min="1288" max="1288"/>
    <col width="36.33203125" bestFit="1" customWidth="1" style="1" min="1289" max="1289"/>
    <col width="9.109375" customWidth="1" style="1" min="1290" max="1290"/>
    <col width="10.88671875" bestFit="1" customWidth="1" style="1" min="1291" max="1291"/>
    <col width="9.109375" customWidth="1" style="1" min="1292" max="1537"/>
    <col width="70" bestFit="1" customWidth="1" style="1" min="1538" max="1538"/>
    <col width="26" bestFit="1" customWidth="1" style="1" min="1539" max="1539"/>
    <col width="17.5546875" bestFit="1" customWidth="1" style="1" min="1540" max="1542"/>
    <col width="17.5546875" customWidth="1" style="1" min="1543" max="1543"/>
    <col width="20.44140625" bestFit="1" customWidth="1" style="1" min="1544" max="1544"/>
    <col width="36.33203125" bestFit="1" customWidth="1" style="1" min="1545" max="1545"/>
    <col width="9.109375" customWidth="1" style="1" min="1546" max="1546"/>
    <col width="10.88671875" bestFit="1" customWidth="1" style="1" min="1547" max="1547"/>
    <col width="9.109375" customWidth="1" style="1" min="1548" max="1793"/>
    <col width="70" bestFit="1" customWidth="1" style="1" min="1794" max="1794"/>
    <col width="26" bestFit="1" customWidth="1" style="1" min="1795" max="1795"/>
    <col width="17.5546875" bestFit="1" customWidth="1" style="1" min="1796" max="1798"/>
    <col width="17.5546875" customWidth="1" style="1" min="1799" max="1799"/>
    <col width="20.44140625" bestFit="1" customWidth="1" style="1" min="1800" max="1800"/>
    <col width="36.33203125" bestFit="1" customWidth="1" style="1" min="1801" max="1801"/>
    <col width="9.109375" customWidth="1" style="1" min="1802" max="1802"/>
    <col width="10.88671875" bestFit="1" customWidth="1" style="1" min="1803" max="1803"/>
    <col width="9.109375" customWidth="1" style="1" min="1804" max="2049"/>
    <col width="70" bestFit="1" customWidth="1" style="1" min="2050" max="2050"/>
    <col width="26" bestFit="1" customWidth="1" style="1" min="2051" max="2051"/>
    <col width="17.5546875" bestFit="1" customWidth="1" style="1" min="2052" max="2054"/>
    <col width="17.5546875" customWidth="1" style="1" min="2055" max="2055"/>
    <col width="20.44140625" bestFit="1" customWidth="1" style="1" min="2056" max="2056"/>
    <col width="36.33203125" bestFit="1" customWidth="1" style="1" min="2057" max="2057"/>
    <col width="9.109375" customWidth="1" style="1" min="2058" max="2058"/>
    <col width="10.88671875" bestFit="1" customWidth="1" style="1" min="2059" max="2059"/>
    <col width="9.109375" customWidth="1" style="1" min="2060" max="2305"/>
    <col width="70" bestFit="1" customWidth="1" style="1" min="2306" max="2306"/>
    <col width="26" bestFit="1" customWidth="1" style="1" min="2307" max="2307"/>
    <col width="17.5546875" bestFit="1" customWidth="1" style="1" min="2308" max="2310"/>
    <col width="17.5546875" customWidth="1" style="1" min="2311" max="2311"/>
    <col width="20.44140625" bestFit="1" customWidth="1" style="1" min="2312" max="2312"/>
    <col width="36.33203125" bestFit="1" customWidth="1" style="1" min="2313" max="2313"/>
    <col width="9.109375" customWidth="1" style="1" min="2314" max="2314"/>
    <col width="10.88671875" bestFit="1" customWidth="1" style="1" min="2315" max="2315"/>
    <col width="9.109375" customWidth="1" style="1" min="2316" max="2561"/>
    <col width="70" bestFit="1" customWidth="1" style="1" min="2562" max="2562"/>
    <col width="26" bestFit="1" customWidth="1" style="1" min="2563" max="2563"/>
    <col width="17.5546875" bestFit="1" customWidth="1" style="1" min="2564" max="2566"/>
    <col width="17.5546875" customWidth="1" style="1" min="2567" max="2567"/>
    <col width="20.44140625" bestFit="1" customWidth="1" style="1" min="2568" max="2568"/>
    <col width="36.33203125" bestFit="1" customWidth="1" style="1" min="2569" max="2569"/>
    <col width="9.109375" customWidth="1" style="1" min="2570" max="2570"/>
    <col width="10.88671875" bestFit="1" customWidth="1" style="1" min="2571" max="2571"/>
    <col width="9.109375" customWidth="1" style="1" min="2572" max="2817"/>
    <col width="70" bestFit="1" customWidth="1" style="1" min="2818" max="2818"/>
    <col width="26" bestFit="1" customWidth="1" style="1" min="2819" max="2819"/>
    <col width="17.5546875" bestFit="1" customWidth="1" style="1" min="2820" max="2822"/>
    <col width="17.5546875" customWidth="1" style="1" min="2823" max="2823"/>
    <col width="20.44140625" bestFit="1" customWidth="1" style="1" min="2824" max="2824"/>
    <col width="36.33203125" bestFit="1" customWidth="1" style="1" min="2825" max="2825"/>
    <col width="9.109375" customWidth="1" style="1" min="2826" max="2826"/>
    <col width="10.88671875" bestFit="1" customWidth="1" style="1" min="2827" max="2827"/>
    <col width="9.109375" customWidth="1" style="1" min="2828" max="3073"/>
    <col width="70" bestFit="1" customWidth="1" style="1" min="3074" max="3074"/>
    <col width="26" bestFit="1" customWidth="1" style="1" min="3075" max="3075"/>
    <col width="17.5546875" bestFit="1" customWidth="1" style="1" min="3076" max="3078"/>
    <col width="17.5546875" customWidth="1" style="1" min="3079" max="3079"/>
    <col width="20.44140625" bestFit="1" customWidth="1" style="1" min="3080" max="3080"/>
    <col width="36.33203125" bestFit="1" customWidth="1" style="1" min="3081" max="3081"/>
    <col width="9.109375" customWidth="1" style="1" min="3082" max="3082"/>
    <col width="10.88671875" bestFit="1" customWidth="1" style="1" min="3083" max="3083"/>
    <col width="9.109375" customWidth="1" style="1" min="3084" max="3329"/>
    <col width="70" bestFit="1" customWidth="1" style="1" min="3330" max="3330"/>
    <col width="26" bestFit="1" customWidth="1" style="1" min="3331" max="3331"/>
    <col width="17.5546875" bestFit="1" customWidth="1" style="1" min="3332" max="3334"/>
    <col width="17.5546875" customWidth="1" style="1" min="3335" max="3335"/>
    <col width="20.44140625" bestFit="1" customWidth="1" style="1" min="3336" max="3336"/>
    <col width="36.33203125" bestFit="1" customWidth="1" style="1" min="3337" max="3337"/>
    <col width="9.109375" customWidth="1" style="1" min="3338" max="3338"/>
    <col width="10.88671875" bestFit="1" customWidth="1" style="1" min="3339" max="3339"/>
    <col width="9.109375" customWidth="1" style="1" min="3340" max="3585"/>
    <col width="70" bestFit="1" customWidth="1" style="1" min="3586" max="3586"/>
    <col width="26" bestFit="1" customWidth="1" style="1" min="3587" max="3587"/>
    <col width="17.5546875" bestFit="1" customWidth="1" style="1" min="3588" max="3590"/>
    <col width="17.5546875" customWidth="1" style="1" min="3591" max="3591"/>
    <col width="20.44140625" bestFit="1" customWidth="1" style="1" min="3592" max="3592"/>
    <col width="36.33203125" bestFit="1" customWidth="1" style="1" min="3593" max="3593"/>
    <col width="9.109375" customWidth="1" style="1" min="3594" max="3594"/>
    <col width="10.88671875" bestFit="1" customWidth="1" style="1" min="3595" max="3595"/>
    <col width="9.109375" customWidth="1" style="1" min="3596" max="3841"/>
    <col width="70" bestFit="1" customWidth="1" style="1" min="3842" max="3842"/>
    <col width="26" bestFit="1" customWidth="1" style="1" min="3843" max="3843"/>
    <col width="17.5546875" bestFit="1" customWidth="1" style="1" min="3844" max="3846"/>
    <col width="17.5546875" customWidth="1" style="1" min="3847" max="3847"/>
    <col width="20.44140625" bestFit="1" customWidth="1" style="1" min="3848" max="3848"/>
    <col width="36.33203125" bestFit="1" customWidth="1" style="1" min="3849" max="3849"/>
    <col width="9.109375" customWidth="1" style="1" min="3850" max="3850"/>
    <col width="10.88671875" bestFit="1" customWidth="1" style="1" min="3851" max="3851"/>
    <col width="9.109375" customWidth="1" style="1" min="3852" max="4097"/>
    <col width="70" bestFit="1" customWidth="1" style="1" min="4098" max="4098"/>
    <col width="26" bestFit="1" customWidth="1" style="1" min="4099" max="4099"/>
    <col width="17.5546875" bestFit="1" customWidth="1" style="1" min="4100" max="4102"/>
    <col width="17.5546875" customWidth="1" style="1" min="4103" max="4103"/>
    <col width="20.44140625" bestFit="1" customWidth="1" style="1" min="4104" max="4104"/>
    <col width="36.33203125" bestFit="1" customWidth="1" style="1" min="4105" max="4105"/>
    <col width="9.109375" customWidth="1" style="1" min="4106" max="4106"/>
    <col width="10.88671875" bestFit="1" customWidth="1" style="1" min="4107" max="4107"/>
    <col width="9.109375" customWidth="1" style="1" min="4108" max="4353"/>
    <col width="70" bestFit="1" customWidth="1" style="1" min="4354" max="4354"/>
    <col width="26" bestFit="1" customWidth="1" style="1" min="4355" max="4355"/>
    <col width="17.5546875" bestFit="1" customWidth="1" style="1" min="4356" max="4358"/>
    <col width="17.5546875" customWidth="1" style="1" min="4359" max="4359"/>
    <col width="20.44140625" bestFit="1" customWidth="1" style="1" min="4360" max="4360"/>
    <col width="36.33203125" bestFit="1" customWidth="1" style="1" min="4361" max="4361"/>
    <col width="9.109375" customWidth="1" style="1" min="4362" max="4362"/>
    <col width="10.88671875" bestFit="1" customWidth="1" style="1" min="4363" max="4363"/>
    <col width="9.109375" customWidth="1" style="1" min="4364" max="4609"/>
    <col width="70" bestFit="1" customWidth="1" style="1" min="4610" max="4610"/>
    <col width="26" bestFit="1" customWidth="1" style="1" min="4611" max="4611"/>
    <col width="17.5546875" bestFit="1" customWidth="1" style="1" min="4612" max="4614"/>
    <col width="17.5546875" customWidth="1" style="1" min="4615" max="4615"/>
    <col width="20.44140625" bestFit="1" customWidth="1" style="1" min="4616" max="4616"/>
    <col width="36.33203125" bestFit="1" customWidth="1" style="1" min="4617" max="4617"/>
    <col width="9.109375" customWidth="1" style="1" min="4618" max="4618"/>
    <col width="10.88671875" bestFit="1" customWidth="1" style="1" min="4619" max="4619"/>
    <col width="9.109375" customWidth="1" style="1" min="4620" max="4865"/>
    <col width="70" bestFit="1" customWidth="1" style="1" min="4866" max="4866"/>
    <col width="26" bestFit="1" customWidth="1" style="1" min="4867" max="4867"/>
    <col width="17.5546875" bestFit="1" customWidth="1" style="1" min="4868" max="4870"/>
    <col width="17.5546875" customWidth="1" style="1" min="4871" max="4871"/>
    <col width="20.44140625" bestFit="1" customWidth="1" style="1" min="4872" max="4872"/>
    <col width="36.33203125" bestFit="1" customWidth="1" style="1" min="4873" max="4873"/>
    <col width="9.109375" customWidth="1" style="1" min="4874" max="4874"/>
    <col width="10.88671875" bestFit="1" customWidth="1" style="1" min="4875" max="4875"/>
    <col width="9.109375" customWidth="1" style="1" min="4876" max="5121"/>
    <col width="70" bestFit="1" customWidth="1" style="1" min="5122" max="5122"/>
    <col width="26" bestFit="1" customWidth="1" style="1" min="5123" max="5123"/>
    <col width="17.5546875" bestFit="1" customWidth="1" style="1" min="5124" max="5126"/>
    <col width="17.5546875" customWidth="1" style="1" min="5127" max="5127"/>
    <col width="20.44140625" bestFit="1" customWidth="1" style="1" min="5128" max="5128"/>
    <col width="36.33203125" bestFit="1" customWidth="1" style="1" min="5129" max="5129"/>
    <col width="9.109375" customWidth="1" style="1" min="5130" max="5130"/>
    <col width="10.88671875" bestFit="1" customWidth="1" style="1" min="5131" max="5131"/>
    <col width="9.109375" customWidth="1" style="1" min="5132" max="5377"/>
    <col width="70" bestFit="1" customWidth="1" style="1" min="5378" max="5378"/>
    <col width="26" bestFit="1" customWidth="1" style="1" min="5379" max="5379"/>
    <col width="17.5546875" bestFit="1" customWidth="1" style="1" min="5380" max="5382"/>
    <col width="17.5546875" customWidth="1" style="1" min="5383" max="5383"/>
    <col width="20.44140625" bestFit="1" customWidth="1" style="1" min="5384" max="5384"/>
    <col width="36.33203125" bestFit="1" customWidth="1" style="1" min="5385" max="5385"/>
    <col width="9.109375" customWidth="1" style="1" min="5386" max="5386"/>
    <col width="10.88671875" bestFit="1" customWidth="1" style="1" min="5387" max="5387"/>
    <col width="9.109375" customWidth="1" style="1" min="5388" max="5633"/>
    <col width="70" bestFit="1" customWidth="1" style="1" min="5634" max="5634"/>
    <col width="26" bestFit="1" customWidth="1" style="1" min="5635" max="5635"/>
    <col width="17.5546875" bestFit="1" customWidth="1" style="1" min="5636" max="5638"/>
    <col width="17.5546875" customWidth="1" style="1" min="5639" max="5639"/>
    <col width="20.44140625" bestFit="1" customWidth="1" style="1" min="5640" max="5640"/>
    <col width="36.33203125" bestFit="1" customWidth="1" style="1" min="5641" max="5641"/>
    <col width="9.109375" customWidth="1" style="1" min="5642" max="5642"/>
    <col width="10.88671875" bestFit="1" customWidth="1" style="1" min="5643" max="5643"/>
    <col width="9.109375" customWidth="1" style="1" min="5644" max="5889"/>
    <col width="70" bestFit="1" customWidth="1" style="1" min="5890" max="5890"/>
    <col width="26" bestFit="1" customWidth="1" style="1" min="5891" max="5891"/>
    <col width="17.5546875" bestFit="1" customWidth="1" style="1" min="5892" max="5894"/>
    <col width="17.5546875" customWidth="1" style="1" min="5895" max="5895"/>
    <col width="20.44140625" bestFit="1" customWidth="1" style="1" min="5896" max="5896"/>
    <col width="36.33203125" bestFit="1" customWidth="1" style="1" min="5897" max="5897"/>
    <col width="9.109375" customWidth="1" style="1" min="5898" max="5898"/>
    <col width="10.88671875" bestFit="1" customWidth="1" style="1" min="5899" max="5899"/>
    <col width="9.109375" customWidth="1" style="1" min="5900" max="6145"/>
    <col width="70" bestFit="1" customWidth="1" style="1" min="6146" max="6146"/>
    <col width="26" bestFit="1" customWidth="1" style="1" min="6147" max="6147"/>
    <col width="17.5546875" bestFit="1" customWidth="1" style="1" min="6148" max="6150"/>
    <col width="17.5546875" customWidth="1" style="1" min="6151" max="6151"/>
    <col width="20.44140625" bestFit="1" customWidth="1" style="1" min="6152" max="6152"/>
    <col width="36.33203125" bestFit="1" customWidth="1" style="1" min="6153" max="6153"/>
    <col width="9.109375" customWidth="1" style="1" min="6154" max="6154"/>
    <col width="10.88671875" bestFit="1" customWidth="1" style="1" min="6155" max="6155"/>
    <col width="9.109375" customWidth="1" style="1" min="6156" max="6401"/>
    <col width="70" bestFit="1" customWidth="1" style="1" min="6402" max="6402"/>
    <col width="26" bestFit="1" customWidth="1" style="1" min="6403" max="6403"/>
    <col width="17.5546875" bestFit="1" customWidth="1" style="1" min="6404" max="6406"/>
    <col width="17.5546875" customWidth="1" style="1" min="6407" max="6407"/>
    <col width="20.44140625" bestFit="1" customWidth="1" style="1" min="6408" max="6408"/>
    <col width="36.33203125" bestFit="1" customWidth="1" style="1" min="6409" max="6409"/>
    <col width="9.109375" customWidth="1" style="1" min="6410" max="6410"/>
    <col width="10.88671875" bestFit="1" customWidth="1" style="1" min="6411" max="6411"/>
    <col width="9.109375" customWidth="1" style="1" min="6412" max="6657"/>
    <col width="70" bestFit="1" customWidth="1" style="1" min="6658" max="6658"/>
    <col width="26" bestFit="1" customWidth="1" style="1" min="6659" max="6659"/>
    <col width="17.5546875" bestFit="1" customWidth="1" style="1" min="6660" max="6662"/>
    <col width="17.5546875" customWidth="1" style="1" min="6663" max="6663"/>
    <col width="20.44140625" bestFit="1" customWidth="1" style="1" min="6664" max="6664"/>
    <col width="36.33203125" bestFit="1" customWidth="1" style="1" min="6665" max="6665"/>
    <col width="9.109375" customWidth="1" style="1" min="6666" max="6666"/>
    <col width="10.88671875" bestFit="1" customWidth="1" style="1" min="6667" max="6667"/>
    <col width="9.109375" customWidth="1" style="1" min="6668" max="6913"/>
    <col width="70" bestFit="1" customWidth="1" style="1" min="6914" max="6914"/>
    <col width="26" bestFit="1" customWidth="1" style="1" min="6915" max="6915"/>
    <col width="17.5546875" bestFit="1" customWidth="1" style="1" min="6916" max="6918"/>
    <col width="17.5546875" customWidth="1" style="1" min="6919" max="6919"/>
    <col width="20.44140625" bestFit="1" customWidth="1" style="1" min="6920" max="6920"/>
    <col width="36.33203125" bestFit="1" customWidth="1" style="1" min="6921" max="6921"/>
    <col width="9.109375" customWidth="1" style="1" min="6922" max="6922"/>
    <col width="10.88671875" bestFit="1" customWidth="1" style="1" min="6923" max="6923"/>
    <col width="9.109375" customWidth="1" style="1" min="6924" max="7169"/>
    <col width="70" bestFit="1" customWidth="1" style="1" min="7170" max="7170"/>
    <col width="26" bestFit="1" customWidth="1" style="1" min="7171" max="7171"/>
    <col width="17.5546875" bestFit="1" customWidth="1" style="1" min="7172" max="7174"/>
    <col width="17.5546875" customWidth="1" style="1" min="7175" max="7175"/>
    <col width="20.44140625" bestFit="1" customWidth="1" style="1" min="7176" max="7176"/>
    <col width="36.33203125" bestFit="1" customWidth="1" style="1" min="7177" max="7177"/>
    <col width="9.109375" customWidth="1" style="1" min="7178" max="7178"/>
    <col width="10.88671875" bestFit="1" customWidth="1" style="1" min="7179" max="7179"/>
    <col width="9.109375" customWidth="1" style="1" min="7180" max="7425"/>
    <col width="70" bestFit="1" customWidth="1" style="1" min="7426" max="7426"/>
    <col width="26" bestFit="1" customWidth="1" style="1" min="7427" max="7427"/>
    <col width="17.5546875" bestFit="1" customWidth="1" style="1" min="7428" max="7430"/>
    <col width="17.5546875" customWidth="1" style="1" min="7431" max="7431"/>
    <col width="20.44140625" bestFit="1" customWidth="1" style="1" min="7432" max="7432"/>
    <col width="36.33203125" bestFit="1" customWidth="1" style="1" min="7433" max="7433"/>
    <col width="9.109375" customWidth="1" style="1" min="7434" max="7434"/>
    <col width="10.88671875" bestFit="1" customWidth="1" style="1" min="7435" max="7435"/>
    <col width="9.109375" customWidth="1" style="1" min="7436" max="7681"/>
    <col width="70" bestFit="1" customWidth="1" style="1" min="7682" max="7682"/>
    <col width="26" bestFit="1" customWidth="1" style="1" min="7683" max="7683"/>
    <col width="17.5546875" bestFit="1" customWidth="1" style="1" min="7684" max="7686"/>
    <col width="17.5546875" customWidth="1" style="1" min="7687" max="7687"/>
    <col width="20.44140625" bestFit="1" customWidth="1" style="1" min="7688" max="7688"/>
    <col width="36.33203125" bestFit="1" customWidth="1" style="1" min="7689" max="7689"/>
    <col width="9.109375" customWidth="1" style="1" min="7690" max="7690"/>
    <col width="10.88671875" bestFit="1" customWidth="1" style="1" min="7691" max="7691"/>
    <col width="9.109375" customWidth="1" style="1" min="7692" max="7937"/>
    <col width="70" bestFit="1" customWidth="1" style="1" min="7938" max="7938"/>
    <col width="26" bestFit="1" customWidth="1" style="1" min="7939" max="7939"/>
    <col width="17.5546875" bestFit="1" customWidth="1" style="1" min="7940" max="7942"/>
    <col width="17.5546875" customWidth="1" style="1" min="7943" max="7943"/>
    <col width="20.44140625" bestFit="1" customWidth="1" style="1" min="7944" max="7944"/>
    <col width="36.33203125" bestFit="1" customWidth="1" style="1" min="7945" max="7945"/>
    <col width="9.109375" customWidth="1" style="1" min="7946" max="7946"/>
    <col width="10.88671875" bestFit="1" customWidth="1" style="1" min="7947" max="7947"/>
    <col width="9.109375" customWidth="1" style="1" min="7948" max="8193"/>
    <col width="70" bestFit="1" customWidth="1" style="1" min="8194" max="8194"/>
    <col width="26" bestFit="1" customWidth="1" style="1" min="8195" max="8195"/>
    <col width="17.5546875" bestFit="1" customWidth="1" style="1" min="8196" max="8198"/>
    <col width="17.5546875" customWidth="1" style="1" min="8199" max="8199"/>
    <col width="20.44140625" bestFit="1" customWidth="1" style="1" min="8200" max="8200"/>
    <col width="36.33203125" bestFit="1" customWidth="1" style="1" min="8201" max="8201"/>
    <col width="9.109375" customWidth="1" style="1" min="8202" max="8202"/>
    <col width="10.88671875" bestFit="1" customWidth="1" style="1" min="8203" max="8203"/>
    <col width="9.109375" customWidth="1" style="1" min="8204" max="8449"/>
    <col width="70" bestFit="1" customWidth="1" style="1" min="8450" max="8450"/>
    <col width="26" bestFit="1" customWidth="1" style="1" min="8451" max="8451"/>
    <col width="17.5546875" bestFit="1" customWidth="1" style="1" min="8452" max="8454"/>
    <col width="17.5546875" customWidth="1" style="1" min="8455" max="8455"/>
    <col width="20.44140625" bestFit="1" customWidth="1" style="1" min="8456" max="8456"/>
    <col width="36.33203125" bestFit="1" customWidth="1" style="1" min="8457" max="8457"/>
    <col width="9.109375" customWidth="1" style="1" min="8458" max="8458"/>
    <col width="10.88671875" bestFit="1" customWidth="1" style="1" min="8459" max="8459"/>
    <col width="9.109375" customWidth="1" style="1" min="8460" max="8705"/>
    <col width="70" bestFit="1" customWidth="1" style="1" min="8706" max="8706"/>
    <col width="26" bestFit="1" customWidth="1" style="1" min="8707" max="8707"/>
    <col width="17.5546875" bestFit="1" customWidth="1" style="1" min="8708" max="8710"/>
    <col width="17.5546875" customWidth="1" style="1" min="8711" max="8711"/>
    <col width="20.44140625" bestFit="1" customWidth="1" style="1" min="8712" max="8712"/>
    <col width="36.33203125" bestFit="1" customWidth="1" style="1" min="8713" max="8713"/>
    <col width="9.109375" customWidth="1" style="1" min="8714" max="8714"/>
    <col width="10.88671875" bestFit="1" customWidth="1" style="1" min="8715" max="8715"/>
    <col width="9.109375" customWidth="1" style="1" min="8716" max="8961"/>
    <col width="70" bestFit="1" customWidth="1" style="1" min="8962" max="8962"/>
    <col width="26" bestFit="1" customWidth="1" style="1" min="8963" max="8963"/>
    <col width="17.5546875" bestFit="1" customWidth="1" style="1" min="8964" max="8966"/>
    <col width="17.5546875" customWidth="1" style="1" min="8967" max="8967"/>
    <col width="20.44140625" bestFit="1" customWidth="1" style="1" min="8968" max="8968"/>
    <col width="36.33203125" bestFit="1" customWidth="1" style="1" min="8969" max="8969"/>
    <col width="9.109375" customWidth="1" style="1" min="8970" max="8970"/>
    <col width="10.88671875" bestFit="1" customWidth="1" style="1" min="8971" max="8971"/>
    <col width="9.109375" customWidth="1" style="1" min="8972" max="9217"/>
    <col width="70" bestFit="1" customWidth="1" style="1" min="9218" max="9218"/>
    <col width="26" bestFit="1" customWidth="1" style="1" min="9219" max="9219"/>
    <col width="17.5546875" bestFit="1" customWidth="1" style="1" min="9220" max="9222"/>
    <col width="17.5546875" customWidth="1" style="1" min="9223" max="9223"/>
    <col width="20.44140625" bestFit="1" customWidth="1" style="1" min="9224" max="9224"/>
    <col width="36.33203125" bestFit="1" customWidth="1" style="1" min="9225" max="9225"/>
    <col width="9.109375" customWidth="1" style="1" min="9226" max="9226"/>
    <col width="10.88671875" bestFit="1" customWidth="1" style="1" min="9227" max="9227"/>
    <col width="9.109375" customWidth="1" style="1" min="9228" max="9473"/>
    <col width="70" bestFit="1" customWidth="1" style="1" min="9474" max="9474"/>
    <col width="26" bestFit="1" customWidth="1" style="1" min="9475" max="9475"/>
    <col width="17.5546875" bestFit="1" customWidth="1" style="1" min="9476" max="9478"/>
    <col width="17.5546875" customWidth="1" style="1" min="9479" max="9479"/>
    <col width="20.44140625" bestFit="1" customWidth="1" style="1" min="9480" max="9480"/>
    <col width="36.33203125" bestFit="1" customWidth="1" style="1" min="9481" max="9481"/>
    <col width="9.109375" customWidth="1" style="1" min="9482" max="9482"/>
    <col width="10.88671875" bestFit="1" customWidth="1" style="1" min="9483" max="9483"/>
    <col width="9.109375" customWidth="1" style="1" min="9484" max="9729"/>
    <col width="70" bestFit="1" customWidth="1" style="1" min="9730" max="9730"/>
    <col width="26" bestFit="1" customWidth="1" style="1" min="9731" max="9731"/>
    <col width="17.5546875" bestFit="1" customWidth="1" style="1" min="9732" max="9734"/>
    <col width="17.5546875" customWidth="1" style="1" min="9735" max="9735"/>
    <col width="20.44140625" bestFit="1" customWidth="1" style="1" min="9736" max="9736"/>
    <col width="36.33203125" bestFit="1" customWidth="1" style="1" min="9737" max="9737"/>
    <col width="9.109375" customWidth="1" style="1" min="9738" max="9738"/>
    <col width="10.88671875" bestFit="1" customWidth="1" style="1" min="9739" max="9739"/>
    <col width="9.109375" customWidth="1" style="1" min="9740" max="9985"/>
    <col width="70" bestFit="1" customWidth="1" style="1" min="9986" max="9986"/>
    <col width="26" bestFit="1" customWidth="1" style="1" min="9987" max="9987"/>
    <col width="17.5546875" bestFit="1" customWidth="1" style="1" min="9988" max="9990"/>
    <col width="17.5546875" customWidth="1" style="1" min="9991" max="9991"/>
    <col width="20.44140625" bestFit="1" customWidth="1" style="1" min="9992" max="9992"/>
    <col width="36.33203125" bestFit="1" customWidth="1" style="1" min="9993" max="9993"/>
    <col width="9.109375" customWidth="1" style="1" min="9994" max="9994"/>
    <col width="10.88671875" bestFit="1" customWidth="1" style="1" min="9995" max="9995"/>
    <col width="9.109375" customWidth="1" style="1" min="9996" max="10241"/>
    <col width="70" bestFit="1" customWidth="1" style="1" min="10242" max="10242"/>
    <col width="26" bestFit="1" customWidth="1" style="1" min="10243" max="10243"/>
    <col width="17.5546875" bestFit="1" customWidth="1" style="1" min="10244" max="10246"/>
    <col width="17.5546875" customWidth="1" style="1" min="10247" max="10247"/>
    <col width="20.44140625" bestFit="1" customWidth="1" style="1" min="10248" max="10248"/>
    <col width="36.33203125" bestFit="1" customWidth="1" style="1" min="10249" max="10249"/>
    <col width="9.109375" customWidth="1" style="1" min="10250" max="10250"/>
    <col width="10.88671875" bestFit="1" customWidth="1" style="1" min="10251" max="10251"/>
    <col width="9.109375" customWidth="1" style="1" min="10252" max="10497"/>
    <col width="70" bestFit="1" customWidth="1" style="1" min="10498" max="10498"/>
    <col width="26" bestFit="1" customWidth="1" style="1" min="10499" max="10499"/>
    <col width="17.5546875" bestFit="1" customWidth="1" style="1" min="10500" max="10502"/>
    <col width="17.5546875" customWidth="1" style="1" min="10503" max="10503"/>
    <col width="20.44140625" bestFit="1" customWidth="1" style="1" min="10504" max="10504"/>
    <col width="36.33203125" bestFit="1" customWidth="1" style="1" min="10505" max="10505"/>
    <col width="9.109375" customWidth="1" style="1" min="10506" max="10506"/>
    <col width="10.88671875" bestFit="1" customWidth="1" style="1" min="10507" max="10507"/>
    <col width="9.109375" customWidth="1" style="1" min="10508" max="10753"/>
    <col width="70" bestFit="1" customWidth="1" style="1" min="10754" max="10754"/>
    <col width="26" bestFit="1" customWidth="1" style="1" min="10755" max="10755"/>
    <col width="17.5546875" bestFit="1" customWidth="1" style="1" min="10756" max="10758"/>
    <col width="17.5546875" customWidth="1" style="1" min="10759" max="10759"/>
    <col width="20.44140625" bestFit="1" customWidth="1" style="1" min="10760" max="10760"/>
    <col width="36.33203125" bestFit="1" customWidth="1" style="1" min="10761" max="10761"/>
    <col width="9.109375" customWidth="1" style="1" min="10762" max="10762"/>
    <col width="10.88671875" bestFit="1" customWidth="1" style="1" min="10763" max="10763"/>
    <col width="9.109375" customWidth="1" style="1" min="10764" max="11009"/>
    <col width="70" bestFit="1" customWidth="1" style="1" min="11010" max="11010"/>
    <col width="26" bestFit="1" customWidth="1" style="1" min="11011" max="11011"/>
    <col width="17.5546875" bestFit="1" customWidth="1" style="1" min="11012" max="11014"/>
    <col width="17.5546875" customWidth="1" style="1" min="11015" max="11015"/>
    <col width="20.44140625" bestFit="1" customWidth="1" style="1" min="11016" max="11016"/>
    <col width="36.33203125" bestFit="1" customWidth="1" style="1" min="11017" max="11017"/>
    <col width="9.109375" customWidth="1" style="1" min="11018" max="11018"/>
    <col width="10.88671875" bestFit="1" customWidth="1" style="1" min="11019" max="11019"/>
    <col width="9.109375" customWidth="1" style="1" min="11020" max="11265"/>
    <col width="70" bestFit="1" customWidth="1" style="1" min="11266" max="11266"/>
    <col width="26" bestFit="1" customWidth="1" style="1" min="11267" max="11267"/>
    <col width="17.5546875" bestFit="1" customWidth="1" style="1" min="11268" max="11270"/>
    <col width="17.5546875" customWidth="1" style="1" min="11271" max="11271"/>
    <col width="20.44140625" bestFit="1" customWidth="1" style="1" min="11272" max="11272"/>
    <col width="36.33203125" bestFit="1" customWidth="1" style="1" min="11273" max="11273"/>
    <col width="9.109375" customWidth="1" style="1" min="11274" max="11274"/>
    <col width="10.88671875" bestFit="1" customWidth="1" style="1" min="11275" max="11275"/>
    <col width="9.109375" customWidth="1" style="1" min="11276" max="11521"/>
    <col width="70" bestFit="1" customWidth="1" style="1" min="11522" max="11522"/>
    <col width="26" bestFit="1" customWidth="1" style="1" min="11523" max="11523"/>
    <col width="17.5546875" bestFit="1" customWidth="1" style="1" min="11524" max="11526"/>
    <col width="17.5546875" customWidth="1" style="1" min="11527" max="11527"/>
    <col width="20.44140625" bestFit="1" customWidth="1" style="1" min="11528" max="11528"/>
    <col width="36.33203125" bestFit="1" customWidth="1" style="1" min="11529" max="11529"/>
    <col width="9.109375" customWidth="1" style="1" min="11530" max="11530"/>
    <col width="10.88671875" bestFit="1" customWidth="1" style="1" min="11531" max="11531"/>
    <col width="9.109375" customWidth="1" style="1" min="11532" max="11777"/>
    <col width="70" bestFit="1" customWidth="1" style="1" min="11778" max="11778"/>
    <col width="26" bestFit="1" customWidth="1" style="1" min="11779" max="11779"/>
    <col width="17.5546875" bestFit="1" customWidth="1" style="1" min="11780" max="11782"/>
    <col width="17.5546875" customWidth="1" style="1" min="11783" max="11783"/>
    <col width="20.44140625" bestFit="1" customWidth="1" style="1" min="11784" max="11784"/>
    <col width="36.33203125" bestFit="1" customWidth="1" style="1" min="11785" max="11785"/>
    <col width="9.109375" customWidth="1" style="1" min="11786" max="11786"/>
    <col width="10.88671875" bestFit="1" customWidth="1" style="1" min="11787" max="11787"/>
    <col width="9.109375" customWidth="1" style="1" min="11788" max="12033"/>
    <col width="70" bestFit="1" customWidth="1" style="1" min="12034" max="12034"/>
    <col width="26" bestFit="1" customWidth="1" style="1" min="12035" max="12035"/>
    <col width="17.5546875" bestFit="1" customWidth="1" style="1" min="12036" max="12038"/>
    <col width="17.5546875" customWidth="1" style="1" min="12039" max="12039"/>
    <col width="20.44140625" bestFit="1" customWidth="1" style="1" min="12040" max="12040"/>
    <col width="36.33203125" bestFit="1" customWidth="1" style="1" min="12041" max="12041"/>
    <col width="9.109375" customWidth="1" style="1" min="12042" max="12042"/>
    <col width="10.88671875" bestFit="1" customWidth="1" style="1" min="12043" max="12043"/>
    <col width="9.109375" customWidth="1" style="1" min="12044" max="12289"/>
    <col width="70" bestFit="1" customWidth="1" style="1" min="12290" max="12290"/>
    <col width="26" bestFit="1" customWidth="1" style="1" min="12291" max="12291"/>
    <col width="17.5546875" bestFit="1" customWidth="1" style="1" min="12292" max="12294"/>
    <col width="17.5546875" customWidth="1" style="1" min="12295" max="12295"/>
    <col width="20.44140625" bestFit="1" customWidth="1" style="1" min="12296" max="12296"/>
    <col width="36.33203125" bestFit="1" customWidth="1" style="1" min="12297" max="12297"/>
    <col width="9.109375" customWidth="1" style="1" min="12298" max="12298"/>
    <col width="10.88671875" bestFit="1" customWidth="1" style="1" min="12299" max="12299"/>
    <col width="9.109375" customWidth="1" style="1" min="12300" max="12545"/>
    <col width="70" bestFit="1" customWidth="1" style="1" min="12546" max="12546"/>
    <col width="26" bestFit="1" customWidth="1" style="1" min="12547" max="12547"/>
    <col width="17.5546875" bestFit="1" customWidth="1" style="1" min="12548" max="12550"/>
    <col width="17.5546875" customWidth="1" style="1" min="12551" max="12551"/>
    <col width="20.44140625" bestFit="1" customWidth="1" style="1" min="12552" max="12552"/>
    <col width="36.33203125" bestFit="1" customWidth="1" style="1" min="12553" max="12553"/>
    <col width="9.109375" customWidth="1" style="1" min="12554" max="12554"/>
    <col width="10.88671875" bestFit="1" customWidth="1" style="1" min="12555" max="12555"/>
    <col width="9.109375" customWidth="1" style="1" min="12556" max="12801"/>
    <col width="70" bestFit="1" customWidth="1" style="1" min="12802" max="12802"/>
    <col width="26" bestFit="1" customWidth="1" style="1" min="12803" max="12803"/>
    <col width="17.5546875" bestFit="1" customWidth="1" style="1" min="12804" max="12806"/>
    <col width="17.5546875" customWidth="1" style="1" min="12807" max="12807"/>
    <col width="20.44140625" bestFit="1" customWidth="1" style="1" min="12808" max="12808"/>
    <col width="36.33203125" bestFit="1" customWidth="1" style="1" min="12809" max="12809"/>
    <col width="9.109375" customWidth="1" style="1" min="12810" max="12810"/>
    <col width="10.88671875" bestFit="1" customWidth="1" style="1" min="12811" max="12811"/>
    <col width="9.109375" customWidth="1" style="1" min="12812" max="13057"/>
    <col width="70" bestFit="1" customWidth="1" style="1" min="13058" max="13058"/>
    <col width="26" bestFit="1" customWidth="1" style="1" min="13059" max="13059"/>
    <col width="17.5546875" bestFit="1" customWidth="1" style="1" min="13060" max="13062"/>
    <col width="17.5546875" customWidth="1" style="1" min="13063" max="13063"/>
    <col width="20.44140625" bestFit="1" customWidth="1" style="1" min="13064" max="13064"/>
    <col width="36.33203125" bestFit="1" customWidth="1" style="1" min="13065" max="13065"/>
    <col width="9.109375" customWidth="1" style="1" min="13066" max="13066"/>
    <col width="10.88671875" bestFit="1" customWidth="1" style="1" min="13067" max="13067"/>
    <col width="9.109375" customWidth="1" style="1" min="13068" max="13313"/>
    <col width="70" bestFit="1" customWidth="1" style="1" min="13314" max="13314"/>
    <col width="26" bestFit="1" customWidth="1" style="1" min="13315" max="13315"/>
    <col width="17.5546875" bestFit="1" customWidth="1" style="1" min="13316" max="13318"/>
    <col width="17.5546875" customWidth="1" style="1" min="13319" max="13319"/>
    <col width="20.44140625" bestFit="1" customWidth="1" style="1" min="13320" max="13320"/>
    <col width="36.33203125" bestFit="1" customWidth="1" style="1" min="13321" max="13321"/>
    <col width="9.109375" customWidth="1" style="1" min="13322" max="13322"/>
    <col width="10.88671875" bestFit="1" customWidth="1" style="1" min="13323" max="13323"/>
    <col width="9.109375" customWidth="1" style="1" min="13324" max="13569"/>
    <col width="70" bestFit="1" customWidth="1" style="1" min="13570" max="13570"/>
    <col width="26" bestFit="1" customWidth="1" style="1" min="13571" max="13571"/>
    <col width="17.5546875" bestFit="1" customWidth="1" style="1" min="13572" max="13574"/>
    <col width="17.5546875" customWidth="1" style="1" min="13575" max="13575"/>
    <col width="20.44140625" bestFit="1" customWidth="1" style="1" min="13576" max="13576"/>
    <col width="36.33203125" bestFit="1" customWidth="1" style="1" min="13577" max="13577"/>
    <col width="9.109375" customWidth="1" style="1" min="13578" max="13578"/>
    <col width="10.88671875" bestFit="1" customWidth="1" style="1" min="13579" max="13579"/>
    <col width="9.109375" customWidth="1" style="1" min="13580" max="13825"/>
    <col width="70" bestFit="1" customWidth="1" style="1" min="13826" max="13826"/>
    <col width="26" bestFit="1" customWidth="1" style="1" min="13827" max="13827"/>
    <col width="17.5546875" bestFit="1" customWidth="1" style="1" min="13828" max="13830"/>
    <col width="17.5546875" customWidth="1" style="1" min="13831" max="13831"/>
    <col width="20.44140625" bestFit="1" customWidth="1" style="1" min="13832" max="13832"/>
    <col width="36.33203125" bestFit="1" customWidth="1" style="1" min="13833" max="13833"/>
    <col width="9.109375" customWidth="1" style="1" min="13834" max="13834"/>
    <col width="10.88671875" bestFit="1" customWidth="1" style="1" min="13835" max="13835"/>
    <col width="9.109375" customWidth="1" style="1" min="13836" max="14081"/>
    <col width="70" bestFit="1" customWidth="1" style="1" min="14082" max="14082"/>
    <col width="26" bestFit="1" customWidth="1" style="1" min="14083" max="14083"/>
    <col width="17.5546875" bestFit="1" customWidth="1" style="1" min="14084" max="14086"/>
    <col width="17.5546875" customWidth="1" style="1" min="14087" max="14087"/>
    <col width="20.44140625" bestFit="1" customWidth="1" style="1" min="14088" max="14088"/>
    <col width="36.33203125" bestFit="1" customWidth="1" style="1" min="14089" max="14089"/>
    <col width="9.109375" customWidth="1" style="1" min="14090" max="14090"/>
    <col width="10.88671875" bestFit="1" customWidth="1" style="1" min="14091" max="14091"/>
    <col width="9.109375" customWidth="1" style="1" min="14092" max="14337"/>
    <col width="70" bestFit="1" customWidth="1" style="1" min="14338" max="14338"/>
    <col width="26" bestFit="1" customWidth="1" style="1" min="14339" max="14339"/>
    <col width="17.5546875" bestFit="1" customWidth="1" style="1" min="14340" max="14342"/>
    <col width="17.5546875" customWidth="1" style="1" min="14343" max="14343"/>
    <col width="20.44140625" bestFit="1" customWidth="1" style="1" min="14344" max="14344"/>
    <col width="36.33203125" bestFit="1" customWidth="1" style="1" min="14345" max="14345"/>
    <col width="9.109375" customWidth="1" style="1" min="14346" max="14346"/>
    <col width="10.88671875" bestFit="1" customWidth="1" style="1" min="14347" max="14347"/>
    <col width="9.109375" customWidth="1" style="1" min="14348" max="14593"/>
    <col width="70" bestFit="1" customWidth="1" style="1" min="14594" max="14594"/>
    <col width="26" bestFit="1" customWidth="1" style="1" min="14595" max="14595"/>
    <col width="17.5546875" bestFit="1" customWidth="1" style="1" min="14596" max="14598"/>
    <col width="17.5546875" customWidth="1" style="1" min="14599" max="14599"/>
    <col width="20.44140625" bestFit="1" customWidth="1" style="1" min="14600" max="14600"/>
    <col width="36.33203125" bestFit="1" customWidth="1" style="1" min="14601" max="14601"/>
    <col width="9.109375" customWidth="1" style="1" min="14602" max="14602"/>
    <col width="10.88671875" bestFit="1" customWidth="1" style="1" min="14603" max="14603"/>
    <col width="9.109375" customWidth="1" style="1" min="14604" max="14849"/>
    <col width="70" bestFit="1" customWidth="1" style="1" min="14850" max="14850"/>
    <col width="26" bestFit="1" customWidth="1" style="1" min="14851" max="14851"/>
    <col width="17.5546875" bestFit="1" customWidth="1" style="1" min="14852" max="14854"/>
    <col width="17.5546875" customWidth="1" style="1" min="14855" max="14855"/>
    <col width="20.44140625" bestFit="1" customWidth="1" style="1" min="14856" max="14856"/>
    <col width="36.33203125" bestFit="1" customWidth="1" style="1" min="14857" max="14857"/>
    <col width="9.109375" customWidth="1" style="1" min="14858" max="14858"/>
    <col width="10.88671875" bestFit="1" customWidth="1" style="1" min="14859" max="14859"/>
    <col width="9.109375" customWidth="1" style="1" min="14860" max="15105"/>
    <col width="70" bestFit="1" customWidth="1" style="1" min="15106" max="15106"/>
    <col width="26" bestFit="1" customWidth="1" style="1" min="15107" max="15107"/>
    <col width="17.5546875" bestFit="1" customWidth="1" style="1" min="15108" max="15110"/>
    <col width="17.5546875" customWidth="1" style="1" min="15111" max="15111"/>
    <col width="20.44140625" bestFit="1" customWidth="1" style="1" min="15112" max="15112"/>
    <col width="36.33203125" bestFit="1" customWidth="1" style="1" min="15113" max="15113"/>
    <col width="9.109375" customWidth="1" style="1" min="15114" max="15114"/>
    <col width="10.88671875" bestFit="1" customWidth="1" style="1" min="15115" max="15115"/>
    <col width="9.109375" customWidth="1" style="1" min="15116" max="15361"/>
    <col width="70" bestFit="1" customWidth="1" style="1" min="15362" max="15362"/>
    <col width="26" bestFit="1" customWidth="1" style="1" min="15363" max="15363"/>
    <col width="17.5546875" bestFit="1" customWidth="1" style="1" min="15364" max="15366"/>
    <col width="17.5546875" customWidth="1" style="1" min="15367" max="15367"/>
    <col width="20.44140625" bestFit="1" customWidth="1" style="1" min="15368" max="15368"/>
    <col width="36.33203125" bestFit="1" customWidth="1" style="1" min="15369" max="15369"/>
    <col width="9.109375" customWidth="1" style="1" min="15370" max="15370"/>
    <col width="10.88671875" bestFit="1" customWidth="1" style="1" min="15371" max="15371"/>
    <col width="9.109375" customWidth="1" style="1" min="15372" max="15617"/>
    <col width="70" bestFit="1" customWidth="1" style="1" min="15618" max="15618"/>
    <col width="26" bestFit="1" customWidth="1" style="1" min="15619" max="15619"/>
    <col width="17.5546875" bestFit="1" customWidth="1" style="1" min="15620" max="15622"/>
    <col width="17.5546875" customWidth="1" style="1" min="15623" max="15623"/>
    <col width="20.44140625" bestFit="1" customWidth="1" style="1" min="15624" max="15624"/>
    <col width="36.33203125" bestFit="1" customWidth="1" style="1" min="15625" max="15625"/>
    <col width="9.109375" customWidth="1" style="1" min="15626" max="15626"/>
    <col width="10.88671875" bestFit="1" customWidth="1" style="1" min="15627" max="15627"/>
    <col width="9.109375" customWidth="1" style="1" min="15628" max="15873"/>
    <col width="70" bestFit="1" customWidth="1" style="1" min="15874" max="15874"/>
    <col width="26" bestFit="1" customWidth="1" style="1" min="15875" max="15875"/>
    <col width="17.5546875" bestFit="1" customWidth="1" style="1" min="15876" max="15878"/>
    <col width="17.5546875" customWidth="1" style="1" min="15879" max="15879"/>
    <col width="20.44140625" bestFit="1" customWidth="1" style="1" min="15880" max="15880"/>
    <col width="36.33203125" bestFit="1" customWidth="1" style="1" min="15881" max="15881"/>
    <col width="9.109375" customWidth="1" style="1" min="15882" max="15882"/>
    <col width="10.88671875" bestFit="1" customWidth="1" style="1" min="15883" max="15883"/>
    <col width="9.109375" customWidth="1" style="1" min="15884" max="16129"/>
    <col width="70" bestFit="1" customWidth="1" style="1" min="16130" max="16130"/>
    <col width="26" bestFit="1" customWidth="1" style="1" min="16131" max="16131"/>
    <col width="17.5546875" bestFit="1" customWidth="1" style="1" min="16132" max="16134"/>
    <col width="17.5546875" customWidth="1" style="1" min="16135" max="16135"/>
    <col width="20.44140625" bestFit="1" customWidth="1" style="1" min="16136" max="16136"/>
    <col width="36.33203125" bestFit="1" customWidth="1" style="1" min="16137" max="16137"/>
    <col width="9.109375" customWidth="1" style="1" min="16138" max="16138"/>
    <col width="10.88671875" bestFit="1" customWidth="1" style="1" min="16139" max="16139"/>
    <col width="9.109375" customWidth="1" style="1" min="16140" max="16384"/>
  </cols>
  <sheetData>
    <row r="1" ht="12.75" customHeight="1">
      <c r="C1" s="354" t="inlineStr">
        <is>
          <t>Eindbalans per 30-06-2023</t>
        </is>
      </c>
      <c r="D1" s="354" t="inlineStr">
        <is>
          <t>Mutaties Q3 2023</t>
        </is>
      </c>
      <c r="E1" s="354" t="inlineStr">
        <is>
          <t>Mutaties Q4 2023</t>
        </is>
      </c>
      <c r="F1" s="354" t="inlineStr">
        <is>
          <t>Mutaties Q1 2024</t>
        </is>
      </c>
      <c r="G1" s="354" t="inlineStr">
        <is>
          <t>Mutaties Q2 2024</t>
        </is>
      </c>
      <c r="H1" s="354" t="inlineStr">
        <is>
          <t>Saldi per 30-06-2024</t>
        </is>
      </c>
      <c r="I1" s="354" t="inlineStr">
        <is>
          <t>Opmerkingen</t>
        </is>
      </c>
    </row>
    <row r="3" ht="12.75" customHeight="1">
      <c r="A3" s="132" t="inlineStr">
        <is>
          <t>Balans</t>
        </is>
      </c>
    </row>
    <row r="4" ht="12.75" customHeight="1">
      <c r="A4" s="132" t="n"/>
    </row>
    <row r="5" ht="12.75" customHeight="1">
      <c r="A5" s="132" t="inlineStr">
        <is>
          <t>Materiële vaste activa</t>
        </is>
      </c>
    </row>
    <row r="6" ht="12.75" customHeight="1">
      <c r="A6" s="1" t="inlineStr">
        <is>
          <t>1600000</t>
        </is>
      </c>
      <c r="B6" s="1" t="inlineStr">
        <is>
          <t>VG Vastgoedbeleggingen Verkrijgings- of vervaardigingsprijs -</t>
        </is>
      </c>
      <c r="C6" s="293" t="n">
        <v>125278510.08</v>
      </c>
      <c r="D6" s="293" t="n">
        <v>763364.3100000001</v>
      </c>
      <c r="E6" s="293" t="n">
        <v>822372.0800000001</v>
      </c>
      <c r="F6" s="293" t="n">
        <v>-1419718.19</v>
      </c>
      <c r="G6" s="293" t="n">
        <v>257169.47</v>
      </c>
      <c r="H6" s="290">
        <f>SUM(C6:G6)</f>
        <v/>
      </c>
    </row>
    <row r="7" ht="12.75" customHeight="1">
      <c r="A7" s="1" t="inlineStr">
        <is>
          <t>1600200</t>
        </is>
      </c>
      <c r="B7" s="1" t="inlineStr">
        <is>
          <t>VG Vastgoedbeleggingen Cum afschrijvingen en waardeverm -</t>
        </is>
      </c>
      <c r="C7" s="293" t="n">
        <v>-18890107</v>
      </c>
      <c r="D7" s="293" t="n">
        <v>-722958</v>
      </c>
      <c r="E7" s="293" t="n">
        <v>-747378</v>
      </c>
      <c r="F7" s="293" t="n">
        <v>-456675</v>
      </c>
      <c r="G7" s="293" t="n">
        <v>-752120</v>
      </c>
      <c r="H7" s="290">
        <f>SUM(C7:G7)</f>
        <v/>
      </c>
    </row>
    <row r="8" ht="12.75" customHeight="1">
      <c r="A8" s="302" t="inlineStr">
        <is>
          <t>1601000</t>
        </is>
      </c>
      <c r="B8" s="302" t="inlineStr">
        <is>
          <t>VG Vastgoedbeleggingen Buitengebruikstellingen CA en waardeverm. -</t>
        </is>
      </c>
      <c r="F8" s="293" t="n">
        <v>-722644</v>
      </c>
      <c r="G8" s="293" t="n">
        <v>-621877</v>
      </c>
      <c r="H8" s="290">
        <f>SUM(C8:G8)</f>
        <v/>
      </c>
    </row>
    <row r="9" ht="12.75" customHeight="1">
      <c r="A9" s="1" t="inlineStr">
        <is>
          <t>1611003</t>
        </is>
      </c>
      <c r="B9" s="1" t="inlineStr">
        <is>
          <t>VG Comm VG in exploitatie Buitengebruikstellingen cum. afschr. en waardeverm.</t>
        </is>
      </c>
      <c r="C9" s="293" t="n">
        <v>48513</v>
      </c>
      <c r="D9" s="293" t="n">
        <v>106809</v>
      </c>
      <c r="E9" s="293" t="n">
        <v>141605</v>
      </c>
      <c r="F9" s="293" t="n">
        <v>-177274</v>
      </c>
      <c r="G9" s="293" t="n">
        <v>107020</v>
      </c>
      <c r="H9" s="290">
        <f>SUM(C9:G9)</f>
        <v/>
      </c>
    </row>
    <row r="10" ht="12.75" customHeight="1">
      <c r="A10" s="1" t="inlineStr">
        <is>
          <t>1610803</t>
        </is>
      </c>
      <c r="B10" s="1" t="inlineStr">
        <is>
          <t>VG Comm VG in exploitatie Buitengebruikstellingen aanschaffingswaarde</t>
        </is>
      </c>
      <c r="C10" s="293" t="n">
        <v>-322981</v>
      </c>
      <c r="D10" s="293" t="n">
        <v>-677264</v>
      </c>
      <c r="E10" s="293" t="n">
        <v>-890320</v>
      </c>
      <c r="F10" s="293" t="n">
        <v>1890565</v>
      </c>
      <c r="G10" s="293" t="n">
        <v>0</v>
      </c>
      <c r="H10" s="290">
        <f>SUM(C10:G10)</f>
        <v/>
      </c>
    </row>
    <row r="12" ht="12.75" customHeight="1">
      <c r="A12" s="256" t="inlineStr">
        <is>
          <t>Financiële Vaste Lasten</t>
        </is>
      </c>
    </row>
    <row r="13" ht="12.75" customHeight="1">
      <c r="A13" s="1" t="inlineStr">
        <is>
          <t>1760000</t>
        </is>
      </c>
      <c r="B13" s="1" t="inlineStr">
        <is>
          <t>FVA Vord op DMRRP INV - I BV  saldo</t>
        </is>
      </c>
      <c r="C13" s="293" t="n">
        <v>38320325</v>
      </c>
      <c r="D13" s="293" t="n">
        <v>0</v>
      </c>
      <c r="E13" s="293" t="n">
        <v>0</v>
      </c>
      <c r="H13" s="290">
        <f>SUM(C13:G13)</f>
        <v/>
      </c>
    </row>
    <row r="14" ht="12.75" customHeight="1">
      <c r="A14" s="1" t="inlineStr">
        <is>
          <t>1760300</t>
        </is>
      </c>
      <c r="B14" s="1" t="inlineStr">
        <is>
          <t>FVA Vord op DMRRP INV - I BV  aflossingen</t>
        </is>
      </c>
      <c r="C14" s="293" t="n">
        <v>-287402.43</v>
      </c>
      <c r="D14" s="293" t="n">
        <v>-95800.81</v>
      </c>
      <c r="E14" s="293" t="n">
        <v>-982250.8100000001</v>
      </c>
      <c r="F14" s="293" t="n">
        <v>-236217.43</v>
      </c>
      <c r="G14" s="293" t="n">
        <v>-503912.27</v>
      </c>
      <c r="H14" s="290">
        <f>SUM(C14:G14)</f>
        <v/>
      </c>
    </row>
    <row r="15" ht="12.75" customHeight="1">
      <c r="A15" s="1" t="inlineStr">
        <is>
          <t>1790000</t>
        </is>
      </c>
      <c r="B15" s="1" t="inlineStr">
        <is>
          <t>FVA Swap fee</t>
        </is>
      </c>
      <c r="C15" s="293" t="n">
        <v>1881050.029999999</v>
      </c>
      <c r="D15" s="293" t="n">
        <v>-110649.99</v>
      </c>
      <c r="E15" s="293" t="n">
        <v>-110649.99</v>
      </c>
      <c r="F15" s="293" t="n">
        <v>-110649.99</v>
      </c>
      <c r="G15" s="293" t="n">
        <v>-110650</v>
      </c>
      <c r="H15" s="290">
        <f>SUM(C15:G15)</f>
        <v/>
      </c>
    </row>
    <row r="16" ht="12.75" customHeight="1">
      <c r="A16" s="1" t="inlineStr">
        <is>
          <t>1790002</t>
        </is>
      </c>
      <c r="B16" s="1" t="inlineStr">
        <is>
          <t>FVA Latente belastingvordering langlopend</t>
        </is>
      </c>
      <c r="C16" s="293" t="n">
        <v>5436762</v>
      </c>
      <c r="D16" s="293" t="n">
        <v>146161</v>
      </c>
      <c r="E16" s="293" t="n">
        <v>797885</v>
      </c>
      <c r="F16" s="293" t="n">
        <v>160838</v>
      </c>
      <c r="G16" s="293" t="n">
        <v>176734</v>
      </c>
      <c r="H16" s="290">
        <f>SUM(C16:G16)</f>
        <v/>
      </c>
    </row>
    <row r="18" ht="12.75" customHeight="1">
      <c r="A18" s="256" t="inlineStr">
        <is>
          <t>Vorderingen</t>
        </is>
      </c>
    </row>
    <row r="19" ht="12.75" customHeight="1">
      <c r="A19" s="259" t="inlineStr">
        <is>
          <t>2000000</t>
        </is>
      </c>
      <c r="B19" s="259" t="inlineStr">
        <is>
          <t>VOR Debiteuren</t>
        </is>
      </c>
      <c r="C19" s="294" t="n">
        <v>1570201.94</v>
      </c>
      <c r="D19" s="294" t="n">
        <v>568866.17</v>
      </c>
      <c r="E19" s="294" t="n">
        <v>-2015185.3</v>
      </c>
      <c r="F19" s="357" t="n">
        <v>3276624.57</v>
      </c>
      <c r="G19" s="294" t="n">
        <v>2530742.76</v>
      </c>
      <c r="H19" s="305">
        <f>SUM(C19:G19)-H20</f>
        <v/>
      </c>
    </row>
    <row r="20" ht="12.75" customHeight="1">
      <c r="A20" s="259" t="inlineStr">
        <is>
          <t>2000100</t>
        </is>
      </c>
      <c r="B20" s="259" t="inlineStr">
        <is>
          <t>VOR Debiteuren intercompany</t>
        </is>
      </c>
      <c r="C20" s="294" t="n">
        <v>0</v>
      </c>
      <c r="D20" s="294" t="n">
        <v>0</v>
      </c>
      <c r="E20" s="294" t="n">
        <v>2656650.84</v>
      </c>
      <c r="F20" s="293" t="n">
        <v>620098</v>
      </c>
      <c r="G20" s="294">
        <f>893859+1026866</f>
        <v/>
      </c>
      <c r="H20" s="305">
        <f>SUM(C20:G20)</f>
        <v/>
      </c>
    </row>
    <row r="21" ht="12.75" customHeight="1">
      <c r="A21" s="1" t="inlineStr">
        <is>
          <t>2000300</t>
        </is>
      </c>
      <c r="B21" s="1" t="inlineStr">
        <is>
          <t>VOR Voorziening dubieuze debiteuren</t>
        </is>
      </c>
      <c r="C21" s="293" t="n">
        <v>-76878.53</v>
      </c>
      <c r="D21" s="293" t="n">
        <v>0</v>
      </c>
      <c r="E21" s="293" t="n">
        <v>68505.28</v>
      </c>
      <c r="H21" s="290">
        <f>SUM(C21:G21)</f>
        <v/>
      </c>
    </row>
    <row r="22" ht="12.75" customHeight="1">
      <c r="A22" s="1" t="inlineStr">
        <is>
          <t>2040100</t>
        </is>
      </c>
      <c r="B22" s="1" t="inlineStr">
        <is>
          <t>VOR Nog te factureren bedragen</t>
        </is>
      </c>
      <c r="C22" s="293" t="n">
        <v>-41878.65</v>
      </c>
      <c r="D22" s="293" t="n">
        <v>41878.65</v>
      </c>
      <c r="E22" s="293" t="n">
        <v>0</v>
      </c>
      <c r="H22" s="290">
        <f>SUM(C22:G22)</f>
        <v/>
      </c>
    </row>
    <row r="23" ht="12.75" customHeight="1">
      <c r="A23" s="1" t="inlineStr">
        <is>
          <t>2040200</t>
        </is>
      </c>
      <c r="B23" s="1" t="inlineStr">
        <is>
          <t>VOR Te vorderen waarborgsommen kortlopend</t>
        </is>
      </c>
      <c r="C23" s="293" t="n">
        <v>5000</v>
      </c>
      <c r="D23" s="293" t="n">
        <v>0</v>
      </c>
      <c r="E23" s="293" t="n">
        <v>0</v>
      </c>
      <c r="H23" s="290">
        <f>SUM(C23:G23)</f>
        <v/>
      </c>
    </row>
    <row r="24" ht="12.75" customHeight="1">
      <c r="A24" s="1" t="inlineStr">
        <is>
          <t>2040500</t>
        </is>
      </c>
      <c r="B24" s="1" t="inlineStr">
        <is>
          <t>VOR Vooruitbetaalde verzekeringen</t>
        </is>
      </c>
      <c r="C24" s="293" t="n">
        <v>57532.59</v>
      </c>
      <c r="D24" s="293" t="n">
        <v>-28766.3</v>
      </c>
      <c r="E24" s="293" t="n">
        <v>-28766.29</v>
      </c>
      <c r="F24" s="293" t="n">
        <v>64305</v>
      </c>
      <c r="G24" s="293" t="n">
        <v>-21435</v>
      </c>
      <c r="H24" s="290">
        <f>SUM(C24:G24)</f>
        <v/>
      </c>
    </row>
    <row r="25" ht="12.75" customHeight="1">
      <c r="A25" s="130" t="n">
        <v>2040900</v>
      </c>
      <c r="B25" s="1" t="inlineStr">
        <is>
          <t>VOR Vooruitbetaalde overige kosten</t>
        </is>
      </c>
      <c r="F25" s="293" t="n">
        <v>268134.02</v>
      </c>
      <c r="G25" s="293" t="n">
        <v>-89377.98</v>
      </c>
      <c r="H25" s="290">
        <f>SUM(C25:G25)</f>
        <v/>
      </c>
    </row>
    <row r="27" ht="12.75" customHeight="1">
      <c r="A27" s="256" t="inlineStr">
        <is>
          <t>Liquide middelen</t>
        </is>
      </c>
    </row>
    <row r="28" ht="12.75" customHeight="1">
      <c r="A28" s="1" t="inlineStr">
        <is>
          <t>2300000</t>
        </is>
      </c>
      <c r="B28" s="1" t="inlineStr">
        <is>
          <t>LM Kruisposten</t>
        </is>
      </c>
      <c r="C28" s="293" t="n">
        <v>0.48</v>
      </c>
      <c r="D28" s="293" t="n">
        <v>0</v>
      </c>
      <c r="E28" s="293" t="n">
        <v>0</v>
      </c>
      <c r="F28" s="293" t="n">
        <v>0</v>
      </c>
      <c r="G28" s="293" t="n">
        <v>0</v>
      </c>
      <c r="H28" s="290">
        <f>SUM(C28:G28)</f>
        <v/>
      </c>
    </row>
    <row r="29" ht="12.75" customHeight="1">
      <c r="A29" s="1" t="inlineStr">
        <is>
          <t>2300001</t>
        </is>
      </c>
      <c r="B29" s="1" t="inlineStr">
        <is>
          <t>LM Kruisposten pin</t>
        </is>
      </c>
      <c r="C29" s="293" t="n">
        <v>3906.659999999999</v>
      </c>
      <c r="D29" s="293" t="n">
        <v>-4860.88</v>
      </c>
      <c r="E29" s="293" t="n">
        <v>954.2200000000001</v>
      </c>
      <c r="F29" s="293" t="n">
        <v>122.06</v>
      </c>
      <c r="G29" s="293" t="n">
        <v>-3547.65</v>
      </c>
      <c r="H29" s="290">
        <f>SUM(C29:G29)</f>
        <v/>
      </c>
    </row>
    <row r="30" ht="12.75" customHeight="1">
      <c r="A30" s="1" t="inlineStr">
        <is>
          <t>2400200</t>
        </is>
      </c>
      <c r="B30" s="1" t="inlineStr">
        <is>
          <t>LM ABN AMRO Bank Disposal NL58 ABNA 0818 9180 39</t>
        </is>
      </c>
      <c r="C30" s="293" t="n">
        <v>128000</v>
      </c>
      <c r="D30" s="293" t="n">
        <v>-128000</v>
      </c>
      <c r="E30" s="293" t="n">
        <v>0</v>
      </c>
      <c r="F30" s="293" t="n">
        <v>490000</v>
      </c>
      <c r="G30" s="293" t="n">
        <v>-490000</v>
      </c>
      <c r="H30" s="290">
        <f>SUM(C30:G30)</f>
        <v/>
      </c>
    </row>
    <row r="31" ht="12.75" customHeight="1">
      <c r="A31" s="1" t="inlineStr">
        <is>
          <t>2400201</t>
        </is>
      </c>
      <c r="B31" s="1" t="inlineStr">
        <is>
          <t>LM ABN AMRO Bank Deposit NL57 ABNA 0541 6205 68</t>
        </is>
      </c>
      <c r="C31" s="293" t="n">
        <v>-41605.03000000001</v>
      </c>
      <c r="D31" s="293" t="n">
        <v>43840.28</v>
      </c>
      <c r="E31" s="293" t="n">
        <v>2206.93</v>
      </c>
      <c r="F31" s="293" t="n">
        <v>51.12</v>
      </c>
      <c r="G31" s="293" t="n">
        <v>2948.65</v>
      </c>
      <c r="H31" s="290">
        <f>SUM(C31:G31)</f>
        <v/>
      </c>
    </row>
    <row r="32" ht="12.75" customHeight="1">
      <c r="A32" s="1" t="inlineStr">
        <is>
          <t>2400202</t>
        </is>
      </c>
      <c r="B32" s="1" t="inlineStr">
        <is>
          <t>LM ABN AMRO Bank General NL93 ABNA 0541 6132 27</t>
        </is>
      </c>
      <c r="C32" s="293" t="n">
        <v>179.08</v>
      </c>
      <c r="D32" s="293" t="n">
        <v>-105.66</v>
      </c>
      <c r="E32" s="293" t="n">
        <v>0</v>
      </c>
      <c r="F32" s="293" t="n">
        <v>0</v>
      </c>
      <c r="G32" s="293" t="n">
        <v>-46.3</v>
      </c>
      <c r="H32" s="290">
        <f>SUM(C32:G32)</f>
        <v/>
      </c>
    </row>
    <row r="33" ht="12.75" customHeight="1">
      <c r="A33" s="1" t="inlineStr">
        <is>
          <t>2400203</t>
        </is>
      </c>
      <c r="B33" s="1" t="inlineStr">
        <is>
          <t>LM ABN AMRO Bank Maintres NL04 ABNA 0541 6188 06</t>
        </is>
      </c>
      <c r="C33" s="293" t="n">
        <v>7099.12000000001</v>
      </c>
      <c r="D33" s="293" t="n">
        <v>-5557.219999999999</v>
      </c>
      <c r="E33" s="293" t="n">
        <v>-826.01</v>
      </c>
      <c r="F33" s="293" t="n">
        <v>6673.4</v>
      </c>
      <c r="G33" s="293" t="n">
        <v>-6645.75</v>
      </c>
      <c r="H33" s="290">
        <f>SUM(C33:G33)</f>
        <v/>
      </c>
    </row>
    <row r="34" ht="12.75" customHeight="1">
      <c r="A34" s="1" t="inlineStr">
        <is>
          <t>2400204</t>
        </is>
      </c>
      <c r="B34" s="1" t="inlineStr">
        <is>
          <t>LM ABN AMRO Bank Rent NL46 ABNA 0541 6088 35</t>
        </is>
      </c>
      <c r="C34" s="293" t="n">
        <v>349942.22</v>
      </c>
      <c r="D34" s="293" t="n">
        <v>-137878.31</v>
      </c>
      <c r="E34" s="293" t="n">
        <v>-145583.27</v>
      </c>
      <c r="F34" s="293" t="n">
        <v>227168.54</v>
      </c>
      <c r="G34" s="293" t="n">
        <v>-230570.79</v>
      </c>
      <c r="H34" s="290">
        <f>SUM(C34:G34)</f>
        <v/>
      </c>
    </row>
    <row r="35" ht="12.75" customHeight="1">
      <c r="A35" s="1" t="inlineStr">
        <is>
          <t>2400205</t>
        </is>
      </c>
      <c r="B35" s="1" t="inlineStr">
        <is>
          <t>LM ABN AMRO Bank SR EXP NL88 ABNA 0541 6205 92</t>
        </is>
      </c>
      <c r="C35" s="293" t="n">
        <v>2215.410000000003</v>
      </c>
      <c r="D35" s="293" t="n">
        <v>13146.59</v>
      </c>
      <c r="E35" s="293" t="n">
        <v>-6180.97</v>
      </c>
      <c r="F35" s="293" t="n">
        <v>138903.18</v>
      </c>
      <c r="G35" s="293" t="n">
        <v>-147771.81</v>
      </c>
      <c r="H35" s="290">
        <f>SUM(C35:G35)</f>
        <v/>
      </c>
    </row>
    <row r="36" ht="12.75" customHeight="1">
      <c r="A36" s="1" t="inlineStr">
        <is>
          <t>2400206</t>
        </is>
      </c>
      <c r="B36" s="1" t="inlineStr">
        <is>
          <t>LM ABN AMRO Bank Capex NL11 ABNA 0114 3362 02</t>
        </is>
      </c>
      <c r="C36" s="293" t="n">
        <v>-17.04</v>
      </c>
      <c r="D36" s="293" t="n">
        <v>0</v>
      </c>
      <c r="E36" s="293" t="n">
        <v>5661</v>
      </c>
      <c r="F36" s="293" t="n">
        <v>0</v>
      </c>
      <c r="G36" s="293" t="n">
        <v>-5660.09</v>
      </c>
      <c r="H36" s="290">
        <f>SUM(C36:G36)</f>
        <v/>
      </c>
    </row>
    <row r="38" ht="12.75" customHeight="1">
      <c r="A38" s="256" t="inlineStr">
        <is>
          <t>Eigen vermogen</t>
        </is>
      </c>
    </row>
    <row r="39" ht="12.75" customHeight="1">
      <c r="A39" s="1" t="inlineStr">
        <is>
          <t>1000002</t>
        </is>
      </c>
      <c r="B39" s="1" t="inlineStr">
        <is>
          <t>EV Normale aandelen  Saldo</t>
        </is>
      </c>
      <c r="C39" s="293" t="n">
        <v>-1</v>
      </c>
      <c r="D39" s="293" t="n">
        <v>0</v>
      </c>
      <c r="E39" s="293" t="n">
        <v>0</v>
      </c>
      <c r="H39" s="290">
        <f>SUM(C39:G39)</f>
        <v/>
      </c>
    </row>
    <row r="40" ht="12.75" customHeight="1">
      <c r="A40" s="1" t="inlineStr">
        <is>
          <t>1100000</t>
        </is>
      </c>
      <c r="B40" s="1" t="inlineStr">
        <is>
          <t>EV Agioreserve Agio aandelen</t>
        </is>
      </c>
      <c r="C40" s="293" t="n">
        <v>-18931219.48</v>
      </c>
      <c r="D40" s="293" t="n">
        <v>0</v>
      </c>
      <c r="E40" s="293" t="n">
        <v>0</v>
      </c>
      <c r="H40" s="290">
        <f>SUM(C40:G40)</f>
        <v/>
      </c>
    </row>
    <row r="41" ht="12.75" customHeight="1">
      <c r="A41" s="1" t="inlineStr">
        <is>
          <t>1160000</t>
        </is>
      </c>
      <c r="B41" s="1" t="inlineStr">
        <is>
          <t>EV Overige reserve Reserve aandelen</t>
        </is>
      </c>
      <c r="C41" s="293" t="n">
        <v>6312768</v>
      </c>
      <c r="D41" s="293" t="n">
        <v>-972910.6299999994</v>
      </c>
      <c r="E41" s="293" t="n">
        <v>-508250.6199999989</v>
      </c>
      <c r="F41" s="293" t="n">
        <v>-1031515.86</v>
      </c>
      <c r="G41" s="293" t="n">
        <v>-877185.7100000004</v>
      </c>
      <c r="H41" s="290">
        <f>SUM(C41:G41)</f>
        <v/>
      </c>
    </row>
    <row r="43" ht="12.75" customHeight="1">
      <c r="A43" s="256" t="inlineStr">
        <is>
          <t>Langlopende schulden</t>
        </is>
      </c>
    </row>
    <row r="44" ht="12.75" customHeight="1">
      <c r="A44" s="1" t="inlineStr">
        <is>
          <t>1930001</t>
        </is>
      </c>
      <c r="B44" s="1" t="inlineStr">
        <is>
          <t>LLS Hoofdsom ABN AMRO Bank NV Senior Facility Agreement</t>
        </is>
      </c>
      <c r="C44" s="293" t="n">
        <v>-168320325</v>
      </c>
      <c r="D44" s="293" t="n">
        <v>0</v>
      </c>
      <c r="E44" s="293" t="n">
        <v>-755661</v>
      </c>
      <c r="F44" s="293" t="n">
        <v>0</v>
      </c>
      <c r="G44" s="293" t="n">
        <v>-459986.91</v>
      </c>
      <c r="H44" s="290">
        <f>SUM(C44:G44)</f>
        <v/>
      </c>
    </row>
    <row r="45" ht="12.75" customHeight="1">
      <c r="A45" s="1" t="inlineStr">
        <is>
          <t>1930101</t>
        </is>
      </c>
      <c r="B45" s="1" t="inlineStr">
        <is>
          <t>LLS Cum aflossingen ABN AMRO Bank NV Senior Facility Agreement</t>
        </is>
      </c>
      <c r="C45" s="293" t="n">
        <v>30241891.07</v>
      </c>
      <c r="D45" s="293" t="n">
        <v>1446000</v>
      </c>
      <c r="E45" s="293" t="n">
        <v>1621000</v>
      </c>
      <c r="F45" s="293" t="n">
        <v>863000</v>
      </c>
      <c r="G45" s="293" t="n">
        <v>1686000</v>
      </c>
      <c r="H45" s="290">
        <f>SUM(C45:G45)</f>
        <v/>
      </c>
    </row>
    <row r="46" ht="12.75" customHeight="1">
      <c r="A46" s="1" t="inlineStr">
        <is>
          <t>1930200</t>
        </is>
      </c>
      <c r="B46" s="1" t="inlineStr">
        <is>
          <t>LLS Extension fee&amp; professional fees</t>
        </is>
      </c>
      <c r="C46" s="293" t="n">
        <v>494173.9300000002</v>
      </c>
      <c r="D46" s="293" t="n">
        <v>-29069.05</v>
      </c>
      <c r="E46" s="293" t="n">
        <v>-29069.06</v>
      </c>
      <c r="F46" s="346" t="n">
        <v>-29069.05</v>
      </c>
      <c r="G46" s="293" t="n">
        <v>-29069.06</v>
      </c>
      <c r="H46" s="290">
        <f>SUM(C46:G46)</f>
        <v/>
      </c>
    </row>
    <row r="48" ht="12.75" customHeight="1">
      <c r="A48" s="256" t="inlineStr">
        <is>
          <t>Kortlopende schulden</t>
        </is>
      </c>
    </row>
    <row r="49" ht="12.75" customHeight="1">
      <c r="A49" s="1" t="inlineStr">
        <is>
          <t>2730000</t>
        </is>
      </c>
      <c r="B49" s="1" t="inlineStr">
        <is>
          <t>KLS Crediteuren</t>
        </is>
      </c>
      <c r="C49" s="293" t="n">
        <v>-235515.8199999999</v>
      </c>
      <c r="D49" s="293" t="n">
        <v>-134611.64</v>
      </c>
      <c r="E49" s="293" t="n">
        <v>-65993.45000000001</v>
      </c>
      <c r="F49" s="293" t="n">
        <v>-562453.98</v>
      </c>
      <c r="G49" s="293" t="n">
        <v>691611.51</v>
      </c>
      <c r="H49" s="290">
        <f>SUM(C49:G49)</f>
        <v/>
      </c>
    </row>
    <row r="50" ht="12.75" customHeight="1">
      <c r="A50" s="1" t="inlineStr">
        <is>
          <t>2730001</t>
        </is>
      </c>
      <c r="B50" s="1" t="inlineStr">
        <is>
          <t>KLS Crediteuren intercompany</t>
        </is>
      </c>
      <c r="C50" s="293" t="n">
        <v>-918680</v>
      </c>
      <c r="D50" s="293" t="n">
        <v>-1500</v>
      </c>
      <c r="E50" s="293" t="n">
        <v>-12500</v>
      </c>
      <c r="F50" s="293" t="n">
        <v>-14700</v>
      </c>
      <c r="G50" s="293" t="n">
        <v>14700</v>
      </c>
      <c r="H50" s="290">
        <f>SUM(C50:G50)</f>
        <v/>
      </c>
    </row>
    <row r="51" ht="12.75" customHeight="1">
      <c r="A51" s="1" t="inlineStr">
        <is>
          <t>2620000</t>
        </is>
      </c>
      <c r="B51" s="1" t="inlineStr">
        <is>
          <t>RC Kortlopend D.M. Equity Partners C.V.</t>
        </is>
      </c>
      <c r="C51" s="293" t="n">
        <v>0</v>
      </c>
      <c r="D51" s="293" t="n">
        <v>-200000</v>
      </c>
      <c r="E51" s="293" t="n">
        <v>-201205</v>
      </c>
      <c r="F51" s="293" t="n">
        <v>0</v>
      </c>
      <c r="G51" s="293" t="n">
        <v>-150000</v>
      </c>
      <c r="H51" s="290">
        <f>SUM(C51:G51)</f>
        <v/>
      </c>
    </row>
    <row r="52" ht="12.75" customHeight="1">
      <c r="A52" s="1" t="inlineStr">
        <is>
          <t>2640000</t>
        </is>
      </c>
      <c r="B52" s="1" t="inlineStr">
        <is>
          <t>RC Kortlopend DMRRP INV - I BV</t>
        </is>
      </c>
      <c r="C52" s="293" t="n">
        <v>-106134.86</v>
      </c>
      <c r="D52" s="293" t="n">
        <v>379578</v>
      </c>
      <c r="E52" s="293" t="n">
        <v>-408776</v>
      </c>
      <c r="F52" s="346" t="n">
        <v>458198.62</v>
      </c>
      <c r="G52" s="293" t="n">
        <v>12470</v>
      </c>
      <c r="H52" s="290">
        <f>SUM(C52:G52)</f>
        <v/>
      </c>
    </row>
    <row r="53" ht="12.75" customHeight="1">
      <c r="A53" s="130" t="n">
        <v>2650000</v>
      </c>
      <c r="B53" s="1" t="inlineStr">
        <is>
          <t>RC Kortlopend WPNL- V B.V.</t>
        </is>
      </c>
      <c r="F53" s="346" t="n">
        <v>0</v>
      </c>
      <c r="G53" s="293" t="n">
        <v>-500000</v>
      </c>
      <c r="H53" s="290">
        <f>SUM(C53:G53)</f>
        <v/>
      </c>
    </row>
    <row r="54" ht="12.75" customHeight="1">
      <c r="A54" s="1" t="inlineStr">
        <is>
          <t>2512100</t>
        </is>
      </c>
      <c r="B54" s="1" t="inlineStr">
        <is>
          <t>BEL Afgedragen/ontvangen BTW</t>
        </is>
      </c>
      <c r="C54" s="293" t="n">
        <v>-4800.6</v>
      </c>
      <c r="D54" s="293" t="n">
        <v>-445.4000000000001</v>
      </c>
      <c r="E54" s="293" t="n">
        <v>-961.8599999999997</v>
      </c>
      <c r="F54" s="346" t="n">
        <v>899.77</v>
      </c>
      <c r="G54" s="293" t="n">
        <v>2856.3</v>
      </c>
      <c r="H54" s="290">
        <f>SUM(C54:G54)</f>
        <v/>
      </c>
    </row>
    <row r="55" ht="12.75" customHeight="1">
      <c r="A55" s="1" t="inlineStr">
        <is>
          <t>2740100</t>
        </is>
      </c>
      <c r="B55" s="1" t="inlineStr">
        <is>
          <t>KLS Vooruitgefactureerde bedragen</t>
        </is>
      </c>
      <c r="C55" s="293" t="n">
        <v>-965569.3</v>
      </c>
      <c r="D55" s="293" t="n">
        <v>801.6100000000006</v>
      </c>
      <c r="E55" s="293" t="n">
        <v>1175.869999999995</v>
      </c>
      <c r="F55" s="293" t="n">
        <v>-17076.8600000001</v>
      </c>
      <c r="G55" s="293" t="n">
        <v>-47340.79999999993</v>
      </c>
      <c r="H55" s="290">
        <f>SUM(C55:G55)</f>
        <v/>
      </c>
    </row>
    <row r="56" ht="12.75" customHeight="1">
      <c r="A56" s="1" t="inlineStr">
        <is>
          <t>2740300</t>
        </is>
      </c>
      <c r="B56" s="1" t="inlineStr">
        <is>
          <t>KLS Te betalen waarborgsommen kortlopend</t>
        </is>
      </c>
      <c r="C56" s="293" t="n">
        <v>-927403.78</v>
      </c>
      <c r="D56" s="293" t="n">
        <v>-8275.860000000001</v>
      </c>
      <c r="E56" s="293" t="n">
        <v>-30315.36</v>
      </c>
      <c r="F56" s="293" t="n">
        <v>8490.33</v>
      </c>
      <c r="G56" s="293" t="n">
        <v>-4796</v>
      </c>
      <c r="H56" s="290">
        <f>SUM(C56:G56)</f>
        <v/>
      </c>
    </row>
    <row r="57" ht="12.75" customHeight="1">
      <c r="A57" s="1" t="inlineStr">
        <is>
          <t>2740500</t>
        </is>
      </c>
      <c r="B57" s="1" t="inlineStr">
        <is>
          <t>KLS Te betalen accountants- en administratiekosten</t>
        </is>
      </c>
      <c r="C57" s="293" t="n">
        <v>-45000</v>
      </c>
      <c r="D57" s="293" t="n">
        <v>0</v>
      </c>
      <c r="E57" s="293" t="n">
        <v>0</v>
      </c>
      <c r="H57" s="290">
        <f>SUM(C57:G57)</f>
        <v/>
      </c>
    </row>
    <row r="58" ht="12.75" customHeight="1">
      <c r="A58" s="1" t="inlineStr">
        <is>
          <t>2741000</t>
        </is>
      </c>
      <c r="B58" s="1" t="inlineStr">
        <is>
          <t>KLS Te betalen servicekosten</t>
        </is>
      </c>
      <c r="C58" s="293" t="n">
        <v>161893.41</v>
      </c>
      <c r="D58" s="293" t="n">
        <v>-80946.72</v>
      </c>
      <c r="E58" s="293" t="n">
        <v>-89877.12</v>
      </c>
      <c r="F58" s="293" t="n">
        <v>8930.43</v>
      </c>
      <c r="G58" s="293" t="n">
        <v>0</v>
      </c>
      <c r="H58" s="290">
        <f>SUM(C58:G58)</f>
        <v/>
      </c>
    </row>
    <row r="59" ht="12.75" customHeight="1">
      <c r="A59" s="1" t="inlineStr">
        <is>
          <t>2741001</t>
        </is>
      </c>
      <c r="B59" s="1" t="inlineStr">
        <is>
          <t>KLS Te betalen servicekosten -</t>
        </is>
      </c>
      <c r="C59" s="293" t="n">
        <v>0</v>
      </c>
      <c r="D59" s="293" t="n">
        <v>0</v>
      </c>
      <c r="E59" s="293" t="n">
        <v>0</v>
      </c>
      <c r="H59" s="290">
        <f>SUM(C59:G59)</f>
        <v/>
      </c>
    </row>
    <row r="60" ht="12.75" customHeight="1">
      <c r="A60" s="1" t="inlineStr">
        <is>
          <t>2741004</t>
        </is>
      </c>
      <c r="B60" s="1" t="inlineStr">
        <is>
          <t>KLS Te betalen Hoen</t>
        </is>
      </c>
      <c r="C60" s="293" t="n">
        <v>-254444.5</v>
      </c>
      <c r="D60" s="293" t="n">
        <v>-130845.14</v>
      </c>
      <c r="E60" s="293" t="n">
        <v>341805.97</v>
      </c>
      <c r="F60" s="293" t="n">
        <v>-130817.51</v>
      </c>
      <c r="G60" s="293" t="n">
        <v>-87499.93000000001</v>
      </c>
      <c r="H60" s="290">
        <f>SUM(C60:G60)</f>
        <v/>
      </c>
    </row>
    <row r="61" ht="12.75" customHeight="1">
      <c r="A61" s="1" t="inlineStr">
        <is>
          <t>2741200</t>
        </is>
      </c>
      <c r="B61" s="1" t="inlineStr">
        <is>
          <t>KLS Te betalen overige kosten</t>
        </is>
      </c>
      <c r="C61" s="293" t="n">
        <v>70000</v>
      </c>
      <c r="D61" s="293" t="n">
        <v>-40000</v>
      </c>
      <c r="E61" s="293" t="n">
        <v>-116206.6</v>
      </c>
      <c r="F61" s="293" t="n">
        <v>116206.6</v>
      </c>
      <c r="G61" s="293" t="n">
        <v>0</v>
      </c>
      <c r="H61" s="290">
        <f>SUM(C61:G61)</f>
        <v/>
      </c>
    </row>
    <row r="62" ht="12.75" customHeight="1">
      <c r="A62" s="1" t="inlineStr">
        <is>
          <t>2742000</t>
        </is>
      </c>
      <c r="B62" s="1" t="inlineStr">
        <is>
          <t>KLS Vraagposten</t>
        </is>
      </c>
      <c r="C62" s="293" t="n">
        <v>0</v>
      </c>
      <c r="D62" s="293" t="n">
        <v>0</v>
      </c>
      <c r="E62" s="293" t="n">
        <v>0</v>
      </c>
      <c r="F62" s="346" t="n"/>
      <c r="G62" s="346" t="n"/>
      <c r="H62" s="290">
        <f>SUM(C62:G62)</f>
        <v/>
      </c>
    </row>
    <row r="63" ht="12.75" customHeight="1">
      <c r="A63" s="130" t="inlineStr">
        <is>
          <t>2760000</t>
        </is>
      </c>
      <c r="B63" s="1" t="inlineStr">
        <is>
          <t>KLS Saldo lening DMRRP INV - I BV</t>
        </is>
      </c>
      <c r="C63" s="293" t="n">
        <v>0</v>
      </c>
      <c r="D63" s="293" t="n">
        <v>0</v>
      </c>
      <c r="E63" s="293" t="n">
        <v>0</v>
      </c>
      <c r="F63" s="293" t="n">
        <v>0</v>
      </c>
      <c r="G63" s="293" t="n">
        <v>0</v>
      </c>
      <c r="H63" s="290">
        <f>SUM(C63:G63)</f>
        <v/>
      </c>
    </row>
    <row r="64" ht="12.75" customHeight="1">
      <c r="A64" s="130" t="n">
        <v>2502020</v>
      </c>
      <c r="B64" s="1" t="inlineStr">
        <is>
          <t>Servicekosten 2020</t>
        </is>
      </c>
      <c r="C64" s="293" t="n">
        <v>0</v>
      </c>
      <c r="D64" s="293" t="n">
        <v>0</v>
      </c>
      <c r="E64" s="293" t="n">
        <v>788.66</v>
      </c>
      <c r="F64" s="293" t="n">
        <v>-0.34</v>
      </c>
      <c r="G64" s="293" t="n">
        <v>0</v>
      </c>
      <c r="H64" s="305">
        <f>SUM(C64:G64)</f>
        <v/>
      </c>
      <c r="I64" s="358" t="inlineStr">
        <is>
          <t>Er is hierbij o.a. sprake van afrekeningen. Zou positie niet inmiddels nihil moeten zijn in plaats van verder oplopen?</t>
        </is>
      </c>
    </row>
    <row r="65" ht="12.75" customHeight="1">
      <c r="A65" s="130" t="n">
        <v>2502021</v>
      </c>
      <c r="B65" s="1" t="inlineStr">
        <is>
          <t>Servicekosten 2021</t>
        </is>
      </c>
      <c r="C65" s="293" t="n">
        <v>0</v>
      </c>
      <c r="D65" s="293" t="n">
        <v>0</v>
      </c>
      <c r="E65" s="293" t="n">
        <v>91488.8</v>
      </c>
      <c r="F65" s="293" t="n">
        <v>-2045.75</v>
      </c>
      <c r="G65" s="293" t="n">
        <v>-93962.63</v>
      </c>
      <c r="H65" s="305">
        <f>SUM(C65:G65)</f>
        <v/>
      </c>
      <c r="I65" s="358" t="inlineStr">
        <is>
          <t>Er is hierbij o.a. sprake van afrekeningen. Zou positie niet inmiddels nihil moeten zijn in plaats van verder oplopen?</t>
        </is>
      </c>
    </row>
    <row r="66" ht="12.75" customHeight="1">
      <c r="A66" s="130" t="n">
        <v>2502022</v>
      </c>
      <c r="B66" s="1" t="inlineStr">
        <is>
          <t>Servicekosten 2022</t>
        </is>
      </c>
      <c r="C66" s="293" t="n">
        <v>0</v>
      </c>
      <c r="D66" s="293" t="n">
        <v>0</v>
      </c>
      <c r="E66" s="293" t="n">
        <v>179376.06</v>
      </c>
      <c r="F66" s="293" t="n">
        <v>-27.21</v>
      </c>
      <c r="G66" s="293" t="n">
        <v>-261260</v>
      </c>
      <c r="H66" s="305">
        <f>SUM(C66:G66)</f>
        <v/>
      </c>
      <c r="I66" s="358" t="inlineStr">
        <is>
          <t>Er is hierbij o.a. sprake van afrekeningen. Zou positie niet inmiddels nihil moeten zijn in plaats van verder oplopen?</t>
        </is>
      </c>
    </row>
    <row r="67" ht="12.75" customHeight="1">
      <c r="A67" s="130" t="n">
        <v>2502023</v>
      </c>
      <c r="B67" s="1" t="inlineStr">
        <is>
          <t>Servicekosten 2023</t>
        </is>
      </c>
      <c r="C67" s="293" t="n">
        <v>0</v>
      </c>
      <c r="D67" s="293" t="n">
        <v>0</v>
      </c>
      <c r="E67" s="293" t="n">
        <v>414481</v>
      </c>
      <c r="F67" s="346" t="n">
        <v>-404858.53</v>
      </c>
      <c r="G67" s="293" t="n">
        <v>-212658.64</v>
      </c>
      <c r="H67" s="305">
        <f>SUM(C67:G67)</f>
        <v/>
      </c>
      <c r="I67" s="358" t="inlineStr">
        <is>
          <t>Er is hierbij o.a. sprake van afrekeningen. Zou positie niet inmiddels nihil moeten zijn in plaats van verder oplopen?</t>
        </is>
      </c>
    </row>
    <row r="68" ht="12.75" customHeight="1">
      <c r="A68" s="302" t="inlineStr">
        <is>
          <t>2502024</t>
        </is>
      </c>
      <c r="B68" s="302" t="inlineStr">
        <is>
          <t>Servicekosten 2024</t>
        </is>
      </c>
      <c r="F68" s="293" t="n">
        <v>-6716.1</v>
      </c>
      <c r="G68" s="293" t="n">
        <v>225121.63</v>
      </c>
      <c r="H68" s="290">
        <f>SUM(C68:G68)</f>
        <v/>
      </c>
    </row>
    <row r="70" ht="12.75" customHeight="1">
      <c r="A70" s="132" t="inlineStr">
        <is>
          <t>Winst- en verliesrekening (baten zijn negatief, kosten positief)</t>
        </is>
      </c>
    </row>
    <row r="72" ht="12.75" customHeight="1">
      <c r="A72" s="1" t="inlineStr">
        <is>
          <t>8000003</t>
        </is>
      </c>
      <c r="B72" s="1" t="inlineStr">
        <is>
          <t>OPB Netto-omzet Theoretische huuropbrengsten</t>
        </is>
      </c>
      <c r="D72" s="293" t="n">
        <v>-3069840.08</v>
      </c>
      <c r="E72" s="293" t="n">
        <v>-3070216.69</v>
      </c>
      <c r="F72" s="293" t="n">
        <v>-3068643.25</v>
      </c>
      <c r="G72" s="293" t="n">
        <v>-3065862.05</v>
      </c>
      <c r="H72" s="290">
        <f>SUM(C72:G72)</f>
        <v/>
      </c>
      <c r="I72" s="290" t="n"/>
    </row>
    <row r="73" ht="12.75" customHeight="1">
      <c r="A73" s="1" t="inlineStr">
        <is>
          <t>8000004</t>
        </is>
      </c>
      <c r="B73" s="1" t="inlineStr">
        <is>
          <t>OPB Netto-omzet Leegstand huuropbrengsten</t>
        </is>
      </c>
      <c r="D73" s="293" t="n">
        <v>66841.79000000001</v>
      </c>
      <c r="E73" s="293" t="n">
        <v>59363.37999999999</v>
      </c>
      <c r="F73" s="293" t="n">
        <v>55043.32</v>
      </c>
      <c r="G73" s="293" t="n">
        <v>72337.34</v>
      </c>
      <c r="H73" s="290">
        <f>SUM(C73:G73)</f>
        <v/>
      </c>
      <c r="I73" s="290" t="n"/>
    </row>
    <row r="74" ht="12.75" customHeight="1">
      <c r="H74" s="290" t="n"/>
      <c r="I74" s="290" t="n"/>
    </row>
    <row r="75" ht="12.75" customHeight="1">
      <c r="A75" s="1" t="inlineStr">
        <is>
          <t>8400600</t>
        </is>
      </c>
      <c r="B75" s="1" t="inlineStr">
        <is>
          <t>OPB Overige bedrijfsopbrengsten Totale servicekosten</t>
        </is>
      </c>
      <c r="D75" s="293" t="n">
        <v>-165720.32</v>
      </c>
      <c r="E75" s="293" t="n">
        <v>-158681.53</v>
      </c>
      <c r="F75" s="293" t="n">
        <v>-285.0000000000146</v>
      </c>
      <c r="G75" s="293" t="n">
        <v>285</v>
      </c>
      <c r="H75" s="290">
        <f>SUM(C75:G75)</f>
        <v/>
      </c>
      <c r="I75" s="290" t="n"/>
    </row>
    <row r="76" ht="12.75" customHeight="1">
      <c r="A76" s="1" t="inlineStr">
        <is>
          <t>8400700</t>
        </is>
      </c>
      <c r="B76" s="1" t="inlineStr">
        <is>
          <t>OPB Overige bedrijfsopbrengsten Servicekosten leegstand</t>
        </is>
      </c>
      <c r="D76" s="293" t="n">
        <v>8306.41</v>
      </c>
      <c r="E76" s="293" t="n">
        <v>6138.51</v>
      </c>
      <c r="F76" s="293" t="n">
        <v>13193.29</v>
      </c>
      <c r="G76" s="293" t="n">
        <v>44728.32</v>
      </c>
      <c r="H76" s="290">
        <f>SUM(C76:G76)</f>
        <v/>
      </c>
      <c r="I76" s="290" t="n"/>
    </row>
    <row r="77" ht="12.75" customHeight="1">
      <c r="A77" s="1" t="inlineStr">
        <is>
          <t>8400800</t>
        </is>
      </c>
      <c r="B77" s="1" t="inlineStr">
        <is>
          <t>OPB Overige bedrijfsopbrengsten Gerealiseerde servicekosten</t>
        </is>
      </c>
      <c r="D77" s="293" t="n">
        <v>235052.43</v>
      </c>
      <c r="E77" s="293" t="n">
        <v>-376560.45</v>
      </c>
      <c r="F77" s="346" t="n">
        <v>177951.77</v>
      </c>
      <c r="G77" s="293" t="n">
        <v>95667.57999999999</v>
      </c>
      <c r="H77" s="290">
        <f>SUM(C77:G77)</f>
        <v/>
      </c>
      <c r="I77" s="290" t="n"/>
    </row>
    <row r="78" ht="12.75" customHeight="1">
      <c r="H78" s="290" t="n"/>
      <c r="I78" s="290" t="n"/>
    </row>
    <row r="79" ht="12.75" customHeight="1">
      <c r="A79" s="1" t="inlineStr">
        <is>
          <t>4051400</t>
        </is>
      </c>
      <c r="B79" s="1" t="inlineStr">
        <is>
          <t>KN Diensten door derden</t>
        </is>
      </c>
      <c r="D79" s="293" t="n">
        <v>130076.16</v>
      </c>
      <c r="E79" s="293" t="n">
        <v>129917.19</v>
      </c>
      <c r="F79" s="293" t="n">
        <v>129819.41</v>
      </c>
      <c r="G79" s="293" t="n">
        <v>130121.37</v>
      </c>
      <c r="H79" s="290">
        <f>SUM(C79:G79)</f>
        <v/>
      </c>
      <c r="I79" s="290" t="n"/>
    </row>
    <row r="80" ht="12.75" customHeight="1">
      <c r="H80" s="290" t="n"/>
      <c r="I80" s="290" t="n"/>
    </row>
    <row r="81" ht="12.75" customHeight="1">
      <c r="A81" s="1" t="inlineStr">
        <is>
          <t>4730000</t>
        </is>
      </c>
      <c r="B81" s="1" t="inlineStr">
        <is>
          <t>AFKN Afschrijvingskosten -</t>
        </is>
      </c>
      <c r="D81" s="293" t="n">
        <v>722958</v>
      </c>
      <c r="E81" s="293" t="n">
        <v>747378</v>
      </c>
      <c r="F81" s="293" t="n">
        <v>753602</v>
      </c>
      <c r="G81" s="293" t="n">
        <v>752120</v>
      </c>
      <c r="H81" s="290">
        <f>SUM(C81:G81)</f>
        <v/>
      </c>
      <c r="I81" s="290" t="n"/>
    </row>
    <row r="82" ht="12.75" customHeight="1">
      <c r="A82" s="1" t="inlineStr">
        <is>
          <t>4730200</t>
        </is>
      </c>
      <c r="B82" s="1" t="inlineStr">
        <is>
          <t>AFKN Boekresultaat -</t>
        </is>
      </c>
      <c r="D82" s="293" t="n">
        <v>-724209</v>
      </c>
      <c r="E82" s="293" t="n">
        <v>-1422615</v>
      </c>
      <c r="F82" s="293" t="n">
        <v>-990509</v>
      </c>
      <c r="G82" s="293" t="n">
        <v>-903643</v>
      </c>
      <c r="H82" s="290">
        <f>SUM(C82:G82)</f>
        <v/>
      </c>
      <c r="I82" s="290" t="n"/>
    </row>
    <row r="83" ht="12.75" customHeight="1">
      <c r="H83" s="290" t="n"/>
      <c r="I83" s="290" t="n"/>
    </row>
    <row r="84" ht="12.75" customHeight="1">
      <c r="A84" s="1" t="inlineStr">
        <is>
          <t>4100400</t>
        </is>
      </c>
      <c r="B84" s="1" t="inlineStr">
        <is>
          <t>KN Onderhoud gebouwen</t>
        </is>
      </c>
      <c r="D84" s="293" t="n">
        <v>244924.96</v>
      </c>
      <c r="E84" s="293" t="n">
        <v>450180.2</v>
      </c>
      <c r="F84" s="293" t="n">
        <v>242738.68</v>
      </c>
      <c r="G84" s="293" t="n">
        <v>353142.98</v>
      </c>
      <c r="H84" s="290">
        <f>SUM(C84:G84)</f>
        <v/>
      </c>
      <c r="I84" s="290" t="n"/>
    </row>
    <row r="85" ht="12.75" customHeight="1">
      <c r="A85" s="1" t="inlineStr">
        <is>
          <t>4100900</t>
        </is>
      </c>
      <c r="B85" s="1" t="inlineStr">
        <is>
          <t>KN Onroerende zaakbelasting</t>
        </is>
      </c>
      <c r="D85" s="293" t="n">
        <v>85689.25999999999</v>
      </c>
      <c r="E85" s="293" t="n">
        <v>81195.06999999999</v>
      </c>
      <c r="F85" s="293" t="n">
        <v>152529.85</v>
      </c>
      <c r="G85" s="293" t="n">
        <v>66177.88</v>
      </c>
      <c r="H85" s="290">
        <f>SUM(C85:G85)</f>
        <v/>
      </c>
      <c r="I85" s="290" t="n"/>
      <c r="J85" s="290" t="n"/>
    </row>
    <row r="86" ht="12.75" customHeight="1">
      <c r="A86" s="1" t="inlineStr">
        <is>
          <t>4101000</t>
        </is>
      </c>
      <c r="B86" s="1" t="inlineStr">
        <is>
          <t>KN Vaste lasten</t>
        </is>
      </c>
      <c r="D86" s="293" t="n">
        <v>187223.72</v>
      </c>
      <c r="E86" s="293" t="n">
        <v>165587.93</v>
      </c>
      <c r="F86" s="293" t="n">
        <v>178643.34</v>
      </c>
      <c r="G86" s="293" t="n">
        <v>262945.32</v>
      </c>
      <c r="H86" s="290">
        <f>SUM(C86:G86)</f>
        <v/>
      </c>
      <c r="I86" s="290" t="n"/>
    </row>
    <row r="87" ht="12.75" customHeight="1">
      <c r="A87" s="1" t="inlineStr">
        <is>
          <t>4100410</t>
        </is>
      </c>
      <c r="B87" s="1" t="inlineStr">
        <is>
          <t>Verhuurdersheffing</t>
        </is>
      </c>
      <c r="D87" s="293" t="n">
        <v>0</v>
      </c>
      <c r="E87" s="293" t="n">
        <v>0</v>
      </c>
      <c r="H87" s="290">
        <f>SUM(C87:G87)</f>
        <v/>
      </c>
      <c r="I87" s="290" t="n"/>
    </row>
    <row r="88" ht="12.75" customHeight="1">
      <c r="A88" s="1" t="inlineStr">
        <is>
          <t>4101010</t>
        </is>
      </c>
      <c r="B88" s="1" t="inlineStr">
        <is>
          <t>Gemeentelijke belastingen</t>
        </is>
      </c>
      <c r="D88" s="293" t="n">
        <v>450.4</v>
      </c>
      <c r="E88" s="293" t="n">
        <v>0</v>
      </c>
      <c r="F88" s="293" t="n">
        <v>56017.83000000001</v>
      </c>
      <c r="G88" s="293" t="n">
        <v>23941.86</v>
      </c>
      <c r="H88" s="290">
        <f>SUM(C88:G88)</f>
        <v/>
      </c>
      <c r="I88" s="290" t="n"/>
      <c r="J88" s="290" t="n"/>
    </row>
    <row r="89" ht="12.75" customHeight="1">
      <c r="A89" s="1" t="inlineStr">
        <is>
          <t>4101020</t>
        </is>
      </c>
      <c r="B89" s="1" t="inlineStr">
        <is>
          <t>Waterschapsbelasting</t>
        </is>
      </c>
      <c r="D89" s="293" t="n">
        <v>44191.92999999999</v>
      </c>
      <c r="E89" s="293" t="n">
        <v>3224.63</v>
      </c>
      <c r="F89" s="293" t="n">
        <v>8746.040000000001</v>
      </c>
      <c r="G89" s="293" t="n">
        <v>48840.03000000001</v>
      </c>
      <c r="H89" s="290">
        <f>SUM(C89:G89)</f>
        <v/>
      </c>
      <c r="I89" s="290" t="n"/>
    </row>
    <row r="90" ht="12.75" customHeight="1">
      <c r="A90" s="1" t="inlineStr">
        <is>
          <t>4101300</t>
        </is>
      </c>
      <c r="B90" s="1" t="inlineStr">
        <is>
          <t>KN Servicekosten leegstand</t>
        </is>
      </c>
      <c r="D90" s="293" t="n">
        <v>-126.11</v>
      </c>
      <c r="E90" s="293" t="n">
        <v>0</v>
      </c>
      <c r="H90" s="290">
        <f>SUM(C90:G90)</f>
        <v/>
      </c>
      <c r="I90" s="290" t="n"/>
    </row>
    <row r="91" ht="12.75" customHeight="1">
      <c r="H91" s="290" t="n"/>
      <c r="I91" s="290" t="n"/>
    </row>
    <row r="92" ht="12.75" customHeight="1">
      <c r="A92" s="1" t="inlineStr">
        <is>
          <t>4501200</t>
        </is>
      </c>
      <c r="B92" s="1" t="inlineStr">
        <is>
          <t>KN Mutatie voorziening dubieuze debiteuren</t>
        </is>
      </c>
      <c r="D92" s="293" t="n">
        <v>0</v>
      </c>
      <c r="E92" s="293" t="n">
        <v>-68505.28</v>
      </c>
      <c r="H92" s="290">
        <f>SUM(C92:G92)</f>
        <v/>
      </c>
      <c r="I92" s="290" t="n"/>
    </row>
    <row r="93" ht="12.75" customHeight="1">
      <c r="A93" s="1" t="inlineStr">
        <is>
          <t>4501300</t>
        </is>
      </c>
      <c r="B93" s="1" t="inlineStr">
        <is>
          <t>KN Afboeking dubieuze debiteuren</t>
        </is>
      </c>
      <c r="D93" s="293" t="n">
        <v>1767.89</v>
      </c>
      <c r="E93" s="293" t="n">
        <v>9613.93</v>
      </c>
      <c r="F93" s="293" t="n">
        <v>23862.5</v>
      </c>
      <c r="G93" s="293" t="n">
        <v>42503.08</v>
      </c>
      <c r="H93" s="290">
        <f>SUM(C93:G93)</f>
        <v/>
      </c>
      <c r="I93" s="290" t="n"/>
    </row>
    <row r="94" ht="12.75" customHeight="1">
      <c r="H94" s="290" t="n"/>
      <c r="I94" s="290" t="n"/>
    </row>
    <row r="95" ht="12.75" customHeight="1">
      <c r="A95" s="1" t="inlineStr">
        <is>
          <t>4300200</t>
        </is>
      </c>
      <c r="B95" s="1" t="inlineStr">
        <is>
          <t>KN Communicatiekosten</t>
        </is>
      </c>
      <c r="D95" s="293" t="n">
        <v>0</v>
      </c>
      <c r="E95" s="293" t="n">
        <v>145.2</v>
      </c>
      <c r="H95" s="290">
        <f>SUM(C95:G95)</f>
        <v/>
      </c>
      <c r="I95" s="290" t="n"/>
    </row>
    <row r="96" ht="12.75" customHeight="1">
      <c r="A96" s="1" t="inlineStr">
        <is>
          <t>4300500</t>
        </is>
      </c>
      <c r="B96" s="1" t="inlineStr">
        <is>
          <t>KN Incassokosten</t>
        </is>
      </c>
      <c r="D96" s="293" t="n">
        <v>0</v>
      </c>
      <c r="E96" s="293" t="n">
        <v>3001.8</v>
      </c>
      <c r="F96" s="293" t="n">
        <v>300</v>
      </c>
      <c r="G96" s="293" t="n">
        <v>40</v>
      </c>
      <c r="H96" s="290">
        <f>SUM(C96:G96)</f>
        <v/>
      </c>
      <c r="I96" s="290" t="n"/>
    </row>
    <row r="97" ht="12.75" customHeight="1">
      <c r="H97" s="290" t="n"/>
      <c r="I97" s="290" t="n"/>
    </row>
    <row r="98" ht="12.75" customHeight="1">
      <c r="A98" s="1" t="inlineStr">
        <is>
          <t>4310400</t>
        </is>
      </c>
      <c r="B98" s="1" t="inlineStr">
        <is>
          <t>KN Assurantiepremie algemeen</t>
        </is>
      </c>
      <c r="D98" s="293" t="n">
        <v>28766.3</v>
      </c>
      <c r="E98" s="293" t="n">
        <v>38354.78999999999</v>
      </c>
      <c r="F98" s="293" t="n">
        <v>50015.36</v>
      </c>
      <c r="G98" s="293" t="n">
        <v>37420.71</v>
      </c>
      <c r="H98" s="290">
        <f>SUM(C98:G98)</f>
        <v/>
      </c>
      <c r="I98" s="290" t="n"/>
      <c r="J98" s="290" t="n"/>
    </row>
    <row r="99" ht="12.75" customHeight="1">
      <c r="A99" s="1" t="inlineStr">
        <is>
          <t>4310500</t>
        </is>
      </c>
      <c r="B99" s="1" t="inlineStr">
        <is>
          <t>KN Managementvergoeding</t>
        </is>
      </c>
      <c r="D99" s="293" t="n">
        <v>1500</v>
      </c>
      <c r="E99" s="293" t="n">
        <v>1500</v>
      </c>
      <c r="F99" s="293" t="n">
        <v>1500</v>
      </c>
      <c r="G99" s="293" t="n">
        <v>1500</v>
      </c>
      <c r="H99" s="290">
        <f>SUM(C99:G99)</f>
        <v/>
      </c>
      <c r="I99" s="290" t="n"/>
    </row>
    <row r="100" ht="12.75" customHeight="1">
      <c r="A100" s="1" t="inlineStr">
        <is>
          <t>4310600</t>
        </is>
      </c>
      <c r="B100" s="1" t="inlineStr">
        <is>
          <t>KN Accountantskosten</t>
        </is>
      </c>
      <c r="D100" s="293" t="n">
        <v>3122.8</v>
      </c>
      <c r="E100" s="293" t="n">
        <v>24818.14</v>
      </c>
      <c r="F100" s="293" t="n">
        <v>39840.45</v>
      </c>
      <c r="G100" s="293" t="n">
        <v>43290.89</v>
      </c>
      <c r="H100" s="290">
        <f>SUM(C100:G100)</f>
        <v/>
      </c>
      <c r="I100" s="290" t="n"/>
    </row>
    <row r="101" ht="12.75" customHeight="1">
      <c r="A101" s="1" t="inlineStr">
        <is>
          <t>4310700</t>
        </is>
      </c>
      <c r="B101" s="1" t="inlineStr">
        <is>
          <t>KN Administratiekosten</t>
        </is>
      </c>
      <c r="D101" s="293" t="n">
        <v>3993</v>
      </c>
      <c r="E101" s="293" t="n">
        <v>2280.85</v>
      </c>
      <c r="F101" s="293" t="n">
        <v>1397.55</v>
      </c>
      <c r="G101" s="293" t="n">
        <v>2825.35</v>
      </c>
      <c r="H101" s="290">
        <f>SUM(C101:G101)</f>
        <v/>
      </c>
      <c r="I101" s="290" t="n"/>
    </row>
    <row r="102" ht="12.75" customHeight="1">
      <c r="A102" s="1" t="inlineStr">
        <is>
          <t>4310800</t>
        </is>
      </c>
      <c r="B102" s="1" t="inlineStr">
        <is>
          <t>KN Notariskosten</t>
        </is>
      </c>
      <c r="D102" s="293" t="n">
        <v>56784.23</v>
      </c>
      <c r="E102" s="293" t="n">
        <v>81564.91</v>
      </c>
      <c r="F102" s="293" t="n">
        <v>56181.05</v>
      </c>
      <c r="G102" s="293" t="n">
        <v>46357.1</v>
      </c>
      <c r="H102" s="290">
        <f>SUM(C102:G102)</f>
        <v/>
      </c>
      <c r="I102" s="290" t="n"/>
    </row>
    <row r="103" ht="12.75" customHeight="1">
      <c r="A103" s="1" t="inlineStr">
        <is>
          <t>4311000</t>
        </is>
      </c>
      <c r="B103" s="1" t="inlineStr">
        <is>
          <t>KN Juridische kosten</t>
        </is>
      </c>
      <c r="D103" s="293" t="n">
        <v>12854.12</v>
      </c>
      <c r="E103" s="293" t="n">
        <v>30812.37</v>
      </c>
      <c r="F103" s="293" t="n">
        <v>11000.2</v>
      </c>
      <c r="G103" s="293" t="n">
        <v>7662.190000000001</v>
      </c>
      <c r="H103" s="290">
        <f>SUM(C103:G103)</f>
        <v/>
      </c>
      <c r="I103" s="290" t="n"/>
    </row>
    <row r="104" ht="12.75" customHeight="1">
      <c r="A104" s="1" t="inlineStr">
        <is>
          <t>4311800</t>
        </is>
      </c>
      <c r="B104" s="1" t="inlineStr">
        <is>
          <t>KN Advieskosten</t>
        </is>
      </c>
      <c r="D104" s="293" t="n">
        <v>8800</v>
      </c>
      <c r="E104" s="293" t="n">
        <v>11000</v>
      </c>
      <c r="F104" s="293" t="n">
        <v>13200</v>
      </c>
      <c r="G104" s="293" t="n">
        <v>9900</v>
      </c>
      <c r="H104" s="290">
        <f>SUM(C104:G104)</f>
        <v/>
      </c>
      <c r="I104" s="290" t="n"/>
    </row>
    <row r="105" ht="12.75" customHeight="1">
      <c r="A105" s="1" t="inlineStr">
        <is>
          <t>4311900</t>
        </is>
      </c>
      <c r="B105" s="1" t="inlineStr">
        <is>
          <t>KN Bankkosten</t>
        </is>
      </c>
      <c r="D105" s="293" t="n">
        <v>33277.08</v>
      </c>
      <c r="E105" s="293" t="n">
        <v>94379.49000000001</v>
      </c>
      <c r="F105" s="293" t="n">
        <v>8388.33</v>
      </c>
      <c r="G105" s="293" t="n">
        <v>8594.040000000001</v>
      </c>
      <c r="H105" s="290">
        <f>SUM(C105:G105)</f>
        <v/>
      </c>
      <c r="I105" s="290" t="n"/>
    </row>
    <row r="106" ht="12.75" customHeight="1">
      <c r="A106" s="1" t="inlineStr">
        <is>
          <t>4312600</t>
        </is>
      </c>
      <c r="B106" s="1" t="inlineStr">
        <is>
          <t>KN Diverse lasten</t>
        </is>
      </c>
      <c r="D106" s="293" t="n">
        <v>40000</v>
      </c>
      <c r="E106" s="293" t="n">
        <v>0</v>
      </c>
      <c r="H106" s="290">
        <f>SUM(C106:G106)</f>
        <v/>
      </c>
      <c r="I106" s="290" t="n"/>
    </row>
    <row r="107" ht="12.75" customHeight="1">
      <c r="A107" s="1" t="inlineStr">
        <is>
          <t>4319800</t>
        </is>
      </c>
      <c r="B107" s="1" t="inlineStr">
        <is>
          <t>KN Overige algemene kosten</t>
        </is>
      </c>
      <c r="D107" s="293" t="n">
        <v>5515.540000000001</v>
      </c>
      <c r="E107" s="293" t="n">
        <v>-971.21</v>
      </c>
      <c r="F107" s="293" t="n">
        <v>1946.3</v>
      </c>
      <c r="G107" s="293" t="n">
        <v>2438.7</v>
      </c>
      <c r="H107" s="290">
        <f>SUM(C107:G107)</f>
        <v/>
      </c>
      <c r="I107" s="290" t="n"/>
    </row>
    <row r="108" ht="12.75" customHeight="1">
      <c r="H108" s="290" t="n"/>
      <c r="I108" s="290" t="n"/>
    </row>
    <row r="109" ht="12.75" customHeight="1">
      <c r="A109" s="1" t="inlineStr">
        <is>
          <t>4601000</t>
        </is>
      </c>
      <c r="B109" s="1" t="inlineStr">
        <is>
          <t>FINBL Rente RC D.M. Equity Partners C.V.</t>
        </is>
      </c>
      <c r="D109" s="293" t="n">
        <v>0</v>
      </c>
      <c r="E109" s="293" t="n">
        <v>1205</v>
      </c>
      <c r="H109" s="290">
        <f>SUM(C109:G109)</f>
        <v/>
      </c>
      <c r="I109" s="290" t="n"/>
    </row>
    <row r="110" ht="12.75" customHeight="1">
      <c r="A110" s="1" t="inlineStr">
        <is>
          <t>4611000</t>
        </is>
      </c>
      <c r="B110" s="1" t="inlineStr">
        <is>
          <t>FINBL Rente RC DMRRP INV - I BV</t>
        </is>
      </c>
      <c r="D110" s="293" t="n">
        <v>0</v>
      </c>
      <c r="E110" s="293" t="n">
        <v>3371</v>
      </c>
      <c r="H110" s="290">
        <f>SUM(C110:G110)</f>
        <v/>
      </c>
      <c r="I110" s="290" t="n"/>
    </row>
    <row r="111" ht="12.75" customHeight="1">
      <c r="A111" s="1" t="inlineStr">
        <is>
          <t>4620200</t>
        </is>
      </c>
      <c r="B111" s="1" t="inlineStr">
        <is>
          <t>FINBL Rente ABN AMRO Bank Disposal NL58 ABNA 0818 9180 39</t>
        </is>
      </c>
      <c r="D111" s="293" t="n">
        <v>0</v>
      </c>
      <c r="E111" s="293" t="n">
        <v>53.16</v>
      </c>
      <c r="H111" s="290">
        <f>SUM(C111:G111)</f>
        <v/>
      </c>
      <c r="I111" s="290" t="n"/>
    </row>
    <row r="112" ht="12.75" customHeight="1">
      <c r="A112" s="1" t="inlineStr">
        <is>
          <t>4623001</t>
        </is>
      </c>
      <c r="B112" s="1" t="inlineStr">
        <is>
          <t>FINBL Rente ABN AMRO Bank NV Senior Facility Agreement</t>
        </is>
      </c>
      <c r="D112" s="293" t="n">
        <v>1865023.71</v>
      </c>
      <c r="E112" s="293" t="n">
        <v>1976243.93</v>
      </c>
      <c r="F112" s="293" t="n">
        <v>1936806.51</v>
      </c>
      <c r="G112" s="293" t="n">
        <v>1946836.3</v>
      </c>
      <c r="H112" s="290">
        <f>SUM(C112:G112)</f>
        <v/>
      </c>
      <c r="I112" s="290" t="n"/>
    </row>
    <row r="113" ht="12.75" customHeight="1">
      <c r="A113" s="1" t="inlineStr">
        <is>
          <t>4643000</t>
        </is>
      </c>
      <c r="B113" s="1" t="inlineStr">
        <is>
          <t>FINBL Overige rentelasten</t>
        </is>
      </c>
      <c r="D113" s="293" t="n">
        <v>-143485.89</v>
      </c>
      <c r="E113" s="293" t="n">
        <v>-237843.16</v>
      </c>
      <c r="F113" s="293" t="n">
        <v>-199616.03</v>
      </c>
      <c r="G113" s="293" t="n">
        <v>132400</v>
      </c>
      <c r="H113" s="290">
        <f>SUM(C113:G113)</f>
        <v/>
      </c>
      <c r="I113" s="290" t="n"/>
    </row>
    <row r="114" ht="12.75" customHeight="1">
      <c r="A114" s="1" t="inlineStr">
        <is>
          <t>4642000</t>
        </is>
      </c>
      <c r="B114" s="1" t="inlineStr">
        <is>
          <t>FINBL Overige rentebaten</t>
        </is>
      </c>
      <c r="D114" s="293" t="n">
        <v>0</v>
      </c>
      <c r="E114" s="293" t="n">
        <v>0</v>
      </c>
      <c r="F114" s="293" t="n">
        <v>-51.12</v>
      </c>
      <c r="G114" s="357" t="n">
        <v>-332658.47</v>
      </c>
      <c r="H114" s="290">
        <f>SUM(C114:G114)</f>
        <v/>
      </c>
      <c r="I114" s="358" t="n"/>
    </row>
    <row r="115" ht="12.75" customHeight="1">
      <c r="A115" s="1" t="inlineStr">
        <is>
          <t>4663000</t>
        </is>
      </c>
      <c r="B115" s="1" t="inlineStr">
        <is>
          <t>FINBL Rente vord DMRRP INV - I BV</t>
        </is>
      </c>
      <c r="D115" s="293" t="n">
        <v>-510487.96</v>
      </c>
      <c r="E115" s="293" t="n">
        <v>-540930.78</v>
      </c>
      <c r="F115" s="293" t="n">
        <v>-524297.24</v>
      </c>
      <c r="G115" s="293" t="n">
        <v>-530364.23</v>
      </c>
      <c r="H115" s="290">
        <f>SUM(C115:G115)</f>
        <v/>
      </c>
      <c r="I115" s="290" t="n"/>
    </row>
    <row r="116" ht="12.75" customHeight="1">
      <c r="H116" s="290" t="n"/>
      <c r="I116" s="290" t="n"/>
    </row>
    <row r="117" ht="12.75" customHeight="1">
      <c r="A117" s="1" t="inlineStr">
        <is>
          <t>9500000</t>
        </is>
      </c>
      <c r="B117" s="1" t="inlineStr">
        <is>
          <t>VPB Vennootschapsbelasting VPB huidig jaar</t>
        </is>
      </c>
      <c r="D117" s="293" t="n">
        <v>0</v>
      </c>
      <c r="E117" s="293" t="n">
        <v>2244629</v>
      </c>
      <c r="H117" s="290">
        <f>SUM(C117:G117)</f>
        <v/>
      </c>
      <c r="I117" s="290" t="n"/>
    </row>
    <row r="118" ht="12.75" customHeight="1">
      <c r="A118" s="1" t="inlineStr">
        <is>
          <t>9510000</t>
        </is>
      </c>
      <c r="B118" s="1" t="inlineStr">
        <is>
          <t>VPB Mutatie belastinglatentie Mutatie actieve latentie</t>
        </is>
      </c>
      <c r="D118" s="293" t="n">
        <v>-146161</v>
      </c>
      <c r="E118" s="293" t="n">
        <v>-797885</v>
      </c>
      <c r="F118" s="293" t="n">
        <v>-160838</v>
      </c>
      <c r="G118" s="293" t="n">
        <v>-176734</v>
      </c>
      <c r="H118" s="290">
        <f>SUM(C118:G118)</f>
        <v/>
      </c>
      <c r="I118" s="290" t="n"/>
    </row>
    <row r="119" ht="12.75" customHeight="1">
      <c r="H119" s="290" t="n"/>
      <c r="I119" s="290" t="n"/>
    </row>
    <row r="120" ht="12.75" customHeight="1">
      <c r="A120" s="1" t="inlineStr">
        <is>
          <t>Resultaat na belasting</t>
        </is>
      </c>
      <c r="D120" s="293">
        <f>SUM(D72:D118)</f>
        <v/>
      </c>
      <c r="E120" s="293">
        <f>SUM(E72:E118)</f>
        <v/>
      </c>
      <c r="F120" s="293">
        <f>SUM(F72:F118)</f>
        <v/>
      </c>
      <c r="G120" s="293">
        <f>SUM(G72:G118)</f>
        <v/>
      </c>
      <c r="H120" s="290">
        <f>SUM(C120:G120)</f>
        <v/>
      </c>
      <c r="I120" s="290" t="n"/>
      <c r="J120" s="359" t="n"/>
      <c r="K120" s="299" t="n"/>
    </row>
    <row r="122" ht="12.75" customHeight="1">
      <c r="A122" s="1" t="inlineStr">
        <is>
          <t>Verschil balans en winst-en-verlies</t>
        </is>
      </c>
      <c r="D122" s="293">
        <f>SUM(D5:D118)-D120</f>
        <v/>
      </c>
      <c r="E122" s="293">
        <f>SUM(E5:E118)-E120</f>
        <v/>
      </c>
      <c r="F122" s="293">
        <f>SUM(F5:F118)-F120</f>
        <v/>
      </c>
      <c r="G122" s="293">
        <f>SUM(G5:G118)-G120</f>
        <v/>
      </c>
      <c r="H122" s="293">
        <f>SUM(H5:H118)-H120</f>
        <v/>
      </c>
    </row>
    <row r="124" ht="12.75" customHeight="1">
      <c r="A124" s="130" t="inlineStr">
        <is>
          <t>afschrijving SWAP</t>
        </is>
      </c>
      <c r="C124" s="341" t="n"/>
      <c r="D124" s="289">
        <f>36883.33*3</f>
        <v/>
      </c>
      <c r="E124" s="289">
        <f>36883.33*3</f>
        <v/>
      </c>
      <c r="F124" s="289">
        <f>36883.33*3</f>
        <v/>
      </c>
      <c r="G124" s="289">
        <f>36883.33*3</f>
        <v/>
      </c>
      <c r="H124" s="290" t="n"/>
    </row>
    <row r="125" ht="12.75" customHeight="1">
      <c r="A125" s="130" t="inlineStr">
        <is>
          <t>Inkomsten SWAP</t>
        </is>
      </c>
      <c r="C125" s="341" t="n"/>
      <c r="D125" s="341" t="n">
        <v>-254135.88</v>
      </c>
      <c r="E125" s="341" t="n">
        <v>-348493.15</v>
      </c>
      <c r="F125" s="341" t="n">
        <v>-332016.32</v>
      </c>
      <c r="G125" s="341" t="n">
        <v>-332658</v>
      </c>
      <c r="H125" s="290" t="n"/>
      <c r="J125" s="290" t="n"/>
    </row>
    <row r="126" ht="12.75" customHeight="1">
      <c r="A126" s="130" t="n"/>
      <c r="C126" s="341" t="n"/>
      <c r="D126" s="341" t="n"/>
      <c r="E126" s="341" t="n"/>
      <c r="F126" s="341" t="n"/>
      <c r="G126" s="341" t="n"/>
      <c r="H126" s="290" t="n"/>
    </row>
    <row r="127" ht="12.75" customHeight="1">
      <c r="A127" s="130" t="inlineStr">
        <is>
          <t>Rente</t>
        </is>
      </c>
      <c r="C127" s="341" t="n"/>
      <c r="D127" s="341">
        <f>D112</f>
        <v/>
      </c>
      <c r="E127" s="341">
        <f>E112+E111+E110+E109</f>
        <v/>
      </c>
      <c r="F127" s="341">
        <f>F112+F109+F111</f>
        <v/>
      </c>
      <c r="G127" s="341">
        <f>G112+G109+G111</f>
        <v/>
      </c>
      <c r="H127" s="341">
        <f>H112+H109+H111+H110</f>
        <v/>
      </c>
    </row>
    <row r="128" ht="12.75" customHeight="1">
      <c r="A128" s="130" t="inlineStr">
        <is>
          <t>SWAP</t>
        </is>
      </c>
      <c r="C128" s="341" t="n"/>
      <c r="D128" s="341">
        <f>D125</f>
        <v/>
      </c>
      <c r="E128" s="341">
        <f>E125</f>
        <v/>
      </c>
      <c r="F128" s="341">
        <f>F125</f>
        <v/>
      </c>
      <c r="G128" s="356">
        <f>G125</f>
        <v/>
      </c>
      <c r="H128" s="351">
        <f>SUM(D128:G128)</f>
        <v/>
      </c>
    </row>
    <row r="129" ht="12.75" customHeight="1">
      <c r="A129" s="130" t="inlineStr">
        <is>
          <t>Afschrijving prepaid derivatives transaction</t>
        </is>
      </c>
      <c r="C129" s="341" t="n"/>
      <c r="D129" s="341">
        <f>D124</f>
        <v/>
      </c>
      <c r="E129" s="341">
        <f>E124</f>
        <v/>
      </c>
      <c r="F129" s="341">
        <f>F124</f>
        <v/>
      </c>
      <c r="G129" s="356">
        <f>G124</f>
        <v/>
      </c>
      <c r="H129" s="351">
        <f>SUM(D129:G129)</f>
        <v/>
      </c>
    </row>
    <row r="130" ht="12.75" customHeight="1">
      <c r="A130" s="130" t="inlineStr">
        <is>
          <t>IC interest</t>
        </is>
      </c>
      <c r="C130" s="341" t="n"/>
      <c r="D130" s="341">
        <f>D110+D115</f>
        <v/>
      </c>
      <c r="E130" s="341">
        <f>E110+E115</f>
        <v/>
      </c>
      <c r="F130" s="341">
        <f>F115</f>
        <v/>
      </c>
      <c r="G130" s="341">
        <f>G115</f>
        <v/>
      </c>
      <c r="H130" s="290">
        <f>SUM(D130:G130)</f>
        <v/>
      </c>
    </row>
    <row r="131" ht="12.75" customHeight="1">
      <c r="A131" s="130" t="n"/>
      <c r="C131" s="341" t="n"/>
      <c r="D131" s="341">
        <f>SUM(D127:D130)</f>
        <v/>
      </c>
      <c r="E131" s="341">
        <f>SUM(E127:E130)</f>
        <v/>
      </c>
      <c r="F131" s="341">
        <f>SUM(F127:F130)</f>
        <v/>
      </c>
      <c r="G131" s="341">
        <f>SUM(G127:G130)</f>
        <v/>
      </c>
      <c r="H131" s="290">
        <f>SUM(D131:G131)</f>
        <v/>
      </c>
    </row>
    <row r="133" ht="12.75" customHeight="1">
      <c r="H133" s="290" t="n"/>
    </row>
    <row r="134" ht="12.75" customHeight="1">
      <c r="H134" s="290" t="n"/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37"/>
  <sheetViews>
    <sheetView showGridLines="0" topLeftCell="A77" zoomScaleNormal="100" workbookViewId="0">
      <selection activeCell="H134" sqref="H134"/>
    </sheetView>
  </sheetViews>
  <sheetFormatPr baseColWidth="8" defaultRowHeight="12.75" customHeight="1"/>
  <cols>
    <col width="9.109375" customWidth="1" style="1" min="1" max="1"/>
    <col width="64.6640625" customWidth="1" style="1" min="2" max="2"/>
    <col width="26" bestFit="1" customWidth="1" style="293" min="3" max="3"/>
    <col width="17.5546875" bestFit="1" customWidth="1" style="293" min="4" max="4"/>
    <col width="17.5546875" bestFit="1" customWidth="1" style="293" min="5" max="5"/>
    <col width="17.5546875" customWidth="1" style="293" min="6" max="7"/>
    <col width="20.44140625" bestFit="1" customWidth="1" style="1" min="8" max="8"/>
    <col width="10.88671875" bestFit="1" customWidth="1" style="1" min="9" max="9"/>
    <col width="9.109375" customWidth="1" style="1" min="10" max="10"/>
    <col width="10.88671875" bestFit="1" customWidth="1" style="1" min="11" max="11"/>
    <col width="9.109375" customWidth="1" style="1" min="12" max="257"/>
    <col width="70" bestFit="1" customWidth="1" style="1" min="258" max="258"/>
    <col width="26" bestFit="1" customWidth="1" style="1" min="259" max="259"/>
    <col width="17.5546875" bestFit="1" customWidth="1" style="1" min="260" max="261"/>
    <col width="17.5546875" customWidth="1" style="1" min="262" max="263"/>
    <col width="20.44140625" bestFit="1" customWidth="1" style="1" min="264" max="264"/>
    <col width="10.88671875" bestFit="1" customWidth="1" style="1" min="265" max="265"/>
    <col width="9.109375" customWidth="1" style="1" min="266" max="266"/>
    <col width="10.88671875" bestFit="1" customWidth="1" style="1" min="267" max="267"/>
    <col width="9.109375" customWidth="1" style="1" min="268" max="513"/>
    <col width="70" bestFit="1" customWidth="1" style="1" min="514" max="514"/>
    <col width="26" bestFit="1" customWidth="1" style="1" min="515" max="515"/>
    <col width="17.5546875" bestFit="1" customWidth="1" style="1" min="516" max="517"/>
    <col width="17.5546875" customWidth="1" style="1" min="518" max="519"/>
    <col width="20.44140625" bestFit="1" customWidth="1" style="1" min="520" max="520"/>
    <col width="10.88671875" bestFit="1" customWidth="1" style="1" min="521" max="521"/>
    <col width="9.109375" customWidth="1" style="1" min="522" max="522"/>
    <col width="10.88671875" bestFit="1" customWidth="1" style="1" min="523" max="523"/>
    <col width="9.109375" customWidth="1" style="1" min="524" max="769"/>
    <col width="70" bestFit="1" customWidth="1" style="1" min="770" max="770"/>
    <col width="26" bestFit="1" customWidth="1" style="1" min="771" max="771"/>
    <col width="17.5546875" bestFit="1" customWidth="1" style="1" min="772" max="773"/>
    <col width="17.5546875" customWidth="1" style="1" min="774" max="775"/>
    <col width="20.44140625" bestFit="1" customWidth="1" style="1" min="776" max="776"/>
    <col width="10.88671875" bestFit="1" customWidth="1" style="1" min="777" max="777"/>
    <col width="9.109375" customWidth="1" style="1" min="778" max="778"/>
    <col width="10.88671875" bestFit="1" customWidth="1" style="1" min="779" max="779"/>
    <col width="9.109375" customWidth="1" style="1" min="780" max="1025"/>
    <col width="70" bestFit="1" customWidth="1" style="1" min="1026" max="1026"/>
    <col width="26" bestFit="1" customWidth="1" style="1" min="1027" max="1027"/>
    <col width="17.5546875" bestFit="1" customWidth="1" style="1" min="1028" max="1029"/>
    <col width="17.5546875" customWidth="1" style="1" min="1030" max="1031"/>
    <col width="20.44140625" bestFit="1" customWidth="1" style="1" min="1032" max="1032"/>
    <col width="10.88671875" bestFit="1" customWidth="1" style="1" min="1033" max="1033"/>
    <col width="9.109375" customWidth="1" style="1" min="1034" max="1034"/>
    <col width="10.88671875" bestFit="1" customWidth="1" style="1" min="1035" max="1035"/>
    <col width="9.109375" customWidth="1" style="1" min="1036" max="1281"/>
    <col width="70" bestFit="1" customWidth="1" style="1" min="1282" max="1282"/>
    <col width="26" bestFit="1" customWidth="1" style="1" min="1283" max="1283"/>
    <col width="17.5546875" bestFit="1" customWidth="1" style="1" min="1284" max="1285"/>
    <col width="17.5546875" customWidth="1" style="1" min="1286" max="1287"/>
    <col width="20.44140625" bestFit="1" customWidth="1" style="1" min="1288" max="1288"/>
    <col width="10.88671875" bestFit="1" customWidth="1" style="1" min="1289" max="1289"/>
    <col width="9.109375" customWidth="1" style="1" min="1290" max="1290"/>
    <col width="10.88671875" bestFit="1" customWidth="1" style="1" min="1291" max="1291"/>
    <col width="9.109375" customWidth="1" style="1" min="1292" max="1537"/>
    <col width="70" bestFit="1" customWidth="1" style="1" min="1538" max="1538"/>
    <col width="26" bestFit="1" customWidth="1" style="1" min="1539" max="1539"/>
    <col width="17.5546875" bestFit="1" customWidth="1" style="1" min="1540" max="1541"/>
    <col width="17.5546875" customWidth="1" style="1" min="1542" max="1543"/>
    <col width="20.44140625" bestFit="1" customWidth="1" style="1" min="1544" max="1544"/>
    <col width="10.88671875" bestFit="1" customWidth="1" style="1" min="1545" max="1545"/>
    <col width="9.109375" customWidth="1" style="1" min="1546" max="1546"/>
    <col width="10.88671875" bestFit="1" customWidth="1" style="1" min="1547" max="1547"/>
    <col width="9.109375" customWidth="1" style="1" min="1548" max="1793"/>
    <col width="70" bestFit="1" customWidth="1" style="1" min="1794" max="1794"/>
    <col width="26" bestFit="1" customWidth="1" style="1" min="1795" max="1795"/>
    <col width="17.5546875" bestFit="1" customWidth="1" style="1" min="1796" max="1797"/>
    <col width="17.5546875" customWidth="1" style="1" min="1798" max="1799"/>
    <col width="20.44140625" bestFit="1" customWidth="1" style="1" min="1800" max="1800"/>
    <col width="10.88671875" bestFit="1" customWidth="1" style="1" min="1801" max="1801"/>
    <col width="9.109375" customWidth="1" style="1" min="1802" max="1802"/>
    <col width="10.88671875" bestFit="1" customWidth="1" style="1" min="1803" max="1803"/>
    <col width="9.109375" customWidth="1" style="1" min="1804" max="2049"/>
    <col width="70" bestFit="1" customWidth="1" style="1" min="2050" max="2050"/>
    <col width="26" bestFit="1" customWidth="1" style="1" min="2051" max="2051"/>
    <col width="17.5546875" bestFit="1" customWidth="1" style="1" min="2052" max="2053"/>
    <col width="17.5546875" customWidth="1" style="1" min="2054" max="2055"/>
    <col width="20.44140625" bestFit="1" customWidth="1" style="1" min="2056" max="2056"/>
    <col width="10.88671875" bestFit="1" customWidth="1" style="1" min="2057" max="2057"/>
    <col width="9.109375" customWidth="1" style="1" min="2058" max="2058"/>
    <col width="10.88671875" bestFit="1" customWidth="1" style="1" min="2059" max="2059"/>
    <col width="9.109375" customWidth="1" style="1" min="2060" max="2305"/>
    <col width="70" bestFit="1" customWidth="1" style="1" min="2306" max="2306"/>
    <col width="26" bestFit="1" customWidth="1" style="1" min="2307" max="2307"/>
    <col width="17.5546875" bestFit="1" customWidth="1" style="1" min="2308" max="2309"/>
    <col width="17.5546875" customWidth="1" style="1" min="2310" max="2311"/>
    <col width="20.44140625" bestFit="1" customWidth="1" style="1" min="2312" max="2312"/>
    <col width="10.88671875" bestFit="1" customWidth="1" style="1" min="2313" max="2313"/>
    <col width="9.109375" customWidth="1" style="1" min="2314" max="2314"/>
    <col width="10.88671875" bestFit="1" customWidth="1" style="1" min="2315" max="2315"/>
    <col width="9.109375" customWidth="1" style="1" min="2316" max="2561"/>
    <col width="70" bestFit="1" customWidth="1" style="1" min="2562" max="2562"/>
    <col width="26" bestFit="1" customWidth="1" style="1" min="2563" max="2563"/>
    <col width="17.5546875" bestFit="1" customWidth="1" style="1" min="2564" max="2565"/>
    <col width="17.5546875" customWidth="1" style="1" min="2566" max="2567"/>
    <col width="20.44140625" bestFit="1" customWidth="1" style="1" min="2568" max="2568"/>
    <col width="10.88671875" bestFit="1" customWidth="1" style="1" min="2569" max="2569"/>
    <col width="9.109375" customWidth="1" style="1" min="2570" max="2570"/>
    <col width="10.88671875" bestFit="1" customWidth="1" style="1" min="2571" max="2571"/>
    <col width="9.109375" customWidth="1" style="1" min="2572" max="2817"/>
    <col width="70" bestFit="1" customWidth="1" style="1" min="2818" max="2818"/>
    <col width="26" bestFit="1" customWidth="1" style="1" min="2819" max="2819"/>
    <col width="17.5546875" bestFit="1" customWidth="1" style="1" min="2820" max="2821"/>
    <col width="17.5546875" customWidth="1" style="1" min="2822" max="2823"/>
    <col width="20.44140625" bestFit="1" customWidth="1" style="1" min="2824" max="2824"/>
    <col width="10.88671875" bestFit="1" customWidth="1" style="1" min="2825" max="2825"/>
    <col width="9.109375" customWidth="1" style="1" min="2826" max="2826"/>
    <col width="10.88671875" bestFit="1" customWidth="1" style="1" min="2827" max="2827"/>
    <col width="9.109375" customWidth="1" style="1" min="2828" max="3073"/>
    <col width="70" bestFit="1" customWidth="1" style="1" min="3074" max="3074"/>
    <col width="26" bestFit="1" customWidth="1" style="1" min="3075" max="3075"/>
    <col width="17.5546875" bestFit="1" customWidth="1" style="1" min="3076" max="3077"/>
    <col width="17.5546875" customWidth="1" style="1" min="3078" max="3079"/>
    <col width="20.44140625" bestFit="1" customWidth="1" style="1" min="3080" max="3080"/>
    <col width="10.88671875" bestFit="1" customWidth="1" style="1" min="3081" max="3081"/>
    <col width="9.109375" customWidth="1" style="1" min="3082" max="3082"/>
    <col width="10.88671875" bestFit="1" customWidth="1" style="1" min="3083" max="3083"/>
    <col width="9.109375" customWidth="1" style="1" min="3084" max="3329"/>
    <col width="70" bestFit="1" customWidth="1" style="1" min="3330" max="3330"/>
    <col width="26" bestFit="1" customWidth="1" style="1" min="3331" max="3331"/>
    <col width="17.5546875" bestFit="1" customWidth="1" style="1" min="3332" max="3333"/>
    <col width="17.5546875" customWidth="1" style="1" min="3334" max="3335"/>
    <col width="20.44140625" bestFit="1" customWidth="1" style="1" min="3336" max="3336"/>
    <col width="10.88671875" bestFit="1" customWidth="1" style="1" min="3337" max="3337"/>
    <col width="9.109375" customWidth="1" style="1" min="3338" max="3338"/>
    <col width="10.88671875" bestFit="1" customWidth="1" style="1" min="3339" max="3339"/>
    <col width="9.109375" customWidth="1" style="1" min="3340" max="3585"/>
    <col width="70" bestFit="1" customWidth="1" style="1" min="3586" max="3586"/>
    <col width="26" bestFit="1" customWidth="1" style="1" min="3587" max="3587"/>
    <col width="17.5546875" bestFit="1" customWidth="1" style="1" min="3588" max="3589"/>
    <col width="17.5546875" customWidth="1" style="1" min="3590" max="3591"/>
    <col width="20.44140625" bestFit="1" customWidth="1" style="1" min="3592" max="3592"/>
    <col width="10.88671875" bestFit="1" customWidth="1" style="1" min="3593" max="3593"/>
    <col width="9.109375" customWidth="1" style="1" min="3594" max="3594"/>
    <col width="10.88671875" bestFit="1" customWidth="1" style="1" min="3595" max="3595"/>
    <col width="9.109375" customWidth="1" style="1" min="3596" max="3841"/>
    <col width="70" bestFit="1" customWidth="1" style="1" min="3842" max="3842"/>
    <col width="26" bestFit="1" customWidth="1" style="1" min="3843" max="3843"/>
    <col width="17.5546875" bestFit="1" customWidth="1" style="1" min="3844" max="3845"/>
    <col width="17.5546875" customWidth="1" style="1" min="3846" max="3847"/>
    <col width="20.44140625" bestFit="1" customWidth="1" style="1" min="3848" max="3848"/>
    <col width="10.88671875" bestFit="1" customWidth="1" style="1" min="3849" max="3849"/>
    <col width="9.109375" customWidth="1" style="1" min="3850" max="3850"/>
    <col width="10.88671875" bestFit="1" customWidth="1" style="1" min="3851" max="3851"/>
    <col width="9.109375" customWidth="1" style="1" min="3852" max="4097"/>
    <col width="70" bestFit="1" customWidth="1" style="1" min="4098" max="4098"/>
    <col width="26" bestFit="1" customWidth="1" style="1" min="4099" max="4099"/>
    <col width="17.5546875" bestFit="1" customWidth="1" style="1" min="4100" max="4101"/>
    <col width="17.5546875" customWidth="1" style="1" min="4102" max="4103"/>
    <col width="20.44140625" bestFit="1" customWidth="1" style="1" min="4104" max="4104"/>
    <col width="10.88671875" bestFit="1" customWidth="1" style="1" min="4105" max="4105"/>
    <col width="9.109375" customWidth="1" style="1" min="4106" max="4106"/>
    <col width="10.88671875" bestFit="1" customWidth="1" style="1" min="4107" max="4107"/>
    <col width="9.109375" customWidth="1" style="1" min="4108" max="4353"/>
    <col width="70" bestFit="1" customWidth="1" style="1" min="4354" max="4354"/>
    <col width="26" bestFit="1" customWidth="1" style="1" min="4355" max="4355"/>
    <col width="17.5546875" bestFit="1" customWidth="1" style="1" min="4356" max="4357"/>
    <col width="17.5546875" customWidth="1" style="1" min="4358" max="4359"/>
    <col width="20.44140625" bestFit="1" customWidth="1" style="1" min="4360" max="4360"/>
    <col width="10.88671875" bestFit="1" customWidth="1" style="1" min="4361" max="4361"/>
    <col width="9.109375" customWidth="1" style="1" min="4362" max="4362"/>
    <col width="10.88671875" bestFit="1" customWidth="1" style="1" min="4363" max="4363"/>
    <col width="9.109375" customWidth="1" style="1" min="4364" max="4609"/>
    <col width="70" bestFit="1" customWidth="1" style="1" min="4610" max="4610"/>
    <col width="26" bestFit="1" customWidth="1" style="1" min="4611" max="4611"/>
    <col width="17.5546875" bestFit="1" customWidth="1" style="1" min="4612" max="4613"/>
    <col width="17.5546875" customWidth="1" style="1" min="4614" max="4615"/>
    <col width="20.44140625" bestFit="1" customWidth="1" style="1" min="4616" max="4616"/>
    <col width="10.88671875" bestFit="1" customWidth="1" style="1" min="4617" max="4617"/>
    <col width="9.109375" customWidth="1" style="1" min="4618" max="4618"/>
    <col width="10.88671875" bestFit="1" customWidth="1" style="1" min="4619" max="4619"/>
    <col width="9.109375" customWidth="1" style="1" min="4620" max="4865"/>
    <col width="70" bestFit="1" customWidth="1" style="1" min="4866" max="4866"/>
    <col width="26" bestFit="1" customWidth="1" style="1" min="4867" max="4867"/>
    <col width="17.5546875" bestFit="1" customWidth="1" style="1" min="4868" max="4869"/>
    <col width="17.5546875" customWidth="1" style="1" min="4870" max="4871"/>
    <col width="20.44140625" bestFit="1" customWidth="1" style="1" min="4872" max="4872"/>
    <col width="10.88671875" bestFit="1" customWidth="1" style="1" min="4873" max="4873"/>
    <col width="9.109375" customWidth="1" style="1" min="4874" max="4874"/>
    <col width="10.88671875" bestFit="1" customWidth="1" style="1" min="4875" max="4875"/>
    <col width="9.109375" customWidth="1" style="1" min="4876" max="5121"/>
    <col width="70" bestFit="1" customWidth="1" style="1" min="5122" max="5122"/>
    <col width="26" bestFit="1" customWidth="1" style="1" min="5123" max="5123"/>
    <col width="17.5546875" bestFit="1" customWidth="1" style="1" min="5124" max="5125"/>
    <col width="17.5546875" customWidth="1" style="1" min="5126" max="5127"/>
    <col width="20.44140625" bestFit="1" customWidth="1" style="1" min="5128" max="5128"/>
    <col width="10.88671875" bestFit="1" customWidth="1" style="1" min="5129" max="5129"/>
    <col width="9.109375" customWidth="1" style="1" min="5130" max="5130"/>
    <col width="10.88671875" bestFit="1" customWidth="1" style="1" min="5131" max="5131"/>
    <col width="9.109375" customWidth="1" style="1" min="5132" max="5377"/>
    <col width="70" bestFit="1" customWidth="1" style="1" min="5378" max="5378"/>
    <col width="26" bestFit="1" customWidth="1" style="1" min="5379" max="5379"/>
    <col width="17.5546875" bestFit="1" customWidth="1" style="1" min="5380" max="5381"/>
    <col width="17.5546875" customWidth="1" style="1" min="5382" max="5383"/>
    <col width="20.44140625" bestFit="1" customWidth="1" style="1" min="5384" max="5384"/>
    <col width="10.88671875" bestFit="1" customWidth="1" style="1" min="5385" max="5385"/>
    <col width="9.109375" customWidth="1" style="1" min="5386" max="5386"/>
    <col width="10.88671875" bestFit="1" customWidth="1" style="1" min="5387" max="5387"/>
    <col width="9.109375" customWidth="1" style="1" min="5388" max="5633"/>
    <col width="70" bestFit="1" customWidth="1" style="1" min="5634" max="5634"/>
    <col width="26" bestFit="1" customWidth="1" style="1" min="5635" max="5635"/>
    <col width="17.5546875" bestFit="1" customWidth="1" style="1" min="5636" max="5637"/>
    <col width="17.5546875" customWidth="1" style="1" min="5638" max="5639"/>
    <col width="20.44140625" bestFit="1" customWidth="1" style="1" min="5640" max="5640"/>
    <col width="10.88671875" bestFit="1" customWidth="1" style="1" min="5641" max="5641"/>
    <col width="9.109375" customWidth="1" style="1" min="5642" max="5642"/>
    <col width="10.88671875" bestFit="1" customWidth="1" style="1" min="5643" max="5643"/>
    <col width="9.109375" customWidth="1" style="1" min="5644" max="5889"/>
    <col width="70" bestFit="1" customWidth="1" style="1" min="5890" max="5890"/>
    <col width="26" bestFit="1" customWidth="1" style="1" min="5891" max="5891"/>
    <col width="17.5546875" bestFit="1" customWidth="1" style="1" min="5892" max="5893"/>
    <col width="17.5546875" customWidth="1" style="1" min="5894" max="5895"/>
    <col width="20.44140625" bestFit="1" customWidth="1" style="1" min="5896" max="5896"/>
    <col width="10.88671875" bestFit="1" customWidth="1" style="1" min="5897" max="5897"/>
    <col width="9.109375" customWidth="1" style="1" min="5898" max="5898"/>
    <col width="10.88671875" bestFit="1" customWidth="1" style="1" min="5899" max="5899"/>
    <col width="9.109375" customWidth="1" style="1" min="5900" max="6145"/>
    <col width="70" bestFit="1" customWidth="1" style="1" min="6146" max="6146"/>
    <col width="26" bestFit="1" customWidth="1" style="1" min="6147" max="6147"/>
    <col width="17.5546875" bestFit="1" customWidth="1" style="1" min="6148" max="6149"/>
    <col width="17.5546875" customWidth="1" style="1" min="6150" max="6151"/>
    <col width="20.44140625" bestFit="1" customWidth="1" style="1" min="6152" max="6152"/>
    <col width="10.88671875" bestFit="1" customWidth="1" style="1" min="6153" max="6153"/>
    <col width="9.109375" customWidth="1" style="1" min="6154" max="6154"/>
    <col width="10.88671875" bestFit="1" customWidth="1" style="1" min="6155" max="6155"/>
    <col width="9.109375" customWidth="1" style="1" min="6156" max="6401"/>
    <col width="70" bestFit="1" customWidth="1" style="1" min="6402" max="6402"/>
    <col width="26" bestFit="1" customWidth="1" style="1" min="6403" max="6403"/>
    <col width="17.5546875" bestFit="1" customWidth="1" style="1" min="6404" max="6405"/>
    <col width="17.5546875" customWidth="1" style="1" min="6406" max="6407"/>
    <col width="20.44140625" bestFit="1" customWidth="1" style="1" min="6408" max="6408"/>
    <col width="10.88671875" bestFit="1" customWidth="1" style="1" min="6409" max="6409"/>
    <col width="9.109375" customWidth="1" style="1" min="6410" max="6410"/>
    <col width="10.88671875" bestFit="1" customWidth="1" style="1" min="6411" max="6411"/>
    <col width="9.109375" customWidth="1" style="1" min="6412" max="6657"/>
    <col width="70" bestFit="1" customWidth="1" style="1" min="6658" max="6658"/>
    <col width="26" bestFit="1" customWidth="1" style="1" min="6659" max="6659"/>
    <col width="17.5546875" bestFit="1" customWidth="1" style="1" min="6660" max="6661"/>
    <col width="17.5546875" customWidth="1" style="1" min="6662" max="6663"/>
    <col width="20.44140625" bestFit="1" customWidth="1" style="1" min="6664" max="6664"/>
    <col width="10.88671875" bestFit="1" customWidth="1" style="1" min="6665" max="6665"/>
    <col width="9.109375" customWidth="1" style="1" min="6666" max="6666"/>
    <col width="10.88671875" bestFit="1" customWidth="1" style="1" min="6667" max="6667"/>
    <col width="9.109375" customWidth="1" style="1" min="6668" max="6913"/>
    <col width="70" bestFit="1" customWidth="1" style="1" min="6914" max="6914"/>
    <col width="26" bestFit="1" customWidth="1" style="1" min="6915" max="6915"/>
    <col width="17.5546875" bestFit="1" customWidth="1" style="1" min="6916" max="6917"/>
    <col width="17.5546875" customWidth="1" style="1" min="6918" max="6919"/>
    <col width="20.44140625" bestFit="1" customWidth="1" style="1" min="6920" max="6920"/>
    <col width="10.88671875" bestFit="1" customWidth="1" style="1" min="6921" max="6921"/>
    <col width="9.109375" customWidth="1" style="1" min="6922" max="6922"/>
    <col width="10.88671875" bestFit="1" customWidth="1" style="1" min="6923" max="6923"/>
    <col width="9.109375" customWidth="1" style="1" min="6924" max="7169"/>
    <col width="70" bestFit="1" customWidth="1" style="1" min="7170" max="7170"/>
    <col width="26" bestFit="1" customWidth="1" style="1" min="7171" max="7171"/>
    <col width="17.5546875" bestFit="1" customWidth="1" style="1" min="7172" max="7173"/>
    <col width="17.5546875" customWidth="1" style="1" min="7174" max="7175"/>
    <col width="20.44140625" bestFit="1" customWidth="1" style="1" min="7176" max="7176"/>
    <col width="10.88671875" bestFit="1" customWidth="1" style="1" min="7177" max="7177"/>
    <col width="9.109375" customWidth="1" style="1" min="7178" max="7178"/>
    <col width="10.88671875" bestFit="1" customWidth="1" style="1" min="7179" max="7179"/>
    <col width="9.109375" customWidth="1" style="1" min="7180" max="7425"/>
    <col width="70" bestFit="1" customWidth="1" style="1" min="7426" max="7426"/>
    <col width="26" bestFit="1" customWidth="1" style="1" min="7427" max="7427"/>
    <col width="17.5546875" bestFit="1" customWidth="1" style="1" min="7428" max="7429"/>
    <col width="17.5546875" customWidth="1" style="1" min="7430" max="7431"/>
    <col width="20.44140625" bestFit="1" customWidth="1" style="1" min="7432" max="7432"/>
    <col width="10.88671875" bestFit="1" customWidth="1" style="1" min="7433" max="7433"/>
    <col width="9.109375" customWidth="1" style="1" min="7434" max="7434"/>
    <col width="10.88671875" bestFit="1" customWidth="1" style="1" min="7435" max="7435"/>
    <col width="9.109375" customWidth="1" style="1" min="7436" max="7681"/>
    <col width="70" bestFit="1" customWidth="1" style="1" min="7682" max="7682"/>
    <col width="26" bestFit="1" customWidth="1" style="1" min="7683" max="7683"/>
    <col width="17.5546875" bestFit="1" customWidth="1" style="1" min="7684" max="7685"/>
    <col width="17.5546875" customWidth="1" style="1" min="7686" max="7687"/>
    <col width="20.44140625" bestFit="1" customWidth="1" style="1" min="7688" max="7688"/>
    <col width="10.88671875" bestFit="1" customWidth="1" style="1" min="7689" max="7689"/>
    <col width="9.109375" customWidth="1" style="1" min="7690" max="7690"/>
    <col width="10.88671875" bestFit="1" customWidth="1" style="1" min="7691" max="7691"/>
    <col width="9.109375" customWidth="1" style="1" min="7692" max="7937"/>
    <col width="70" bestFit="1" customWidth="1" style="1" min="7938" max="7938"/>
    <col width="26" bestFit="1" customWidth="1" style="1" min="7939" max="7939"/>
    <col width="17.5546875" bestFit="1" customWidth="1" style="1" min="7940" max="7941"/>
    <col width="17.5546875" customWidth="1" style="1" min="7942" max="7943"/>
    <col width="20.44140625" bestFit="1" customWidth="1" style="1" min="7944" max="7944"/>
    <col width="10.88671875" bestFit="1" customWidth="1" style="1" min="7945" max="7945"/>
    <col width="9.109375" customWidth="1" style="1" min="7946" max="7946"/>
    <col width="10.88671875" bestFit="1" customWidth="1" style="1" min="7947" max="7947"/>
    <col width="9.109375" customWidth="1" style="1" min="7948" max="8193"/>
    <col width="70" bestFit="1" customWidth="1" style="1" min="8194" max="8194"/>
    <col width="26" bestFit="1" customWidth="1" style="1" min="8195" max="8195"/>
    <col width="17.5546875" bestFit="1" customWidth="1" style="1" min="8196" max="8197"/>
    <col width="17.5546875" customWidth="1" style="1" min="8198" max="8199"/>
    <col width="20.44140625" bestFit="1" customWidth="1" style="1" min="8200" max="8200"/>
    <col width="10.88671875" bestFit="1" customWidth="1" style="1" min="8201" max="8201"/>
    <col width="9.109375" customWidth="1" style="1" min="8202" max="8202"/>
    <col width="10.88671875" bestFit="1" customWidth="1" style="1" min="8203" max="8203"/>
    <col width="9.109375" customWidth="1" style="1" min="8204" max="8449"/>
    <col width="70" bestFit="1" customWidth="1" style="1" min="8450" max="8450"/>
    <col width="26" bestFit="1" customWidth="1" style="1" min="8451" max="8451"/>
    <col width="17.5546875" bestFit="1" customWidth="1" style="1" min="8452" max="8453"/>
    <col width="17.5546875" customWidth="1" style="1" min="8454" max="8455"/>
    <col width="20.44140625" bestFit="1" customWidth="1" style="1" min="8456" max="8456"/>
    <col width="10.88671875" bestFit="1" customWidth="1" style="1" min="8457" max="8457"/>
    <col width="9.109375" customWidth="1" style="1" min="8458" max="8458"/>
    <col width="10.88671875" bestFit="1" customWidth="1" style="1" min="8459" max="8459"/>
    <col width="9.109375" customWidth="1" style="1" min="8460" max="8705"/>
    <col width="70" bestFit="1" customWidth="1" style="1" min="8706" max="8706"/>
    <col width="26" bestFit="1" customWidth="1" style="1" min="8707" max="8707"/>
    <col width="17.5546875" bestFit="1" customWidth="1" style="1" min="8708" max="8709"/>
    <col width="17.5546875" customWidth="1" style="1" min="8710" max="8711"/>
    <col width="20.44140625" bestFit="1" customWidth="1" style="1" min="8712" max="8712"/>
    <col width="10.88671875" bestFit="1" customWidth="1" style="1" min="8713" max="8713"/>
    <col width="9.109375" customWidth="1" style="1" min="8714" max="8714"/>
    <col width="10.88671875" bestFit="1" customWidth="1" style="1" min="8715" max="8715"/>
    <col width="9.109375" customWidth="1" style="1" min="8716" max="8961"/>
    <col width="70" bestFit="1" customWidth="1" style="1" min="8962" max="8962"/>
    <col width="26" bestFit="1" customWidth="1" style="1" min="8963" max="8963"/>
    <col width="17.5546875" bestFit="1" customWidth="1" style="1" min="8964" max="8965"/>
    <col width="17.5546875" customWidth="1" style="1" min="8966" max="8967"/>
    <col width="20.44140625" bestFit="1" customWidth="1" style="1" min="8968" max="8968"/>
    <col width="10.88671875" bestFit="1" customWidth="1" style="1" min="8969" max="8969"/>
    <col width="9.109375" customWidth="1" style="1" min="8970" max="8970"/>
    <col width="10.88671875" bestFit="1" customWidth="1" style="1" min="8971" max="8971"/>
    <col width="9.109375" customWidth="1" style="1" min="8972" max="9217"/>
    <col width="70" bestFit="1" customWidth="1" style="1" min="9218" max="9218"/>
    <col width="26" bestFit="1" customWidth="1" style="1" min="9219" max="9219"/>
    <col width="17.5546875" bestFit="1" customWidth="1" style="1" min="9220" max="9221"/>
    <col width="17.5546875" customWidth="1" style="1" min="9222" max="9223"/>
    <col width="20.44140625" bestFit="1" customWidth="1" style="1" min="9224" max="9224"/>
    <col width="10.88671875" bestFit="1" customWidth="1" style="1" min="9225" max="9225"/>
    <col width="9.109375" customWidth="1" style="1" min="9226" max="9226"/>
    <col width="10.88671875" bestFit="1" customWidth="1" style="1" min="9227" max="9227"/>
    <col width="9.109375" customWidth="1" style="1" min="9228" max="9473"/>
    <col width="70" bestFit="1" customWidth="1" style="1" min="9474" max="9474"/>
    <col width="26" bestFit="1" customWidth="1" style="1" min="9475" max="9475"/>
    <col width="17.5546875" bestFit="1" customWidth="1" style="1" min="9476" max="9477"/>
    <col width="17.5546875" customWidth="1" style="1" min="9478" max="9479"/>
    <col width="20.44140625" bestFit="1" customWidth="1" style="1" min="9480" max="9480"/>
    <col width="10.88671875" bestFit="1" customWidth="1" style="1" min="9481" max="9481"/>
    <col width="9.109375" customWidth="1" style="1" min="9482" max="9482"/>
    <col width="10.88671875" bestFit="1" customWidth="1" style="1" min="9483" max="9483"/>
    <col width="9.109375" customWidth="1" style="1" min="9484" max="9729"/>
    <col width="70" bestFit="1" customWidth="1" style="1" min="9730" max="9730"/>
    <col width="26" bestFit="1" customWidth="1" style="1" min="9731" max="9731"/>
    <col width="17.5546875" bestFit="1" customWidth="1" style="1" min="9732" max="9733"/>
    <col width="17.5546875" customWidth="1" style="1" min="9734" max="9735"/>
    <col width="20.44140625" bestFit="1" customWidth="1" style="1" min="9736" max="9736"/>
    <col width="10.88671875" bestFit="1" customWidth="1" style="1" min="9737" max="9737"/>
    <col width="9.109375" customWidth="1" style="1" min="9738" max="9738"/>
    <col width="10.88671875" bestFit="1" customWidth="1" style="1" min="9739" max="9739"/>
    <col width="9.109375" customWidth="1" style="1" min="9740" max="9985"/>
    <col width="70" bestFit="1" customWidth="1" style="1" min="9986" max="9986"/>
    <col width="26" bestFit="1" customWidth="1" style="1" min="9987" max="9987"/>
    <col width="17.5546875" bestFit="1" customWidth="1" style="1" min="9988" max="9989"/>
    <col width="17.5546875" customWidth="1" style="1" min="9990" max="9991"/>
    <col width="20.44140625" bestFit="1" customWidth="1" style="1" min="9992" max="9992"/>
    <col width="10.88671875" bestFit="1" customWidth="1" style="1" min="9993" max="9993"/>
    <col width="9.109375" customWidth="1" style="1" min="9994" max="9994"/>
    <col width="10.88671875" bestFit="1" customWidth="1" style="1" min="9995" max="9995"/>
    <col width="9.109375" customWidth="1" style="1" min="9996" max="10241"/>
    <col width="70" bestFit="1" customWidth="1" style="1" min="10242" max="10242"/>
    <col width="26" bestFit="1" customWidth="1" style="1" min="10243" max="10243"/>
    <col width="17.5546875" bestFit="1" customWidth="1" style="1" min="10244" max="10245"/>
    <col width="17.5546875" customWidth="1" style="1" min="10246" max="10247"/>
    <col width="20.44140625" bestFit="1" customWidth="1" style="1" min="10248" max="10248"/>
    <col width="10.88671875" bestFit="1" customWidth="1" style="1" min="10249" max="10249"/>
    <col width="9.109375" customWidth="1" style="1" min="10250" max="10250"/>
    <col width="10.88671875" bestFit="1" customWidth="1" style="1" min="10251" max="10251"/>
    <col width="9.109375" customWidth="1" style="1" min="10252" max="10497"/>
    <col width="70" bestFit="1" customWidth="1" style="1" min="10498" max="10498"/>
    <col width="26" bestFit="1" customWidth="1" style="1" min="10499" max="10499"/>
    <col width="17.5546875" bestFit="1" customWidth="1" style="1" min="10500" max="10501"/>
    <col width="17.5546875" customWidth="1" style="1" min="10502" max="10503"/>
    <col width="20.44140625" bestFit="1" customWidth="1" style="1" min="10504" max="10504"/>
    <col width="10.88671875" bestFit="1" customWidth="1" style="1" min="10505" max="10505"/>
    <col width="9.109375" customWidth="1" style="1" min="10506" max="10506"/>
    <col width="10.88671875" bestFit="1" customWidth="1" style="1" min="10507" max="10507"/>
    <col width="9.109375" customWidth="1" style="1" min="10508" max="10753"/>
    <col width="70" bestFit="1" customWidth="1" style="1" min="10754" max="10754"/>
    <col width="26" bestFit="1" customWidth="1" style="1" min="10755" max="10755"/>
    <col width="17.5546875" bestFit="1" customWidth="1" style="1" min="10756" max="10757"/>
    <col width="17.5546875" customWidth="1" style="1" min="10758" max="10759"/>
    <col width="20.44140625" bestFit="1" customWidth="1" style="1" min="10760" max="10760"/>
    <col width="10.88671875" bestFit="1" customWidth="1" style="1" min="10761" max="10761"/>
    <col width="9.109375" customWidth="1" style="1" min="10762" max="10762"/>
    <col width="10.88671875" bestFit="1" customWidth="1" style="1" min="10763" max="10763"/>
    <col width="9.109375" customWidth="1" style="1" min="10764" max="11009"/>
    <col width="70" bestFit="1" customWidth="1" style="1" min="11010" max="11010"/>
    <col width="26" bestFit="1" customWidth="1" style="1" min="11011" max="11011"/>
    <col width="17.5546875" bestFit="1" customWidth="1" style="1" min="11012" max="11013"/>
    <col width="17.5546875" customWidth="1" style="1" min="11014" max="11015"/>
    <col width="20.44140625" bestFit="1" customWidth="1" style="1" min="11016" max="11016"/>
    <col width="10.88671875" bestFit="1" customWidth="1" style="1" min="11017" max="11017"/>
    <col width="9.109375" customWidth="1" style="1" min="11018" max="11018"/>
    <col width="10.88671875" bestFit="1" customWidth="1" style="1" min="11019" max="11019"/>
    <col width="9.109375" customWidth="1" style="1" min="11020" max="11265"/>
    <col width="70" bestFit="1" customWidth="1" style="1" min="11266" max="11266"/>
    <col width="26" bestFit="1" customWidth="1" style="1" min="11267" max="11267"/>
    <col width="17.5546875" bestFit="1" customWidth="1" style="1" min="11268" max="11269"/>
    <col width="17.5546875" customWidth="1" style="1" min="11270" max="11271"/>
    <col width="20.44140625" bestFit="1" customWidth="1" style="1" min="11272" max="11272"/>
    <col width="10.88671875" bestFit="1" customWidth="1" style="1" min="11273" max="11273"/>
    <col width="9.109375" customWidth="1" style="1" min="11274" max="11274"/>
    <col width="10.88671875" bestFit="1" customWidth="1" style="1" min="11275" max="11275"/>
    <col width="9.109375" customWidth="1" style="1" min="11276" max="11521"/>
    <col width="70" bestFit="1" customWidth="1" style="1" min="11522" max="11522"/>
    <col width="26" bestFit="1" customWidth="1" style="1" min="11523" max="11523"/>
    <col width="17.5546875" bestFit="1" customWidth="1" style="1" min="11524" max="11525"/>
    <col width="17.5546875" customWidth="1" style="1" min="11526" max="11527"/>
    <col width="20.44140625" bestFit="1" customWidth="1" style="1" min="11528" max="11528"/>
    <col width="10.88671875" bestFit="1" customWidth="1" style="1" min="11529" max="11529"/>
    <col width="9.109375" customWidth="1" style="1" min="11530" max="11530"/>
    <col width="10.88671875" bestFit="1" customWidth="1" style="1" min="11531" max="11531"/>
    <col width="9.109375" customWidth="1" style="1" min="11532" max="11777"/>
    <col width="70" bestFit="1" customWidth="1" style="1" min="11778" max="11778"/>
    <col width="26" bestFit="1" customWidth="1" style="1" min="11779" max="11779"/>
    <col width="17.5546875" bestFit="1" customWidth="1" style="1" min="11780" max="11781"/>
    <col width="17.5546875" customWidth="1" style="1" min="11782" max="11783"/>
    <col width="20.44140625" bestFit="1" customWidth="1" style="1" min="11784" max="11784"/>
    <col width="10.88671875" bestFit="1" customWidth="1" style="1" min="11785" max="11785"/>
    <col width="9.109375" customWidth="1" style="1" min="11786" max="11786"/>
    <col width="10.88671875" bestFit="1" customWidth="1" style="1" min="11787" max="11787"/>
    <col width="9.109375" customWidth="1" style="1" min="11788" max="12033"/>
    <col width="70" bestFit="1" customWidth="1" style="1" min="12034" max="12034"/>
    <col width="26" bestFit="1" customWidth="1" style="1" min="12035" max="12035"/>
    <col width="17.5546875" bestFit="1" customWidth="1" style="1" min="12036" max="12037"/>
    <col width="17.5546875" customWidth="1" style="1" min="12038" max="12039"/>
    <col width="20.44140625" bestFit="1" customWidth="1" style="1" min="12040" max="12040"/>
    <col width="10.88671875" bestFit="1" customWidth="1" style="1" min="12041" max="12041"/>
    <col width="9.109375" customWidth="1" style="1" min="12042" max="12042"/>
    <col width="10.88671875" bestFit="1" customWidth="1" style="1" min="12043" max="12043"/>
    <col width="9.109375" customWidth="1" style="1" min="12044" max="12289"/>
    <col width="70" bestFit="1" customWidth="1" style="1" min="12290" max="12290"/>
    <col width="26" bestFit="1" customWidth="1" style="1" min="12291" max="12291"/>
    <col width="17.5546875" bestFit="1" customWidth="1" style="1" min="12292" max="12293"/>
    <col width="17.5546875" customWidth="1" style="1" min="12294" max="12295"/>
    <col width="20.44140625" bestFit="1" customWidth="1" style="1" min="12296" max="12296"/>
    <col width="10.88671875" bestFit="1" customWidth="1" style="1" min="12297" max="12297"/>
    <col width="9.109375" customWidth="1" style="1" min="12298" max="12298"/>
    <col width="10.88671875" bestFit="1" customWidth="1" style="1" min="12299" max="12299"/>
    <col width="9.109375" customWidth="1" style="1" min="12300" max="12545"/>
    <col width="70" bestFit="1" customWidth="1" style="1" min="12546" max="12546"/>
    <col width="26" bestFit="1" customWidth="1" style="1" min="12547" max="12547"/>
    <col width="17.5546875" bestFit="1" customWidth="1" style="1" min="12548" max="12549"/>
    <col width="17.5546875" customWidth="1" style="1" min="12550" max="12551"/>
    <col width="20.44140625" bestFit="1" customWidth="1" style="1" min="12552" max="12552"/>
    <col width="10.88671875" bestFit="1" customWidth="1" style="1" min="12553" max="12553"/>
    <col width="9.109375" customWidth="1" style="1" min="12554" max="12554"/>
    <col width="10.88671875" bestFit="1" customWidth="1" style="1" min="12555" max="12555"/>
    <col width="9.109375" customWidth="1" style="1" min="12556" max="12801"/>
    <col width="70" bestFit="1" customWidth="1" style="1" min="12802" max="12802"/>
    <col width="26" bestFit="1" customWidth="1" style="1" min="12803" max="12803"/>
    <col width="17.5546875" bestFit="1" customWidth="1" style="1" min="12804" max="12805"/>
    <col width="17.5546875" customWidth="1" style="1" min="12806" max="12807"/>
    <col width="20.44140625" bestFit="1" customWidth="1" style="1" min="12808" max="12808"/>
    <col width="10.88671875" bestFit="1" customWidth="1" style="1" min="12809" max="12809"/>
    <col width="9.109375" customWidth="1" style="1" min="12810" max="12810"/>
    <col width="10.88671875" bestFit="1" customWidth="1" style="1" min="12811" max="12811"/>
    <col width="9.109375" customWidth="1" style="1" min="12812" max="13057"/>
    <col width="70" bestFit="1" customWidth="1" style="1" min="13058" max="13058"/>
    <col width="26" bestFit="1" customWidth="1" style="1" min="13059" max="13059"/>
    <col width="17.5546875" bestFit="1" customWidth="1" style="1" min="13060" max="13061"/>
    <col width="17.5546875" customWidth="1" style="1" min="13062" max="13063"/>
    <col width="20.44140625" bestFit="1" customWidth="1" style="1" min="13064" max="13064"/>
    <col width="10.88671875" bestFit="1" customWidth="1" style="1" min="13065" max="13065"/>
    <col width="9.109375" customWidth="1" style="1" min="13066" max="13066"/>
    <col width="10.88671875" bestFit="1" customWidth="1" style="1" min="13067" max="13067"/>
    <col width="9.109375" customWidth="1" style="1" min="13068" max="13313"/>
    <col width="70" bestFit="1" customWidth="1" style="1" min="13314" max="13314"/>
    <col width="26" bestFit="1" customWidth="1" style="1" min="13315" max="13315"/>
    <col width="17.5546875" bestFit="1" customWidth="1" style="1" min="13316" max="13317"/>
    <col width="17.5546875" customWidth="1" style="1" min="13318" max="13319"/>
    <col width="20.44140625" bestFit="1" customWidth="1" style="1" min="13320" max="13320"/>
    <col width="10.88671875" bestFit="1" customWidth="1" style="1" min="13321" max="13321"/>
    <col width="9.109375" customWidth="1" style="1" min="13322" max="13322"/>
    <col width="10.88671875" bestFit="1" customWidth="1" style="1" min="13323" max="13323"/>
    <col width="9.109375" customWidth="1" style="1" min="13324" max="13569"/>
    <col width="70" bestFit="1" customWidth="1" style="1" min="13570" max="13570"/>
    <col width="26" bestFit="1" customWidth="1" style="1" min="13571" max="13571"/>
    <col width="17.5546875" bestFit="1" customWidth="1" style="1" min="13572" max="13573"/>
    <col width="17.5546875" customWidth="1" style="1" min="13574" max="13575"/>
    <col width="20.44140625" bestFit="1" customWidth="1" style="1" min="13576" max="13576"/>
    <col width="10.88671875" bestFit="1" customWidth="1" style="1" min="13577" max="13577"/>
    <col width="9.109375" customWidth="1" style="1" min="13578" max="13578"/>
    <col width="10.88671875" bestFit="1" customWidth="1" style="1" min="13579" max="13579"/>
    <col width="9.109375" customWidth="1" style="1" min="13580" max="13825"/>
    <col width="70" bestFit="1" customWidth="1" style="1" min="13826" max="13826"/>
    <col width="26" bestFit="1" customWidth="1" style="1" min="13827" max="13827"/>
    <col width="17.5546875" bestFit="1" customWidth="1" style="1" min="13828" max="13829"/>
    <col width="17.5546875" customWidth="1" style="1" min="13830" max="13831"/>
    <col width="20.44140625" bestFit="1" customWidth="1" style="1" min="13832" max="13832"/>
    <col width="10.88671875" bestFit="1" customWidth="1" style="1" min="13833" max="13833"/>
    <col width="9.109375" customWidth="1" style="1" min="13834" max="13834"/>
    <col width="10.88671875" bestFit="1" customWidth="1" style="1" min="13835" max="13835"/>
    <col width="9.109375" customWidth="1" style="1" min="13836" max="14081"/>
    <col width="70" bestFit="1" customWidth="1" style="1" min="14082" max="14082"/>
    <col width="26" bestFit="1" customWidth="1" style="1" min="14083" max="14083"/>
    <col width="17.5546875" bestFit="1" customWidth="1" style="1" min="14084" max="14085"/>
    <col width="17.5546875" customWidth="1" style="1" min="14086" max="14087"/>
    <col width="20.44140625" bestFit="1" customWidth="1" style="1" min="14088" max="14088"/>
    <col width="10.88671875" bestFit="1" customWidth="1" style="1" min="14089" max="14089"/>
    <col width="9.109375" customWidth="1" style="1" min="14090" max="14090"/>
    <col width="10.88671875" bestFit="1" customWidth="1" style="1" min="14091" max="14091"/>
    <col width="9.109375" customWidth="1" style="1" min="14092" max="14337"/>
    <col width="70" bestFit="1" customWidth="1" style="1" min="14338" max="14338"/>
    <col width="26" bestFit="1" customWidth="1" style="1" min="14339" max="14339"/>
    <col width="17.5546875" bestFit="1" customWidth="1" style="1" min="14340" max="14341"/>
    <col width="17.5546875" customWidth="1" style="1" min="14342" max="14343"/>
    <col width="20.44140625" bestFit="1" customWidth="1" style="1" min="14344" max="14344"/>
    <col width="10.88671875" bestFit="1" customWidth="1" style="1" min="14345" max="14345"/>
    <col width="9.109375" customWidth="1" style="1" min="14346" max="14346"/>
    <col width="10.88671875" bestFit="1" customWidth="1" style="1" min="14347" max="14347"/>
    <col width="9.109375" customWidth="1" style="1" min="14348" max="14593"/>
    <col width="70" bestFit="1" customWidth="1" style="1" min="14594" max="14594"/>
    <col width="26" bestFit="1" customWidth="1" style="1" min="14595" max="14595"/>
    <col width="17.5546875" bestFit="1" customWidth="1" style="1" min="14596" max="14597"/>
    <col width="17.5546875" customWidth="1" style="1" min="14598" max="14599"/>
    <col width="20.44140625" bestFit="1" customWidth="1" style="1" min="14600" max="14600"/>
    <col width="10.88671875" bestFit="1" customWidth="1" style="1" min="14601" max="14601"/>
    <col width="9.109375" customWidth="1" style="1" min="14602" max="14602"/>
    <col width="10.88671875" bestFit="1" customWidth="1" style="1" min="14603" max="14603"/>
    <col width="9.109375" customWidth="1" style="1" min="14604" max="14849"/>
    <col width="70" bestFit="1" customWidth="1" style="1" min="14850" max="14850"/>
    <col width="26" bestFit="1" customWidth="1" style="1" min="14851" max="14851"/>
    <col width="17.5546875" bestFit="1" customWidth="1" style="1" min="14852" max="14853"/>
    <col width="17.5546875" customWidth="1" style="1" min="14854" max="14855"/>
    <col width="20.44140625" bestFit="1" customWidth="1" style="1" min="14856" max="14856"/>
    <col width="10.88671875" bestFit="1" customWidth="1" style="1" min="14857" max="14857"/>
    <col width="9.109375" customWidth="1" style="1" min="14858" max="14858"/>
    <col width="10.88671875" bestFit="1" customWidth="1" style="1" min="14859" max="14859"/>
    <col width="9.109375" customWidth="1" style="1" min="14860" max="15105"/>
    <col width="70" bestFit="1" customWidth="1" style="1" min="15106" max="15106"/>
    <col width="26" bestFit="1" customWidth="1" style="1" min="15107" max="15107"/>
    <col width="17.5546875" bestFit="1" customWidth="1" style="1" min="15108" max="15109"/>
    <col width="17.5546875" customWidth="1" style="1" min="15110" max="15111"/>
    <col width="20.44140625" bestFit="1" customWidth="1" style="1" min="15112" max="15112"/>
    <col width="10.88671875" bestFit="1" customWidth="1" style="1" min="15113" max="15113"/>
    <col width="9.109375" customWidth="1" style="1" min="15114" max="15114"/>
    <col width="10.88671875" bestFit="1" customWidth="1" style="1" min="15115" max="15115"/>
    <col width="9.109375" customWidth="1" style="1" min="15116" max="15361"/>
    <col width="70" bestFit="1" customWidth="1" style="1" min="15362" max="15362"/>
    <col width="26" bestFit="1" customWidth="1" style="1" min="15363" max="15363"/>
    <col width="17.5546875" bestFit="1" customWidth="1" style="1" min="15364" max="15365"/>
    <col width="17.5546875" customWidth="1" style="1" min="15366" max="15367"/>
    <col width="20.44140625" bestFit="1" customWidth="1" style="1" min="15368" max="15368"/>
    <col width="10.88671875" bestFit="1" customWidth="1" style="1" min="15369" max="15369"/>
    <col width="9.109375" customWidth="1" style="1" min="15370" max="15370"/>
    <col width="10.88671875" bestFit="1" customWidth="1" style="1" min="15371" max="15371"/>
    <col width="9.109375" customWidth="1" style="1" min="15372" max="15617"/>
    <col width="70" bestFit="1" customWidth="1" style="1" min="15618" max="15618"/>
    <col width="26" bestFit="1" customWidth="1" style="1" min="15619" max="15619"/>
    <col width="17.5546875" bestFit="1" customWidth="1" style="1" min="15620" max="15621"/>
    <col width="17.5546875" customWidth="1" style="1" min="15622" max="15623"/>
    <col width="20.44140625" bestFit="1" customWidth="1" style="1" min="15624" max="15624"/>
    <col width="10.88671875" bestFit="1" customWidth="1" style="1" min="15625" max="15625"/>
    <col width="9.109375" customWidth="1" style="1" min="15626" max="15626"/>
    <col width="10.88671875" bestFit="1" customWidth="1" style="1" min="15627" max="15627"/>
    <col width="9.109375" customWidth="1" style="1" min="15628" max="15873"/>
    <col width="70" bestFit="1" customWidth="1" style="1" min="15874" max="15874"/>
    <col width="26" bestFit="1" customWidth="1" style="1" min="15875" max="15875"/>
    <col width="17.5546875" bestFit="1" customWidth="1" style="1" min="15876" max="15877"/>
    <col width="17.5546875" customWidth="1" style="1" min="15878" max="15879"/>
    <col width="20.44140625" bestFit="1" customWidth="1" style="1" min="15880" max="15880"/>
    <col width="10.88671875" bestFit="1" customWidth="1" style="1" min="15881" max="15881"/>
    <col width="9.109375" customWidth="1" style="1" min="15882" max="15882"/>
    <col width="10.88671875" bestFit="1" customWidth="1" style="1" min="15883" max="15883"/>
    <col width="9.109375" customWidth="1" style="1" min="15884" max="16129"/>
    <col width="70" bestFit="1" customWidth="1" style="1" min="16130" max="16130"/>
    <col width="26" bestFit="1" customWidth="1" style="1" min="16131" max="16131"/>
    <col width="17.5546875" bestFit="1" customWidth="1" style="1" min="16132" max="16133"/>
    <col width="17.5546875" customWidth="1" style="1" min="16134" max="16135"/>
    <col width="20.44140625" bestFit="1" customWidth="1" style="1" min="16136" max="16136"/>
    <col width="10.88671875" bestFit="1" customWidth="1" style="1" min="16137" max="16137"/>
    <col width="9.109375" customWidth="1" style="1" min="16138" max="16138"/>
    <col width="10.88671875" bestFit="1" customWidth="1" style="1" min="16139" max="16139"/>
    <col width="9.109375" customWidth="1" style="1" min="16140" max="16384"/>
  </cols>
  <sheetData>
    <row r="1" ht="12.75" customHeight="1">
      <c r="C1" s="354" t="inlineStr">
        <is>
          <t>Eindbalans per 30-09-2023</t>
        </is>
      </c>
      <c r="D1" s="354" t="inlineStr">
        <is>
          <t>Mutaties Q4 2023</t>
        </is>
      </c>
      <c r="E1" s="354" t="inlineStr">
        <is>
          <t>Mutaties Q1 2024</t>
        </is>
      </c>
      <c r="F1" s="354" t="inlineStr">
        <is>
          <t>Mutaties Q2 2024</t>
        </is>
      </c>
      <c r="G1" s="354" t="inlineStr">
        <is>
          <t>Mutaties Q3 2024</t>
        </is>
      </c>
      <c r="H1" s="354" t="inlineStr">
        <is>
          <t>Saldi per 30-09-2024</t>
        </is>
      </c>
    </row>
    <row r="3" ht="12.75" customHeight="1">
      <c r="A3" s="132" t="inlineStr">
        <is>
          <t>Balans</t>
        </is>
      </c>
    </row>
    <row r="4" ht="12.75" customHeight="1">
      <c r="A4" s="132" t="n"/>
    </row>
    <row r="5" ht="12.75" customHeight="1">
      <c r="A5" s="132" t="inlineStr">
        <is>
          <t>Materiële vaste activa</t>
        </is>
      </c>
    </row>
    <row r="6" ht="12.75" customHeight="1">
      <c r="A6" s="1" t="inlineStr">
        <is>
          <t>1600000</t>
        </is>
      </c>
      <c r="B6" s="1" t="inlineStr">
        <is>
          <t>VG Vastgoedbeleggingen Verkrijgings- of vervaardigingsprijs -</t>
        </is>
      </c>
      <c r="C6" s="293" t="n">
        <v>126041874</v>
      </c>
      <c r="D6" s="293" t="n">
        <v>822372</v>
      </c>
      <c r="E6" s="293" t="n">
        <v>-1419718</v>
      </c>
      <c r="F6" s="293" t="n">
        <v>257169.47</v>
      </c>
      <c r="G6" s="293" t="n">
        <v>229438.2</v>
      </c>
      <c r="H6" s="305">
        <f>SUM(C6:G6)</f>
        <v/>
      </c>
    </row>
    <row r="7" ht="12.75" customHeight="1">
      <c r="A7" s="1" t="inlineStr">
        <is>
          <t>1600200</t>
        </is>
      </c>
      <c r="B7" s="1" t="inlineStr">
        <is>
          <t>VG Vastgoedbeleggingen Cum afschrijvingen en waardeverm -</t>
        </is>
      </c>
      <c r="C7" s="293" t="n">
        <v>-19613065</v>
      </c>
      <c r="D7" s="293" t="n">
        <v>-747378</v>
      </c>
      <c r="E7" s="293" t="n">
        <v>-456675</v>
      </c>
      <c r="F7" s="293" t="n">
        <v>-752120</v>
      </c>
      <c r="G7" s="293" t="n">
        <v>-762225</v>
      </c>
      <c r="H7" s="305">
        <f>SUM(C7:G7)</f>
        <v/>
      </c>
    </row>
    <row r="8" ht="12.75" customHeight="1">
      <c r="A8" s="302" t="inlineStr">
        <is>
          <t>1601000</t>
        </is>
      </c>
      <c r="B8" s="302" t="inlineStr">
        <is>
          <t>VG Vastgoedbeleggingen Buitengebruikstellingen CA en waardeverm. -</t>
        </is>
      </c>
      <c r="C8" s="293" t="n">
        <v>0</v>
      </c>
      <c r="E8" s="293" t="n">
        <v>-722644</v>
      </c>
      <c r="F8" s="293" t="n">
        <v>-621877</v>
      </c>
      <c r="G8" s="293" t="n">
        <v>-556326</v>
      </c>
      <c r="H8" s="305">
        <f>SUM(C8:G8)</f>
        <v/>
      </c>
    </row>
    <row r="9" ht="12.75" customHeight="1">
      <c r="A9" s="1" t="inlineStr">
        <is>
          <t>1611003</t>
        </is>
      </c>
      <c r="B9" s="1" t="inlineStr">
        <is>
          <t>VG Comm VG in exploitatie Buitengebruikstellingen cum. afschr. en waardeverm.</t>
        </is>
      </c>
      <c r="C9" s="293" t="n">
        <v>155322</v>
      </c>
      <c r="D9" s="293" t="n">
        <v>141605</v>
      </c>
      <c r="E9" s="293" t="n">
        <v>-177274</v>
      </c>
      <c r="F9" s="293" t="n">
        <v>107020</v>
      </c>
      <c r="G9" s="293" t="n">
        <v>98174</v>
      </c>
      <c r="H9" s="305">
        <f>SUM(C9:G9)</f>
        <v/>
      </c>
    </row>
    <row r="10" ht="12.75" customHeight="1">
      <c r="A10" s="1" t="inlineStr">
        <is>
          <t>1610803</t>
        </is>
      </c>
      <c r="B10" s="1" t="inlineStr">
        <is>
          <t>VG Comm VG in exploitatie Buitengebruikstellingen aanschaffingswaarde</t>
        </is>
      </c>
      <c r="C10" s="293" t="n">
        <v>-1000245</v>
      </c>
      <c r="D10" s="293" t="n">
        <v>-890320</v>
      </c>
      <c r="E10" s="293" t="n">
        <v>1890565</v>
      </c>
      <c r="H10" s="290" t="n"/>
    </row>
    <row r="11" ht="12.75" customHeight="1">
      <c r="C11" s="293" t="n">
        <v>0</v>
      </c>
      <c r="H11" s="290" t="n"/>
    </row>
    <row r="12" ht="12.75" customHeight="1">
      <c r="A12" s="256" t="inlineStr">
        <is>
          <t>Financiële Vaste Lasten</t>
        </is>
      </c>
      <c r="C12" s="293" t="n">
        <v>0</v>
      </c>
      <c r="H12" s="290">
        <f>SUM(C12:G12)</f>
        <v/>
      </c>
    </row>
    <row r="13" ht="12.75" customHeight="1">
      <c r="A13" s="1" t="inlineStr">
        <is>
          <t>1760000</t>
        </is>
      </c>
      <c r="B13" s="1" t="inlineStr">
        <is>
          <t>FVA Vord op DMRRP INV - I BV  saldo</t>
        </is>
      </c>
      <c r="C13" s="293" t="n">
        <v>38320325</v>
      </c>
      <c r="D13" s="293" t="n">
        <v>0</v>
      </c>
      <c r="H13" s="305">
        <f>SUM(C13:G13)</f>
        <v/>
      </c>
    </row>
    <row r="14" ht="12.75" customHeight="1">
      <c r="A14" s="1" t="inlineStr">
        <is>
          <t>1760300</t>
        </is>
      </c>
      <c r="B14" s="1" t="inlineStr">
        <is>
          <t>FVA Vord op DMRRP INV - I BV  aflossingen</t>
        </is>
      </c>
      <c r="C14" s="293" t="n">
        <v>-383202</v>
      </c>
      <c r="D14" s="293" t="n">
        <v>-982251</v>
      </c>
      <c r="E14" s="293" t="n">
        <v>-236217</v>
      </c>
      <c r="F14" s="293" t="n">
        <v>-503912.27</v>
      </c>
      <c r="G14" s="293" t="n">
        <v>-394151.1</v>
      </c>
      <c r="H14" s="305">
        <f>SUM(C14:G14)</f>
        <v/>
      </c>
    </row>
    <row r="15" ht="12.75" customHeight="1">
      <c r="A15" s="1" t="inlineStr">
        <is>
          <t>1790000</t>
        </is>
      </c>
      <c r="B15" s="1" t="inlineStr">
        <is>
          <t>FVA Swap fee</t>
        </is>
      </c>
      <c r="C15" s="293" t="n">
        <v>1770403</v>
      </c>
      <c r="D15" s="293" t="n">
        <v>-110649</v>
      </c>
      <c r="E15" s="293" t="n">
        <v>-110649</v>
      </c>
      <c r="F15" s="293" t="n">
        <v>-110650</v>
      </c>
      <c r="G15" s="293" t="n">
        <v>-110650</v>
      </c>
      <c r="H15" s="305">
        <f>SUM(C15:G15)</f>
        <v/>
      </c>
    </row>
    <row r="16" ht="12.75" customHeight="1">
      <c r="A16" s="1" t="inlineStr">
        <is>
          <t>1790002</t>
        </is>
      </c>
      <c r="B16" s="1" t="inlineStr">
        <is>
          <t>FVA Latente belastingvordering langlopend</t>
        </is>
      </c>
      <c r="C16" s="293" t="n">
        <v>5582923</v>
      </c>
      <c r="D16" s="346" t="n">
        <v>797885</v>
      </c>
      <c r="E16" s="293" t="n">
        <v>160838</v>
      </c>
      <c r="F16" s="293" t="n">
        <v>176734</v>
      </c>
      <c r="G16" s="293" t="n">
        <v>155489</v>
      </c>
      <c r="H16" s="305">
        <f>SUM(C16:G16)</f>
        <v/>
      </c>
    </row>
    <row r="17" ht="12.75" customHeight="1">
      <c r="C17" s="293" t="n">
        <v>0</v>
      </c>
      <c r="H17" s="290">
        <f>SUM(C17:G17)</f>
        <v/>
      </c>
    </row>
    <row r="18" ht="12.75" customHeight="1">
      <c r="A18" s="256" t="inlineStr">
        <is>
          <t>Vorderingen</t>
        </is>
      </c>
      <c r="C18" s="293" t="n">
        <v>0</v>
      </c>
      <c r="H18" s="290">
        <f>SUM(C18:G18)</f>
        <v/>
      </c>
    </row>
    <row r="19" ht="12.75" customHeight="1">
      <c r="A19" s="1" t="inlineStr">
        <is>
          <t>2000000</t>
        </is>
      </c>
      <c r="B19" s="1" t="inlineStr">
        <is>
          <t>VOR Debiteuren</t>
        </is>
      </c>
      <c r="C19" s="293" t="n">
        <v>2139069</v>
      </c>
      <c r="D19" s="293" t="n">
        <v>-2015185</v>
      </c>
      <c r="E19" s="357" t="n">
        <v>3276624.57</v>
      </c>
      <c r="F19" s="294" t="n">
        <v>2530742.76</v>
      </c>
      <c r="G19" s="293" t="n">
        <v>423215.73</v>
      </c>
      <c r="H19" s="305">
        <f>SUM(C19:G19)-H20</f>
        <v/>
      </c>
    </row>
    <row r="20" ht="12.75" customHeight="1">
      <c r="A20" s="1" t="inlineStr">
        <is>
          <t>2000100</t>
        </is>
      </c>
      <c r="B20" s="1" t="inlineStr">
        <is>
          <t>VOR Debiteuren intercompany</t>
        </is>
      </c>
      <c r="C20" s="293" t="n">
        <v>0</v>
      </c>
      <c r="D20" s="293" t="n">
        <v>2656651</v>
      </c>
      <c r="E20" s="293" t="n">
        <v>620098</v>
      </c>
      <c r="F20" s="294">
        <f>893859+1026866</f>
        <v/>
      </c>
      <c r="G20" s="293" t="n">
        <v>913593</v>
      </c>
      <c r="H20" s="290">
        <f>SUM(C20:G20)</f>
        <v/>
      </c>
    </row>
    <row r="21" ht="12.75" customHeight="1">
      <c r="A21" s="1" t="inlineStr">
        <is>
          <t>2000300</t>
        </is>
      </c>
      <c r="B21" s="1" t="inlineStr">
        <is>
          <t>VOR Voorziening dubieuze debiteuren</t>
        </is>
      </c>
      <c r="C21" s="293" t="n">
        <v>-76879</v>
      </c>
      <c r="D21" s="293" t="n">
        <v>68505</v>
      </c>
      <c r="H21" s="305">
        <f>SUM(C21:G21)</f>
        <v/>
      </c>
    </row>
    <row r="22" ht="12.75" customHeight="1">
      <c r="A22" s="1" t="inlineStr">
        <is>
          <t>2040100</t>
        </is>
      </c>
      <c r="B22" s="1" t="inlineStr">
        <is>
          <t>VOR Nog te factureren bedragen</t>
        </is>
      </c>
      <c r="C22" s="293" t="n">
        <v>0</v>
      </c>
      <c r="D22" s="293" t="n">
        <v>0</v>
      </c>
      <c r="G22" s="293" t="n">
        <v>0</v>
      </c>
      <c r="H22" s="290">
        <f>SUM(C22:G22)</f>
        <v/>
      </c>
    </row>
    <row r="23" ht="12.75" customHeight="1">
      <c r="A23" s="1" t="inlineStr">
        <is>
          <t>2040200</t>
        </is>
      </c>
      <c r="B23" s="1" t="inlineStr">
        <is>
          <t>VOR Te vorderen waarborgsommen kortlopend</t>
        </is>
      </c>
      <c r="C23" s="293" t="n">
        <v>5000</v>
      </c>
      <c r="D23" s="293" t="n">
        <v>0</v>
      </c>
      <c r="H23" s="305">
        <f>SUM(C23:G23)</f>
        <v/>
      </c>
    </row>
    <row r="24" ht="12.75" customHeight="1">
      <c r="A24" s="1" t="inlineStr">
        <is>
          <t>2040500</t>
        </is>
      </c>
      <c r="B24" s="1" t="inlineStr">
        <is>
          <t>VOR Vooruitbetaalde verzekeringen</t>
        </is>
      </c>
      <c r="C24" s="293" t="n">
        <v>28764</v>
      </c>
      <c r="D24" s="293" t="n">
        <v>-28767</v>
      </c>
      <c r="E24" s="293">
        <f>85740+F24</f>
        <v/>
      </c>
      <c r="F24" s="293" t="n">
        <v>-21435</v>
      </c>
      <c r="G24" s="293" t="n">
        <v>-21435</v>
      </c>
      <c r="H24" s="305">
        <f>SUM(C24:G24)</f>
        <v/>
      </c>
    </row>
    <row r="25" ht="12.75" customHeight="1">
      <c r="A25" s="1" t="inlineStr">
        <is>
          <t>2040900</t>
        </is>
      </c>
      <c r="B25" s="1" t="inlineStr">
        <is>
          <t>VOR Vooruitbetaalde overige kosten</t>
        </is>
      </c>
      <c r="C25" s="293" t="n">
        <v>0</v>
      </c>
      <c r="D25" s="293" t="n">
        <v>0</v>
      </c>
      <c r="E25" s="293">
        <f>357512+F25</f>
        <v/>
      </c>
      <c r="F25" s="293" t="n">
        <v>-89377.98</v>
      </c>
      <c r="G25" s="293" t="n">
        <v>-89377.98</v>
      </c>
      <c r="H25" s="305">
        <f>SUM(C25:G25)</f>
        <v/>
      </c>
    </row>
    <row r="26" ht="12.75" customHeight="1">
      <c r="C26" s="293" t="n">
        <v>0</v>
      </c>
      <c r="H26" s="290">
        <f>SUM(C26:G26)</f>
        <v/>
      </c>
    </row>
    <row r="27" ht="12.75" customHeight="1">
      <c r="A27" s="256" t="inlineStr">
        <is>
          <t>Liquide middelen</t>
        </is>
      </c>
      <c r="C27" s="293" t="n">
        <v>0</v>
      </c>
      <c r="H27" s="290">
        <f>SUM(C27:G27)</f>
        <v/>
      </c>
    </row>
    <row r="28" ht="12.75" customHeight="1">
      <c r="A28" s="1" t="inlineStr">
        <is>
          <t>2300000</t>
        </is>
      </c>
      <c r="B28" s="1" t="inlineStr">
        <is>
          <t>LM Kruisposten</t>
        </is>
      </c>
      <c r="C28" s="293" t="n">
        <v>0</v>
      </c>
      <c r="D28" s="293" t="n">
        <v>0</v>
      </c>
      <c r="F28" s="293" t="n">
        <v>358000</v>
      </c>
      <c r="G28" s="293" t="n">
        <v>-358000</v>
      </c>
      <c r="H28" s="290">
        <f>SUM(C28:G28)</f>
        <v/>
      </c>
    </row>
    <row r="29" ht="12.75" customHeight="1">
      <c r="A29" s="1" t="inlineStr">
        <is>
          <t>2300001</t>
        </is>
      </c>
      <c r="B29" s="1" t="inlineStr">
        <is>
          <t>LM Kruisposten pin</t>
        </is>
      </c>
      <c r="C29" s="293" t="n">
        <v>-954</v>
      </c>
      <c r="D29" s="293" t="n">
        <v>954</v>
      </c>
      <c r="E29" s="293" t="n">
        <v>122</v>
      </c>
      <c r="F29" s="293" t="n">
        <v>-3547.65</v>
      </c>
      <c r="G29" s="293" t="n">
        <v>-1524.6</v>
      </c>
      <c r="H29" s="305">
        <f>SUM(C29:G29)</f>
        <v/>
      </c>
    </row>
    <row r="30" ht="12.75" customHeight="1">
      <c r="A30" s="1" t="inlineStr">
        <is>
          <t>2400200</t>
        </is>
      </c>
      <c r="B30" s="1" t="inlineStr">
        <is>
          <t>LM ABN AMRO Bank Disposal NL58 ABNA 0818 9180 39</t>
        </is>
      </c>
      <c r="C30" s="293" t="n">
        <v>0</v>
      </c>
      <c r="D30" s="293" t="n">
        <v>0</v>
      </c>
      <c r="E30" s="293" t="n">
        <v>490000</v>
      </c>
      <c r="F30" s="293" t="n">
        <v>-490000</v>
      </c>
      <c r="G30" s="293" t="n">
        <v>0</v>
      </c>
      <c r="H30" s="305">
        <f>SUM(C30:G30)</f>
        <v/>
      </c>
    </row>
    <row r="31" ht="12.75" customHeight="1">
      <c r="A31" s="1" t="inlineStr">
        <is>
          <t>2400201</t>
        </is>
      </c>
      <c r="B31" s="1" t="inlineStr">
        <is>
          <t>LM ABN AMRO Bank Deposit NL57 ABNA 0541 6205 68</t>
        </is>
      </c>
      <c r="C31" s="293" t="n">
        <v>2236</v>
      </c>
      <c r="D31" s="293" t="n">
        <v>2207</v>
      </c>
      <c r="E31" s="293" t="n">
        <v>51</v>
      </c>
      <c r="F31" s="293" t="n">
        <v>2948.65</v>
      </c>
      <c r="G31" s="293" t="n">
        <v>-9882.18</v>
      </c>
      <c r="H31" s="305">
        <f>SUM(C31:G31)</f>
        <v/>
      </c>
    </row>
    <row r="32" ht="12.75" customHeight="1">
      <c r="A32" s="1" t="inlineStr">
        <is>
          <t>2400202</t>
        </is>
      </c>
      <c r="B32" s="1" t="inlineStr">
        <is>
          <t>LM ABN AMRO Bank General NL93 ABNA 0541 6132 27</t>
        </is>
      </c>
      <c r="C32" s="293" t="n">
        <v>73</v>
      </c>
      <c r="D32" s="293" t="n">
        <v>0</v>
      </c>
      <c r="F32" s="293" t="n">
        <v>-46.3</v>
      </c>
      <c r="G32" s="293" t="n">
        <v>0</v>
      </c>
      <c r="H32" s="305">
        <f>SUM(C32:G32)</f>
        <v/>
      </c>
    </row>
    <row r="33" ht="12.75" customHeight="1">
      <c r="A33" s="1" t="inlineStr">
        <is>
          <t>2400203</t>
        </is>
      </c>
      <c r="B33" s="1" t="inlineStr">
        <is>
          <t>LM ABN AMRO Bank Maintres NL04 ABNA 0541 6188 06</t>
        </is>
      </c>
      <c r="C33" s="293" t="n">
        <v>1543</v>
      </c>
      <c r="D33" s="293" t="n">
        <v>-827</v>
      </c>
      <c r="E33" s="293" t="n">
        <v>6673</v>
      </c>
      <c r="F33" s="293" t="n">
        <v>-6645.75</v>
      </c>
      <c r="G33" s="293" t="n">
        <v>949.76</v>
      </c>
      <c r="H33" s="305">
        <f>SUM(C33:G33)</f>
        <v/>
      </c>
    </row>
    <row r="34" ht="12.75" customHeight="1">
      <c r="A34" s="1" t="inlineStr">
        <is>
          <t>2400204</t>
        </is>
      </c>
      <c r="B34" s="1" t="inlineStr">
        <is>
          <t>LM ABN AMRO Bank Rent NL46 ABNA 0541 6088 35</t>
        </is>
      </c>
      <c r="C34" s="293" t="n">
        <v>212064</v>
      </c>
      <c r="D34" s="293" t="n">
        <v>-145584</v>
      </c>
      <c r="E34" s="293" t="n">
        <v>227168</v>
      </c>
      <c r="F34" s="293" t="n">
        <v>-230570.79</v>
      </c>
      <c r="G34" s="293" t="n">
        <v>169867.27</v>
      </c>
      <c r="H34" s="305">
        <f>SUM(C34:G34)</f>
        <v/>
      </c>
    </row>
    <row r="35" ht="12.75" customHeight="1">
      <c r="A35" s="1" t="inlineStr">
        <is>
          <t>2400205</t>
        </is>
      </c>
      <c r="B35" s="1" t="inlineStr">
        <is>
          <t>LM ABN AMRO Bank SR EXP NL88 ABNA 0541 6205 92</t>
        </is>
      </c>
      <c r="C35" s="293" t="n">
        <v>15362</v>
      </c>
      <c r="D35" s="293" t="n">
        <v>-6182</v>
      </c>
      <c r="E35" s="293" t="n">
        <v>138903</v>
      </c>
      <c r="F35" s="293" t="n">
        <v>-147771.81</v>
      </c>
      <c r="G35" s="293" t="n">
        <v>2744.42</v>
      </c>
      <c r="H35" s="305">
        <f>SUM(C35:G35)</f>
        <v/>
      </c>
    </row>
    <row r="36" ht="12.75" customHeight="1">
      <c r="A36" s="1" t="inlineStr">
        <is>
          <t>2400206</t>
        </is>
      </c>
      <c r="B36" s="1" t="inlineStr">
        <is>
          <t>LM ABN AMRO Bank Capex NL11 ABNA 0114 3362 02</t>
        </is>
      </c>
      <c r="C36" s="293" t="n">
        <v>-17</v>
      </c>
      <c r="D36" s="293" t="n">
        <v>5661</v>
      </c>
      <c r="F36" s="293" t="n">
        <v>-5660.09</v>
      </c>
      <c r="H36" s="305">
        <f>SUM(C36:G36)</f>
        <v/>
      </c>
    </row>
    <row r="37" ht="12.75" customHeight="1">
      <c r="C37" s="293" t="n">
        <v>0</v>
      </c>
      <c r="H37" s="290">
        <f>SUM(C37:G37)</f>
        <v/>
      </c>
    </row>
    <row r="38" ht="12.75" customHeight="1">
      <c r="A38" s="256" t="inlineStr">
        <is>
          <t>Eigen vermogen</t>
        </is>
      </c>
      <c r="C38" s="293" t="n">
        <v>0</v>
      </c>
      <c r="H38" s="290">
        <f>SUM(C38:G38)</f>
        <v/>
      </c>
    </row>
    <row r="39" ht="12.75" customHeight="1">
      <c r="A39" s="1" t="inlineStr">
        <is>
          <t>1000002</t>
        </is>
      </c>
      <c r="B39" s="1" t="inlineStr">
        <is>
          <t>EV Normale aandelen  Saldo</t>
        </is>
      </c>
      <c r="C39" s="293" t="n">
        <v>-1</v>
      </c>
      <c r="D39" s="293" t="n">
        <v>0</v>
      </c>
      <c r="E39" s="293" t="n">
        <v>0</v>
      </c>
      <c r="H39" s="290">
        <f>SUM(C39:G39)</f>
        <v/>
      </c>
    </row>
    <row r="40" ht="12.75" customHeight="1">
      <c r="A40" s="1" t="inlineStr">
        <is>
          <t>1100000</t>
        </is>
      </c>
      <c r="B40" s="1" t="inlineStr">
        <is>
          <t>EV Agioreserve Agio aandelen</t>
        </is>
      </c>
      <c r="C40" s="293" t="n">
        <v>-18931219</v>
      </c>
      <c r="D40" s="293" t="n">
        <v>0</v>
      </c>
      <c r="E40" s="293" t="n">
        <v>0</v>
      </c>
      <c r="H40" s="290">
        <f>SUM(C40:G40)</f>
        <v/>
      </c>
    </row>
    <row r="41" ht="12.75" customHeight="1">
      <c r="A41" s="1" t="inlineStr">
        <is>
          <t>1160000</t>
        </is>
      </c>
      <c r="B41" s="1" t="inlineStr">
        <is>
          <t>EV Overige reserve Reserve aandelen</t>
        </is>
      </c>
      <c r="C41" s="293" t="n">
        <v>5339858</v>
      </c>
      <c r="D41" s="293" t="n">
        <v>0</v>
      </c>
      <c r="E41" s="293" t="n">
        <v>0</v>
      </c>
      <c r="H41" s="290">
        <f>SUM(C41:G41)</f>
        <v/>
      </c>
    </row>
    <row r="42" ht="12.75" customHeight="1">
      <c r="C42" s="293" t="n">
        <v>0</v>
      </c>
      <c r="H42" s="290">
        <f>SUM(C42:G42)</f>
        <v/>
      </c>
    </row>
    <row r="43" ht="12.75" customHeight="1">
      <c r="A43" s="256" t="inlineStr">
        <is>
          <t>Langlopende schulden</t>
        </is>
      </c>
      <c r="C43" s="293" t="n">
        <v>0</v>
      </c>
      <c r="H43" s="290">
        <f>SUM(C43:G43)</f>
        <v/>
      </c>
    </row>
    <row r="44" ht="12.75" customHeight="1">
      <c r="A44" s="1" t="inlineStr">
        <is>
          <t>1930001</t>
        </is>
      </c>
      <c r="B44" s="1" t="inlineStr">
        <is>
          <t>LLS Hoofdsom ABN AMRO Bank NV Senior Facility Agreement</t>
        </is>
      </c>
      <c r="C44" s="293" t="n">
        <v>-168320325</v>
      </c>
      <c r="D44" s="293" t="n">
        <v>-755661</v>
      </c>
      <c r="E44" s="293" t="n">
        <v>0</v>
      </c>
      <c r="F44" s="293" t="n">
        <v>-459986.91</v>
      </c>
      <c r="H44" s="305">
        <f>SUM(C44:G44)</f>
        <v/>
      </c>
    </row>
    <row r="45" ht="12.75" customHeight="1">
      <c r="A45" s="1" t="inlineStr">
        <is>
          <t>1930101</t>
        </is>
      </c>
      <c r="B45" s="1" t="inlineStr">
        <is>
          <t>LLS Cum aflossingen ABN AMRO Bank NV Senior Facility Agreement</t>
        </is>
      </c>
      <c r="C45" s="293" t="n">
        <v>31687891</v>
      </c>
      <c r="D45" s="293" t="n">
        <v>1621000</v>
      </c>
      <c r="E45" s="293" t="n">
        <v>863000</v>
      </c>
      <c r="F45" s="293" t="n">
        <v>1328000</v>
      </c>
      <c r="G45" s="293" t="n">
        <v>1449881.36</v>
      </c>
      <c r="H45" s="305">
        <f>SUM(C45:G45)</f>
        <v/>
      </c>
    </row>
    <row r="46" ht="12.75" customHeight="1">
      <c r="A46" s="1" t="inlineStr">
        <is>
          <t>1930200</t>
        </is>
      </c>
      <c r="B46" s="1" t="inlineStr">
        <is>
          <t>LLS Extension fee&amp; professional fees</t>
        </is>
      </c>
      <c r="C46" s="293" t="n">
        <v>465102</v>
      </c>
      <c r="D46" s="293" t="n">
        <v>-29070</v>
      </c>
      <c r="E46" s="346" t="n">
        <v>-29069.05</v>
      </c>
      <c r="F46" s="293" t="n">
        <v>-29069.06</v>
      </c>
      <c r="G46" s="293" t="n">
        <v>-29069.05</v>
      </c>
      <c r="H46" s="305">
        <f>SUM(C46:G46)</f>
        <v/>
      </c>
    </row>
    <row r="47" ht="12.75" customHeight="1">
      <c r="C47" s="293" t="n">
        <v>0</v>
      </c>
      <c r="H47" s="290">
        <f>SUM(C47:G47)</f>
        <v/>
      </c>
    </row>
    <row r="48" ht="12.75" customHeight="1">
      <c r="A48" s="256" t="inlineStr">
        <is>
          <t>Kortlopende schulden</t>
        </is>
      </c>
      <c r="C48" s="293" t="n">
        <v>0</v>
      </c>
      <c r="H48" s="290">
        <f>SUM(C48:G48)</f>
        <v/>
      </c>
    </row>
    <row r="49" ht="12.75" customHeight="1">
      <c r="A49" s="1" t="inlineStr">
        <is>
          <t>2730000</t>
        </is>
      </c>
      <c r="B49" s="1" t="inlineStr">
        <is>
          <t>KLS Crediteuren</t>
        </is>
      </c>
      <c r="C49" s="293" t="n">
        <v>-370128</v>
      </c>
      <c r="D49" s="293" t="n">
        <v>-65993</v>
      </c>
      <c r="E49" s="293" t="n">
        <v>-562454</v>
      </c>
      <c r="F49" s="293" t="n">
        <v>715812</v>
      </c>
      <c r="G49" s="293" t="n">
        <v>277315</v>
      </c>
      <c r="H49" s="305">
        <f>SUM(C49:G49)</f>
        <v/>
      </c>
    </row>
    <row r="50" ht="12.75" customHeight="1">
      <c r="A50" s="1" t="inlineStr">
        <is>
          <t>2730001</t>
        </is>
      </c>
      <c r="B50" s="1" t="inlineStr">
        <is>
          <t>KLS Crediteuren intercompany</t>
        </is>
      </c>
      <c r="C50" s="293" t="n">
        <v>-920180</v>
      </c>
      <c r="D50" s="293" t="n">
        <v>-12500</v>
      </c>
      <c r="E50" s="293" t="n">
        <v>-14700</v>
      </c>
      <c r="F50" s="293" t="n">
        <v>14700</v>
      </c>
      <c r="G50" s="293" t="n">
        <v>-9900</v>
      </c>
      <c r="H50" s="305">
        <f>SUM(C50:G50)</f>
        <v/>
      </c>
    </row>
    <row r="51" ht="12.75" customHeight="1">
      <c r="A51" s="1" t="inlineStr">
        <is>
          <t>2620000</t>
        </is>
      </c>
      <c r="B51" s="1" t="inlineStr">
        <is>
          <t>RC Kortlopend D.M. Equity Partners C.V.</t>
        </is>
      </c>
      <c r="C51" s="293" t="n">
        <v>-200000</v>
      </c>
      <c r="D51" s="293" t="n">
        <v>-201205</v>
      </c>
      <c r="F51" s="293" t="n">
        <v>-150000</v>
      </c>
      <c r="G51" s="293" t="n">
        <v>0</v>
      </c>
      <c r="H51" s="305">
        <f>SUM(C51:G51)</f>
        <v/>
      </c>
    </row>
    <row r="52" ht="12.75" customHeight="1">
      <c r="A52" s="1" t="inlineStr">
        <is>
          <t>2640000</t>
        </is>
      </c>
      <c r="B52" s="1" t="inlineStr">
        <is>
          <t>RC Kortlopend DMRRP INV - I BV</t>
        </is>
      </c>
      <c r="C52" s="293" t="n">
        <v>273443</v>
      </c>
      <c r="D52" s="346" t="n">
        <v>-408776</v>
      </c>
      <c r="E52" s="346" t="n">
        <v>458198</v>
      </c>
      <c r="F52" s="293" t="n">
        <v>12470</v>
      </c>
      <c r="G52" s="293" t="n">
        <v>485985</v>
      </c>
      <c r="H52" s="305">
        <f>SUM(C52:G52)</f>
        <v/>
      </c>
    </row>
    <row r="53" ht="12.75" customHeight="1">
      <c r="A53" s="130" t="n">
        <v>2650000</v>
      </c>
      <c r="B53" s="1" t="inlineStr">
        <is>
          <t>RC Kortlopend WPNL- V B.V.</t>
        </is>
      </c>
      <c r="C53" s="293" t="n">
        <v>0</v>
      </c>
      <c r="E53" s="346" t="n"/>
      <c r="F53" s="293" t="n">
        <v>-500000</v>
      </c>
      <c r="H53" s="305">
        <f>SUM(C53:G53)</f>
        <v/>
      </c>
    </row>
    <row r="54" ht="12.75" customHeight="1">
      <c r="A54" s="1" t="inlineStr">
        <is>
          <t>2512100</t>
        </is>
      </c>
      <c r="B54" s="1" t="inlineStr">
        <is>
          <t>BEL Afgedragen/ontvangen BTW</t>
        </is>
      </c>
      <c r="C54" s="293" t="n">
        <v>-5246</v>
      </c>
      <c r="D54" s="293" t="n">
        <v>-961</v>
      </c>
      <c r="E54" s="346" t="n">
        <v>900</v>
      </c>
      <c r="F54" s="293" t="n">
        <v>2856.3</v>
      </c>
      <c r="G54" s="293" t="n">
        <v>-3177.21</v>
      </c>
      <c r="H54" s="305">
        <f>SUM(C54:G54)</f>
        <v/>
      </c>
    </row>
    <row r="55" ht="12.75" customHeight="1">
      <c r="A55" s="1" t="inlineStr">
        <is>
          <t>2740100</t>
        </is>
      </c>
      <c r="B55" s="1" t="inlineStr">
        <is>
          <t>KLS Vooruitgefactureerde bedragen</t>
        </is>
      </c>
      <c r="C55" s="293" t="n">
        <v>-964768</v>
      </c>
      <c r="D55" s="293" t="n">
        <v>1176</v>
      </c>
      <c r="E55" s="293" t="n">
        <v>-17077</v>
      </c>
      <c r="F55" s="293" t="n">
        <v>-47340.8</v>
      </c>
      <c r="G55" s="293" t="n">
        <v>1145.22</v>
      </c>
      <c r="H55" s="305">
        <f>SUM(C55:G55)</f>
        <v/>
      </c>
    </row>
    <row r="56" ht="12.75" customHeight="1">
      <c r="A56" s="1" t="inlineStr">
        <is>
          <t>2740300</t>
        </is>
      </c>
      <c r="B56" s="1" t="inlineStr">
        <is>
          <t>KLS Te betalen waarborgsommen kortlopend</t>
        </is>
      </c>
      <c r="C56" s="293" t="n">
        <v>-935682</v>
      </c>
      <c r="D56" s="293" t="n">
        <v>-30315</v>
      </c>
      <c r="E56" s="293" t="n">
        <v>8491</v>
      </c>
      <c r="F56" s="293" t="n">
        <v>-4796</v>
      </c>
      <c r="G56" s="293" t="n">
        <v>8472.82</v>
      </c>
      <c r="H56" s="305">
        <f>SUM(C56:G56)</f>
        <v/>
      </c>
    </row>
    <row r="57" ht="12.75" customHeight="1">
      <c r="A57" s="1" t="inlineStr">
        <is>
          <t>2740500</t>
        </is>
      </c>
      <c r="B57" s="1" t="inlineStr">
        <is>
          <t>KLS Te betalen accountants- en administratiekosten</t>
        </is>
      </c>
      <c r="C57" s="293" t="n">
        <v>-45000</v>
      </c>
      <c r="D57" s="293" t="n">
        <v>0</v>
      </c>
      <c r="H57" s="305">
        <f>SUM(C57:G57)</f>
        <v/>
      </c>
    </row>
    <row r="58" ht="12.75" customHeight="1">
      <c r="A58" s="1" t="inlineStr">
        <is>
          <t>2741000</t>
        </is>
      </c>
      <c r="B58" s="1" t="inlineStr">
        <is>
          <t>KLS Te betalen servicekosten</t>
        </is>
      </c>
      <c r="C58" s="293" t="n">
        <v>80948</v>
      </c>
      <c r="D58" s="293" t="n">
        <v>-89877</v>
      </c>
      <c r="E58" s="293" t="n">
        <v>8930</v>
      </c>
      <c r="G58" s="293" t="n">
        <v>0</v>
      </c>
      <c r="H58" s="305">
        <f>SUM(C58:G58)</f>
        <v/>
      </c>
    </row>
    <row r="59" ht="12.75" customHeight="1">
      <c r="A59" s="1" t="inlineStr">
        <is>
          <t>2741001</t>
        </is>
      </c>
      <c r="B59" s="1" t="inlineStr">
        <is>
          <t>KLS Te betalen servicekosten -</t>
        </is>
      </c>
      <c r="C59" s="293" t="n">
        <v>0</v>
      </c>
      <c r="D59" s="293" t="n">
        <v>0</v>
      </c>
      <c r="H59" s="305">
        <f>SUM(C59:G59)</f>
        <v/>
      </c>
    </row>
    <row r="60" ht="12.75" customHeight="1">
      <c r="A60" s="1" t="inlineStr">
        <is>
          <t>2741004</t>
        </is>
      </c>
      <c r="B60" s="1" t="inlineStr">
        <is>
          <t>KLS Te betalen Hoen</t>
        </is>
      </c>
      <c r="C60" s="293" t="n">
        <v>-385289</v>
      </c>
      <c r="D60" s="293" t="n">
        <v>341806</v>
      </c>
      <c r="E60" s="293" t="n">
        <v>-130818</v>
      </c>
      <c r="F60" s="293" t="n">
        <v>-87499.92999999999</v>
      </c>
      <c r="G60" s="293" t="n">
        <v>216412.76</v>
      </c>
      <c r="H60" s="305">
        <f>SUM(C60:G60)</f>
        <v/>
      </c>
    </row>
    <row r="61" ht="12.75" customHeight="1">
      <c r="A61" s="1" t="inlineStr">
        <is>
          <t>2741200</t>
        </is>
      </c>
      <c r="B61" s="1" t="inlineStr">
        <is>
          <t>KLS Te betalen overige kosten</t>
        </is>
      </c>
      <c r="C61" s="293" t="n">
        <v>30000</v>
      </c>
      <c r="D61" s="293">
        <f>-116207+2</f>
        <v/>
      </c>
      <c r="E61" s="293" t="n">
        <v>116207</v>
      </c>
      <c r="G61" s="293" t="n">
        <v>0</v>
      </c>
      <c r="H61" s="305">
        <f>SUM(C61:G61)</f>
        <v/>
      </c>
    </row>
    <row r="62" ht="12.75" customHeight="1">
      <c r="A62" s="1" t="inlineStr">
        <is>
          <t>2742000</t>
        </is>
      </c>
      <c r="B62" s="1" t="inlineStr">
        <is>
          <t>KLS Vraagposten</t>
        </is>
      </c>
      <c r="C62" s="293" t="n">
        <v>0</v>
      </c>
      <c r="D62" s="293" t="n">
        <v>0</v>
      </c>
      <c r="E62" s="346" t="n">
        <v>0</v>
      </c>
      <c r="F62" s="346" t="n">
        <v>0</v>
      </c>
      <c r="G62" s="293" t="n">
        <v>0</v>
      </c>
      <c r="H62" s="290">
        <f>SUM(C62:G62)</f>
        <v/>
      </c>
    </row>
    <row r="63" ht="12.75" customHeight="1">
      <c r="A63" s="130" t="inlineStr">
        <is>
          <t>2760000</t>
        </is>
      </c>
      <c r="B63" s="1" t="inlineStr">
        <is>
          <t>KLS Saldo lening DMRRP INV - I BV</t>
        </is>
      </c>
      <c r="C63" s="293" t="n">
        <v>0</v>
      </c>
      <c r="D63" s="293" t="n">
        <v>0</v>
      </c>
      <c r="G63" s="293" t="n">
        <v>0</v>
      </c>
      <c r="H63" s="305">
        <f>SUM(C63:G63)</f>
        <v/>
      </c>
    </row>
    <row r="64" ht="12.75" customHeight="1">
      <c r="A64" s="130" t="n">
        <v>2502020</v>
      </c>
      <c r="B64" s="1" t="inlineStr">
        <is>
          <t>Servicekosten 2020</t>
        </is>
      </c>
      <c r="C64" s="293" t="n">
        <v>0</v>
      </c>
      <c r="D64" s="293" t="n">
        <v>789</v>
      </c>
      <c r="E64" s="293" t="n">
        <v>0</v>
      </c>
      <c r="H64" s="305">
        <f>SUM(C64:G64)</f>
        <v/>
      </c>
      <c r="I64" s="290" t="n"/>
    </row>
    <row r="65" ht="12.75" customHeight="1">
      <c r="A65" s="1" t="inlineStr">
        <is>
          <t>2502021</t>
        </is>
      </c>
      <c r="B65" s="1" t="inlineStr">
        <is>
          <t>Servicekosten 2021</t>
        </is>
      </c>
      <c r="C65" s="293" t="n">
        <v>0</v>
      </c>
      <c r="D65" s="293" t="n">
        <v>91489</v>
      </c>
      <c r="E65" s="293" t="n">
        <v>-2046</v>
      </c>
      <c r="F65" s="293" t="n">
        <v>-93962.63</v>
      </c>
      <c r="G65" s="293" t="n">
        <v>0</v>
      </c>
      <c r="H65" s="305">
        <f>SUM(C65:G65)</f>
        <v/>
      </c>
      <c r="I65" s="290" t="n"/>
    </row>
    <row r="66" ht="12.75" customHeight="1">
      <c r="A66" s="1" t="inlineStr">
        <is>
          <t>2502022</t>
        </is>
      </c>
      <c r="B66" s="1" t="inlineStr">
        <is>
          <t>Servicekosten 2022</t>
        </is>
      </c>
      <c r="C66" s="293" t="n">
        <v>0</v>
      </c>
      <c r="D66" s="293" t="n">
        <v>179376</v>
      </c>
      <c r="E66" s="293" t="n">
        <v>-27</v>
      </c>
      <c r="F66" s="293" t="n">
        <v>-261260</v>
      </c>
      <c r="G66" s="293" t="n">
        <v>-516.84</v>
      </c>
      <c r="H66" s="305">
        <f>SUM(C66:G66)</f>
        <v/>
      </c>
      <c r="I66" s="290" t="n"/>
    </row>
    <row r="67" ht="12.75" customHeight="1">
      <c r="A67" s="1" t="inlineStr">
        <is>
          <t>2502023</t>
        </is>
      </c>
      <c r="B67" s="1" t="inlineStr">
        <is>
          <t>Servicekosten 2023</t>
        </is>
      </c>
      <c r="C67" s="293" t="n">
        <v>0</v>
      </c>
      <c r="D67" s="346" t="n">
        <v>414481</v>
      </c>
      <c r="E67" s="346" t="n">
        <v>-404859</v>
      </c>
      <c r="F67" s="293" t="n">
        <v>-212658.64</v>
      </c>
      <c r="G67" s="293" t="n">
        <v>7601.93</v>
      </c>
      <c r="H67" s="305">
        <f>SUM(C67:G67)</f>
        <v/>
      </c>
      <c r="I67" s="290" t="n"/>
    </row>
    <row r="68" ht="12.75" customHeight="1">
      <c r="A68" s="302" t="inlineStr">
        <is>
          <t>2502024</t>
        </is>
      </c>
      <c r="B68" s="302" t="inlineStr">
        <is>
          <t>Servicekosten 2024</t>
        </is>
      </c>
      <c r="C68" s="293" t="n">
        <v>0</v>
      </c>
      <c r="D68" s="293" t="n">
        <v>0</v>
      </c>
      <c r="E68" s="293" t="n">
        <v>-6716</v>
      </c>
      <c r="F68" s="293" t="n">
        <v>225121.63</v>
      </c>
      <c r="G68" s="293" t="n">
        <v>49344.83</v>
      </c>
      <c r="H68" s="305">
        <f>SUM(C68:G68)</f>
        <v/>
      </c>
    </row>
    <row r="69" ht="12.75" customHeight="1">
      <c r="H69" s="290">
        <f>SUM(C69:G69)</f>
        <v/>
      </c>
    </row>
    <row r="70" ht="12.75" customHeight="1">
      <c r="A70" s="132" t="inlineStr">
        <is>
          <t>Winst- en verliesrekening (baten zijn negatief, kosten positief)</t>
        </is>
      </c>
      <c r="H70" s="290">
        <f>SUM(C70:G70)</f>
        <v/>
      </c>
    </row>
    <row r="71" ht="12.75" customHeight="1">
      <c r="H71" s="290">
        <f>SUM(C71:G71)</f>
        <v/>
      </c>
    </row>
    <row r="72" ht="12.75" customHeight="1">
      <c r="A72" s="1" t="inlineStr">
        <is>
          <t>8000003</t>
        </is>
      </c>
      <c r="B72" s="1" t="inlineStr">
        <is>
          <t>OPB Netto-omzet Theoretische huuropbrengsten</t>
        </is>
      </c>
      <c r="D72" s="293" t="n">
        <v>-3070217</v>
      </c>
      <c r="E72" s="293" t="n">
        <v>-3068644</v>
      </c>
      <c r="F72" s="293" t="n">
        <v>-3065862.05</v>
      </c>
      <c r="G72" s="293" t="n">
        <v>-3169839.55</v>
      </c>
      <c r="H72" s="305">
        <f>SUM(C72:G72)</f>
        <v/>
      </c>
      <c r="I72" s="290" t="n"/>
      <c r="J72" s="1">
        <f>G73/G72</f>
        <v/>
      </c>
    </row>
    <row r="73" ht="12.75" customHeight="1">
      <c r="A73" s="1" t="inlineStr">
        <is>
          <t>8000004</t>
        </is>
      </c>
      <c r="B73" s="1" t="inlineStr">
        <is>
          <t>OPB Netto-omzet Leegstand huuropbrengsten</t>
        </is>
      </c>
      <c r="D73" s="293" t="n">
        <v>59363</v>
      </c>
      <c r="E73" s="293" t="n">
        <v>55043</v>
      </c>
      <c r="F73" s="293" t="n">
        <v>72337.34</v>
      </c>
      <c r="G73" s="293" t="n">
        <v>93311.89</v>
      </c>
      <c r="H73" s="305">
        <f>SUM(C73:G73)</f>
        <v/>
      </c>
      <c r="I73" s="290" t="n"/>
      <c r="J73" s="1">
        <f>F73/F72</f>
        <v/>
      </c>
    </row>
    <row r="74" ht="12.75" customHeight="1">
      <c r="H74" s="290">
        <f>SUM(C74:G74)</f>
        <v/>
      </c>
      <c r="I74" s="290" t="n"/>
    </row>
    <row r="75" ht="12.75" customHeight="1">
      <c r="A75" s="1" t="inlineStr">
        <is>
          <t>8400600</t>
        </is>
      </c>
      <c r="B75" s="1" t="inlineStr">
        <is>
          <t>OPB Overige bedrijfsopbrengsten Totale servicekosten</t>
        </is>
      </c>
      <c r="D75" s="293" t="n">
        <v>-158682</v>
      </c>
      <c r="E75" s="293" t="n">
        <v>-284</v>
      </c>
      <c r="F75" s="293" t="n">
        <v>285</v>
      </c>
      <c r="G75" s="293" t="n">
        <v>-76472.45</v>
      </c>
      <c r="H75" s="305">
        <f>SUM(C75:G75)</f>
        <v/>
      </c>
      <c r="I75" s="290" t="n"/>
    </row>
    <row r="76" ht="12.75" customHeight="1">
      <c r="A76" s="1" t="inlineStr">
        <is>
          <t>8400700</t>
        </is>
      </c>
      <c r="B76" s="1" t="inlineStr">
        <is>
          <t>OPB Overige bedrijfsopbrengsten Servicekosten leegstand</t>
        </is>
      </c>
      <c r="D76" s="293" t="n">
        <v>6138</v>
      </c>
      <c r="E76" s="293" t="n">
        <v>13194</v>
      </c>
      <c r="F76" s="293" t="n">
        <v>44728.32</v>
      </c>
      <c r="G76" s="293" t="n">
        <v>10335.44</v>
      </c>
      <c r="H76" s="305">
        <f>SUM(C76:G76)</f>
        <v/>
      </c>
      <c r="I76" s="290" t="n"/>
    </row>
    <row r="77" ht="12.75" customHeight="1">
      <c r="A77" s="1" t="inlineStr">
        <is>
          <t>8400800</t>
        </is>
      </c>
      <c r="B77" s="1" t="inlineStr">
        <is>
          <t>OPB Overige bedrijfsopbrengsten Gerealiseerde servicekosten</t>
        </is>
      </c>
      <c r="D77" s="346" t="n">
        <v>-376560</v>
      </c>
      <c r="E77" s="346" t="n">
        <v>177952</v>
      </c>
      <c r="F77" s="293" t="n">
        <v>95667.58</v>
      </c>
      <c r="G77" s="293" t="n">
        <v>77542.21000000001</v>
      </c>
      <c r="H77" s="305">
        <f>SUM(C77:G77)</f>
        <v/>
      </c>
      <c r="I77" s="290" t="n"/>
    </row>
    <row r="78" ht="12.75" customHeight="1">
      <c r="H78" s="290">
        <f>SUM(C78:G78)</f>
        <v/>
      </c>
      <c r="I78" s="290" t="n"/>
    </row>
    <row r="79" ht="12.75" customHeight="1">
      <c r="A79" s="1" t="inlineStr">
        <is>
          <t>4051400</t>
        </is>
      </c>
      <c r="B79" s="1" t="inlineStr">
        <is>
          <t>KN Diensten door derden</t>
        </is>
      </c>
      <c r="D79" s="293" t="n">
        <v>129917</v>
      </c>
      <c r="E79" s="293" t="n">
        <v>129820</v>
      </c>
      <c r="F79" s="293" t="n">
        <v>130121.37</v>
      </c>
      <c r="G79" s="293" t="n">
        <v>134133.55</v>
      </c>
      <c r="H79" s="290">
        <f>SUM(C79:G79)</f>
        <v/>
      </c>
      <c r="I79" s="290" t="n"/>
    </row>
    <row r="80" ht="12.75" customHeight="1">
      <c r="H80" s="290">
        <f>SUM(C80:G80)</f>
        <v/>
      </c>
      <c r="I80" s="290" t="n"/>
    </row>
    <row r="81" ht="12.75" customHeight="1">
      <c r="A81" s="1" t="inlineStr">
        <is>
          <t>4730000</t>
        </is>
      </c>
      <c r="B81" s="1" t="inlineStr">
        <is>
          <t>AFKN Afschrijvingskosten -</t>
        </is>
      </c>
      <c r="D81" s="293" t="n">
        <v>747378</v>
      </c>
      <c r="E81" s="293" t="n">
        <v>753602</v>
      </c>
      <c r="F81" s="293" t="n">
        <v>752120</v>
      </c>
      <c r="G81" s="293" t="n">
        <v>762225</v>
      </c>
      <c r="H81" s="290">
        <f>SUM(C81:G81)</f>
        <v/>
      </c>
      <c r="I81" s="290" t="n"/>
    </row>
    <row r="82" ht="12.75" customHeight="1">
      <c r="A82" s="1" t="inlineStr">
        <is>
          <t>4730200</t>
        </is>
      </c>
      <c r="B82" s="1" t="inlineStr">
        <is>
          <t>AFKN Boekresultaat -</t>
        </is>
      </c>
      <c r="D82" s="293" t="n">
        <v>-1422615</v>
      </c>
      <c r="E82" s="293" t="n">
        <v>-990509</v>
      </c>
      <c r="F82" s="293" t="n">
        <v>-903643</v>
      </c>
      <c r="G82" s="293" t="n">
        <v>-963848</v>
      </c>
      <c r="H82" s="290">
        <f>SUM(C82:G82)</f>
        <v/>
      </c>
      <c r="I82" s="290" t="n"/>
    </row>
    <row r="83" ht="12.75" customHeight="1">
      <c r="H83" s="290">
        <f>SUM(C83:G83)</f>
        <v/>
      </c>
      <c r="I83" s="290" t="n"/>
    </row>
    <row r="84" ht="12.75" customHeight="1">
      <c r="A84" s="1" t="inlineStr">
        <is>
          <t>4100400</t>
        </is>
      </c>
      <c r="B84" s="1" t="inlineStr">
        <is>
          <t>KN Onderhoud gebouwen</t>
        </is>
      </c>
      <c r="D84" s="293" t="n">
        <v>450180</v>
      </c>
      <c r="E84" s="293" t="n">
        <v>242739</v>
      </c>
      <c r="F84" s="293" t="n">
        <v>353142.98</v>
      </c>
      <c r="G84" s="293" t="n">
        <v>308364.09</v>
      </c>
      <c r="H84" s="290">
        <f>SUM(C84:G84)</f>
        <v/>
      </c>
      <c r="I84" s="290" t="n"/>
    </row>
    <row r="85" ht="12.75" customHeight="1">
      <c r="A85" s="1" t="inlineStr">
        <is>
          <t>4100900</t>
        </is>
      </c>
      <c r="B85" s="1" t="inlineStr">
        <is>
          <t>KN Onroerende zaakbelasting</t>
        </is>
      </c>
      <c r="D85" s="293" t="n">
        <v>81195</v>
      </c>
      <c r="E85" s="293">
        <f>87160+3*21790.08</f>
        <v/>
      </c>
      <c r="F85" s="293" t="n">
        <v>66177.88</v>
      </c>
      <c r="G85" s="293" t="n">
        <v>66062.67</v>
      </c>
      <c r="H85" s="290">
        <f>SUM(C85:G85)</f>
        <v/>
      </c>
      <c r="I85" s="290" t="n"/>
      <c r="J85" s="290" t="n"/>
    </row>
    <row r="86" ht="12.75" customHeight="1">
      <c r="A86" s="1" t="inlineStr">
        <is>
          <t>4101000</t>
        </is>
      </c>
      <c r="B86" s="1" t="inlineStr">
        <is>
          <t>KN Vaste lasten</t>
        </is>
      </c>
      <c r="D86" s="293" t="n">
        <v>165587</v>
      </c>
      <c r="E86" s="293" t="n">
        <v>178643</v>
      </c>
      <c r="F86" s="293" t="n">
        <v>262945.32</v>
      </c>
      <c r="G86" s="293" t="n">
        <v>188400.11</v>
      </c>
      <c r="H86" s="290">
        <f>SUM(C86:G86)</f>
        <v/>
      </c>
      <c r="I86" s="290" t="n"/>
    </row>
    <row r="87" ht="12.75" customHeight="1">
      <c r="A87" s="1" t="inlineStr">
        <is>
          <t>4100410</t>
        </is>
      </c>
      <c r="B87" s="1" t="inlineStr">
        <is>
          <t>Verhuurdersheffing</t>
        </is>
      </c>
      <c r="D87" s="293" t="n">
        <v>0</v>
      </c>
      <c r="E87" s="293" t="n">
        <v>0</v>
      </c>
      <c r="H87" s="290">
        <f>SUM(C87:G87)</f>
        <v/>
      </c>
      <c r="I87" s="290" t="n"/>
    </row>
    <row r="88" ht="12.75" customHeight="1">
      <c r="A88" s="1" t="inlineStr">
        <is>
          <t>4101010</t>
        </is>
      </c>
      <c r="B88" s="1" t="inlineStr">
        <is>
          <t>Gemeentelijke belastingen</t>
        </is>
      </c>
      <c r="D88" s="293" t="n">
        <v>0</v>
      </c>
      <c r="E88" s="293">
        <f>32010+3*8002.58</f>
        <v/>
      </c>
      <c r="F88" s="293" t="n">
        <v>23941.86</v>
      </c>
      <c r="G88" s="293" t="n">
        <v>24496.54</v>
      </c>
      <c r="H88" s="290">
        <f>SUM(C88:G88)</f>
        <v/>
      </c>
      <c r="I88" s="290" t="n"/>
      <c r="J88" s="290" t="n"/>
    </row>
    <row r="89" ht="12.75" customHeight="1">
      <c r="A89" s="1" t="inlineStr">
        <is>
          <t>4101020</t>
        </is>
      </c>
      <c r="B89" s="1" t="inlineStr">
        <is>
          <t>Waterschapsbelasting</t>
        </is>
      </c>
      <c r="D89" s="293" t="n">
        <v>3224</v>
      </c>
      <c r="E89" s="293" t="n">
        <v>8746</v>
      </c>
      <c r="F89" s="293" t="n">
        <v>48840.03</v>
      </c>
      <c r="G89" s="293" t="n">
        <v>28932.33</v>
      </c>
      <c r="H89" s="290">
        <f>SUM(C89:G89)</f>
        <v/>
      </c>
      <c r="I89" s="290" t="n"/>
    </row>
    <row r="90" ht="12.75" customHeight="1">
      <c r="A90" s="1" t="inlineStr">
        <is>
          <t>4101300</t>
        </is>
      </c>
      <c r="B90" s="1" t="inlineStr">
        <is>
          <t>KN Servicekosten leegstand</t>
        </is>
      </c>
      <c r="D90" s="293" t="n">
        <v>0</v>
      </c>
      <c r="E90" s="293" t="n">
        <v>0</v>
      </c>
      <c r="G90" s="293" t="n">
        <v>0</v>
      </c>
      <c r="H90" s="290">
        <f>SUM(C90:G90)</f>
        <v/>
      </c>
      <c r="I90" s="290" t="n"/>
    </row>
    <row r="91" ht="12.75" customHeight="1">
      <c r="H91" s="290">
        <f>SUM(C91:G91)</f>
        <v/>
      </c>
      <c r="I91" s="290" t="n"/>
    </row>
    <row r="92" ht="12.75" customHeight="1">
      <c r="A92" s="1" t="inlineStr">
        <is>
          <t>4501200</t>
        </is>
      </c>
      <c r="B92" s="1" t="inlineStr">
        <is>
          <t>KN Mutatie voorziening dubieuze debiteuren</t>
        </is>
      </c>
      <c r="D92" s="293" t="n">
        <v>-68505</v>
      </c>
      <c r="E92" s="293" t="n">
        <v>23863</v>
      </c>
      <c r="H92" s="349">
        <f>SUM(C92:G92)</f>
        <v/>
      </c>
      <c r="I92" s="290" t="n"/>
    </row>
    <row r="93" ht="12.75" customHeight="1">
      <c r="A93" s="1" t="inlineStr">
        <is>
          <t>4501300</t>
        </is>
      </c>
      <c r="B93" s="1" t="inlineStr">
        <is>
          <t>KN Afboeking dubieuze debiteuren</t>
        </is>
      </c>
      <c r="D93" s="293" t="n">
        <v>9614</v>
      </c>
      <c r="E93" s="293" t="n">
        <v>0</v>
      </c>
      <c r="F93" s="293" t="n">
        <v>42503.08</v>
      </c>
      <c r="G93" s="293" t="n">
        <v>10114.98</v>
      </c>
      <c r="H93" s="349">
        <f>SUM(C93:G93)</f>
        <v/>
      </c>
      <c r="I93" s="290" t="n"/>
    </row>
    <row r="94" ht="12.75" customHeight="1">
      <c r="H94" s="290">
        <f>SUM(C94:G94)</f>
        <v/>
      </c>
      <c r="I94" s="290" t="n"/>
    </row>
    <row r="95" ht="12.75" customHeight="1">
      <c r="A95" s="1" t="inlineStr">
        <is>
          <t>4300200</t>
        </is>
      </c>
      <c r="B95" s="1" t="inlineStr">
        <is>
          <t>KN Communicatiekosten</t>
        </is>
      </c>
      <c r="D95" s="293" t="n">
        <v>145</v>
      </c>
      <c r="E95" s="293" t="n">
        <v>0</v>
      </c>
      <c r="H95" s="349">
        <f>SUM(C95:G95)</f>
        <v/>
      </c>
      <c r="I95" s="290" t="n"/>
    </row>
    <row r="96" ht="12.75" customHeight="1">
      <c r="A96" s="1" t="inlineStr">
        <is>
          <t>4300500</t>
        </is>
      </c>
      <c r="B96" s="1" t="inlineStr">
        <is>
          <t>KN Incassokosten</t>
        </is>
      </c>
      <c r="D96" s="293" t="n">
        <v>3002</v>
      </c>
      <c r="E96" s="293" t="n">
        <v>300</v>
      </c>
      <c r="F96" s="293" t="n">
        <v>40</v>
      </c>
      <c r="G96" s="293" t="n">
        <v>600</v>
      </c>
      <c r="H96" s="349">
        <f>SUM(C96:G96)</f>
        <v/>
      </c>
      <c r="I96" s="290" t="n"/>
    </row>
    <row r="97" ht="12.75" customHeight="1">
      <c r="H97" s="290">
        <f>SUM(C97:G97)</f>
        <v/>
      </c>
      <c r="I97" s="290" t="n"/>
    </row>
    <row r="98" ht="12.75" customHeight="1">
      <c r="A98" s="1" t="inlineStr">
        <is>
          <t>4310400</t>
        </is>
      </c>
      <c r="B98" s="1" t="inlineStr">
        <is>
          <t>KN Assurantiepremie algemeen</t>
        </is>
      </c>
      <c r="D98" s="293" t="n">
        <v>38355</v>
      </c>
      <c r="E98" s="293">
        <f>28580-F24</f>
        <v/>
      </c>
      <c r="F98" s="293">
        <f>37420.71</f>
        <v/>
      </c>
      <c r="G98" s="293" t="n">
        <v>21435</v>
      </c>
      <c r="H98" s="290">
        <f>SUM(C98:G98)</f>
        <v/>
      </c>
      <c r="I98" s="290" t="n"/>
      <c r="J98" s="290" t="n"/>
    </row>
    <row r="99" ht="12.75" customHeight="1">
      <c r="A99" s="1" t="inlineStr">
        <is>
          <t>4310500</t>
        </is>
      </c>
      <c r="B99" s="1" t="inlineStr">
        <is>
          <t>KN Managementvergoeding</t>
        </is>
      </c>
      <c r="D99" s="293" t="n">
        <v>1500</v>
      </c>
      <c r="E99" s="293" t="n">
        <v>1500</v>
      </c>
      <c r="F99" s="293" t="n">
        <v>1500</v>
      </c>
      <c r="G99" s="293" t="n">
        <v>1500</v>
      </c>
      <c r="H99" s="290">
        <f>SUM(C99:G99)</f>
        <v/>
      </c>
      <c r="I99" s="290" t="n"/>
    </row>
    <row r="100" ht="12.75" customHeight="1">
      <c r="A100" s="1" t="inlineStr">
        <is>
          <t>4310600</t>
        </is>
      </c>
      <c r="B100" s="1" t="inlineStr">
        <is>
          <t>KN Accountantskosten</t>
        </is>
      </c>
      <c r="D100" s="293" t="n">
        <v>24818</v>
      </c>
      <c r="E100" s="293" t="n">
        <v>39840</v>
      </c>
      <c r="F100" s="293" t="n">
        <v>19091</v>
      </c>
      <c r="G100" s="293" t="n">
        <v>8698.33</v>
      </c>
      <c r="H100" s="290">
        <f>SUM(C100:G100)</f>
        <v/>
      </c>
      <c r="I100" s="290" t="n"/>
    </row>
    <row r="101" ht="12.75" customHeight="1">
      <c r="A101" s="1" t="inlineStr">
        <is>
          <t>4310700</t>
        </is>
      </c>
      <c r="B101" s="1" t="inlineStr">
        <is>
          <t>KN Administratiekosten</t>
        </is>
      </c>
      <c r="D101" s="293" t="n">
        <v>2281</v>
      </c>
      <c r="E101" s="293" t="n">
        <v>1398</v>
      </c>
      <c r="F101" s="293" t="n">
        <v>2825.35</v>
      </c>
      <c r="G101" s="293" t="n">
        <v>1397.55</v>
      </c>
      <c r="H101" s="349">
        <f>SUM(C101:G101)</f>
        <v/>
      </c>
      <c r="I101" s="290" t="n"/>
    </row>
    <row r="102" ht="12.75" customHeight="1">
      <c r="A102" s="1" t="inlineStr">
        <is>
          <t>4310800</t>
        </is>
      </c>
      <c r="B102" s="1" t="inlineStr">
        <is>
          <t>KN Notariskosten</t>
        </is>
      </c>
      <c r="D102" s="293" t="n">
        <v>81565</v>
      </c>
      <c r="E102" s="293" t="n">
        <v>56181</v>
      </c>
      <c r="F102" s="293" t="n">
        <v>46357.1</v>
      </c>
      <c r="G102" s="293" t="n">
        <v>47806.69</v>
      </c>
      <c r="H102" s="290">
        <f>SUM(C102:G102)</f>
        <v/>
      </c>
      <c r="I102" s="290" t="n"/>
    </row>
    <row r="103" ht="12.75" customHeight="1">
      <c r="A103" s="1" t="inlineStr">
        <is>
          <t>4311000</t>
        </is>
      </c>
      <c r="B103" s="1" t="inlineStr">
        <is>
          <t>KN Juridische kosten</t>
        </is>
      </c>
      <c r="D103" s="293" t="n">
        <v>30812</v>
      </c>
      <c r="E103" s="293" t="n">
        <v>11000</v>
      </c>
      <c r="F103" s="293" t="n">
        <v>7662.19</v>
      </c>
      <c r="G103" s="293" t="n">
        <v>6967.14</v>
      </c>
      <c r="H103" s="349">
        <f>SUM(C103:G103)</f>
        <v/>
      </c>
      <c r="I103" s="290" t="n"/>
    </row>
    <row r="104" ht="12.75" customHeight="1">
      <c r="A104" s="1" t="inlineStr">
        <is>
          <t>4311800</t>
        </is>
      </c>
      <c r="B104" s="1" t="inlineStr">
        <is>
          <t>KN Advieskosten</t>
        </is>
      </c>
      <c r="D104" s="293" t="n">
        <v>11000</v>
      </c>
      <c r="E104" s="293" t="n">
        <v>13200</v>
      </c>
      <c r="F104" s="293" t="n">
        <v>9900</v>
      </c>
      <c r="G104" s="293" t="n">
        <v>100650</v>
      </c>
      <c r="H104" s="290">
        <f>SUM(C104:G104)</f>
        <v/>
      </c>
      <c r="I104" s="290" t="n"/>
    </row>
    <row r="105" ht="12.75" customHeight="1">
      <c r="A105" s="1" t="inlineStr">
        <is>
          <t>4311900</t>
        </is>
      </c>
      <c r="B105" s="1" t="inlineStr">
        <is>
          <t>KN Bankkosten</t>
        </is>
      </c>
      <c r="D105" s="293" t="n">
        <v>94379</v>
      </c>
      <c r="E105" s="293" t="n">
        <v>8388</v>
      </c>
      <c r="F105" s="293" t="n">
        <v>8594.040000000001</v>
      </c>
      <c r="G105" s="293" t="n">
        <v>8473.27</v>
      </c>
      <c r="H105" s="349">
        <f>SUM(C105:G105)</f>
        <v/>
      </c>
      <c r="I105" s="290" t="n"/>
    </row>
    <row r="106" ht="12.75" customHeight="1">
      <c r="A106" s="1" t="inlineStr">
        <is>
          <t>4312600</t>
        </is>
      </c>
      <c r="B106" s="1" t="inlineStr">
        <is>
          <t>KN Diverse lasten</t>
        </is>
      </c>
      <c r="D106" s="293" t="n">
        <v>0</v>
      </c>
      <c r="E106" s="293" t="n">
        <v>0</v>
      </c>
      <c r="G106" s="293" t="n">
        <v>0</v>
      </c>
      <c r="H106" s="290">
        <f>SUM(C106:G106)</f>
        <v/>
      </c>
      <c r="I106" s="290" t="n"/>
    </row>
    <row r="107" ht="12.75" customHeight="1">
      <c r="A107" s="1" t="inlineStr">
        <is>
          <t>4319800</t>
        </is>
      </c>
      <c r="B107" s="1" t="inlineStr">
        <is>
          <t>KN Overige algemene kosten</t>
        </is>
      </c>
      <c r="D107" s="293" t="n">
        <v>-971</v>
      </c>
      <c r="E107" s="293" t="n">
        <v>1946</v>
      </c>
      <c r="F107" s="293" t="n">
        <v>2438.7</v>
      </c>
      <c r="G107" s="293" t="n">
        <v>-1507.82</v>
      </c>
      <c r="H107" s="349">
        <f>SUM(C107:G107)</f>
        <v/>
      </c>
      <c r="I107" s="290" t="n"/>
    </row>
    <row r="108" ht="12.75" customHeight="1">
      <c r="H108" s="290">
        <f>SUM(C108:G108)</f>
        <v/>
      </c>
      <c r="I108" s="290" t="n"/>
    </row>
    <row r="109" ht="12.75" customHeight="1">
      <c r="A109" s="1" t="inlineStr">
        <is>
          <t>4601000</t>
        </is>
      </c>
      <c r="B109" s="1" t="inlineStr">
        <is>
          <t>FINBL Rente RC D.M. Equity Partners C.V.</t>
        </is>
      </c>
      <c r="D109" s="293" t="n">
        <v>1205</v>
      </c>
      <c r="E109" s="293" t="n">
        <v>0</v>
      </c>
      <c r="H109" s="290">
        <f>SUM(C109:G109)</f>
        <v/>
      </c>
      <c r="I109" s="290" t="n"/>
    </row>
    <row r="110" ht="12.75" customHeight="1">
      <c r="A110" s="1" t="inlineStr">
        <is>
          <t>4611000</t>
        </is>
      </c>
      <c r="B110" s="1" t="inlineStr">
        <is>
          <t>FINBL Rente RC DMRRP INV - I BV</t>
        </is>
      </c>
      <c r="D110" s="293" t="n">
        <v>3371</v>
      </c>
      <c r="E110" s="293" t="n">
        <v>0</v>
      </c>
      <c r="H110" s="290">
        <f>SUM(C110:G110)</f>
        <v/>
      </c>
      <c r="I110" s="290" t="n"/>
    </row>
    <row r="111" ht="12.75" customHeight="1">
      <c r="A111" s="1" t="inlineStr">
        <is>
          <t>4620200</t>
        </is>
      </c>
      <c r="B111" s="1" t="inlineStr">
        <is>
          <t>FINBL Rente ABN AMRO Bank Disposal NL58 ABNA 0818 9180 39</t>
        </is>
      </c>
      <c r="D111" s="293" t="n">
        <v>58</v>
      </c>
      <c r="E111" s="293" t="n">
        <v>0</v>
      </c>
      <c r="H111" s="290">
        <f>SUM(C111:G111)</f>
        <v/>
      </c>
      <c r="I111" s="290" t="n"/>
    </row>
    <row r="112" ht="12.75" customHeight="1">
      <c r="A112" s="1" t="inlineStr">
        <is>
          <t>4623001</t>
        </is>
      </c>
      <c r="B112" s="1" t="inlineStr">
        <is>
          <t>FINBL Rente ABN AMRO Bank NV Senior Facility Agreement</t>
        </is>
      </c>
      <c r="D112" s="293" t="n">
        <v>1976244</v>
      </c>
      <c r="E112" s="293" t="n">
        <v>1936807</v>
      </c>
      <c r="F112" s="293" t="n">
        <v>1946836.3</v>
      </c>
      <c r="G112" s="293" t="n">
        <v>1915107.54</v>
      </c>
      <c r="H112" s="290">
        <f>SUM(C112:G112)</f>
        <v/>
      </c>
      <c r="I112" s="290" t="n"/>
    </row>
    <row r="113" ht="12.75" customHeight="1">
      <c r="A113" s="1" t="inlineStr">
        <is>
          <t>4643000</t>
        </is>
      </c>
      <c r="B113" s="1" t="inlineStr">
        <is>
          <t>FINBL Overige rentelasten</t>
        </is>
      </c>
      <c r="D113" s="293" t="n">
        <v>-237844</v>
      </c>
      <c r="E113" s="293" t="n">
        <v>-199616</v>
      </c>
      <c r="F113" s="293" t="n">
        <v>132400</v>
      </c>
      <c r="G113" s="293" t="n">
        <v>-159757.35</v>
      </c>
      <c r="H113" s="290">
        <f>SUM(C113:G113)</f>
        <v/>
      </c>
      <c r="I113" s="290" t="n"/>
    </row>
    <row r="114" ht="12.75" customHeight="1">
      <c r="A114" s="1" t="inlineStr">
        <is>
          <t>4642000</t>
        </is>
      </c>
      <c r="B114" s="1" t="inlineStr">
        <is>
          <t>FINBL Overige rentebaten</t>
        </is>
      </c>
      <c r="D114" s="293" t="n">
        <v>0</v>
      </c>
      <c r="E114" s="293" t="n">
        <v>-52</v>
      </c>
      <c r="F114" s="293" t="n">
        <v>-332658.47</v>
      </c>
      <c r="G114" s="293" t="n">
        <v>51.12</v>
      </c>
      <c r="H114" s="290">
        <f>SUM(C114:G114)</f>
        <v/>
      </c>
      <c r="I114" s="290" t="n"/>
    </row>
    <row r="115" ht="12.75" customHeight="1">
      <c r="A115" s="1" t="inlineStr">
        <is>
          <t>4663000</t>
        </is>
      </c>
      <c r="B115" s="1" t="inlineStr">
        <is>
          <t>FINBL Rente vord DMRRP INV - I BV</t>
        </is>
      </c>
      <c r="D115" s="293" t="n">
        <v>-540931</v>
      </c>
      <c r="E115" s="293" t="n">
        <v>-524297</v>
      </c>
      <c r="F115" s="293" t="n">
        <v>-530364.23</v>
      </c>
      <c r="G115" s="293" t="n">
        <v>-519493.62</v>
      </c>
      <c r="H115" s="290">
        <f>SUM(C115:G115)</f>
        <v/>
      </c>
      <c r="I115" s="290" t="n"/>
    </row>
    <row r="116" ht="12.75" customHeight="1">
      <c r="H116" s="290">
        <f>SUM(C116:G116)</f>
        <v/>
      </c>
      <c r="I116" s="290" t="n"/>
    </row>
    <row r="117" ht="12.75" customHeight="1">
      <c r="A117" s="1" t="inlineStr">
        <is>
          <t>9500000</t>
        </is>
      </c>
      <c r="B117" s="1" t="inlineStr">
        <is>
          <t>VPB Vennootschapsbelasting VPB huidig jaar</t>
        </is>
      </c>
      <c r="D117" s="346" t="n">
        <v>2244629</v>
      </c>
      <c r="E117" s="293" t="n">
        <v>0</v>
      </c>
      <c r="H117" s="290">
        <f>SUM(C117:G117)</f>
        <v/>
      </c>
      <c r="I117" s="290" t="n"/>
    </row>
    <row r="118" ht="12.75" customHeight="1">
      <c r="A118" s="1" t="inlineStr">
        <is>
          <t>9510000</t>
        </is>
      </c>
      <c r="B118" s="1" t="inlineStr">
        <is>
          <t>VPB Mutatie belastinglatentie Mutatie actieve latentie</t>
        </is>
      </c>
      <c r="D118" s="346" t="n">
        <v>-797885</v>
      </c>
      <c r="E118" s="293" t="n">
        <v>-160838</v>
      </c>
      <c r="F118" s="293" t="n">
        <v>-176734</v>
      </c>
      <c r="G118" s="293" t="n">
        <v>-155489</v>
      </c>
      <c r="H118" s="290">
        <f>SUM(C118:G118)</f>
        <v/>
      </c>
      <c r="I118" s="290" t="n"/>
    </row>
    <row r="119" ht="12.75" customHeight="1">
      <c r="H119" s="290" t="n"/>
      <c r="I119" s="290" t="n"/>
    </row>
    <row r="120" ht="12.75" customHeight="1">
      <c r="A120" s="1" t="inlineStr">
        <is>
          <t>Resultaat na belasting</t>
        </is>
      </c>
      <c r="D120" s="293">
        <f>SUM(D72:D118)</f>
        <v/>
      </c>
      <c r="E120" s="293">
        <f>SUM(E72:E118)</f>
        <v/>
      </c>
      <c r="F120" s="293">
        <f>SUM(F72:F118)</f>
        <v/>
      </c>
      <c r="G120" s="293" t="n">
        <v>-1229802.34</v>
      </c>
      <c r="H120" s="290">
        <f>SUM(C120:G120)</f>
        <v/>
      </c>
      <c r="I120" s="290" t="n"/>
    </row>
    <row r="122" ht="12.75" customHeight="1">
      <c r="A122" s="1" t="inlineStr">
        <is>
          <t>Verschil balans en winst-en-verlies</t>
        </is>
      </c>
      <c r="D122" s="293">
        <f>SUM(D5:D118)</f>
        <v/>
      </c>
      <c r="E122" s="293">
        <f>SUM(E5:E118)</f>
        <v/>
      </c>
      <c r="F122" s="293">
        <f>SUM(F5:F118)</f>
        <v/>
      </c>
      <c r="G122" s="293">
        <f>SUM(G5:G118)</f>
        <v/>
      </c>
      <c r="H122" s="293">
        <f>SUM(H5:H118)</f>
        <v/>
      </c>
    </row>
    <row r="124" ht="12.75" customHeight="1">
      <c r="A124" s="130" t="inlineStr">
        <is>
          <t>afschrijving SWAP</t>
        </is>
      </c>
      <c r="C124" s="341" t="n"/>
      <c r="D124" s="289">
        <f>36883.33*3</f>
        <v/>
      </c>
      <c r="E124" s="289">
        <f>36883.33*3</f>
        <v/>
      </c>
      <c r="F124" s="289">
        <f>36883.33*3</f>
        <v/>
      </c>
      <c r="G124" s="289">
        <f>36883.33*3</f>
        <v/>
      </c>
      <c r="H124" s="290" t="n"/>
    </row>
    <row r="125" ht="12.75" customHeight="1">
      <c r="A125" s="130" t="inlineStr">
        <is>
          <t>Inkomsten SWAP</t>
        </is>
      </c>
      <c r="C125" s="341" t="n"/>
      <c r="D125" s="341" t="n">
        <v>-348493.15</v>
      </c>
      <c r="E125" s="341" t="n">
        <v>-332016.32</v>
      </c>
      <c r="F125" s="341" t="n">
        <v>-332658.47</v>
      </c>
      <c r="G125" s="359" t="n">
        <v>-292157.34</v>
      </c>
      <c r="H125" s="290" t="n"/>
    </row>
    <row r="126" ht="12.75" customHeight="1">
      <c r="A126" s="130" t="n"/>
      <c r="C126" s="341" t="n"/>
      <c r="D126" s="341" t="n"/>
      <c r="E126" s="341" t="n"/>
      <c r="F126" s="341" t="n"/>
      <c r="G126" s="341" t="n"/>
      <c r="H126" s="290" t="n"/>
    </row>
    <row r="127" ht="12.75" customHeight="1">
      <c r="A127" s="130" t="inlineStr">
        <is>
          <t>Rente</t>
        </is>
      </c>
      <c r="C127" s="341" t="n"/>
      <c r="D127" s="341">
        <f>D112</f>
        <v/>
      </c>
      <c r="E127" s="341">
        <f>E112</f>
        <v/>
      </c>
      <c r="F127" s="341">
        <f>F112</f>
        <v/>
      </c>
      <c r="G127" s="341">
        <f>G112</f>
        <v/>
      </c>
      <c r="H127" s="341">
        <f>H112+H109+H111+H110</f>
        <v/>
      </c>
    </row>
    <row r="128" ht="12.75" customHeight="1">
      <c r="A128" s="130" t="inlineStr">
        <is>
          <t>SWAP</t>
        </is>
      </c>
      <c r="C128" s="341" t="n"/>
      <c r="D128" s="341">
        <f>D125</f>
        <v/>
      </c>
      <c r="E128" s="360">
        <f>E125</f>
        <v/>
      </c>
      <c r="F128" s="360">
        <f>F125</f>
        <v/>
      </c>
      <c r="G128" s="360">
        <f>G125</f>
        <v/>
      </c>
      <c r="H128" s="351">
        <f>SUM(D128:G128)</f>
        <v/>
      </c>
    </row>
    <row r="129" ht="12.75" customHeight="1">
      <c r="A129" s="130" t="inlineStr">
        <is>
          <t>Afschrijving prepaid derivatives transaction</t>
        </is>
      </c>
      <c r="C129" s="341" t="n"/>
      <c r="D129" s="341">
        <f>D124</f>
        <v/>
      </c>
      <c r="E129" s="360">
        <f>E124</f>
        <v/>
      </c>
      <c r="F129" s="360">
        <f>F124</f>
        <v/>
      </c>
      <c r="G129" s="360">
        <f>G124</f>
        <v/>
      </c>
      <c r="H129" s="351">
        <f>SUM(D129:G129)</f>
        <v/>
      </c>
    </row>
    <row r="130" ht="12.75" customHeight="1">
      <c r="A130" s="130" t="inlineStr">
        <is>
          <t>IC interest</t>
        </is>
      </c>
      <c r="C130" s="341" t="n"/>
      <c r="D130" s="341">
        <f>D110+D115</f>
        <v/>
      </c>
      <c r="E130" s="341">
        <f>E110+E115</f>
        <v/>
      </c>
      <c r="F130" s="341">
        <f>F110+F115</f>
        <v/>
      </c>
      <c r="G130" s="341">
        <f>G110+G115</f>
        <v/>
      </c>
      <c r="H130" s="290">
        <f>SUM(D130:G130)</f>
        <v/>
      </c>
    </row>
    <row r="131" ht="12.75" customHeight="1">
      <c r="D131" s="341">
        <f>SUM(D127:D130)</f>
        <v/>
      </c>
      <c r="E131" s="341">
        <f>SUM(E127:E130)</f>
        <v/>
      </c>
      <c r="F131" s="341">
        <f>SUM(F127:F130)</f>
        <v/>
      </c>
      <c r="G131" s="341">
        <f>SUM(G127:G130)</f>
        <v/>
      </c>
      <c r="H131" s="290">
        <f>SUM(D131:G131)</f>
        <v/>
      </c>
    </row>
    <row r="135" ht="12.75" customHeight="1">
      <c r="G135" s="293">
        <f>SUM('Management Cijfers - Q4 2025'!W60:W65)</f>
        <v/>
      </c>
    </row>
    <row r="136" ht="12.75" customHeight="1">
      <c r="G136" s="293">
        <f>SUM(G112:G115)</f>
        <v/>
      </c>
    </row>
    <row r="137" ht="12.75" customHeight="1">
      <c r="G137" s="361">
        <f>G136+G135</f>
        <v/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31"/>
  <sheetViews>
    <sheetView topLeftCell="A91" zoomScaleNormal="100" workbookViewId="0">
      <selection activeCell="F113" sqref="D113:F113"/>
    </sheetView>
  </sheetViews>
  <sheetFormatPr baseColWidth="8" defaultRowHeight="12.75" customHeight="1"/>
  <cols>
    <col width="9.109375" customWidth="1" style="1" min="1" max="1"/>
    <col width="70" bestFit="1" customWidth="1" style="1" min="2" max="2"/>
    <col width="26" bestFit="1" customWidth="1" style="293" min="3" max="3"/>
    <col width="17.5546875" bestFit="1" customWidth="1" style="293" min="4" max="4"/>
    <col width="17.5546875" customWidth="1" style="293" min="5" max="7"/>
    <col width="20.44140625" bestFit="1" customWidth="1" style="1" min="8" max="8"/>
    <col width="10.88671875" bestFit="1" customWidth="1" style="1" min="9" max="9"/>
    <col width="9.109375" customWidth="1" style="1" min="10" max="10"/>
    <col width="10.88671875" bestFit="1" customWidth="1" style="1" min="11" max="11"/>
    <col width="9.109375" customWidth="1" style="1" min="12" max="257"/>
    <col width="70" bestFit="1" customWidth="1" style="1" min="258" max="258"/>
    <col width="26" bestFit="1" customWidth="1" style="1" min="259" max="259"/>
    <col width="17.5546875" bestFit="1" customWidth="1" style="1" min="260" max="260"/>
    <col width="17.5546875" customWidth="1" style="1" min="261" max="263"/>
    <col width="20.44140625" bestFit="1" customWidth="1" style="1" min="264" max="264"/>
    <col width="10.88671875" bestFit="1" customWidth="1" style="1" min="265" max="265"/>
    <col width="9.109375" customWidth="1" style="1" min="266" max="266"/>
    <col width="10.88671875" bestFit="1" customWidth="1" style="1" min="267" max="267"/>
    <col width="9.109375" customWidth="1" style="1" min="268" max="513"/>
    <col width="70" bestFit="1" customWidth="1" style="1" min="514" max="514"/>
    <col width="26" bestFit="1" customWidth="1" style="1" min="515" max="515"/>
    <col width="17.5546875" bestFit="1" customWidth="1" style="1" min="516" max="516"/>
    <col width="17.5546875" customWidth="1" style="1" min="517" max="519"/>
    <col width="20.44140625" bestFit="1" customWidth="1" style="1" min="520" max="520"/>
    <col width="10.88671875" bestFit="1" customWidth="1" style="1" min="521" max="521"/>
    <col width="9.109375" customWidth="1" style="1" min="522" max="522"/>
    <col width="10.88671875" bestFit="1" customWidth="1" style="1" min="523" max="523"/>
    <col width="9.109375" customWidth="1" style="1" min="524" max="769"/>
    <col width="70" bestFit="1" customWidth="1" style="1" min="770" max="770"/>
    <col width="26" bestFit="1" customWidth="1" style="1" min="771" max="771"/>
    <col width="17.5546875" bestFit="1" customWidth="1" style="1" min="772" max="772"/>
    <col width="17.5546875" customWidth="1" style="1" min="773" max="775"/>
    <col width="20.44140625" bestFit="1" customWidth="1" style="1" min="776" max="776"/>
    <col width="10.88671875" bestFit="1" customWidth="1" style="1" min="777" max="777"/>
    <col width="9.109375" customWidth="1" style="1" min="778" max="778"/>
    <col width="10.88671875" bestFit="1" customWidth="1" style="1" min="779" max="779"/>
    <col width="9.109375" customWidth="1" style="1" min="780" max="1025"/>
    <col width="70" bestFit="1" customWidth="1" style="1" min="1026" max="1026"/>
    <col width="26" bestFit="1" customWidth="1" style="1" min="1027" max="1027"/>
    <col width="17.5546875" bestFit="1" customWidth="1" style="1" min="1028" max="1028"/>
    <col width="17.5546875" customWidth="1" style="1" min="1029" max="1031"/>
    <col width="20.44140625" bestFit="1" customWidth="1" style="1" min="1032" max="1032"/>
    <col width="10.88671875" bestFit="1" customWidth="1" style="1" min="1033" max="1033"/>
    <col width="9.109375" customWidth="1" style="1" min="1034" max="1034"/>
    <col width="10.88671875" bestFit="1" customWidth="1" style="1" min="1035" max="1035"/>
    <col width="9.109375" customWidth="1" style="1" min="1036" max="1281"/>
    <col width="70" bestFit="1" customWidth="1" style="1" min="1282" max="1282"/>
    <col width="26" bestFit="1" customWidth="1" style="1" min="1283" max="1283"/>
    <col width="17.5546875" bestFit="1" customWidth="1" style="1" min="1284" max="1284"/>
    <col width="17.5546875" customWidth="1" style="1" min="1285" max="1287"/>
    <col width="20.44140625" bestFit="1" customWidth="1" style="1" min="1288" max="1288"/>
    <col width="10.88671875" bestFit="1" customWidth="1" style="1" min="1289" max="1289"/>
    <col width="9.109375" customWidth="1" style="1" min="1290" max="1290"/>
    <col width="10.88671875" bestFit="1" customWidth="1" style="1" min="1291" max="1291"/>
    <col width="9.109375" customWidth="1" style="1" min="1292" max="1537"/>
    <col width="70" bestFit="1" customWidth="1" style="1" min="1538" max="1538"/>
    <col width="26" bestFit="1" customWidth="1" style="1" min="1539" max="1539"/>
    <col width="17.5546875" bestFit="1" customWidth="1" style="1" min="1540" max="1540"/>
    <col width="17.5546875" customWidth="1" style="1" min="1541" max="1543"/>
    <col width="20.44140625" bestFit="1" customWidth="1" style="1" min="1544" max="1544"/>
    <col width="10.88671875" bestFit="1" customWidth="1" style="1" min="1545" max="1545"/>
    <col width="9.109375" customWidth="1" style="1" min="1546" max="1546"/>
    <col width="10.88671875" bestFit="1" customWidth="1" style="1" min="1547" max="1547"/>
    <col width="9.109375" customWidth="1" style="1" min="1548" max="1793"/>
    <col width="70" bestFit="1" customWidth="1" style="1" min="1794" max="1794"/>
    <col width="26" bestFit="1" customWidth="1" style="1" min="1795" max="1795"/>
    <col width="17.5546875" bestFit="1" customWidth="1" style="1" min="1796" max="1796"/>
    <col width="17.5546875" customWidth="1" style="1" min="1797" max="1799"/>
    <col width="20.44140625" bestFit="1" customWidth="1" style="1" min="1800" max="1800"/>
    <col width="10.88671875" bestFit="1" customWidth="1" style="1" min="1801" max="1801"/>
    <col width="9.109375" customWidth="1" style="1" min="1802" max="1802"/>
    <col width="10.88671875" bestFit="1" customWidth="1" style="1" min="1803" max="1803"/>
    <col width="9.109375" customWidth="1" style="1" min="1804" max="2049"/>
    <col width="70" bestFit="1" customWidth="1" style="1" min="2050" max="2050"/>
    <col width="26" bestFit="1" customWidth="1" style="1" min="2051" max="2051"/>
    <col width="17.5546875" bestFit="1" customWidth="1" style="1" min="2052" max="2052"/>
    <col width="17.5546875" customWidth="1" style="1" min="2053" max="2055"/>
    <col width="20.44140625" bestFit="1" customWidth="1" style="1" min="2056" max="2056"/>
    <col width="10.88671875" bestFit="1" customWidth="1" style="1" min="2057" max="2057"/>
    <col width="9.109375" customWidth="1" style="1" min="2058" max="2058"/>
    <col width="10.88671875" bestFit="1" customWidth="1" style="1" min="2059" max="2059"/>
    <col width="9.109375" customWidth="1" style="1" min="2060" max="2305"/>
    <col width="70" bestFit="1" customWidth="1" style="1" min="2306" max="2306"/>
    <col width="26" bestFit="1" customWidth="1" style="1" min="2307" max="2307"/>
    <col width="17.5546875" bestFit="1" customWidth="1" style="1" min="2308" max="2308"/>
    <col width="17.5546875" customWidth="1" style="1" min="2309" max="2311"/>
    <col width="20.44140625" bestFit="1" customWidth="1" style="1" min="2312" max="2312"/>
    <col width="10.88671875" bestFit="1" customWidth="1" style="1" min="2313" max="2313"/>
    <col width="9.109375" customWidth="1" style="1" min="2314" max="2314"/>
    <col width="10.88671875" bestFit="1" customWidth="1" style="1" min="2315" max="2315"/>
    <col width="9.109375" customWidth="1" style="1" min="2316" max="2561"/>
    <col width="70" bestFit="1" customWidth="1" style="1" min="2562" max="2562"/>
    <col width="26" bestFit="1" customWidth="1" style="1" min="2563" max="2563"/>
    <col width="17.5546875" bestFit="1" customWidth="1" style="1" min="2564" max="2564"/>
    <col width="17.5546875" customWidth="1" style="1" min="2565" max="2567"/>
    <col width="20.44140625" bestFit="1" customWidth="1" style="1" min="2568" max="2568"/>
    <col width="10.88671875" bestFit="1" customWidth="1" style="1" min="2569" max="2569"/>
    <col width="9.109375" customWidth="1" style="1" min="2570" max="2570"/>
    <col width="10.88671875" bestFit="1" customWidth="1" style="1" min="2571" max="2571"/>
    <col width="9.109375" customWidth="1" style="1" min="2572" max="2817"/>
    <col width="70" bestFit="1" customWidth="1" style="1" min="2818" max="2818"/>
    <col width="26" bestFit="1" customWidth="1" style="1" min="2819" max="2819"/>
    <col width="17.5546875" bestFit="1" customWidth="1" style="1" min="2820" max="2820"/>
    <col width="17.5546875" customWidth="1" style="1" min="2821" max="2823"/>
    <col width="20.44140625" bestFit="1" customWidth="1" style="1" min="2824" max="2824"/>
    <col width="10.88671875" bestFit="1" customWidth="1" style="1" min="2825" max="2825"/>
    <col width="9.109375" customWidth="1" style="1" min="2826" max="2826"/>
    <col width="10.88671875" bestFit="1" customWidth="1" style="1" min="2827" max="2827"/>
    <col width="9.109375" customWidth="1" style="1" min="2828" max="3073"/>
    <col width="70" bestFit="1" customWidth="1" style="1" min="3074" max="3074"/>
    <col width="26" bestFit="1" customWidth="1" style="1" min="3075" max="3075"/>
    <col width="17.5546875" bestFit="1" customWidth="1" style="1" min="3076" max="3076"/>
    <col width="17.5546875" customWidth="1" style="1" min="3077" max="3079"/>
    <col width="20.44140625" bestFit="1" customWidth="1" style="1" min="3080" max="3080"/>
    <col width="10.88671875" bestFit="1" customWidth="1" style="1" min="3081" max="3081"/>
    <col width="9.109375" customWidth="1" style="1" min="3082" max="3082"/>
    <col width="10.88671875" bestFit="1" customWidth="1" style="1" min="3083" max="3083"/>
    <col width="9.109375" customWidth="1" style="1" min="3084" max="3329"/>
    <col width="70" bestFit="1" customWidth="1" style="1" min="3330" max="3330"/>
    <col width="26" bestFit="1" customWidth="1" style="1" min="3331" max="3331"/>
    <col width="17.5546875" bestFit="1" customWidth="1" style="1" min="3332" max="3332"/>
    <col width="17.5546875" customWidth="1" style="1" min="3333" max="3335"/>
    <col width="20.44140625" bestFit="1" customWidth="1" style="1" min="3336" max="3336"/>
    <col width="10.88671875" bestFit="1" customWidth="1" style="1" min="3337" max="3337"/>
    <col width="9.109375" customWidth="1" style="1" min="3338" max="3338"/>
    <col width="10.88671875" bestFit="1" customWidth="1" style="1" min="3339" max="3339"/>
    <col width="9.109375" customWidth="1" style="1" min="3340" max="3585"/>
    <col width="70" bestFit="1" customWidth="1" style="1" min="3586" max="3586"/>
    <col width="26" bestFit="1" customWidth="1" style="1" min="3587" max="3587"/>
    <col width="17.5546875" bestFit="1" customWidth="1" style="1" min="3588" max="3588"/>
    <col width="17.5546875" customWidth="1" style="1" min="3589" max="3591"/>
    <col width="20.44140625" bestFit="1" customWidth="1" style="1" min="3592" max="3592"/>
    <col width="10.88671875" bestFit="1" customWidth="1" style="1" min="3593" max="3593"/>
    <col width="9.109375" customWidth="1" style="1" min="3594" max="3594"/>
    <col width="10.88671875" bestFit="1" customWidth="1" style="1" min="3595" max="3595"/>
    <col width="9.109375" customWidth="1" style="1" min="3596" max="3841"/>
    <col width="70" bestFit="1" customWidth="1" style="1" min="3842" max="3842"/>
    <col width="26" bestFit="1" customWidth="1" style="1" min="3843" max="3843"/>
    <col width="17.5546875" bestFit="1" customWidth="1" style="1" min="3844" max="3844"/>
    <col width="17.5546875" customWidth="1" style="1" min="3845" max="3847"/>
    <col width="20.44140625" bestFit="1" customWidth="1" style="1" min="3848" max="3848"/>
    <col width="10.88671875" bestFit="1" customWidth="1" style="1" min="3849" max="3849"/>
    <col width="9.109375" customWidth="1" style="1" min="3850" max="3850"/>
    <col width="10.88671875" bestFit="1" customWidth="1" style="1" min="3851" max="3851"/>
    <col width="9.109375" customWidth="1" style="1" min="3852" max="4097"/>
    <col width="70" bestFit="1" customWidth="1" style="1" min="4098" max="4098"/>
    <col width="26" bestFit="1" customWidth="1" style="1" min="4099" max="4099"/>
    <col width="17.5546875" bestFit="1" customWidth="1" style="1" min="4100" max="4100"/>
    <col width="17.5546875" customWidth="1" style="1" min="4101" max="4103"/>
    <col width="20.44140625" bestFit="1" customWidth="1" style="1" min="4104" max="4104"/>
    <col width="10.88671875" bestFit="1" customWidth="1" style="1" min="4105" max="4105"/>
    <col width="9.109375" customWidth="1" style="1" min="4106" max="4106"/>
    <col width="10.88671875" bestFit="1" customWidth="1" style="1" min="4107" max="4107"/>
    <col width="9.109375" customWidth="1" style="1" min="4108" max="4353"/>
    <col width="70" bestFit="1" customWidth="1" style="1" min="4354" max="4354"/>
    <col width="26" bestFit="1" customWidth="1" style="1" min="4355" max="4355"/>
    <col width="17.5546875" bestFit="1" customWidth="1" style="1" min="4356" max="4356"/>
    <col width="17.5546875" customWidth="1" style="1" min="4357" max="4359"/>
    <col width="20.44140625" bestFit="1" customWidth="1" style="1" min="4360" max="4360"/>
    <col width="10.88671875" bestFit="1" customWidth="1" style="1" min="4361" max="4361"/>
    <col width="9.109375" customWidth="1" style="1" min="4362" max="4362"/>
    <col width="10.88671875" bestFit="1" customWidth="1" style="1" min="4363" max="4363"/>
    <col width="9.109375" customWidth="1" style="1" min="4364" max="4609"/>
    <col width="70" bestFit="1" customWidth="1" style="1" min="4610" max="4610"/>
    <col width="26" bestFit="1" customWidth="1" style="1" min="4611" max="4611"/>
    <col width="17.5546875" bestFit="1" customWidth="1" style="1" min="4612" max="4612"/>
    <col width="17.5546875" customWidth="1" style="1" min="4613" max="4615"/>
    <col width="20.44140625" bestFit="1" customWidth="1" style="1" min="4616" max="4616"/>
    <col width="10.88671875" bestFit="1" customWidth="1" style="1" min="4617" max="4617"/>
    <col width="9.109375" customWidth="1" style="1" min="4618" max="4618"/>
    <col width="10.88671875" bestFit="1" customWidth="1" style="1" min="4619" max="4619"/>
    <col width="9.109375" customWidth="1" style="1" min="4620" max="4865"/>
    <col width="70" bestFit="1" customWidth="1" style="1" min="4866" max="4866"/>
    <col width="26" bestFit="1" customWidth="1" style="1" min="4867" max="4867"/>
    <col width="17.5546875" bestFit="1" customWidth="1" style="1" min="4868" max="4868"/>
    <col width="17.5546875" customWidth="1" style="1" min="4869" max="4871"/>
    <col width="20.44140625" bestFit="1" customWidth="1" style="1" min="4872" max="4872"/>
    <col width="10.88671875" bestFit="1" customWidth="1" style="1" min="4873" max="4873"/>
    <col width="9.109375" customWidth="1" style="1" min="4874" max="4874"/>
    <col width="10.88671875" bestFit="1" customWidth="1" style="1" min="4875" max="4875"/>
    <col width="9.109375" customWidth="1" style="1" min="4876" max="5121"/>
    <col width="70" bestFit="1" customWidth="1" style="1" min="5122" max="5122"/>
    <col width="26" bestFit="1" customWidth="1" style="1" min="5123" max="5123"/>
    <col width="17.5546875" bestFit="1" customWidth="1" style="1" min="5124" max="5124"/>
    <col width="17.5546875" customWidth="1" style="1" min="5125" max="5127"/>
    <col width="20.44140625" bestFit="1" customWidth="1" style="1" min="5128" max="5128"/>
    <col width="10.88671875" bestFit="1" customWidth="1" style="1" min="5129" max="5129"/>
    <col width="9.109375" customWidth="1" style="1" min="5130" max="5130"/>
    <col width="10.88671875" bestFit="1" customWidth="1" style="1" min="5131" max="5131"/>
    <col width="9.109375" customWidth="1" style="1" min="5132" max="5377"/>
    <col width="70" bestFit="1" customWidth="1" style="1" min="5378" max="5378"/>
    <col width="26" bestFit="1" customWidth="1" style="1" min="5379" max="5379"/>
    <col width="17.5546875" bestFit="1" customWidth="1" style="1" min="5380" max="5380"/>
    <col width="17.5546875" customWidth="1" style="1" min="5381" max="5383"/>
    <col width="20.44140625" bestFit="1" customWidth="1" style="1" min="5384" max="5384"/>
    <col width="10.88671875" bestFit="1" customWidth="1" style="1" min="5385" max="5385"/>
    <col width="9.109375" customWidth="1" style="1" min="5386" max="5386"/>
    <col width="10.88671875" bestFit="1" customWidth="1" style="1" min="5387" max="5387"/>
    <col width="9.109375" customWidth="1" style="1" min="5388" max="5633"/>
    <col width="70" bestFit="1" customWidth="1" style="1" min="5634" max="5634"/>
    <col width="26" bestFit="1" customWidth="1" style="1" min="5635" max="5635"/>
    <col width="17.5546875" bestFit="1" customWidth="1" style="1" min="5636" max="5636"/>
    <col width="17.5546875" customWidth="1" style="1" min="5637" max="5639"/>
    <col width="20.44140625" bestFit="1" customWidth="1" style="1" min="5640" max="5640"/>
    <col width="10.88671875" bestFit="1" customWidth="1" style="1" min="5641" max="5641"/>
    <col width="9.109375" customWidth="1" style="1" min="5642" max="5642"/>
    <col width="10.88671875" bestFit="1" customWidth="1" style="1" min="5643" max="5643"/>
    <col width="9.109375" customWidth="1" style="1" min="5644" max="5889"/>
    <col width="70" bestFit="1" customWidth="1" style="1" min="5890" max="5890"/>
    <col width="26" bestFit="1" customWidth="1" style="1" min="5891" max="5891"/>
    <col width="17.5546875" bestFit="1" customWidth="1" style="1" min="5892" max="5892"/>
    <col width="17.5546875" customWidth="1" style="1" min="5893" max="5895"/>
    <col width="20.44140625" bestFit="1" customWidth="1" style="1" min="5896" max="5896"/>
    <col width="10.88671875" bestFit="1" customWidth="1" style="1" min="5897" max="5897"/>
    <col width="9.109375" customWidth="1" style="1" min="5898" max="5898"/>
    <col width="10.88671875" bestFit="1" customWidth="1" style="1" min="5899" max="5899"/>
    <col width="9.109375" customWidth="1" style="1" min="5900" max="6145"/>
    <col width="70" bestFit="1" customWidth="1" style="1" min="6146" max="6146"/>
    <col width="26" bestFit="1" customWidth="1" style="1" min="6147" max="6147"/>
    <col width="17.5546875" bestFit="1" customWidth="1" style="1" min="6148" max="6148"/>
    <col width="17.5546875" customWidth="1" style="1" min="6149" max="6151"/>
    <col width="20.44140625" bestFit="1" customWidth="1" style="1" min="6152" max="6152"/>
    <col width="10.88671875" bestFit="1" customWidth="1" style="1" min="6153" max="6153"/>
    <col width="9.109375" customWidth="1" style="1" min="6154" max="6154"/>
    <col width="10.88671875" bestFit="1" customWidth="1" style="1" min="6155" max="6155"/>
    <col width="9.109375" customWidth="1" style="1" min="6156" max="6401"/>
    <col width="70" bestFit="1" customWidth="1" style="1" min="6402" max="6402"/>
    <col width="26" bestFit="1" customWidth="1" style="1" min="6403" max="6403"/>
    <col width="17.5546875" bestFit="1" customWidth="1" style="1" min="6404" max="6404"/>
    <col width="17.5546875" customWidth="1" style="1" min="6405" max="6407"/>
    <col width="20.44140625" bestFit="1" customWidth="1" style="1" min="6408" max="6408"/>
    <col width="10.88671875" bestFit="1" customWidth="1" style="1" min="6409" max="6409"/>
    <col width="9.109375" customWidth="1" style="1" min="6410" max="6410"/>
    <col width="10.88671875" bestFit="1" customWidth="1" style="1" min="6411" max="6411"/>
    <col width="9.109375" customWidth="1" style="1" min="6412" max="6657"/>
    <col width="70" bestFit="1" customWidth="1" style="1" min="6658" max="6658"/>
    <col width="26" bestFit="1" customWidth="1" style="1" min="6659" max="6659"/>
    <col width="17.5546875" bestFit="1" customWidth="1" style="1" min="6660" max="6660"/>
    <col width="17.5546875" customWidth="1" style="1" min="6661" max="6663"/>
    <col width="20.44140625" bestFit="1" customWidth="1" style="1" min="6664" max="6664"/>
    <col width="10.88671875" bestFit="1" customWidth="1" style="1" min="6665" max="6665"/>
    <col width="9.109375" customWidth="1" style="1" min="6666" max="6666"/>
    <col width="10.88671875" bestFit="1" customWidth="1" style="1" min="6667" max="6667"/>
    <col width="9.109375" customWidth="1" style="1" min="6668" max="6913"/>
    <col width="70" bestFit="1" customWidth="1" style="1" min="6914" max="6914"/>
    <col width="26" bestFit="1" customWidth="1" style="1" min="6915" max="6915"/>
    <col width="17.5546875" bestFit="1" customWidth="1" style="1" min="6916" max="6916"/>
    <col width="17.5546875" customWidth="1" style="1" min="6917" max="6919"/>
    <col width="20.44140625" bestFit="1" customWidth="1" style="1" min="6920" max="6920"/>
    <col width="10.88671875" bestFit="1" customWidth="1" style="1" min="6921" max="6921"/>
    <col width="9.109375" customWidth="1" style="1" min="6922" max="6922"/>
    <col width="10.88671875" bestFit="1" customWidth="1" style="1" min="6923" max="6923"/>
    <col width="9.109375" customWidth="1" style="1" min="6924" max="7169"/>
    <col width="70" bestFit="1" customWidth="1" style="1" min="7170" max="7170"/>
    <col width="26" bestFit="1" customWidth="1" style="1" min="7171" max="7171"/>
    <col width="17.5546875" bestFit="1" customWidth="1" style="1" min="7172" max="7172"/>
    <col width="17.5546875" customWidth="1" style="1" min="7173" max="7175"/>
    <col width="20.44140625" bestFit="1" customWidth="1" style="1" min="7176" max="7176"/>
    <col width="10.88671875" bestFit="1" customWidth="1" style="1" min="7177" max="7177"/>
    <col width="9.109375" customWidth="1" style="1" min="7178" max="7178"/>
    <col width="10.88671875" bestFit="1" customWidth="1" style="1" min="7179" max="7179"/>
    <col width="9.109375" customWidth="1" style="1" min="7180" max="7425"/>
    <col width="70" bestFit="1" customWidth="1" style="1" min="7426" max="7426"/>
    <col width="26" bestFit="1" customWidth="1" style="1" min="7427" max="7427"/>
    <col width="17.5546875" bestFit="1" customWidth="1" style="1" min="7428" max="7428"/>
    <col width="17.5546875" customWidth="1" style="1" min="7429" max="7431"/>
    <col width="20.44140625" bestFit="1" customWidth="1" style="1" min="7432" max="7432"/>
    <col width="10.88671875" bestFit="1" customWidth="1" style="1" min="7433" max="7433"/>
    <col width="9.109375" customWidth="1" style="1" min="7434" max="7434"/>
    <col width="10.88671875" bestFit="1" customWidth="1" style="1" min="7435" max="7435"/>
    <col width="9.109375" customWidth="1" style="1" min="7436" max="7681"/>
    <col width="70" bestFit="1" customWidth="1" style="1" min="7682" max="7682"/>
    <col width="26" bestFit="1" customWidth="1" style="1" min="7683" max="7683"/>
    <col width="17.5546875" bestFit="1" customWidth="1" style="1" min="7684" max="7684"/>
    <col width="17.5546875" customWidth="1" style="1" min="7685" max="7687"/>
    <col width="20.44140625" bestFit="1" customWidth="1" style="1" min="7688" max="7688"/>
    <col width="10.88671875" bestFit="1" customWidth="1" style="1" min="7689" max="7689"/>
    <col width="9.109375" customWidth="1" style="1" min="7690" max="7690"/>
    <col width="10.88671875" bestFit="1" customWidth="1" style="1" min="7691" max="7691"/>
    <col width="9.109375" customWidth="1" style="1" min="7692" max="7937"/>
    <col width="70" bestFit="1" customWidth="1" style="1" min="7938" max="7938"/>
    <col width="26" bestFit="1" customWidth="1" style="1" min="7939" max="7939"/>
    <col width="17.5546875" bestFit="1" customWidth="1" style="1" min="7940" max="7940"/>
    <col width="17.5546875" customWidth="1" style="1" min="7941" max="7943"/>
    <col width="20.44140625" bestFit="1" customWidth="1" style="1" min="7944" max="7944"/>
    <col width="10.88671875" bestFit="1" customWidth="1" style="1" min="7945" max="7945"/>
    <col width="9.109375" customWidth="1" style="1" min="7946" max="7946"/>
    <col width="10.88671875" bestFit="1" customWidth="1" style="1" min="7947" max="7947"/>
    <col width="9.109375" customWidth="1" style="1" min="7948" max="8193"/>
    <col width="70" bestFit="1" customWidth="1" style="1" min="8194" max="8194"/>
    <col width="26" bestFit="1" customWidth="1" style="1" min="8195" max="8195"/>
    <col width="17.5546875" bestFit="1" customWidth="1" style="1" min="8196" max="8196"/>
    <col width="17.5546875" customWidth="1" style="1" min="8197" max="8199"/>
    <col width="20.44140625" bestFit="1" customWidth="1" style="1" min="8200" max="8200"/>
    <col width="10.88671875" bestFit="1" customWidth="1" style="1" min="8201" max="8201"/>
    <col width="9.109375" customWidth="1" style="1" min="8202" max="8202"/>
    <col width="10.88671875" bestFit="1" customWidth="1" style="1" min="8203" max="8203"/>
    <col width="9.109375" customWidth="1" style="1" min="8204" max="8449"/>
    <col width="70" bestFit="1" customWidth="1" style="1" min="8450" max="8450"/>
    <col width="26" bestFit="1" customWidth="1" style="1" min="8451" max="8451"/>
    <col width="17.5546875" bestFit="1" customWidth="1" style="1" min="8452" max="8452"/>
    <col width="17.5546875" customWidth="1" style="1" min="8453" max="8455"/>
    <col width="20.44140625" bestFit="1" customWidth="1" style="1" min="8456" max="8456"/>
    <col width="10.88671875" bestFit="1" customWidth="1" style="1" min="8457" max="8457"/>
    <col width="9.109375" customWidth="1" style="1" min="8458" max="8458"/>
    <col width="10.88671875" bestFit="1" customWidth="1" style="1" min="8459" max="8459"/>
    <col width="9.109375" customWidth="1" style="1" min="8460" max="8705"/>
    <col width="70" bestFit="1" customWidth="1" style="1" min="8706" max="8706"/>
    <col width="26" bestFit="1" customWidth="1" style="1" min="8707" max="8707"/>
    <col width="17.5546875" bestFit="1" customWidth="1" style="1" min="8708" max="8708"/>
    <col width="17.5546875" customWidth="1" style="1" min="8709" max="8711"/>
    <col width="20.44140625" bestFit="1" customWidth="1" style="1" min="8712" max="8712"/>
    <col width="10.88671875" bestFit="1" customWidth="1" style="1" min="8713" max="8713"/>
    <col width="9.109375" customWidth="1" style="1" min="8714" max="8714"/>
    <col width="10.88671875" bestFit="1" customWidth="1" style="1" min="8715" max="8715"/>
    <col width="9.109375" customWidth="1" style="1" min="8716" max="8961"/>
    <col width="70" bestFit="1" customWidth="1" style="1" min="8962" max="8962"/>
    <col width="26" bestFit="1" customWidth="1" style="1" min="8963" max="8963"/>
    <col width="17.5546875" bestFit="1" customWidth="1" style="1" min="8964" max="8964"/>
    <col width="17.5546875" customWidth="1" style="1" min="8965" max="8967"/>
    <col width="20.44140625" bestFit="1" customWidth="1" style="1" min="8968" max="8968"/>
    <col width="10.88671875" bestFit="1" customWidth="1" style="1" min="8969" max="8969"/>
    <col width="9.109375" customWidth="1" style="1" min="8970" max="8970"/>
    <col width="10.88671875" bestFit="1" customWidth="1" style="1" min="8971" max="8971"/>
    <col width="9.109375" customWidth="1" style="1" min="8972" max="9217"/>
    <col width="70" bestFit="1" customWidth="1" style="1" min="9218" max="9218"/>
    <col width="26" bestFit="1" customWidth="1" style="1" min="9219" max="9219"/>
    <col width="17.5546875" bestFit="1" customWidth="1" style="1" min="9220" max="9220"/>
    <col width="17.5546875" customWidth="1" style="1" min="9221" max="9223"/>
    <col width="20.44140625" bestFit="1" customWidth="1" style="1" min="9224" max="9224"/>
    <col width="10.88671875" bestFit="1" customWidth="1" style="1" min="9225" max="9225"/>
    <col width="9.109375" customWidth="1" style="1" min="9226" max="9226"/>
    <col width="10.88671875" bestFit="1" customWidth="1" style="1" min="9227" max="9227"/>
    <col width="9.109375" customWidth="1" style="1" min="9228" max="9473"/>
    <col width="70" bestFit="1" customWidth="1" style="1" min="9474" max="9474"/>
    <col width="26" bestFit="1" customWidth="1" style="1" min="9475" max="9475"/>
    <col width="17.5546875" bestFit="1" customWidth="1" style="1" min="9476" max="9476"/>
    <col width="17.5546875" customWidth="1" style="1" min="9477" max="9479"/>
    <col width="20.44140625" bestFit="1" customWidth="1" style="1" min="9480" max="9480"/>
    <col width="10.88671875" bestFit="1" customWidth="1" style="1" min="9481" max="9481"/>
    <col width="9.109375" customWidth="1" style="1" min="9482" max="9482"/>
    <col width="10.88671875" bestFit="1" customWidth="1" style="1" min="9483" max="9483"/>
    <col width="9.109375" customWidth="1" style="1" min="9484" max="9729"/>
    <col width="70" bestFit="1" customWidth="1" style="1" min="9730" max="9730"/>
    <col width="26" bestFit="1" customWidth="1" style="1" min="9731" max="9731"/>
    <col width="17.5546875" bestFit="1" customWidth="1" style="1" min="9732" max="9732"/>
    <col width="17.5546875" customWidth="1" style="1" min="9733" max="9735"/>
    <col width="20.44140625" bestFit="1" customWidth="1" style="1" min="9736" max="9736"/>
    <col width="10.88671875" bestFit="1" customWidth="1" style="1" min="9737" max="9737"/>
    <col width="9.109375" customWidth="1" style="1" min="9738" max="9738"/>
    <col width="10.88671875" bestFit="1" customWidth="1" style="1" min="9739" max="9739"/>
    <col width="9.109375" customWidth="1" style="1" min="9740" max="9985"/>
    <col width="70" bestFit="1" customWidth="1" style="1" min="9986" max="9986"/>
    <col width="26" bestFit="1" customWidth="1" style="1" min="9987" max="9987"/>
    <col width="17.5546875" bestFit="1" customWidth="1" style="1" min="9988" max="9988"/>
    <col width="17.5546875" customWidth="1" style="1" min="9989" max="9991"/>
    <col width="20.44140625" bestFit="1" customWidth="1" style="1" min="9992" max="9992"/>
    <col width="10.88671875" bestFit="1" customWidth="1" style="1" min="9993" max="9993"/>
    <col width="9.109375" customWidth="1" style="1" min="9994" max="9994"/>
    <col width="10.88671875" bestFit="1" customWidth="1" style="1" min="9995" max="9995"/>
    <col width="9.109375" customWidth="1" style="1" min="9996" max="10241"/>
    <col width="70" bestFit="1" customWidth="1" style="1" min="10242" max="10242"/>
    <col width="26" bestFit="1" customWidth="1" style="1" min="10243" max="10243"/>
    <col width="17.5546875" bestFit="1" customWidth="1" style="1" min="10244" max="10244"/>
    <col width="17.5546875" customWidth="1" style="1" min="10245" max="10247"/>
    <col width="20.44140625" bestFit="1" customWidth="1" style="1" min="10248" max="10248"/>
    <col width="10.88671875" bestFit="1" customWidth="1" style="1" min="10249" max="10249"/>
    <col width="9.109375" customWidth="1" style="1" min="10250" max="10250"/>
    <col width="10.88671875" bestFit="1" customWidth="1" style="1" min="10251" max="10251"/>
    <col width="9.109375" customWidth="1" style="1" min="10252" max="10497"/>
    <col width="70" bestFit="1" customWidth="1" style="1" min="10498" max="10498"/>
    <col width="26" bestFit="1" customWidth="1" style="1" min="10499" max="10499"/>
    <col width="17.5546875" bestFit="1" customWidth="1" style="1" min="10500" max="10500"/>
    <col width="17.5546875" customWidth="1" style="1" min="10501" max="10503"/>
    <col width="20.44140625" bestFit="1" customWidth="1" style="1" min="10504" max="10504"/>
    <col width="10.88671875" bestFit="1" customWidth="1" style="1" min="10505" max="10505"/>
    <col width="9.109375" customWidth="1" style="1" min="10506" max="10506"/>
    <col width="10.88671875" bestFit="1" customWidth="1" style="1" min="10507" max="10507"/>
    <col width="9.109375" customWidth="1" style="1" min="10508" max="10753"/>
    <col width="70" bestFit="1" customWidth="1" style="1" min="10754" max="10754"/>
    <col width="26" bestFit="1" customWidth="1" style="1" min="10755" max="10755"/>
    <col width="17.5546875" bestFit="1" customWidth="1" style="1" min="10756" max="10756"/>
    <col width="17.5546875" customWidth="1" style="1" min="10757" max="10759"/>
    <col width="20.44140625" bestFit="1" customWidth="1" style="1" min="10760" max="10760"/>
    <col width="10.88671875" bestFit="1" customWidth="1" style="1" min="10761" max="10761"/>
    <col width="9.109375" customWidth="1" style="1" min="10762" max="10762"/>
    <col width="10.88671875" bestFit="1" customWidth="1" style="1" min="10763" max="10763"/>
    <col width="9.109375" customWidth="1" style="1" min="10764" max="11009"/>
    <col width="70" bestFit="1" customWidth="1" style="1" min="11010" max="11010"/>
    <col width="26" bestFit="1" customWidth="1" style="1" min="11011" max="11011"/>
    <col width="17.5546875" bestFit="1" customWidth="1" style="1" min="11012" max="11012"/>
    <col width="17.5546875" customWidth="1" style="1" min="11013" max="11015"/>
    <col width="20.44140625" bestFit="1" customWidth="1" style="1" min="11016" max="11016"/>
    <col width="10.88671875" bestFit="1" customWidth="1" style="1" min="11017" max="11017"/>
    <col width="9.109375" customWidth="1" style="1" min="11018" max="11018"/>
    <col width="10.88671875" bestFit="1" customWidth="1" style="1" min="11019" max="11019"/>
    <col width="9.109375" customWidth="1" style="1" min="11020" max="11265"/>
    <col width="70" bestFit="1" customWidth="1" style="1" min="11266" max="11266"/>
    <col width="26" bestFit="1" customWidth="1" style="1" min="11267" max="11267"/>
    <col width="17.5546875" bestFit="1" customWidth="1" style="1" min="11268" max="11268"/>
    <col width="17.5546875" customWidth="1" style="1" min="11269" max="11271"/>
    <col width="20.44140625" bestFit="1" customWidth="1" style="1" min="11272" max="11272"/>
    <col width="10.88671875" bestFit="1" customWidth="1" style="1" min="11273" max="11273"/>
    <col width="9.109375" customWidth="1" style="1" min="11274" max="11274"/>
    <col width="10.88671875" bestFit="1" customWidth="1" style="1" min="11275" max="11275"/>
    <col width="9.109375" customWidth="1" style="1" min="11276" max="11521"/>
    <col width="70" bestFit="1" customWidth="1" style="1" min="11522" max="11522"/>
    <col width="26" bestFit="1" customWidth="1" style="1" min="11523" max="11523"/>
    <col width="17.5546875" bestFit="1" customWidth="1" style="1" min="11524" max="11524"/>
    <col width="17.5546875" customWidth="1" style="1" min="11525" max="11527"/>
    <col width="20.44140625" bestFit="1" customWidth="1" style="1" min="11528" max="11528"/>
    <col width="10.88671875" bestFit="1" customWidth="1" style="1" min="11529" max="11529"/>
    <col width="9.109375" customWidth="1" style="1" min="11530" max="11530"/>
    <col width="10.88671875" bestFit="1" customWidth="1" style="1" min="11531" max="11531"/>
    <col width="9.109375" customWidth="1" style="1" min="11532" max="11777"/>
    <col width="70" bestFit="1" customWidth="1" style="1" min="11778" max="11778"/>
    <col width="26" bestFit="1" customWidth="1" style="1" min="11779" max="11779"/>
    <col width="17.5546875" bestFit="1" customWidth="1" style="1" min="11780" max="11780"/>
    <col width="17.5546875" customWidth="1" style="1" min="11781" max="11783"/>
    <col width="20.44140625" bestFit="1" customWidth="1" style="1" min="11784" max="11784"/>
    <col width="10.88671875" bestFit="1" customWidth="1" style="1" min="11785" max="11785"/>
    <col width="9.109375" customWidth="1" style="1" min="11786" max="11786"/>
    <col width="10.88671875" bestFit="1" customWidth="1" style="1" min="11787" max="11787"/>
    <col width="9.109375" customWidth="1" style="1" min="11788" max="12033"/>
    <col width="70" bestFit="1" customWidth="1" style="1" min="12034" max="12034"/>
    <col width="26" bestFit="1" customWidth="1" style="1" min="12035" max="12035"/>
    <col width="17.5546875" bestFit="1" customWidth="1" style="1" min="12036" max="12036"/>
    <col width="17.5546875" customWidth="1" style="1" min="12037" max="12039"/>
    <col width="20.44140625" bestFit="1" customWidth="1" style="1" min="12040" max="12040"/>
    <col width="10.88671875" bestFit="1" customWidth="1" style="1" min="12041" max="12041"/>
    <col width="9.109375" customWidth="1" style="1" min="12042" max="12042"/>
    <col width="10.88671875" bestFit="1" customWidth="1" style="1" min="12043" max="12043"/>
    <col width="9.109375" customWidth="1" style="1" min="12044" max="12289"/>
    <col width="70" bestFit="1" customWidth="1" style="1" min="12290" max="12290"/>
    <col width="26" bestFit="1" customWidth="1" style="1" min="12291" max="12291"/>
    <col width="17.5546875" bestFit="1" customWidth="1" style="1" min="12292" max="12292"/>
    <col width="17.5546875" customWidth="1" style="1" min="12293" max="12295"/>
    <col width="20.44140625" bestFit="1" customWidth="1" style="1" min="12296" max="12296"/>
    <col width="10.88671875" bestFit="1" customWidth="1" style="1" min="12297" max="12297"/>
    <col width="9.109375" customWidth="1" style="1" min="12298" max="12298"/>
    <col width="10.88671875" bestFit="1" customWidth="1" style="1" min="12299" max="12299"/>
    <col width="9.109375" customWidth="1" style="1" min="12300" max="12545"/>
    <col width="70" bestFit="1" customWidth="1" style="1" min="12546" max="12546"/>
    <col width="26" bestFit="1" customWidth="1" style="1" min="12547" max="12547"/>
    <col width="17.5546875" bestFit="1" customWidth="1" style="1" min="12548" max="12548"/>
    <col width="17.5546875" customWidth="1" style="1" min="12549" max="12551"/>
    <col width="20.44140625" bestFit="1" customWidth="1" style="1" min="12552" max="12552"/>
    <col width="10.88671875" bestFit="1" customWidth="1" style="1" min="12553" max="12553"/>
    <col width="9.109375" customWidth="1" style="1" min="12554" max="12554"/>
    <col width="10.88671875" bestFit="1" customWidth="1" style="1" min="12555" max="12555"/>
    <col width="9.109375" customWidth="1" style="1" min="12556" max="12801"/>
    <col width="70" bestFit="1" customWidth="1" style="1" min="12802" max="12802"/>
    <col width="26" bestFit="1" customWidth="1" style="1" min="12803" max="12803"/>
    <col width="17.5546875" bestFit="1" customWidth="1" style="1" min="12804" max="12804"/>
    <col width="17.5546875" customWidth="1" style="1" min="12805" max="12807"/>
    <col width="20.44140625" bestFit="1" customWidth="1" style="1" min="12808" max="12808"/>
    <col width="10.88671875" bestFit="1" customWidth="1" style="1" min="12809" max="12809"/>
    <col width="9.109375" customWidth="1" style="1" min="12810" max="12810"/>
    <col width="10.88671875" bestFit="1" customWidth="1" style="1" min="12811" max="12811"/>
    <col width="9.109375" customWidth="1" style="1" min="12812" max="13057"/>
    <col width="70" bestFit="1" customWidth="1" style="1" min="13058" max="13058"/>
    <col width="26" bestFit="1" customWidth="1" style="1" min="13059" max="13059"/>
    <col width="17.5546875" bestFit="1" customWidth="1" style="1" min="13060" max="13060"/>
    <col width="17.5546875" customWidth="1" style="1" min="13061" max="13063"/>
    <col width="20.44140625" bestFit="1" customWidth="1" style="1" min="13064" max="13064"/>
    <col width="10.88671875" bestFit="1" customWidth="1" style="1" min="13065" max="13065"/>
    <col width="9.109375" customWidth="1" style="1" min="13066" max="13066"/>
    <col width="10.88671875" bestFit="1" customWidth="1" style="1" min="13067" max="13067"/>
    <col width="9.109375" customWidth="1" style="1" min="13068" max="13313"/>
    <col width="70" bestFit="1" customWidth="1" style="1" min="13314" max="13314"/>
    <col width="26" bestFit="1" customWidth="1" style="1" min="13315" max="13315"/>
    <col width="17.5546875" bestFit="1" customWidth="1" style="1" min="13316" max="13316"/>
    <col width="17.5546875" customWidth="1" style="1" min="13317" max="13319"/>
    <col width="20.44140625" bestFit="1" customWidth="1" style="1" min="13320" max="13320"/>
    <col width="10.88671875" bestFit="1" customWidth="1" style="1" min="13321" max="13321"/>
    <col width="9.109375" customWidth="1" style="1" min="13322" max="13322"/>
    <col width="10.88671875" bestFit="1" customWidth="1" style="1" min="13323" max="13323"/>
    <col width="9.109375" customWidth="1" style="1" min="13324" max="13569"/>
    <col width="70" bestFit="1" customWidth="1" style="1" min="13570" max="13570"/>
    <col width="26" bestFit="1" customWidth="1" style="1" min="13571" max="13571"/>
    <col width="17.5546875" bestFit="1" customWidth="1" style="1" min="13572" max="13572"/>
    <col width="17.5546875" customWidth="1" style="1" min="13573" max="13575"/>
    <col width="20.44140625" bestFit="1" customWidth="1" style="1" min="13576" max="13576"/>
    <col width="10.88671875" bestFit="1" customWidth="1" style="1" min="13577" max="13577"/>
    <col width="9.109375" customWidth="1" style="1" min="13578" max="13578"/>
    <col width="10.88671875" bestFit="1" customWidth="1" style="1" min="13579" max="13579"/>
    <col width="9.109375" customWidth="1" style="1" min="13580" max="13825"/>
    <col width="70" bestFit="1" customWidth="1" style="1" min="13826" max="13826"/>
    <col width="26" bestFit="1" customWidth="1" style="1" min="13827" max="13827"/>
    <col width="17.5546875" bestFit="1" customWidth="1" style="1" min="13828" max="13828"/>
    <col width="17.5546875" customWidth="1" style="1" min="13829" max="13831"/>
    <col width="20.44140625" bestFit="1" customWidth="1" style="1" min="13832" max="13832"/>
    <col width="10.88671875" bestFit="1" customWidth="1" style="1" min="13833" max="13833"/>
    <col width="9.109375" customWidth="1" style="1" min="13834" max="13834"/>
    <col width="10.88671875" bestFit="1" customWidth="1" style="1" min="13835" max="13835"/>
    <col width="9.109375" customWidth="1" style="1" min="13836" max="14081"/>
    <col width="70" bestFit="1" customWidth="1" style="1" min="14082" max="14082"/>
    <col width="26" bestFit="1" customWidth="1" style="1" min="14083" max="14083"/>
    <col width="17.5546875" bestFit="1" customWidth="1" style="1" min="14084" max="14084"/>
    <col width="17.5546875" customWidth="1" style="1" min="14085" max="14087"/>
    <col width="20.44140625" bestFit="1" customWidth="1" style="1" min="14088" max="14088"/>
    <col width="10.88671875" bestFit="1" customWidth="1" style="1" min="14089" max="14089"/>
    <col width="9.109375" customWidth="1" style="1" min="14090" max="14090"/>
    <col width="10.88671875" bestFit="1" customWidth="1" style="1" min="14091" max="14091"/>
    <col width="9.109375" customWidth="1" style="1" min="14092" max="14337"/>
    <col width="70" bestFit="1" customWidth="1" style="1" min="14338" max="14338"/>
    <col width="26" bestFit="1" customWidth="1" style="1" min="14339" max="14339"/>
    <col width="17.5546875" bestFit="1" customWidth="1" style="1" min="14340" max="14340"/>
    <col width="17.5546875" customWidth="1" style="1" min="14341" max="14343"/>
    <col width="20.44140625" bestFit="1" customWidth="1" style="1" min="14344" max="14344"/>
    <col width="10.88671875" bestFit="1" customWidth="1" style="1" min="14345" max="14345"/>
    <col width="9.109375" customWidth="1" style="1" min="14346" max="14346"/>
    <col width="10.88671875" bestFit="1" customWidth="1" style="1" min="14347" max="14347"/>
    <col width="9.109375" customWidth="1" style="1" min="14348" max="14593"/>
    <col width="70" bestFit="1" customWidth="1" style="1" min="14594" max="14594"/>
    <col width="26" bestFit="1" customWidth="1" style="1" min="14595" max="14595"/>
    <col width="17.5546875" bestFit="1" customWidth="1" style="1" min="14596" max="14596"/>
    <col width="17.5546875" customWidth="1" style="1" min="14597" max="14599"/>
    <col width="20.44140625" bestFit="1" customWidth="1" style="1" min="14600" max="14600"/>
    <col width="10.88671875" bestFit="1" customWidth="1" style="1" min="14601" max="14601"/>
    <col width="9.109375" customWidth="1" style="1" min="14602" max="14602"/>
    <col width="10.88671875" bestFit="1" customWidth="1" style="1" min="14603" max="14603"/>
    <col width="9.109375" customWidth="1" style="1" min="14604" max="14849"/>
    <col width="70" bestFit="1" customWidth="1" style="1" min="14850" max="14850"/>
    <col width="26" bestFit="1" customWidth="1" style="1" min="14851" max="14851"/>
    <col width="17.5546875" bestFit="1" customWidth="1" style="1" min="14852" max="14852"/>
    <col width="17.5546875" customWidth="1" style="1" min="14853" max="14855"/>
    <col width="20.44140625" bestFit="1" customWidth="1" style="1" min="14856" max="14856"/>
    <col width="10.88671875" bestFit="1" customWidth="1" style="1" min="14857" max="14857"/>
    <col width="9.109375" customWidth="1" style="1" min="14858" max="14858"/>
    <col width="10.88671875" bestFit="1" customWidth="1" style="1" min="14859" max="14859"/>
    <col width="9.109375" customWidth="1" style="1" min="14860" max="15105"/>
    <col width="70" bestFit="1" customWidth="1" style="1" min="15106" max="15106"/>
    <col width="26" bestFit="1" customWidth="1" style="1" min="15107" max="15107"/>
    <col width="17.5546875" bestFit="1" customWidth="1" style="1" min="15108" max="15108"/>
    <col width="17.5546875" customWidth="1" style="1" min="15109" max="15111"/>
    <col width="20.44140625" bestFit="1" customWidth="1" style="1" min="15112" max="15112"/>
    <col width="10.88671875" bestFit="1" customWidth="1" style="1" min="15113" max="15113"/>
    <col width="9.109375" customWidth="1" style="1" min="15114" max="15114"/>
    <col width="10.88671875" bestFit="1" customWidth="1" style="1" min="15115" max="15115"/>
    <col width="9.109375" customWidth="1" style="1" min="15116" max="15361"/>
    <col width="70" bestFit="1" customWidth="1" style="1" min="15362" max="15362"/>
    <col width="26" bestFit="1" customWidth="1" style="1" min="15363" max="15363"/>
    <col width="17.5546875" bestFit="1" customWidth="1" style="1" min="15364" max="15364"/>
    <col width="17.5546875" customWidth="1" style="1" min="15365" max="15367"/>
    <col width="20.44140625" bestFit="1" customWidth="1" style="1" min="15368" max="15368"/>
    <col width="10.88671875" bestFit="1" customWidth="1" style="1" min="15369" max="15369"/>
    <col width="9.109375" customWidth="1" style="1" min="15370" max="15370"/>
    <col width="10.88671875" bestFit="1" customWidth="1" style="1" min="15371" max="15371"/>
    <col width="9.109375" customWidth="1" style="1" min="15372" max="15617"/>
    <col width="70" bestFit="1" customWidth="1" style="1" min="15618" max="15618"/>
    <col width="26" bestFit="1" customWidth="1" style="1" min="15619" max="15619"/>
    <col width="17.5546875" bestFit="1" customWidth="1" style="1" min="15620" max="15620"/>
    <col width="17.5546875" customWidth="1" style="1" min="15621" max="15623"/>
    <col width="20.44140625" bestFit="1" customWidth="1" style="1" min="15624" max="15624"/>
    <col width="10.88671875" bestFit="1" customWidth="1" style="1" min="15625" max="15625"/>
    <col width="9.109375" customWidth="1" style="1" min="15626" max="15626"/>
    <col width="10.88671875" bestFit="1" customWidth="1" style="1" min="15627" max="15627"/>
    <col width="9.109375" customWidth="1" style="1" min="15628" max="15873"/>
    <col width="70" bestFit="1" customWidth="1" style="1" min="15874" max="15874"/>
    <col width="26" bestFit="1" customWidth="1" style="1" min="15875" max="15875"/>
    <col width="17.5546875" bestFit="1" customWidth="1" style="1" min="15876" max="15876"/>
    <col width="17.5546875" customWidth="1" style="1" min="15877" max="15879"/>
    <col width="20.44140625" bestFit="1" customWidth="1" style="1" min="15880" max="15880"/>
    <col width="10.88671875" bestFit="1" customWidth="1" style="1" min="15881" max="15881"/>
    <col width="9.109375" customWidth="1" style="1" min="15882" max="15882"/>
    <col width="10.88671875" bestFit="1" customWidth="1" style="1" min="15883" max="15883"/>
    <col width="9.109375" customWidth="1" style="1" min="15884" max="16129"/>
    <col width="70" bestFit="1" customWidth="1" style="1" min="16130" max="16130"/>
    <col width="26" bestFit="1" customWidth="1" style="1" min="16131" max="16131"/>
    <col width="17.5546875" bestFit="1" customWidth="1" style="1" min="16132" max="16132"/>
    <col width="17.5546875" customWidth="1" style="1" min="16133" max="16135"/>
    <col width="20.44140625" bestFit="1" customWidth="1" style="1" min="16136" max="16136"/>
    <col width="10.88671875" bestFit="1" customWidth="1" style="1" min="16137" max="16137"/>
    <col width="9.109375" customWidth="1" style="1" min="16138" max="16138"/>
    <col width="10.88671875" bestFit="1" customWidth="1" style="1" min="16139" max="16139"/>
    <col width="9.109375" customWidth="1" style="1" min="16140" max="16384"/>
  </cols>
  <sheetData>
    <row r="1" ht="12.75" customHeight="1">
      <c r="C1" s="354" t="inlineStr">
        <is>
          <t>Eindbalans per 31-12-2023</t>
        </is>
      </c>
      <c r="D1" s="354" t="inlineStr">
        <is>
          <t>Mutaties Q1 2024</t>
        </is>
      </c>
      <c r="E1" s="354" t="inlineStr">
        <is>
          <t>Mutaties Q2 2024</t>
        </is>
      </c>
      <c r="F1" s="354" t="inlineStr">
        <is>
          <t>Mutaties Q3 2024</t>
        </is>
      </c>
      <c r="G1" s="354" t="inlineStr">
        <is>
          <t>Mutaties Q4 2024</t>
        </is>
      </c>
      <c r="H1" s="354" t="inlineStr">
        <is>
          <t>Saldi per 30-09-2024</t>
        </is>
      </c>
    </row>
    <row r="3" ht="12.75" customHeight="1">
      <c r="A3" s="132" t="inlineStr">
        <is>
          <t>Balans</t>
        </is>
      </c>
    </row>
    <row r="4" ht="12.75" customHeight="1">
      <c r="A4" s="132" t="n"/>
    </row>
    <row r="5" ht="12.75" customHeight="1">
      <c r="A5" s="132" t="inlineStr">
        <is>
          <t>Materiële vaste activa</t>
        </is>
      </c>
    </row>
    <row r="6" ht="12.75" customHeight="1">
      <c r="A6" s="1" t="inlineStr">
        <is>
          <t>1600000</t>
        </is>
      </c>
      <c r="B6" s="1" t="inlineStr">
        <is>
          <t>VG Vastgoedbeleggingen Verkrijgings- of vervaardigingsprijs -</t>
        </is>
      </c>
      <c r="C6" s="293" t="n">
        <v>126864246</v>
      </c>
      <c r="D6" s="357" t="n">
        <v>-1361869</v>
      </c>
      <c r="E6" s="357" t="n">
        <v>281229</v>
      </c>
      <c r="F6" s="357" t="n">
        <v>321640</v>
      </c>
      <c r="G6" s="293" t="n">
        <v>1176912.7</v>
      </c>
      <c r="H6" s="305">
        <f>SUM(C6:G6)</f>
        <v/>
      </c>
      <c r="I6" s="264" t="inlineStr">
        <is>
          <t>Activering onderhoudskosten gebouwen</t>
        </is>
      </c>
    </row>
    <row r="7" ht="12.75" customHeight="1">
      <c r="A7" s="1" t="inlineStr">
        <is>
          <t>1600200</t>
        </is>
      </c>
      <c r="B7" s="1" t="inlineStr">
        <is>
          <t>VG Vastgoedbeleggingen Cum afschrijvingen en waardeverm -</t>
        </is>
      </c>
      <c r="C7" s="293" t="n">
        <v>-20360443</v>
      </c>
      <c r="D7" s="293" t="n">
        <v>-456675</v>
      </c>
      <c r="E7" s="293" t="n">
        <v>-752120</v>
      </c>
      <c r="F7" s="293">
        <f>VLOOKUP(A7,[1]Kolommenbalans!B$1:D$65536,3,FALSE)</f>
        <v/>
      </c>
      <c r="G7" s="293" t="n">
        <v>-793542</v>
      </c>
      <c r="H7" s="305">
        <f>SUM(C7:G7)</f>
        <v/>
      </c>
    </row>
    <row r="8" ht="12.75" customHeight="1">
      <c r="A8" s="302" t="inlineStr">
        <is>
          <t>1601000</t>
        </is>
      </c>
      <c r="B8" s="302" t="inlineStr">
        <is>
          <t>VG Vastgoedbeleggingen Buitengebruikstellingen CA en waardeverm. -</t>
        </is>
      </c>
      <c r="C8" s="293" t="n">
        <v>0</v>
      </c>
      <c r="D8" s="293" t="n">
        <v>-722644</v>
      </c>
      <c r="E8" s="293" t="n">
        <v>-621877</v>
      </c>
      <c r="F8" s="293">
        <f>VLOOKUP(A8,[1]Kolommenbalans!B$1:D$65536,3,FALSE)</f>
        <v/>
      </c>
      <c r="G8" s="293" t="n">
        <v>0</v>
      </c>
      <c r="H8" s="305">
        <f>SUM(C8:G8)</f>
        <v/>
      </c>
    </row>
    <row r="9" ht="12.75" customHeight="1">
      <c r="A9" s="1" t="inlineStr">
        <is>
          <t>1611003</t>
        </is>
      </c>
      <c r="B9" s="1" t="inlineStr">
        <is>
          <t>VG Comm VG in exploitatie Buitengebruikstellingen cum. afschr. en waardeverm.</t>
        </is>
      </c>
      <c r="C9" s="293" t="n">
        <v>296927</v>
      </c>
      <c r="D9" s="293" t="n">
        <v>-177274</v>
      </c>
      <c r="E9" s="293" t="n">
        <v>107020</v>
      </c>
      <c r="F9" s="293">
        <f>VLOOKUP(A9,[1]Kolommenbalans!B$1:D$65536,3,FALSE)</f>
        <v/>
      </c>
      <c r="G9" s="293" t="n">
        <v>0</v>
      </c>
      <c r="H9" s="305">
        <f>SUM(C9:G9)</f>
        <v/>
      </c>
    </row>
    <row r="10" ht="12.75" customHeight="1">
      <c r="A10" s="1" t="inlineStr">
        <is>
          <t>1610803</t>
        </is>
      </c>
      <c r="B10" s="1" t="inlineStr">
        <is>
          <t>VG Comm VG in exploitatie Buitengebruikstellingen aanschaffingswaarde</t>
        </is>
      </c>
      <c r="C10" s="293" t="n">
        <v>-1890565</v>
      </c>
      <c r="D10" s="293" t="n">
        <v>1890565</v>
      </c>
      <c r="G10" s="293" t="n">
        <v>0</v>
      </c>
      <c r="H10" s="305" t="n"/>
    </row>
    <row r="11" ht="12.75" customHeight="1">
      <c r="C11" s="293" t="n">
        <v>0</v>
      </c>
      <c r="H11" s="290" t="n"/>
    </row>
    <row r="12" ht="12.75" customHeight="1">
      <c r="A12" s="256" t="inlineStr">
        <is>
          <t>Financiële Vaste Lasten</t>
        </is>
      </c>
      <c r="C12" s="293" t="n">
        <v>0</v>
      </c>
      <c r="H12" s="290">
        <f>SUM(C12:G12)</f>
        <v/>
      </c>
    </row>
    <row r="13" ht="12.75" customHeight="1">
      <c r="A13" s="1" t="inlineStr">
        <is>
          <t>1760000</t>
        </is>
      </c>
      <c r="B13" s="1" t="inlineStr">
        <is>
          <t>FVA Vord op DMRRP INV - I BV  saldo</t>
        </is>
      </c>
      <c r="C13" s="293" t="n">
        <v>38320325</v>
      </c>
      <c r="H13" s="305">
        <f>SUM(C13:G13)</f>
        <v/>
      </c>
    </row>
    <row r="14" ht="12.75" customHeight="1">
      <c r="A14" s="1" t="inlineStr">
        <is>
          <t>1760300</t>
        </is>
      </c>
      <c r="B14" s="1" t="inlineStr">
        <is>
          <t>FVA Vord op DMRRP INV - I BV  aflossingen</t>
        </is>
      </c>
      <c r="C14" s="293" t="n">
        <v>-1365453</v>
      </c>
      <c r="D14" s="293" t="n">
        <v>-236217</v>
      </c>
      <c r="E14" s="293" t="n">
        <v>-503912.27</v>
      </c>
      <c r="F14" s="293">
        <f>VLOOKUP(A14,[1]Kolommenbalans!B$1:D$65536,3,FALSE)</f>
        <v/>
      </c>
      <c r="G14" s="293" t="n">
        <v>-95800</v>
      </c>
      <c r="H14" s="305">
        <f>SUM(C14:G14)</f>
        <v/>
      </c>
    </row>
    <row r="15" ht="12.75" customHeight="1">
      <c r="A15" s="1" t="inlineStr">
        <is>
          <t>1790000</t>
        </is>
      </c>
      <c r="B15" s="1" t="inlineStr">
        <is>
          <t>FVA Swap fee</t>
        </is>
      </c>
      <c r="C15" s="293" t="n">
        <v>1659754</v>
      </c>
      <c r="D15" s="293" t="n">
        <v>-110649</v>
      </c>
      <c r="E15" s="293" t="n">
        <v>-110650</v>
      </c>
      <c r="F15" s="293">
        <f>VLOOKUP(A15,[1]Kolommenbalans!B$1:D$65536,3,FALSE)</f>
        <v/>
      </c>
      <c r="G15" s="293" t="n">
        <v>-110650</v>
      </c>
      <c r="H15" s="305">
        <f>SUM(C15:G15)</f>
        <v/>
      </c>
    </row>
    <row r="16" ht="12.75" customHeight="1">
      <c r="A16" s="1" t="inlineStr">
        <is>
          <t>1790002</t>
        </is>
      </c>
      <c r="B16" s="1" t="inlineStr">
        <is>
          <t>FVA Latente belastingvordering langlopend</t>
        </is>
      </c>
      <c r="C16" s="293" t="n">
        <v>6380808</v>
      </c>
      <c r="D16" s="293" t="n">
        <v>160838</v>
      </c>
      <c r="E16" s="293" t="n">
        <v>176734</v>
      </c>
      <c r="F16" s="293">
        <f>VLOOKUP(A16,[1]Kolommenbalans!B$1:D$65536,3,FALSE)</f>
        <v/>
      </c>
      <c r="G16" s="293" t="n">
        <v>202710</v>
      </c>
      <c r="H16" s="305">
        <f>SUM(C16:G16)</f>
        <v/>
      </c>
    </row>
    <row r="17" ht="12.75" customHeight="1">
      <c r="C17" s="293" t="n">
        <v>0</v>
      </c>
      <c r="H17" s="290">
        <f>SUM(C17:G17)</f>
        <v/>
      </c>
    </row>
    <row r="18" ht="12.75" customHeight="1">
      <c r="A18" s="256" t="inlineStr">
        <is>
          <t>Vorderingen</t>
        </is>
      </c>
      <c r="C18" s="293" t="n">
        <v>0</v>
      </c>
      <c r="H18" s="290">
        <f>SUM(C18:G18)</f>
        <v/>
      </c>
    </row>
    <row r="19" ht="12.75" customHeight="1">
      <c r="A19" s="1" t="inlineStr">
        <is>
          <t>2000000</t>
        </is>
      </c>
      <c r="B19" s="1" t="inlineStr">
        <is>
          <t>VOR Debiteuren</t>
        </is>
      </c>
      <c r="C19" s="293" t="n">
        <v>123884</v>
      </c>
      <c r="D19" s="357" t="n">
        <v>3196350</v>
      </c>
      <c r="E19" s="293" t="n">
        <v>2530742.76</v>
      </c>
      <c r="F19" s="293">
        <f>VLOOKUP(A19,[1]Kolommenbalans!B$1:D$65536,3,FALSE)</f>
        <v/>
      </c>
      <c r="G19" s="293" t="n">
        <v>-6054041</v>
      </c>
      <c r="H19" s="305">
        <f>SUM(C19:G19)</f>
        <v/>
      </c>
      <c r="I19" s="264" t="inlineStr">
        <is>
          <t>Correctie mutatie voor- en achterstanden debiteuren</t>
        </is>
      </c>
    </row>
    <row r="20" ht="12.75" customHeight="1">
      <c r="A20" s="1" t="inlineStr">
        <is>
          <t>2000100</t>
        </is>
      </c>
      <c r="B20" s="1" t="inlineStr">
        <is>
          <t>VOR Debiteuren intercompany</t>
        </is>
      </c>
      <c r="C20" s="293" t="n">
        <v>2656651</v>
      </c>
      <c r="D20" s="346" t="n">
        <v>-2656651</v>
      </c>
      <c r="G20" s="293" t="n">
        <v>6675101</v>
      </c>
      <c r="H20" s="305">
        <f>SUM(C20:G20)</f>
        <v/>
      </c>
    </row>
    <row r="21" ht="12.75" customHeight="1">
      <c r="A21" s="1" t="inlineStr">
        <is>
          <t>2000300</t>
        </is>
      </c>
      <c r="B21" s="1" t="inlineStr">
        <is>
          <t>VOR Voorziening dubieuze debiteuren</t>
        </is>
      </c>
      <c r="C21" s="293" t="n">
        <v>-8374</v>
      </c>
      <c r="G21" s="293" t="n">
        <v>0</v>
      </c>
      <c r="H21" s="305">
        <f>SUM(C21:G21)</f>
        <v/>
      </c>
    </row>
    <row r="22" ht="12.75" customHeight="1">
      <c r="A22" s="1" t="inlineStr">
        <is>
          <t>2040100</t>
        </is>
      </c>
      <c r="B22" s="1" t="inlineStr">
        <is>
          <t>VOR Nog te factureren bedragen</t>
        </is>
      </c>
      <c r="C22" s="293" t="n">
        <v>0</v>
      </c>
      <c r="F22" s="293">
        <f>VLOOKUP(A22,[1]Kolommenbalans!B$1:D$65536,3,FALSE)</f>
        <v/>
      </c>
      <c r="H22" s="290">
        <f>SUM(C22:G22)</f>
        <v/>
      </c>
    </row>
    <row r="23" ht="12.75" customHeight="1">
      <c r="A23" s="1" t="inlineStr">
        <is>
          <t>2040200</t>
        </is>
      </c>
      <c r="B23" s="1" t="inlineStr">
        <is>
          <t>VOR Te vorderen waarborgsommen kortlopend</t>
        </is>
      </c>
      <c r="C23" s="293" t="n">
        <v>5000</v>
      </c>
      <c r="H23" s="305">
        <f>SUM(C23:G23)</f>
        <v/>
      </c>
    </row>
    <row r="24" ht="12.75" customHeight="1">
      <c r="A24" s="1" t="inlineStr">
        <is>
          <t>2040500</t>
        </is>
      </c>
      <c r="B24" s="1" t="inlineStr">
        <is>
          <t>VOR Vooruitbetaalde verzekeringen</t>
        </is>
      </c>
      <c r="C24" s="293" t="n">
        <v>-3</v>
      </c>
      <c r="D24" s="293">
        <f>85740+E24</f>
        <v/>
      </c>
      <c r="E24" s="293" t="n">
        <v>-21435</v>
      </c>
      <c r="F24" s="293">
        <f>VLOOKUP(A24,[1]Kolommenbalans!B$1:D$65536,3,FALSE)</f>
        <v/>
      </c>
      <c r="G24" s="293" t="n">
        <v>-21435</v>
      </c>
      <c r="H24" s="305">
        <f>SUM(C24:G24)</f>
        <v/>
      </c>
    </row>
    <row r="25" ht="12.75" customHeight="1">
      <c r="A25" s="1" t="inlineStr">
        <is>
          <t>2040900</t>
        </is>
      </c>
      <c r="B25" s="1" t="inlineStr">
        <is>
          <t>VOR Vooruitbetaalde overige kosten</t>
        </is>
      </c>
      <c r="C25" s="293" t="n">
        <v>0</v>
      </c>
      <c r="D25" s="293">
        <f>357512+E25</f>
        <v/>
      </c>
      <c r="E25" s="293" t="n">
        <v>-89377.98</v>
      </c>
      <c r="F25" s="293">
        <f>VLOOKUP(A25,[1]Kolommenbalans!B$1:D$65536,3,FALSE)</f>
        <v/>
      </c>
      <c r="G25" s="293" t="n">
        <v>-89378</v>
      </c>
      <c r="H25" s="305">
        <f>SUM(C25:G25)</f>
        <v/>
      </c>
    </row>
    <row r="26" ht="12.75" customHeight="1">
      <c r="C26" s="293" t="n">
        <v>0</v>
      </c>
      <c r="H26" s="290">
        <f>SUM(C26:G26)</f>
        <v/>
      </c>
    </row>
    <row r="27" ht="12.75" customHeight="1">
      <c r="A27" s="256" t="inlineStr">
        <is>
          <t>Liquide middelen</t>
        </is>
      </c>
      <c r="C27" s="293" t="n">
        <v>0</v>
      </c>
      <c r="H27" s="290">
        <f>SUM(C27:G27)</f>
        <v/>
      </c>
    </row>
    <row r="28" ht="12.75" customHeight="1">
      <c r="A28" s="1" t="inlineStr">
        <is>
          <t>2300000</t>
        </is>
      </c>
      <c r="B28" s="1" t="inlineStr">
        <is>
          <t>LM Kruisposten</t>
        </is>
      </c>
      <c r="C28" s="293" t="n">
        <v>0</v>
      </c>
      <c r="E28" s="293" t="n">
        <v>358000</v>
      </c>
      <c r="F28" s="293">
        <f>VLOOKUP(A28,[1]Kolommenbalans!B$1:D$65536,3,FALSE)</f>
        <v/>
      </c>
      <c r="G28" s="293" t="n">
        <v>-1011</v>
      </c>
      <c r="H28" s="290">
        <f>SUM(C28:G28)</f>
        <v/>
      </c>
    </row>
    <row r="29" ht="12.75" customHeight="1">
      <c r="A29" s="1" t="inlineStr">
        <is>
          <t>2300001</t>
        </is>
      </c>
      <c r="B29" s="1" t="inlineStr">
        <is>
          <t>LM Kruisposten pin</t>
        </is>
      </c>
      <c r="C29" s="293" t="n">
        <v>0</v>
      </c>
      <c r="D29" s="293" t="n">
        <v>122</v>
      </c>
      <c r="E29" s="293" t="n">
        <v>-3547.65</v>
      </c>
      <c r="F29" s="293">
        <f>VLOOKUP(A29,[1]Kolommenbalans!B$1:D$65536,3,FALSE)</f>
        <v/>
      </c>
      <c r="G29" s="293" t="n">
        <v>4950</v>
      </c>
      <c r="H29" s="305">
        <f>SUM(C29:G29)</f>
        <v/>
      </c>
    </row>
    <row r="30" ht="12.75" customHeight="1">
      <c r="A30" s="1" t="inlineStr">
        <is>
          <t>2400200</t>
        </is>
      </c>
      <c r="B30" s="1" t="inlineStr">
        <is>
          <t>LM ABN AMRO Bank Disposal NL58 ABNA 0818 9180 39</t>
        </is>
      </c>
      <c r="C30" s="293" t="n">
        <v>0</v>
      </c>
      <c r="D30" s="293" t="n">
        <v>490000</v>
      </c>
      <c r="E30" s="293" t="n">
        <v>-490000</v>
      </c>
      <c r="F30" s="293">
        <f>VLOOKUP(A30,[1]Kolommenbalans!B$1:D$65536,3,FALSE)</f>
        <v/>
      </c>
      <c r="G30" s="293" t="n">
        <v>0</v>
      </c>
      <c r="H30" s="305">
        <f>SUM(C30:G30)</f>
        <v/>
      </c>
    </row>
    <row r="31" ht="12.75" customHeight="1">
      <c r="A31" s="1" t="inlineStr">
        <is>
          <t>2400201</t>
        </is>
      </c>
      <c r="B31" s="1" t="inlineStr">
        <is>
          <t>LM ABN AMRO Bank Deposit NL57 ABNA 0541 6205 68</t>
        </is>
      </c>
      <c r="C31" s="293" t="n">
        <v>4443</v>
      </c>
      <c r="D31" s="293" t="n">
        <v>51</v>
      </c>
      <c r="E31" s="293" t="n">
        <v>2948.65</v>
      </c>
      <c r="F31" s="293">
        <f>VLOOKUP(A31,[1]Kolommenbalans!B$1:D$65536,3,FALSE)</f>
        <v/>
      </c>
      <c r="G31" s="293" t="n">
        <v>-6577.5</v>
      </c>
      <c r="H31" s="305">
        <f>SUM(C31:G31)</f>
        <v/>
      </c>
    </row>
    <row r="32" ht="12.75" customHeight="1">
      <c r="A32" s="1" t="inlineStr">
        <is>
          <t>2400202</t>
        </is>
      </c>
      <c r="B32" s="1" t="inlineStr">
        <is>
          <t>LM ABN AMRO Bank General NL93 ABNA 0541 6132 27</t>
        </is>
      </c>
      <c r="C32" s="293" t="n">
        <v>73</v>
      </c>
      <c r="E32" s="293" t="n">
        <v>-46.3</v>
      </c>
      <c r="F32" s="293">
        <f>VLOOKUP(A32,[1]Kolommenbalans!B$1:D$65536,3,FALSE)</f>
        <v/>
      </c>
      <c r="G32" s="293" t="n">
        <v>276826.61</v>
      </c>
      <c r="H32" s="305">
        <f>SUM(C32:G32)</f>
        <v/>
      </c>
    </row>
    <row r="33" ht="12.75" customHeight="1">
      <c r="A33" s="1" t="inlineStr">
        <is>
          <t>2400203</t>
        </is>
      </c>
      <c r="B33" s="1" t="inlineStr">
        <is>
          <t>LM ABN AMRO Bank Maintres NL04 ABNA 0541 6188 06</t>
        </is>
      </c>
      <c r="C33" s="293" t="n">
        <v>716</v>
      </c>
      <c r="D33" s="293" t="n">
        <v>6673</v>
      </c>
      <c r="E33" s="293" t="n">
        <v>-6645.75</v>
      </c>
      <c r="F33" s="293">
        <f>VLOOKUP(A33,[1]Kolommenbalans!B$1:D$65536,3,FALSE)</f>
        <v/>
      </c>
      <c r="G33" s="293" t="n">
        <v>22169.18</v>
      </c>
      <c r="H33" s="305">
        <f>SUM(C33:G33)</f>
        <v/>
      </c>
    </row>
    <row r="34" ht="12.75" customHeight="1">
      <c r="A34" s="1" t="inlineStr">
        <is>
          <t>2400204</t>
        </is>
      </c>
      <c r="B34" s="1" t="inlineStr">
        <is>
          <t>LM ABN AMRO Bank Rent NL46 ABNA 0541 6088 35</t>
        </is>
      </c>
      <c r="C34" s="293" t="n">
        <v>66480</v>
      </c>
      <c r="D34" s="293" t="n">
        <v>227168</v>
      </c>
      <c r="E34" s="293" t="n">
        <v>-230570.79</v>
      </c>
      <c r="F34" s="293">
        <f>VLOOKUP(A34,[1]Kolommenbalans!B$1:D$65536,3,FALSE)</f>
        <v/>
      </c>
      <c r="G34" s="293" t="n">
        <v>-2980.11</v>
      </c>
      <c r="H34" s="305">
        <f>SUM(C34:G34)</f>
        <v/>
      </c>
    </row>
    <row r="35" ht="12.75" customHeight="1">
      <c r="A35" s="1" t="inlineStr">
        <is>
          <t>2400205</t>
        </is>
      </c>
      <c r="B35" s="1" t="inlineStr">
        <is>
          <t>LM ABN AMRO Bank SR EXP NL88 ABNA 0541 6205 92</t>
        </is>
      </c>
      <c r="C35" s="293" t="n">
        <v>9180</v>
      </c>
      <c r="D35" s="293" t="n">
        <v>138903</v>
      </c>
      <c r="E35" s="293" t="n">
        <v>-147771.81</v>
      </c>
      <c r="F35" s="293">
        <f>VLOOKUP(A35,[1]Kolommenbalans!B$1:D$65536,3,FALSE)</f>
        <v/>
      </c>
      <c r="G35" s="293" t="n">
        <v>-0.91</v>
      </c>
      <c r="H35" s="305">
        <f>SUM(C35:G35)</f>
        <v/>
      </c>
    </row>
    <row r="36" ht="12.75" customHeight="1">
      <c r="A36" s="1" t="inlineStr">
        <is>
          <t>2400206</t>
        </is>
      </c>
      <c r="B36" s="1" t="inlineStr">
        <is>
          <t>LM ABN AMRO Bank Capex NL11 ABNA 0114 3362 02</t>
        </is>
      </c>
      <c r="C36" s="293" t="n">
        <v>5644</v>
      </c>
      <c r="E36" s="293" t="n">
        <v>-5660.09</v>
      </c>
      <c r="H36" s="305">
        <f>SUM(C36:G36)</f>
        <v/>
      </c>
    </row>
    <row r="37" ht="12.75" customHeight="1">
      <c r="C37" s="293" t="n">
        <v>0</v>
      </c>
      <c r="H37" s="290">
        <f>SUM(C37:G37)</f>
        <v/>
      </c>
    </row>
    <row r="38" ht="12.75" customHeight="1">
      <c r="A38" s="256" t="inlineStr">
        <is>
          <t>Eigen vermogen</t>
        </is>
      </c>
      <c r="C38" s="293" t="n">
        <v>0</v>
      </c>
      <c r="H38" s="290">
        <f>SUM(C38:G38)</f>
        <v/>
      </c>
    </row>
    <row r="39" ht="12.75" customHeight="1">
      <c r="A39" s="1" t="inlineStr">
        <is>
          <t>1000002</t>
        </is>
      </c>
      <c r="B39" s="1" t="inlineStr">
        <is>
          <t>EV Normale aandelen  Saldo</t>
        </is>
      </c>
      <c r="C39" s="293" t="n">
        <v>-1</v>
      </c>
      <c r="D39" s="293" t="n">
        <v>0</v>
      </c>
      <c r="H39" s="305">
        <f>SUM(C39:G39)</f>
        <v/>
      </c>
    </row>
    <row r="40" ht="12.75" customHeight="1">
      <c r="A40" s="1" t="inlineStr">
        <is>
          <t>1100000</t>
        </is>
      </c>
      <c r="B40" s="1" t="inlineStr">
        <is>
          <t>EV Agioreserve Agio aandelen</t>
        </is>
      </c>
      <c r="C40" s="293" t="n">
        <v>-18931219</v>
      </c>
      <c r="D40" s="293" t="n">
        <v>0</v>
      </c>
      <c r="H40" s="305">
        <f>SUM(C40:G40)</f>
        <v/>
      </c>
    </row>
    <row r="41" ht="12.75" customHeight="1">
      <c r="A41" s="1" t="inlineStr">
        <is>
          <t>1160000</t>
        </is>
      </c>
      <c r="B41" s="1" t="inlineStr">
        <is>
          <t>EV Overige reserve Reserve aandelen</t>
        </is>
      </c>
      <c r="C41" s="293" t="n">
        <v>4831607</v>
      </c>
      <c r="D41" s="293" t="n">
        <v>0</v>
      </c>
      <c r="H41" s="305">
        <f>SUM(C41:G41)</f>
        <v/>
      </c>
    </row>
    <row r="42" ht="12.75" customHeight="1">
      <c r="C42" s="293" t="n">
        <v>0</v>
      </c>
      <c r="H42" s="290">
        <f>SUM(C42:G42)</f>
        <v/>
      </c>
    </row>
    <row r="43" ht="12.75" customHeight="1">
      <c r="A43" s="256" t="inlineStr">
        <is>
          <t>Langlopende schulden</t>
        </is>
      </c>
      <c r="C43" s="293" t="n">
        <v>0</v>
      </c>
      <c r="H43" s="290">
        <f>SUM(C43:G43)</f>
        <v/>
      </c>
    </row>
    <row r="44" ht="12.75" customHeight="1">
      <c r="A44" s="1" t="inlineStr">
        <is>
          <t>1930001</t>
        </is>
      </c>
      <c r="B44" s="1" t="inlineStr">
        <is>
          <t>LLS Hoofdsom ABN AMRO Bank NV Senior Facility Agreement</t>
        </is>
      </c>
      <c r="C44" s="293" t="n">
        <v>-169075986</v>
      </c>
      <c r="D44" s="293" t="n">
        <v>0</v>
      </c>
      <c r="E44" s="293" t="n">
        <v>-459986.91</v>
      </c>
      <c r="G44" s="293" t="n">
        <v>-875164.8</v>
      </c>
      <c r="H44" s="305">
        <f>SUM(C44:G44)</f>
        <v/>
      </c>
    </row>
    <row r="45" ht="12.75" customHeight="1">
      <c r="A45" s="1" t="inlineStr">
        <is>
          <t>1930101</t>
        </is>
      </c>
      <c r="B45" s="1" t="inlineStr">
        <is>
          <t>LLS Cum aflossingen ABN AMRO Bank NV Senior Facility Agreement</t>
        </is>
      </c>
      <c r="C45" s="293" t="n">
        <v>33308891</v>
      </c>
      <c r="D45" s="293" t="n">
        <v>863000</v>
      </c>
      <c r="E45" s="293" t="n">
        <v>1328000</v>
      </c>
      <c r="F45" s="293">
        <f>VLOOKUP(A45,[1]Kolommenbalans!B$1:D$65536,3,FALSE)</f>
        <v/>
      </c>
      <c r="G45" s="293" t="n">
        <v>350000</v>
      </c>
      <c r="H45" s="305">
        <f>SUM(C45:G45)</f>
        <v/>
      </c>
    </row>
    <row r="46" ht="12.75" customHeight="1">
      <c r="A46" s="1" t="inlineStr">
        <is>
          <t>1930200</t>
        </is>
      </c>
      <c r="B46" s="1" t="inlineStr">
        <is>
          <t>LLS Extension fee&amp; professional fees</t>
        </is>
      </c>
      <c r="C46" s="293" t="n">
        <v>436032</v>
      </c>
      <c r="D46" s="346" t="n">
        <v>-29069.05</v>
      </c>
      <c r="E46" s="293" t="n">
        <v>-29069.06</v>
      </c>
      <c r="F46" s="293">
        <f>VLOOKUP(A46,[1]Kolommenbalans!B$1:D$65536,3,FALSE)</f>
        <v/>
      </c>
      <c r="G46" s="293" t="n">
        <v>-29069.06</v>
      </c>
      <c r="H46" s="305">
        <f>SUM(C46:G46)</f>
        <v/>
      </c>
    </row>
    <row r="47" ht="12.75" customHeight="1">
      <c r="C47" s="293" t="n">
        <v>0</v>
      </c>
      <c r="H47" s="290">
        <f>SUM(C47:G47)</f>
        <v/>
      </c>
    </row>
    <row r="48" ht="12.75" customHeight="1">
      <c r="A48" s="256" t="inlineStr">
        <is>
          <t>Kortlopende schulden</t>
        </is>
      </c>
      <c r="C48" s="293" t="n">
        <v>0</v>
      </c>
      <c r="H48" s="290">
        <f>SUM(C48:G48)</f>
        <v/>
      </c>
    </row>
    <row r="49" ht="12.75" customHeight="1">
      <c r="A49" s="1" t="inlineStr">
        <is>
          <t>2730000</t>
        </is>
      </c>
      <c r="B49" s="1" t="inlineStr">
        <is>
          <t>KLS Crediteuren</t>
        </is>
      </c>
      <c r="C49" s="293" t="n">
        <v>-436121</v>
      </c>
      <c r="D49" s="293" t="n">
        <v>-562454</v>
      </c>
      <c r="E49" s="293" t="n">
        <v>715812</v>
      </c>
      <c r="F49" s="293">
        <f>VLOOKUP(A49,[1]Kolommenbalans!B$1:D$65536,3,FALSE)</f>
        <v/>
      </c>
      <c r="G49" s="293" t="n">
        <v>-319583.96</v>
      </c>
      <c r="H49" s="305">
        <f>SUM(C49:G49)</f>
        <v/>
      </c>
    </row>
    <row r="50" ht="12.75" customHeight="1">
      <c r="A50" s="1" t="inlineStr">
        <is>
          <t>2730001</t>
        </is>
      </c>
      <c r="B50" s="1" t="inlineStr">
        <is>
          <t>KLS Crediteuren intercompany</t>
        </is>
      </c>
      <c r="C50" s="293" t="n">
        <v>-932680</v>
      </c>
      <c r="D50" s="293" t="n">
        <v>-14700</v>
      </c>
      <c r="E50" s="293" t="n">
        <v>14700</v>
      </c>
      <c r="F50" s="293">
        <f>VLOOKUP(A50,[1]Kolommenbalans!B$1:D$65536,3,FALSE)</f>
        <v/>
      </c>
      <c r="G50" s="293" t="n">
        <v>0</v>
      </c>
      <c r="H50" s="305">
        <f>SUM(C50:G50)</f>
        <v/>
      </c>
    </row>
    <row r="51" ht="12.75" customHeight="1">
      <c r="A51" s="1" t="inlineStr">
        <is>
          <t>2620000</t>
        </is>
      </c>
      <c r="B51" s="1" t="inlineStr">
        <is>
          <t>RC Kortlopend D.M. Equity Partners C.V.</t>
        </is>
      </c>
      <c r="C51" s="293" t="n">
        <v>-401205</v>
      </c>
      <c r="E51" s="293" t="n">
        <v>-150000</v>
      </c>
      <c r="F51" s="293">
        <f>VLOOKUP(A51,[1]Kolommenbalans!B$1:D$65536,3,FALSE)</f>
        <v/>
      </c>
      <c r="H51" s="305">
        <f>SUM(C51:G51)</f>
        <v/>
      </c>
    </row>
    <row r="52" ht="12.75" customHeight="1">
      <c r="A52" s="1" t="inlineStr">
        <is>
          <t>2640000</t>
        </is>
      </c>
      <c r="B52" s="1" t="inlineStr">
        <is>
          <t>RC Kortlopend DMRRP INV - I BV</t>
        </is>
      </c>
      <c r="C52" s="293" t="n">
        <v>-135333</v>
      </c>
      <c r="D52" s="346" t="n">
        <v>458198</v>
      </c>
      <c r="E52" s="293" t="n">
        <v>12470</v>
      </c>
      <c r="F52" s="293">
        <f>VLOOKUP(A52,[1]Kolommenbalans!B$1:D$65536,3,FALSE)</f>
        <v/>
      </c>
      <c r="G52" s="293" t="n">
        <v>485992</v>
      </c>
      <c r="H52" s="305">
        <f>SUM(C52:G52)</f>
        <v/>
      </c>
    </row>
    <row r="53" ht="12.75" customHeight="1">
      <c r="A53" s="130" t="n">
        <v>2650000</v>
      </c>
      <c r="B53" s="1" t="inlineStr">
        <is>
          <t>RC Kortlopend WPNL- V B.V.</t>
        </is>
      </c>
      <c r="C53" s="293" t="n">
        <v>0</v>
      </c>
      <c r="D53" s="346" t="n"/>
      <c r="E53" s="293" t="n">
        <v>-500000</v>
      </c>
      <c r="H53" s="305">
        <f>SUM(C53:G53)</f>
        <v/>
      </c>
    </row>
    <row r="54" ht="12.75" customHeight="1">
      <c r="A54" s="1" t="inlineStr">
        <is>
          <t>2512100</t>
        </is>
      </c>
      <c r="B54" s="1" t="inlineStr">
        <is>
          <t>BEL Afgedragen/ontvangen BTW</t>
        </is>
      </c>
      <c r="C54" s="293" t="n">
        <v>-6207</v>
      </c>
      <c r="D54" s="346" t="n">
        <v>900</v>
      </c>
      <c r="E54" s="293" t="n">
        <v>2856.3</v>
      </c>
      <c r="F54" s="293">
        <f>VLOOKUP(A54,[1]Kolommenbalans!B$1:D$65536,3,FALSE)</f>
        <v/>
      </c>
      <c r="G54" s="293" t="n">
        <v>-2177</v>
      </c>
      <c r="H54" s="305">
        <f>SUM(C54:G54)</f>
        <v/>
      </c>
    </row>
    <row r="55" ht="12.75" customHeight="1">
      <c r="A55" s="1" t="inlineStr">
        <is>
          <t>2740100</t>
        </is>
      </c>
      <c r="B55" s="1" t="inlineStr">
        <is>
          <t>KLS Vooruitgefactureerde bedragen</t>
        </is>
      </c>
      <c r="C55" s="293" t="n">
        <v>-963592</v>
      </c>
      <c r="D55" s="357" t="n">
        <v>63198</v>
      </c>
      <c r="E55" s="293" t="n">
        <v>-47340.8</v>
      </c>
      <c r="F55" s="293">
        <f>VLOOKUP(A55,[1]Kolommenbalans!B$1:D$65536,3,FALSE)</f>
        <v/>
      </c>
      <c r="G55" s="293" t="n">
        <v>1511.29</v>
      </c>
      <c r="H55" s="305">
        <f>SUM(C55:G55)</f>
        <v/>
      </c>
      <c r="I55" s="264" t="inlineStr">
        <is>
          <t>Correctie mutatie voor- en achterstanden debiteuren</t>
        </is>
      </c>
    </row>
    <row r="56" ht="12.75" customHeight="1">
      <c r="A56" s="1" t="inlineStr">
        <is>
          <t>2740300</t>
        </is>
      </c>
      <c r="B56" s="1" t="inlineStr">
        <is>
          <t>KLS Te betalen waarborgsommen kortlopend</t>
        </is>
      </c>
      <c r="C56" s="293" t="n">
        <v>-965997</v>
      </c>
      <c r="D56" s="293" t="n">
        <v>8491</v>
      </c>
      <c r="E56" s="293" t="n">
        <v>-4796</v>
      </c>
      <c r="F56" s="293">
        <f>VLOOKUP(A56,[1]Kolommenbalans!B$1:D$65536,3,FALSE)</f>
        <v/>
      </c>
      <c r="G56" s="293" t="n">
        <v>3736</v>
      </c>
      <c r="H56" s="305">
        <f>SUM(C56:G56)</f>
        <v/>
      </c>
    </row>
    <row r="57" ht="12.75" customHeight="1">
      <c r="A57" s="1" t="inlineStr">
        <is>
          <t>2740500</t>
        </is>
      </c>
      <c r="B57" s="1" t="inlineStr">
        <is>
          <t>KLS Te betalen accountants- en administratiekosten</t>
        </is>
      </c>
      <c r="C57" s="293" t="n">
        <v>-45000</v>
      </c>
      <c r="H57" s="305">
        <f>SUM(C57:G57)</f>
        <v/>
      </c>
    </row>
    <row r="58" ht="12.75" customHeight="1">
      <c r="A58" s="1" t="inlineStr">
        <is>
          <t>2741000</t>
        </is>
      </c>
      <c r="B58" s="1" t="inlineStr">
        <is>
          <t>KLS Te betalen servicekosten</t>
        </is>
      </c>
      <c r="C58" s="293" t="n">
        <v>-8929</v>
      </c>
      <c r="D58" s="293" t="n">
        <v>8930</v>
      </c>
      <c r="F58" s="293">
        <f>VLOOKUP(A58,[1]Kolommenbalans!B$1:D$65536,3,FALSE)</f>
        <v/>
      </c>
      <c r="G58" s="293" t="n">
        <v>-1</v>
      </c>
      <c r="H58" s="305">
        <f>SUM(C58:G58)</f>
        <v/>
      </c>
    </row>
    <row r="59" ht="12.75" customHeight="1">
      <c r="A59" s="1" t="inlineStr">
        <is>
          <t>2741001</t>
        </is>
      </c>
      <c r="B59" s="1" t="inlineStr">
        <is>
          <t>KLS Te betalen servicekosten -</t>
        </is>
      </c>
      <c r="C59" s="293" t="n">
        <v>0</v>
      </c>
      <c r="H59" s="305">
        <f>SUM(C59:G59)</f>
        <v/>
      </c>
    </row>
    <row r="60" ht="12.75" customHeight="1">
      <c r="A60" s="1" t="inlineStr">
        <is>
          <t>2741004</t>
        </is>
      </c>
      <c r="B60" s="1" t="inlineStr">
        <is>
          <t>KLS Te betalen Hoen</t>
        </is>
      </c>
      <c r="C60" s="293" t="n">
        <v>-43483</v>
      </c>
      <c r="D60" s="293" t="n">
        <v>-130818</v>
      </c>
      <c r="E60" s="293" t="n">
        <v>-87499.92999999999</v>
      </c>
      <c r="F60" s="293">
        <f>VLOOKUP(A60,[1]Kolommenbalans!B$1:D$65536,3,FALSE)</f>
        <v/>
      </c>
      <c r="G60" s="293" t="n">
        <v>-45993.21</v>
      </c>
      <c r="H60" s="305">
        <f>SUM(C60:G60)</f>
        <v/>
      </c>
    </row>
    <row r="61" ht="12.75" customHeight="1">
      <c r="A61" s="1" t="inlineStr">
        <is>
          <t>2741200</t>
        </is>
      </c>
      <c r="B61" s="1" t="inlineStr">
        <is>
          <t>KLS Te betalen overige kosten</t>
        </is>
      </c>
      <c r="C61" s="293" t="n">
        <v>-86205</v>
      </c>
      <c r="D61" s="293" t="n">
        <v>116207</v>
      </c>
      <c r="F61" s="293">
        <f>VLOOKUP(A61,[1]Kolommenbalans!B$1:D$65536,3,FALSE)</f>
        <v/>
      </c>
      <c r="H61" s="305">
        <f>SUM(C61:G61)</f>
        <v/>
      </c>
    </row>
    <row r="62" ht="12.75" customHeight="1">
      <c r="A62" s="1" t="inlineStr">
        <is>
          <t>2742000</t>
        </is>
      </c>
      <c r="B62" s="1" t="inlineStr">
        <is>
          <t>KLS Vraagposten</t>
        </is>
      </c>
      <c r="C62" s="293" t="n">
        <v>0</v>
      </c>
      <c r="D62" s="346" t="n">
        <v>0</v>
      </c>
      <c r="E62" s="346" t="n">
        <v>0</v>
      </c>
      <c r="F62" s="293">
        <f>VLOOKUP(A62,[1]Kolommenbalans!B$1:D$65536,3,FALSE)</f>
        <v/>
      </c>
      <c r="H62" s="305">
        <f>SUM(C62:G62)</f>
        <v/>
      </c>
    </row>
    <row r="63" ht="12.75" customHeight="1">
      <c r="A63" s="130" t="inlineStr">
        <is>
          <t>2760000</t>
        </is>
      </c>
      <c r="B63" s="1" t="inlineStr">
        <is>
          <t>KLS Saldo lening DMRRP INV - I BV</t>
        </is>
      </c>
      <c r="C63" s="293" t="n">
        <v>0</v>
      </c>
      <c r="F63" s="293">
        <f>VLOOKUP(A63,[1]Kolommenbalans!B$1:D$65536,3,FALSE)</f>
        <v/>
      </c>
      <c r="H63" s="305">
        <f>SUM(C63:G63)</f>
        <v/>
      </c>
    </row>
    <row r="64" ht="12.75" customHeight="1">
      <c r="A64" s="130" t="n">
        <v>2502020</v>
      </c>
      <c r="B64" s="1" t="inlineStr">
        <is>
          <t>Servicekosten 2020</t>
        </is>
      </c>
      <c r="C64" s="293" t="n">
        <v>789</v>
      </c>
      <c r="D64" s="293" t="n">
        <v>0</v>
      </c>
      <c r="G64" s="293" t="n">
        <v>-788.66</v>
      </c>
      <c r="H64" s="305">
        <f>SUM(C64:G64)</f>
        <v/>
      </c>
      <c r="I64" s="290" t="n"/>
    </row>
    <row r="65" ht="12.75" customHeight="1">
      <c r="A65" s="1" t="inlineStr">
        <is>
          <t>2502021</t>
        </is>
      </c>
      <c r="B65" s="1" t="inlineStr">
        <is>
          <t>Servicekosten 2021</t>
        </is>
      </c>
      <c r="C65" s="293" t="n">
        <v>91489</v>
      </c>
      <c r="D65" s="293" t="n">
        <v>-2046</v>
      </c>
      <c r="E65" s="293" t="n">
        <v>-93962.63</v>
      </c>
      <c r="F65" s="293">
        <f>VLOOKUP(A65,[1]Kolommenbalans!B$1:D$65536,3,FALSE)</f>
        <v/>
      </c>
      <c r="G65" s="293" t="n">
        <v>14459.33</v>
      </c>
      <c r="H65" s="305">
        <f>SUM(C65:G65)</f>
        <v/>
      </c>
      <c r="I65" s="290" t="n"/>
    </row>
    <row r="66" ht="12.75" customHeight="1">
      <c r="A66" s="1" t="inlineStr">
        <is>
          <t>2502022</t>
        </is>
      </c>
      <c r="B66" s="1" t="inlineStr">
        <is>
          <t>Servicekosten 2022</t>
        </is>
      </c>
      <c r="C66" s="293" t="n">
        <v>179376</v>
      </c>
      <c r="D66" s="293" t="n">
        <v>-27</v>
      </c>
      <c r="E66" s="293" t="n">
        <v>-261260</v>
      </c>
      <c r="F66" s="293">
        <f>VLOOKUP(A66,[1]Kolommenbalans!B$1:D$65536,3,FALSE)</f>
        <v/>
      </c>
      <c r="G66" s="293" t="n">
        <v>85084.3</v>
      </c>
      <c r="H66" s="305">
        <f>SUM(C66:G66)</f>
        <v/>
      </c>
      <c r="I66" s="290" t="n"/>
    </row>
    <row r="67" ht="12.75" customHeight="1">
      <c r="A67" s="1" t="inlineStr">
        <is>
          <t>2502023</t>
        </is>
      </c>
      <c r="B67" s="1" t="inlineStr">
        <is>
          <t>Servicekosten 2023</t>
        </is>
      </c>
      <c r="C67" s="293" t="n">
        <v>414481</v>
      </c>
      <c r="D67" s="346" t="n">
        <v>-404859</v>
      </c>
      <c r="E67" s="293" t="n">
        <v>-212658.64</v>
      </c>
      <c r="F67" s="293">
        <f>VLOOKUP(A67,[1]Kolommenbalans!B$1:D$65536,3,FALSE)</f>
        <v/>
      </c>
      <c r="G67" s="293" t="n">
        <v>33068.43</v>
      </c>
      <c r="H67" s="305">
        <f>SUM(C67:G67)</f>
        <v/>
      </c>
      <c r="I67" s="290" t="n"/>
    </row>
    <row r="68" ht="12.75" customHeight="1">
      <c r="A68" s="302" t="inlineStr">
        <is>
          <t>2502024</t>
        </is>
      </c>
      <c r="B68" s="302" t="inlineStr">
        <is>
          <t>Servicekosten 2024</t>
        </is>
      </c>
      <c r="C68" s="293" t="n">
        <v>0</v>
      </c>
      <c r="D68" s="293" t="n">
        <v>-6716</v>
      </c>
      <c r="E68" s="293" t="n">
        <v>225121.63</v>
      </c>
      <c r="F68" s="293">
        <f>VLOOKUP(A68,[1]Kolommenbalans!B$1:D$65536,3,FALSE)</f>
        <v/>
      </c>
      <c r="G68" s="293" t="n">
        <v>-187446.25</v>
      </c>
      <c r="H68" s="305">
        <f>SUM(C68:G68)</f>
        <v/>
      </c>
    </row>
    <row r="69" ht="12.75" customHeight="1">
      <c r="H69" s="290">
        <f>SUM(C69:F69)</f>
        <v/>
      </c>
    </row>
    <row r="70" ht="12.75" customHeight="1">
      <c r="A70" s="132" t="inlineStr">
        <is>
          <t>Winst- en verliesrekening (baten zijn negatief, kosten positief)</t>
        </is>
      </c>
      <c r="H70" s="290">
        <f>SUM(C70:F70)</f>
        <v/>
      </c>
    </row>
    <row r="71" ht="12.75" customHeight="1">
      <c r="H71" s="290">
        <f>SUM(C71:F71)</f>
        <v/>
      </c>
    </row>
    <row r="72" ht="12.75" customHeight="1">
      <c r="A72" s="1" t="inlineStr">
        <is>
          <t>8000003</t>
        </is>
      </c>
      <c r="B72" s="1" t="inlineStr">
        <is>
          <t>OPB Netto-omzet Theoretische huuropbrengsten</t>
        </is>
      </c>
      <c r="D72" s="293" t="n">
        <v>-3068644</v>
      </c>
      <c r="E72" s="293" t="n">
        <v>-3065862.05</v>
      </c>
      <c r="F72" s="293">
        <f>VLOOKUP(A72,[1]Kolommenbalans!B$1:D$65536,3,FALSE)</f>
        <v/>
      </c>
      <c r="G72" s="293" t="n">
        <v>-3186800.49</v>
      </c>
      <c r="H72" s="305">
        <f>SUM(C72:G72)</f>
        <v/>
      </c>
      <c r="I72" s="290" t="n"/>
    </row>
    <row r="73" ht="12.75" customHeight="1">
      <c r="A73" s="1" t="inlineStr">
        <is>
          <t>8000004</t>
        </is>
      </c>
      <c r="B73" s="1" t="inlineStr">
        <is>
          <t>OPB Netto-omzet Leegstand huuropbrengsten</t>
        </is>
      </c>
      <c r="D73" s="293" t="n">
        <v>55043</v>
      </c>
      <c r="E73" s="293" t="n">
        <v>72337.34</v>
      </c>
      <c r="F73" s="293">
        <f>VLOOKUP(A73,[1]Kolommenbalans!B$1:D$65536,3,FALSE)</f>
        <v/>
      </c>
      <c r="G73" s="293" t="n">
        <v>106874.37</v>
      </c>
      <c r="H73" s="305">
        <f>SUM(C73:G73)</f>
        <v/>
      </c>
      <c r="I73" s="290" t="n"/>
    </row>
    <row r="74" ht="12.75" customHeight="1">
      <c r="H74" s="290">
        <f>SUM(C74:G74)</f>
        <v/>
      </c>
      <c r="I74" s="290" t="n"/>
    </row>
    <row r="75" ht="12.75" customHeight="1">
      <c r="A75" s="1" t="inlineStr">
        <is>
          <t>8400600</t>
        </is>
      </c>
      <c r="B75" s="1" t="inlineStr">
        <is>
          <t>OPB Overige bedrijfsopbrengsten Totale servicekosten</t>
        </is>
      </c>
      <c r="D75" s="293" t="n">
        <v>-284</v>
      </c>
      <c r="E75" s="293" t="n">
        <v>285</v>
      </c>
      <c r="F75" s="293">
        <f>VLOOKUP(A75,[1]Kolommenbalans!B$1:D$65536,3,FALSE)</f>
        <v/>
      </c>
      <c r="G75" s="293" t="n">
        <v>76472.45</v>
      </c>
      <c r="H75" s="290">
        <f>SUM(C75:G75)</f>
        <v/>
      </c>
      <c r="I75" s="290" t="n"/>
    </row>
    <row r="76" ht="12.75" customHeight="1">
      <c r="A76" s="1" t="inlineStr">
        <is>
          <t>8400700</t>
        </is>
      </c>
      <c r="B76" s="1" t="inlineStr">
        <is>
          <t>OPB Overige bedrijfsopbrengsten Servicekosten leegstand</t>
        </is>
      </c>
      <c r="D76" s="293" t="n">
        <v>13194</v>
      </c>
      <c r="E76" s="293" t="n">
        <v>44728.32</v>
      </c>
      <c r="F76" s="293">
        <f>VLOOKUP(A76,[1]Kolommenbalans!B$1:D$65536,3,FALSE)</f>
        <v/>
      </c>
      <c r="G76" s="293" t="n">
        <v>-167419.98</v>
      </c>
      <c r="H76" s="305">
        <f>SUM(C76:G76)</f>
        <v/>
      </c>
      <c r="I76" s="290" t="n"/>
    </row>
    <row r="77" ht="12.75" customHeight="1">
      <c r="A77" s="1" t="inlineStr">
        <is>
          <t>8400800</t>
        </is>
      </c>
      <c r="B77" s="1" t="inlineStr">
        <is>
          <t>OPB Overige bedrijfsopbrengsten Gerealiseerde servicekosten</t>
        </is>
      </c>
      <c r="D77" s="346" t="n">
        <v>177952</v>
      </c>
      <c r="E77" s="293" t="n">
        <v>95667.58</v>
      </c>
      <c r="F77" s="293">
        <f>VLOOKUP(A77,[1]Kolommenbalans!B$1:D$65536,3,FALSE)</f>
        <v/>
      </c>
      <c r="G77" s="293" t="n">
        <v>-140632.7</v>
      </c>
      <c r="H77" s="305">
        <f>SUM(C77:G77)</f>
        <v/>
      </c>
      <c r="I77" s="290" t="n"/>
    </row>
    <row r="78" ht="12.75" customHeight="1">
      <c r="H78" s="290">
        <f>SUM(C78:G78)</f>
        <v/>
      </c>
      <c r="I78" s="290" t="n"/>
    </row>
    <row r="79" ht="12.75" customHeight="1">
      <c r="A79" s="1" t="inlineStr">
        <is>
          <t>4051400</t>
        </is>
      </c>
      <c r="B79" s="1" t="inlineStr">
        <is>
          <t>KN Diensten door derden</t>
        </is>
      </c>
      <c r="D79" s="293" t="n">
        <v>129820</v>
      </c>
      <c r="E79" s="293" t="n">
        <v>130121.37</v>
      </c>
      <c r="F79" s="293">
        <f>VLOOKUP(A79,[1]Kolommenbalans!B$1:D$65536,3,FALSE)</f>
        <v/>
      </c>
      <c r="G79" s="293" t="n">
        <v>135444.14</v>
      </c>
      <c r="H79" s="305">
        <f>SUM(C79:G79)</f>
        <v/>
      </c>
      <c r="I79" s="290" t="n"/>
    </row>
    <row r="80" ht="12.75" customHeight="1">
      <c r="H80" s="290">
        <f>SUM(C80:G80)</f>
        <v/>
      </c>
      <c r="I80" s="290" t="n"/>
    </row>
    <row r="81" ht="12.75" customHeight="1">
      <c r="A81" s="1" t="inlineStr">
        <is>
          <t>4730000</t>
        </is>
      </c>
      <c r="B81" s="1" t="inlineStr">
        <is>
          <t>AFKN Afschrijvingskosten -</t>
        </is>
      </c>
      <c r="D81" s="293" t="n">
        <v>753602</v>
      </c>
      <c r="E81" s="293" t="n">
        <v>752120</v>
      </c>
      <c r="F81" s="293">
        <f>VLOOKUP(A81,[1]Kolommenbalans!B$1:D$65536,3,FALSE)</f>
        <v/>
      </c>
      <c r="G81" s="293" t="n">
        <v>793542</v>
      </c>
      <c r="H81" s="305">
        <f>SUM(C81:G81)</f>
        <v/>
      </c>
      <c r="I81" s="290" t="n"/>
    </row>
    <row r="82" ht="12.75" customHeight="1">
      <c r="A82" s="1" t="inlineStr">
        <is>
          <t>4730200</t>
        </is>
      </c>
      <c r="B82" s="1" t="inlineStr">
        <is>
          <t>AFKN Boekresultaat -</t>
        </is>
      </c>
      <c r="D82" s="293" t="n">
        <v>-990509</v>
      </c>
      <c r="E82" s="293" t="n">
        <v>-903643</v>
      </c>
      <c r="F82" s="293">
        <f>VLOOKUP(A82,[1]Kolommenbalans!B$1:D$65536,3,FALSE)</f>
        <v/>
      </c>
      <c r="G82" s="293" t="n">
        <v>0</v>
      </c>
      <c r="H82" s="305">
        <f>SUM(C82:G82)</f>
        <v/>
      </c>
      <c r="I82" s="290" t="n"/>
    </row>
    <row r="83" ht="12.75" customHeight="1">
      <c r="H83" s="290">
        <f>SUM(C83:G83)</f>
        <v/>
      </c>
      <c r="I83" s="290" t="n"/>
    </row>
    <row r="84" ht="12.75" customHeight="1">
      <c r="A84" s="1" t="inlineStr">
        <is>
          <t>4100400</t>
        </is>
      </c>
      <c r="B84" s="1" t="inlineStr">
        <is>
          <t>KN Onderhoud gebouwen</t>
        </is>
      </c>
      <c r="D84" s="357" t="n">
        <v>184889.39</v>
      </c>
      <c r="E84" s="357" t="n">
        <v>329083</v>
      </c>
      <c r="F84" s="357" t="n">
        <v>216162</v>
      </c>
      <c r="G84" s="293" t="n">
        <v>245165.18</v>
      </c>
      <c r="H84" s="305">
        <f>SUM(C84:G84)</f>
        <v/>
      </c>
      <c r="I84" s="362" t="inlineStr">
        <is>
          <t>Onderhoudskosten geactiveerd</t>
        </is>
      </c>
    </row>
    <row r="85" ht="12.75" customHeight="1">
      <c r="A85" s="1" t="inlineStr">
        <is>
          <t>4100900</t>
        </is>
      </c>
      <c r="B85" s="1" t="inlineStr">
        <is>
          <t>KN Onroerende zaakbelasting</t>
        </is>
      </c>
      <c r="D85" s="293">
        <f>87160+3*21790.08</f>
        <v/>
      </c>
      <c r="E85" s="293" t="n">
        <v>66177.88</v>
      </c>
      <c r="F85" s="293">
        <f>VLOOKUP(A85,[1]Kolommenbalans!B$1:D$65536,3,FALSE)</f>
        <v/>
      </c>
      <c r="G85" s="293" t="n">
        <v>69696.85000000001</v>
      </c>
      <c r="H85" s="305">
        <f>SUM(C85:G85)</f>
        <v/>
      </c>
      <c r="I85" s="290" t="n"/>
      <c r="J85" s="290" t="n"/>
    </row>
    <row r="86" ht="12.75" customHeight="1">
      <c r="A86" s="1" t="inlineStr">
        <is>
          <t>4101000</t>
        </is>
      </c>
      <c r="B86" s="1" t="inlineStr">
        <is>
          <t>KN Vaste lasten</t>
        </is>
      </c>
      <c r="D86" s="293" t="n">
        <v>178643</v>
      </c>
      <c r="E86" s="293" t="n">
        <v>262945.32</v>
      </c>
      <c r="F86" s="293">
        <f>VLOOKUP(A86,[1]Kolommenbalans!B$1:D$65536,3,FALSE)</f>
        <v/>
      </c>
      <c r="G86" s="293" t="n">
        <v>168201.35</v>
      </c>
      <c r="H86" s="305">
        <f>SUM(C86:G86)</f>
        <v/>
      </c>
      <c r="I86" s="290" t="n"/>
    </row>
    <row r="87" ht="12.75" customHeight="1">
      <c r="A87" s="1" t="inlineStr">
        <is>
          <t>4100410</t>
        </is>
      </c>
      <c r="B87" s="1" t="inlineStr">
        <is>
          <t>Verhuurdersheffing</t>
        </is>
      </c>
      <c r="D87" s="293" t="n">
        <v>0</v>
      </c>
      <c r="H87" s="305">
        <f>SUM(C87:G87)</f>
        <v/>
      </c>
      <c r="I87" s="290" t="n"/>
    </row>
    <row r="88" ht="12.75" customHeight="1">
      <c r="A88" s="1" t="inlineStr">
        <is>
          <t>4101010</t>
        </is>
      </c>
      <c r="B88" s="1" t="inlineStr">
        <is>
          <t>Gemeentelijke belastingen</t>
        </is>
      </c>
      <c r="D88" s="293">
        <f>32010+3*8002.58</f>
        <v/>
      </c>
      <c r="E88" s="293" t="n">
        <v>23941.86</v>
      </c>
      <c r="F88" s="293">
        <f>VLOOKUP(A88,[1]Kolommenbalans!B$1:D$65536,3,FALSE)</f>
        <v/>
      </c>
      <c r="G88" s="293" t="n">
        <v>26915.16</v>
      </c>
      <c r="H88" s="305">
        <f>SUM(C88:G88)</f>
        <v/>
      </c>
      <c r="I88" s="290" t="n"/>
      <c r="J88" s="290" t="n"/>
    </row>
    <row r="89" ht="12.75" customHeight="1">
      <c r="A89" s="1" t="inlineStr">
        <is>
          <t>4101020</t>
        </is>
      </c>
      <c r="B89" s="1" t="inlineStr">
        <is>
          <t>Waterschapsbelasting</t>
        </is>
      </c>
      <c r="D89" s="293" t="n">
        <v>8746</v>
      </c>
      <c r="E89" s="293" t="n">
        <v>48840.03</v>
      </c>
      <c r="F89" s="293">
        <f>VLOOKUP(A89,[1]Kolommenbalans!B$1:D$65536,3,FALSE)</f>
        <v/>
      </c>
      <c r="G89" s="293" t="n">
        <v>13148.02</v>
      </c>
      <c r="H89" s="305">
        <f>SUM(C89:G89)</f>
        <v/>
      </c>
      <c r="I89" s="290" t="n"/>
    </row>
    <row r="90" ht="12.75" customHeight="1">
      <c r="A90" s="1" t="inlineStr">
        <is>
          <t>4101300</t>
        </is>
      </c>
      <c r="B90" s="1" t="inlineStr">
        <is>
          <t>KN Servicekosten leegstand</t>
        </is>
      </c>
      <c r="D90" s="293" t="n">
        <v>0</v>
      </c>
      <c r="F90" s="293">
        <f>VLOOKUP(A90,[1]Kolommenbalans!B$1:D$65536,3,FALSE)</f>
        <v/>
      </c>
      <c r="H90" s="290">
        <f>SUM(C90:G90)</f>
        <v/>
      </c>
      <c r="I90" s="290" t="n"/>
    </row>
    <row r="91" ht="12.75" customHeight="1">
      <c r="H91" s="290">
        <f>SUM(C91:G91)</f>
        <v/>
      </c>
      <c r="I91" s="290" t="n"/>
    </row>
    <row r="92" ht="12.75" customHeight="1">
      <c r="A92" s="1" t="inlineStr">
        <is>
          <t>4501200</t>
        </is>
      </c>
      <c r="B92" s="1" t="inlineStr">
        <is>
          <t>KN Mutatie voorziening dubieuze debiteuren</t>
        </is>
      </c>
      <c r="D92" s="293" t="n">
        <v>23863</v>
      </c>
      <c r="H92" s="305">
        <f>SUM(C92:G92)</f>
        <v/>
      </c>
      <c r="I92" s="290" t="n"/>
    </row>
    <row r="93" ht="12.75" customHeight="1">
      <c r="A93" s="1" t="inlineStr">
        <is>
          <t>4501300</t>
        </is>
      </c>
      <c r="B93" s="1" t="inlineStr">
        <is>
          <t>KN Afboeking dubieuze debiteuren</t>
        </is>
      </c>
      <c r="D93" s="293" t="n">
        <v>0</v>
      </c>
      <c r="E93" s="293" t="n">
        <v>42503.08</v>
      </c>
      <c r="F93" s="293">
        <f>VLOOKUP(A93,[1]Kolommenbalans!B$1:D$65536,3,FALSE)</f>
        <v/>
      </c>
      <c r="G93" s="293" t="n">
        <v>10216.44</v>
      </c>
      <c r="H93" s="305">
        <f>SUM(C93:G93)</f>
        <v/>
      </c>
      <c r="I93" s="290" t="n"/>
    </row>
    <row r="94" ht="12.75" customHeight="1">
      <c r="H94" s="290">
        <f>SUM(C94:G94)</f>
        <v/>
      </c>
      <c r="I94" s="290" t="n"/>
    </row>
    <row r="95" ht="12.75" customHeight="1">
      <c r="A95" s="1" t="inlineStr">
        <is>
          <t>4300200</t>
        </is>
      </c>
      <c r="B95" s="1" t="inlineStr">
        <is>
          <t>KN Communicatiekosten</t>
        </is>
      </c>
      <c r="D95" s="293" t="n">
        <v>0</v>
      </c>
      <c r="G95" s="293" t="n">
        <v>36.63</v>
      </c>
      <c r="H95" s="305">
        <f>SUM(C95:G95)</f>
        <v/>
      </c>
      <c r="I95" s="290" t="n"/>
    </row>
    <row r="96" ht="12.75" customHeight="1">
      <c r="A96" s="1" t="inlineStr">
        <is>
          <t>4300500</t>
        </is>
      </c>
      <c r="B96" s="1" t="inlineStr">
        <is>
          <t>KN Incassokosten</t>
        </is>
      </c>
      <c r="D96" s="293" t="n">
        <v>300</v>
      </c>
      <c r="E96" s="293" t="n">
        <v>40</v>
      </c>
      <c r="F96" s="293">
        <f>VLOOKUP(A96,[1]Kolommenbalans!B$1:D$65536,3,FALSE)</f>
        <v/>
      </c>
      <c r="G96" s="293" t="n">
        <v>500</v>
      </c>
      <c r="H96" s="305">
        <f>SUM(C96:G96)</f>
        <v/>
      </c>
      <c r="I96" s="290" t="n"/>
    </row>
    <row r="97" ht="12.75" customHeight="1">
      <c r="H97" s="290">
        <f>SUM(C97:G97)</f>
        <v/>
      </c>
      <c r="I97" s="290" t="n"/>
    </row>
    <row r="98" ht="12.75" customHeight="1">
      <c r="A98" s="1" t="inlineStr">
        <is>
          <t>4310400</t>
        </is>
      </c>
      <c r="B98" s="1" t="inlineStr">
        <is>
          <t>KN Assurantiepremie algemeen</t>
        </is>
      </c>
      <c r="D98" s="293">
        <f>28580-E24</f>
        <v/>
      </c>
      <c r="E98" s="293">
        <f>37420.71</f>
        <v/>
      </c>
      <c r="F98" s="293">
        <f>VLOOKUP(A98,[1]Kolommenbalans!B$1:D$65536,3,FALSE)</f>
        <v/>
      </c>
      <c r="G98" s="293" t="n">
        <v>18609.21</v>
      </c>
      <c r="H98" s="305">
        <f>SUM(C98:G98)</f>
        <v/>
      </c>
      <c r="I98" s="290" t="n"/>
      <c r="J98" s="290" t="n"/>
    </row>
    <row r="99" ht="12.75" customHeight="1">
      <c r="A99" s="1" t="inlineStr">
        <is>
          <t>4310500</t>
        </is>
      </c>
      <c r="B99" s="1" t="inlineStr">
        <is>
          <t>KN Managementvergoeding</t>
        </is>
      </c>
      <c r="D99" s="293" t="n">
        <v>1500</v>
      </c>
      <c r="E99" s="293" t="n">
        <v>1500</v>
      </c>
      <c r="F99" s="293">
        <f>VLOOKUP(A99,[1]Kolommenbalans!B$1:D$65536,3,FALSE)</f>
        <v/>
      </c>
      <c r="G99" s="293" t="n">
        <v>1500</v>
      </c>
      <c r="H99" s="305">
        <f>SUM(C99:G99)</f>
        <v/>
      </c>
      <c r="I99" s="290" t="n"/>
    </row>
    <row r="100" ht="12.75" customHeight="1">
      <c r="A100" s="1" t="inlineStr">
        <is>
          <t>4310600</t>
        </is>
      </c>
      <c r="B100" s="1" t="inlineStr">
        <is>
          <t>KN Accountantskosten</t>
        </is>
      </c>
      <c r="D100" s="293" t="n">
        <v>39840</v>
      </c>
      <c r="E100" s="293" t="n">
        <v>19091</v>
      </c>
      <c r="F100" s="293">
        <f>VLOOKUP(A100,[1]Kolommenbalans!B$1:D$65536,3,FALSE)</f>
        <v/>
      </c>
      <c r="G100" s="293" t="n">
        <v>10535.98</v>
      </c>
      <c r="H100" s="305">
        <f>SUM(C100:G100)</f>
        <v/>
      </c>
      <c r="I100" s="290" t="n"/>
    </row>
    <row r="101" ht="12.75" customHeight="1">
      <c r="A101" s="1" t="inlineStr">
        <is>
          <t>4310700</t>
        </is>
      </c>
      <c r="B101" s="1" t="inlineStr">
        <is>
          <t>KN Administratiekosten</t>
        </is>
      </c>
      <c r="D101" s="293" t="n">
        <v>1398</v>
      </c>
      <c r="E101" s="293" t="n">
        <v>2825.35</v>
      </c>
      <c r="F101" s="293">
        <f>VLOOKUP(A101,[1]Kolommenbalans!B$1:D$65536,3,FALSE)</f>
        <v/>
      </c>
      <c r="G101" s="293" t="n">
        <v>1397.55</v>
      </c>
      <c r="H101" s="305">
        <f>SUM(C101:G101)</f>
        <v/>
      </c>
      <c r="I101" s="290" t="n"/>
    </row>
    <row r="102" ht="12.75" customHeight="1">
      <c r="A102" s="1" t="inlineStr">
        <is>
          <t>4310800</t>
        </is>
      </c>
      <c r="B102" s="1" t="inlineStr">
        <is>
          <t>KN Notariskosten</t>
        </is>
      </c>
      <c r="D102" s="293" t="n">
        <v>56181</v>
      </c>
      <c r="E102" s="293" t="n">
        <v>46357.1</v>
      </c>
      <c r="F102" s="293">
        <f>VLOOKUP(A102,[1]Kolommenbalans!B$1:D$65536,3,FALSE)</f>
        <v/>
      </c>
      <c r="G102" s="293" t="n">
        <v>31243.87</v>
      </c>
      <c r="H102" s="305">
        <f>SUM(C102:G102)</f>
        <v/>
      </c>
      <c r="I102" s="290" t="n"/>
    </row>
    <row r="103" ht="12.75" customHeight="1">
      <c r="A103" s="1" t="inlineStr">
        <is>
          <t>4311000</t>
        </is>
      </c>
      <c r="B103" s="1" t="inlineStr">
        <is>
          <t>KN Juridische kosten</t>
        </is>
      </c>
      <c r="D103" s="293" t="n">
        <v>11000</v>
      </c>
      <c r="E103" s="293" t="n">
        <v>7662.19</v>
      </c>
      <c r="F103" s="293">
        <f>VLOOKUP(A103,[1]Kolommenbalans!B$1:D$65536,3,FALSE)</f>
        <v/>
      </c>
      <c r="G103" s="293" t="n">
        <v>12275.33</v>
      </c>
      <c r="H103" s="305">
        <f>SUM(C103:G103)</f>
        <v/>
      </c>
      <c r="I103" s="290" t="n"/>
    </row>
    <row r="104" ht="12.75" customHeight="1">
      <c r="A104" s="1" t="inlineStr">
        <is>
          <t>4311800</t>
        </is>
      </c>
      <c r="B104" s="1" t="inlineStr">
        <is>
          <t>KN Advieskosten</t>
        </is>
      </c>
      <c r="D104" s="293" t="n">
        <v>13200</v>
      </c>
      <c r="E104" s="293" t="n">
        <v>9900</v>
      </c>
      <c r="F104" s="293">
        <f>VLOOKUP(A104,[1]Kolommenbalans!B$1:D$65536,3,FALSE)</f>
        <v/>
      </c>
      <c r="G104" s="293" t="n">
        <v>11000</v>
      </c>
      <c r="H104" s="305">
        <f>SUM(C104:G104)</f>
        <v/>
      </c>
      <c r="I104" s="290" t="n"/>
    </row>
    <row r="105" ht="12.75" customHeight="1">
      <c r="A105" s="1" t="inlineStr">
        <is>
          <t>4311900</t>
        </is>
      </c>
      <c r="B105" s="1" t="inlineStr">
        <is>
          <t>KN Bankkosten</t>
        </is>
      </c>
      <c r="D105" s="357" t="n">
        <v>30138</v>
      </c>
      <c r="E105" s="357" t="n">
        <v>30344</v>
      </c>
      <c r="F105" s="357" t="n">
        <v>30223</v>
      </c>
      <c r="G105" s="293" t="n">
        <v>30061.71</v>
      </c>
      <c r="H105" s="305">
        <f>SUM(C105:G105)</f>
        <v/>
      </c>
      <c r="I105" s="362" t="inlineStr">
        <is>
          <t>Correctie SWAP fee naar bankkosten</t>
        </is>
      </c>
    </row>
    <row r="106" ht="12.75" customHeight="1">
      <c r="A106" s="1" t="inlineStr">
        <is>
          <t>4312600</t>
        </is>
      </c>
      <c r="B106" s="1" t="inlineStr">
        <is>
          <t>KN Diverse lasten</t>
        </is>
      </c>
      <c r="D106" s="293" t="n">
        <v>0</v>
      </c>
      <c r="E106" s="293" t="n">
        <v>0</v>
      </c>
      <c r="F106" s="293">
        <f>VLOOKUP(A106,[1]Kolommenbalans!B$1:D$65536,3,FALSE)</f>
        <v/>
      </c>
      <c r="G106" s="293" t="n">
        <v>40000</v>
      </c>
      <c r="H106" s="305">
        <f>SUM(C106:G106)</f>
        <v/>
      </c>
      <c r="I106" s="290" t="n"/>
    </row>
    <row r="107" ht="12.75" customHeight="1">
      <c r="A107" s="1" t="inlineStr">
        <is>
          <t>4319800</t>
        </is>
      </c>
      <c r="B107" s="1" t="inlineStr">
        <is>
          <t>KN Overige algemene kosten</t>
        </is>
      </c>
      <c r="D107" s="293" t="n">
        <v>1946</v>
      </c>
      <c r="E107" s="293" t="n">
        <v>2438.7</v>
      </c>
      <c r="F107" s="293">
        <f>VLOOKUP(A107,[1]Kolommenbalans!B$1:D$65536,3,FALSE)</f>
        <v/>
      </c>
      <c r="G107" s="293" t="n">
        <v>4108.82</v>
      </c>
      <c r="H107" s="305">
        <f>SUM(C107:G107)</f>
        <v/>
      </c>
      <c r="I107" s="290" t="n"/>
    </row>
    <row r="108" ht="12.75" customHeight="1">
      <c r="H108" s="290">
        <f>SUM(C108:G108)</f>
        <v/>
      </c>
      <c r="I108" s="290" t="n"/>
    </row>
    <row r="109" ht="12.75" customHeight="1">
      <c r="A109" s="1" t="inlineStr">
        <is>
          <t>4601000</t>
        </is>
      </c>
      <c r="B109" s="1" t="inlineStr">
        <is>
          <t>FINBL Rente RC D.M. Equity Partners C.V.</t>
        </is>
      </c>
      <c r="D109" s="293" t="n">
        <v>0</v>
      </c>
      <c r="H109" s="290">
        <f>SUM(C109:G109)</f>
        <v/>
      </c>
      <c r="I109" s="290" t="n"/>
    </row>
    <row r="110" ht="12.75" customHeight="1">
      <c r="A110" s="1" t="inlineStr">
        <is>
          <t>4611000</t>
        </is>
      </c>
      <c r="B110" s="1" t="inlineStr">
        <is>
          <t>FINBL Rente RC DMRRP INV - I BV</t>
        </is>
      </c>
      <c r="D110" s="293" t="n">
        <v>0</v>
      </c>
      <c r="H110" s="290">
        <f>SUM(C110:G110)</f>
        <v/>
      </c>
      <c r="I110" s="290" t="n"/>
    </row>
    <row r="111" ht="12.75" customHeight="1">
      <c r="A111" s="1" t="inlineStr">
        <is>
          <t>4620200</t>
        </is>
      </c>
      <c r="B111" s="1" t="inlineStr">
        <is>
          <t>FINBL Rente ABN AMRO Bank Disposal NL58 ABNA 0818 9180 39</t>
        </is>
      </c>
      <c r="D111" s="293" t="n">
        <v>0</v>
      </c>
      <c r="H111" s="290">
        <f>SUM(C111:G111)</f>
        <v/>
      </c>
      <c r="I111" s="290" t="n"/>
    </row>
    <row r="112" ht="12.75" customHeight="1">
      <c r="A112" s="1" t="inlineStr">
        <is>
          <t>4623001</t>
        </is>
      </c>
      <c r="B112" s="1" t="inlineStr">
        <is>
          <t>FINBL Rente ABN AMRO Bank NV Senior Facility Agreement</t>
        </is>
      </c>
      <c r="D112" s="293" t="n">
        <v>1936807</v>
      </c>
      <c r="E112" s="293" t="n">
        <v>1946836.3</v>
      </c>
      <c r="F112" s="293">
        <f>VLOOKUP(A112,[1]Kolommenbalans!B$1:D$65536,3,FALSE)</f>
        <v/>
      </c>
      <c r="G112" s="293" t="n">
        <v>1738638.91</v>
      </c>
      <c r="H112" s="290">
        <f>SUM(C112:G112)</f>
        <v/>
      </c>
      <c r="I112" s="290" t="n"/>
    </row>
    <row r="113" ht="12.75" customHeight="1">
      <c r="A113" s="1" t="inlineStr">
        <is>
          <t>4643000</t>
        </is>
      </c>
      <c r="B113" s="1" t="inlineStr">
        <is>
          <t>FINBL Overige rentelasten</t>
        </is>
      </c>
      <c r="D113" s="357" t="n">
        <v>-221366</v>
      </c>
      <c r="E113" s="357" t="n">
        <v>-222008</v>
      </c>
      <c r="F113" s="357" t="n">
        <v>-181507</v>
      </c>
      <c r="G113" s="293" t="n">
        <v>-76671.34</v>
      </c>
      <c r="H113" s="290">
        <f>SUM(C113:G113)</f>
        <v/>
      </c>
      <c r="I113" s="362" t="inlineStr">
        <is>
          <t>Correctie SWAP fee naar bankkosten</t>
        </is>
      </c>
    </row>
    <row r="114" ht="12.75" customHeight="1">
      <c r="A114" s="1" t="inlineStr">
        <is>
          <t>4642000</t>
        </is>
      </c>
      <c r="B114" s="1" t="inlineStr">
        <is>
          <t>FINBL Overige rentebaten</t>
        </is>
      </c>
      <c r="D114" s="293" t="n">
        <v>-52</v>
      </c>
      <c r="E114" s="357" t="n">
        <v>0</v>
      </c>
      <c r="F114" s="293">
        <f>VLOOKUP(A114,[1]Kolommenbalans!B$1:D$65536,3,FALSE)</f>
        <v/>
      </c>
      <c r="G114" s="293" t="n">
        <v>1</v>
      </c>
      <c r="H114" s="290">
        <f>SUM(C114:G114)</f>
        <v/>
      </c>
      <c r="I114" s="362" t="inlineStr">
        <is>
          <t>Ovb rente aan DMRRP</t>
        </is>
      </c>
    </row>
    <row r="115" ht="12.75" customHeight="1">
      <c r="A115" s="1" t="inlineStr">
        <is>
          <t>4663000</t>
        </is>
      </c>
      <c r="B115" s="1" t="inlineStr">
        <is>
          <t>FINBL Rente vord DMRRP INV - I BV</t>
        </is>
      </c>
      <c r="D115" s="293" t="n">
        <v>-524297</v>
      </c>
      <c r="E115" s="293" t="n">
        <v>-530364.23</v>
      </c>
      <c r="F115" s="293">
        <f>VLOOKUP(A115,[1]Kolommenbalans!B$1:D$65536,3,FALSE)</f>
        <v/>
      </c>
      <c r="G115" s="293" t="n">
        <v>-468232.28</v>
      </c>
      <c r="H115" s="290">
        <f>SUM(C115:G115)</f>
        <v/>
      </c>
      <c r="I115" s="290" t="n"/>
    </row>
    <row r="116" ht="12.75" customHeight="1">
      <c r="H116" s="290">
        <f>SUM(C116:G116)</f>
        <v/>
      </c>
      <c r="I116" s="290" t="n"/>
    </row>
    <row r="117" ht="12.75" customHeight="1">
      <c r="A117" s="1" t="inlineStr">
        <is>
          <t>9500000</t>
        </is>
      </c>
      <c r="B117" s="1" t="inlineStr">
        <is>
          <t>VPB Vennootschapsbelasting VPB huidig jaar</t>
        </is>
      </c>
      <c r="D117" s="293" t="n">
        <v>0</v>
      </c>
      <c r="H117" s="290">
        <f>SUM(C117:G117)</f>
        <v/>
      </c>
      <c r="I117" s="290" t="n"/>
    </row>
    <row r="118" ht="12.75" customHeight="1">
      <c r="A118" s="1" t="inlineStr">
        <is>
          <t>9510000</t>
        </is>
      </c>
      <c r="B118" s="1" t="inlineStr">
        <is>
          <t>VPB Mutatie belastinglatentie Mutatie actieve latentie</t>
        </is>
      </c>
      <c r="D118" s="293" t="n">
        <v>-160838</v>
      </c>
      <c r="E118" s="293" t="n">
        <v>-176734</v>
      </c>
      <c r="F118" s="293">
        <f>VLOOKUP(A118,[1]Kolommenbalans!B$1:D$65536,3,FALSE)</f>
        <v/>
      </c>
      <c r="G118" s="293" t="n">
        <v>-202710</v>
      </c>
      <c r="H118" s="305">
        <f>SUM(C118:G118)</f>
        <v/>
      </c>
      <c r="I118" s="290" t="n"/>
    </row>
    <row r="119" ht="12.75" customHeight="1">
      <c r="H119" s="290" t="n"/>
      <c r="I119" s="290" t="n"/>
    </row>
    <row r="120" ht="12.75" customHeight="1">
      <c r="A120" s="1" t="inlineStr">
        <is>
          <t>Resultaat na belasting</t>
        </is>
      </c>
      <c r="D120" s="293">
        <f>SUM(D72:D118)</f>
        <v/>
      </c>
      <c r="E120" s="293">
        <f>SUM(E72:E118)</f>
        <v/>
      </c>
      <c r="F120" s="293">
        <f>SUM(F72:F118)</f>
        <v/>
      </c>
      <c r="G120" s="293">
        <f>SUM(G72:G118)</f>
        <v/>
      </c>
      <c r="H120" s="290">
        <f>SUM(C120:G120)</f>
        <v/>
      </c>
      <c r="I120" s="290" t="n"/>
    </row>
    <row r="122" ht="12.75" customHeight="1">
      <c r="A122" s="1" t="inlineStr">
        <is>
          <t>Verschil balans en winst-en-verlies</t>
        </is>
      </c>
      <c r="D122" s="293">
        <f>SUM(D5:D118)</f>
        <v/>
      </c>
      <c r="E122" s="293">
        <f>SUM(E5:E118)</f>
        <v/>
      </c>
      <c r="F122" s="293">
        <f>SUM(F5:F118)</f>
        <v/>
      </c>
      <c r="G122" s="293">
        <f>SUM(G5:G118)</f>
        <v/>
      </c>
      <c r="H122" s="293">
        <f>SUM(H5:H118)</f>
        <v/>
      </c>
    </row>
    <row r="124" ht="12.75" customHeight="1">
      <c r="A124" s="130" t="inlineStr">
        <is>
          <t>afschrijving SWAP</t>
        </is>
      </c>
      <c r="C124" s="341" t="n"/>
      <c r="D124" s="289">
        <f>36883.33*3</f>
        <v/>
      </c>
      <c r="E124" s="289">
        <f>36883.33*3</f>
        <v/>
      </c>
      <c r="F124" s="289">
        <f>36883.33*3</f>
        <v/>
      </c>
      <c r="G124" s="289">
        <f>36883.33*3</f>
        <v/>
      </c>
      <c r="H124" s="290" t="n"/>
    </row>
    <row r="125" ht="12.75" customHeight="1">
      <c r="A125" s="130" t="inlineStr">
        <is>
          <t>Inkomsten SWAP</t>
        </is>
      </c>
      <c r="C125" s="341" t="n"/>
      <c r="D125" s="341" t="n">
        <v>-332016.32</v>
      </c>
      <c r="E125" s="341" t="n">
        <v>-332658.47</v>
      </c>
      <c r="F125" s="359" t="n">
        <v>-292157.34</v>
      </c>
      <c r="G125" s="359" t="n">
        <v>-187321.85</v>
      </c>
      <c r="H125" s="290" t="n"/>
    </row>
    <row r="126" ht="12.75" customHeight="1">
      <c r="A126" s="130" t="n"/>
      <c r="C126" s="341" t="n"/>
      <c r="D126" s="341" t="n"/>
      <c r="E126" s="341" t="n"/>
      <c r="F126" s="341" t="n"/>
      <c r="G126" s="341" t="n"/>
      <c r="H126" s="290" t="n"/>
    </row>
    <row r="127" ht="12.75" customHeight="1">
      <c r="A127" s="130" t="inlineStr">
        <is>
          <t>Rente</t>
        </is>
      </c>
      <c r="C127" s="341" t="n"/>
      <c r="D127" s="341">
        <f>D112</f>
        <v/>
      </c>
      <c r="E127" s="341">
        <f>E112</f>
        <v/>
      </c>
      <c r="F127" s="341">
        <f>F112</f>
        <v/>
      </c>
      <c r="G127" s="341">
        <f>G112</f>
        <v/>
      </c>
      <c r="H127" s="341">
        <f>H112+H109+H111+H110</f>
        <v/>
      </c>
    </row>
    <row r="128" ht="12.75" customHeight="1">
      <c r="A128" s="130" t="inlineStr">
        <is>
          <t>SWAP</t>
        </is>
      </c>
      <c r="C128" s="341" t="n"/>
      <c r="D128" s="341">
        <f>D125</f>
        <v/>
      </c>
      <c r="E128" s="360">
        <f>E125</f>
        <v/>
      </c>
      <c r="F128" s="360">
        <f>F125</f>
        <v/>
      </c>
      <c r="G128" s="360">
        <f>G125</f>
        <v/>
      </c>
      <c r="H128" s="351">
        <f>SUM(D128:G128)</f>
        <v/>
      </c>
    </row>
    <row r="129" ht="12.75" customHeight="1">
      <c r="A129" s="130" t="inlineStr">
        <is>
          <t>Afschrijving prepaid derivatives transaction</t>
        </is>
      </c>
      <c r="C129" s="341" t="n"/>
      <c r="D129" s="341">
        <f>D124</f>
        <v/>
      </c>
      <c r="E129" s="360">
        <f>E124</f>
        <v/>
      </c>
      <c r="F129" s="360">
        <f>F124</f>
        <v/>
      </c>
      <c r="G129" s="360">
        <f>G124</f>
        <v/>
      </c>
      <c r="H129" s="351">
        <f>SUM(D129:G129)</f>
        <v/>
      </c>
    </row>
    <row r="130" ht="12.75" customHeight="1">
      <c r="A130" s="130" t="inlineStr">
        <is>
          <t>IC interest</t>
        </is>
      </c>
      <c r="C130" s="341" t="n"/>
      <c r="D130" s="341">
        <f>D110+D115</f>
        <v/>
      </c>
      <c r="E130" s="341">
        <f>E110+E115</f>
        <v/>
      </c>
      <c r="F130" s="341">
        <f>F110+F115</f>
        <v/>
      </c>
      <c r="G130" s="341">
        <f>G110+G115</f>
        <v/>
      </c>
      <c r="H130" s="290">
        <f>SUM(D130:G130)</f>
        <v/>
      </c>
    </row>
    <row r="131" ht="12.75" customHeight="1">
      <c r="D131" s="341">
        <f>SUM(D127:D130)</f>
        <v/>
      </c>
      <c r="E131" s="341">
        <f>SUM(E127:E130)</f>
        <v/>
      </c>
      <c r="F131" s="341">
        <f>SUM(F127:F130)</f>
        <v/>
      </c>
      <c r="G131" s="341">
        <f>SUM(G127:G130)</f>
        <v/>
      </c>
      <c r="H131" s="290">
        <f>SUM(D131:G131)</f>
        <v/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133"/>
  <sheetViews>
    <sheetView topLeftCell="A82" zoomScaleNormal="100" workbookViewId="0">
      <selection activeCell="G130" sqref="G130"/>
    </sheetView>
  </sheetViews>
  <sheetFormatPr baseColWidth="8" defaultRowHeight="12.75" customHeight="1"/>
  <cols>
    <col width="12.88671875" bestFit="1" customWidth="1" style="1" min="1" max="1"/>
    <col width="70" bestFit="1" customWidth="1" style="1" min="2" max="2"/>
    <col width="26" bestFit="1" customWidth="1" style="293" min="3" max="3"/>
    <col width="17.5546875" customWidth="1" style="293" min="4" max="7"/>
    <col width="20.44140625" bestFit="1" customWidth="1" style="1" min="8" max="8"/>
    <col width="11.33203125" bestFit="1" customWidth="1" style="1" min="9" max="9"/>
    <col width="9.109375" customWidth="1" style="1" min="10" max="10"/>
    <col width="10.88671875" bestFit="1" customWidth="1" style="1" min="11" max="11"/>
    <col width="9.109375" customWidth="1" style="1" min="12" max="256"/>
    <col width="12.88671875" bestFit="1" customWidth="1" style="1" min="257" max="257"/>
    <col width="70" bestFit="1" customWidth="1" style="1" min="258" max="258"/>
    <col width="26" bestFit="1" customWidth="1" style="1" min="259" max="259"/>
    <col width="17.5546875" customWidth="1" style="1" min="260" max="263"/>
    <col width="20.44140625" bestFit="1" customWidth="1" style="1" min="264" max="264"/>
    <col width="11.33203125" bestFit="1" customWidth="1" style="1" min="265" max="265"/>
    <col width="9.109375" customWidth="1" style="1" min="266" max="266"/>
    <col width="10.88671875" bestFit="1" customWidth="1" style="1" min="267" max="267"/>
    <col width="9.109375" customWidth="1" style="1" min="268" max="512"/>
    <col width="12.88671875" bestFit="1" customWidth="1" style="1" min="513" max="513"/>
    <col width="70" bestFit="1" customWidth="1" style="1" min="514" max="514"/>
    <col width="26" bestFit="1" customWidth="1" style="1" min="515" max="515"/>
    <col width="17.5546875" customWidth="1" style="1" min="516" max="519"/>
    <col width="20.44140625" bestFit="1" customWidth="1" style="1" min="520" max="520"/>
    <col width="11.33203125" bestFit="1" customWidth="1" style="1" min="521" max="521"/>
    <col width="9.109375" customWidth="1" style="1" min="522" max="522"/>
    <col width="10.88671875" bestFit="1" customWidth="1" style="1" min="523" max="523"/>
    <col width="9.109375" customWidth="1" style="1" min="524" max="768"/>
    <col width="12.88671875" bestFit="1" customWidth="1" style="1" min="769" max="769"/>
    <col width="70" bestFit="1" customWidth="1" style="1" min="770" max="770"/>
    <col width="26" bestFit="1" customWidth="1" style="1" min="771" max="771"/>
    <col width="17.5546875" customWidth="1" style="1" min="772" max="775"/>
    <col width="20.44140625" bestFit="1" customWidth="1" style="1" min="776" max="776"/>
    <col width="11.33203125" bestFit="1" customWidth="1" style="1" min="777" max="777"/>
    <col width="9.109375" customWidth="1" style="1" min="778" max="778"/>
    <col width="10.88671875" bestFit="1" customWidth="1" style="1" min="779" max="779"/>
    <col width="9.109375" customWidth="1" style="1" min="780" max="1024"/>
    <col width="12.88671875" bestFit="1" customWidth="1" style="1" min="1025" max="1025"/>
    <col width="70" bestFit="1" customWidth="1" style="1" min="1026" max="1026"/>
    <col width="26" bestFit="1" customWidth="1" style="1" min="1027" max="1027"/>
    <col width="17.5546875" customWidth="1" style="1" min="1028" max="1031"/>
    <col width="20.44140625" bestFit="1" customWidth="1" style="1" min="1032" max="1032"/>
    <col width="11.33203125" bestFit="1" customWidth="1" style="1" min="1033" max="1033"/>
    <col width="9.109375" customWidth="1" style="1" min="1034" max="1034"/>
    <col width="10.88671875" bestFit="1" customWidth="1" style="1" min="1035" max="1035"/>
    <col width="9.109375" customWidth="1" style="1" min="1036" max="1280"/>
    <col width="12.88671875" bestFit="1" customWidth="1" style="1" min="1281" max="1281"/>
    <col width="70" bestFit="1" customWidth="1" style="1" min="1282" max="1282"/>
    <col width="26" bestFit="1" customWidth="1" style="1" min="1283" max="1283"/>
    <col width="17.5546875" customWidth="1" style="1" min="1284" max="1287"/>
    <col width="20.44140625" bestFit="1" customWidth="1" style="1" min="1288" max="1288"/>
    <col width="11.33203125" bestFit="1" customWidth="1" style="1" min="1289" max="1289"/>
    <col width="9.109375" customWidth="1" style="1" min="1290" max="1290"/>
    <col width="10.88671875" bestFit="1" customWidth="1" style="1" min="1291" max="1291"/>
    <col width="9.109375" customWidth="1" style="1" min="1292" max="1536"/>
    <col width="12.88671875" bestFit="1" customWidth="1" style="1" min="1537" max="1537"/>
    <col width="70" bestFit="1" customWidth="1" style="1" min="1538" max="1538"/>
    <col width="26" bestFit="1" customWidth="1" style="1" min="1539" max="1539"/>
    <col width="17.5546875" customWidth="1" style="1" min="1540" max="1543"/>
    <col width="20.44140625" bestFit="1" customWidth="1" style="1" min="1544" max="1544"/>
    <col width="11.33203125" bestFit="1" customWidth="1" style="1" min="1545" max="1545"/>
    <col width="9.109375" customWidth="1" style="1" min="1546" max="1546"/>
    <col width="10.88671875" bestFit="1" customWidth="1" style="1" min="1547" max="1547"/>
    <col width="9.109375" customWidth="1" style="1" min="1548" max="1792"/>
    <col width="12.88671875" bestFit="1" customWidth="1" style="1" min="1793" max="1793"/>
    <col width="70" bestFit="1" customWidth="1" style="1" min="1794" max="1794"/>
    <col width="26" bestFit="1" customWidth="1" style="1" min="1795" max="1795"/>
    <col width="17.5546875" customWidth="1" style="1" min="1796" max="1799"/>
    <col width="20.44140625" bestFit="1" customWidth="1" style="1" min="1800" max="1800"/>
    <col width="11.33203125" bestFit="1" customWidth="1" style="1" min="1801" max="1801"/>
    <col width="9.109375" customWidth="1" style="1" min="1802" max="1802"/>
    <col width="10.88671875" bestFit="1" customWidth="1" style="1" min="1803" max="1803"/>
    <col width="9.109375" customWidth="1" style="1" min="1804" max="2048"/>
    <col width="12.88671875" bestFit="1" customWidth="1" style="1" min="2049" max="2049"/>
    <col width="70" bestFit="1" customWidth="1" style="1" min="2050" max="2050"/>
    <col width="26" bestFit="1" customWidth="1" style="1" min="2051" max="2051"/>
    <col width="17.5546875" customWidth="1" style="1" min="2052" max="2055"/>
    <col width="20.44140625" bestFit="1" customWidth="1" style="1" min="2056" max="2056"/>
    <col width="11.33203125" bestFit="1" customWidth="1" style="1" min="2057" max="2057"/>
    <col width="9.109375" customWidth="1" style="1" min="2058" max="2058"/>
    <col width="10.88671875" bestFit="1" customWidth="1" style="1" min="2059" max="2059"/>
    <col width="9.109375" customWidth="1" style="1" min="2060" max="2304"/>
    <col width="12.88671875" bestFit="1" customWidth="1" style="1" min="2305" max="2305"/>
    <col width="70" bestFit="1" customWidth="1" style="1" min="2306" max="2306"/>
    <col width="26" bestFit="1" customWidth="1" style="1" min="2307" max="2307"/>
    <col width="17.5546875" customWidth="1" style="1" min="2308" max="2311"/>
    <col width="20.44140625" bestFit="1" customWidth="1" style="1" min="2312" max="2312"/>
    <col width="11.33203125" bestFit="1" customWidth="1" style="1" min="2313" max="2313"/>
    <col width="9.109375" customWidth="1" style="1" min="2314" max="2314"/>
    <col width="10.88671875" bestFit="1" customWidth="1" style="1" min="2315" max="2315"/>
    <col width="9.109375" customWidth="1" style="1" min="2316" max="2560"/>
    <col width="12.88671875" bestFit="1" customWidth="1" style="1" min="2561" max="2561"/>
    <col width="70" bestFit="1" customWidth="1" style="1" min="2562" max="2562"/>
    <col width="26" bestFit="1" customWidth="1" style="1" min="2563" max="2563"/>
    <col width="17.5546875" customWidth="1" style="1" min="2564" max="2567"/>
    <col width="20.44140625" bestFit="1" customWidth="1" style="1" min="2568" max="2568"/>
    <col width="11.33203125" bestFit="1" customWidth="1" style="1" min="2569" max="2569"/>
    <col width="9.109375" customWidth="1" style="1" min="2570" max="2570"/>
    <col width="10.88671875" bestFit="1" customWidth="1" style="1" min="2571" max="2571"/>
    <col width="9.109375" customWidth="1" style="1" min="2572" max="2816"/>
    <col width="12.88671875" bestFit="1" customWidth="1" style="1" min="2817" max="2817"/>
    <col width="70" bestFit="1" customWidth="1" style="1" min="2818" max="2818"/>
    <col width="26" bestFit="1" customWidth="1" style="1" min="2819" max="2819"/>
    <col width="17.5546875" customWidth="1" style="1" min="2820" max="2823"/>
    <col width="20.44140625" bestFit="1" customWidth="1" style="1" min="2824" max="2824"/>
    <col width="11.33203125" bestFit="1" customWidth="1" style="1" min="2825" max="2825"/>
    <col width="9.109375" customWidth="1" style="1" min="2826" max="2826"/>
    <col width="10.88671875" bestFit="1" customWidth="1" style="1" min="2827" max="2827"/>
    <col width="9.109375" customWidth="1" style="1" min="2828" max="3072"/>
    <col width="12.88671875" bestFit="1" customWidth="1" style="1" min="3073" max="3073"/>
    <col width="70" bestFit="1" customWidth="1" style="1" min="3074" max="3074"/>
    <col width="26" bestFit="1" customWidth="1" style="1" min="3075" max="3075"/>
    <col width="17.5546875" customWidth="1" style="1" min="3076" max="3079"/>
    <col width="20.44140625" bestFit="1" customWidth="1" style="1" min="3080" max="3080"/>
    <col width="11.33203125" bestFit="1" customWidth="1" style="1" min="3081" max="3081"/>
    <col width="9.109375" customWidth="1" style="1" min="3082" max="3082"/>
    <col width="10.88671875" bestFit="1" customWidth="1" style="1" min="3083" max="3083"/>
    <col width="9.109375" customWidth="1" style="1" min="3084" max="3328"/>
    <col width="12.88671875" bestFit="1" customWidth="1" style="1" min="3329" max="3329"/>
    <col width="70" bestFit="1" customWidth="1" style="1" min="3330" max="3330"/>
    <col width="26" bestFit="1" customWidth="1" style="1" min="3331" max="3331"/>
    <col width="17.5546875" customWidth="1" style="1" min="3332" max="3335"/>
    <col width="20.44140625" bestFit="1" customWidth="1" style="1" min="3336" max="3336"/>
    <col width="11.33203125" bestFit="1" customWidth="1" style="1" min="3337" max="3337"/>
    <col width="9.109375" customWidth="1" style="1" min="3338" max="3338"/>
    <col width="10.88671875" bestFit="1" customWidth="1" style="1" min="3339" max="3339"/>
    <col width="9.109375" customWidth="1" style="1" min="3340" max="3584"/>
    <col width="12.88671875" bestFit="1" customWidth="1" style="1" min="3585" max="3585"/>
    <col width="70" bestFit="1" customWidth="1" style="1" min="3586" max="3586"/>
    <col width="26" bestFit="1" customWidth="1" style="1" min="3587" max="3587"/>
    <col width="17.5546875" customWidth="1" style="1" min="3588" max="3591"/>
    <col width="20.44140625" bestFit="1" customWidth="1" style="1" min="3592" max="3592"/>
    <col width="11.33203125" bestFit="1" customWidth="1" style="1" min="3593" max="3593"/>
    <col width="9.109375" customWidth="1" style="1" min="3594" max="3594"/>
    <col width="10.88671875" bestFit="1" customWidth="1" style="1" min="3595" max="3595"/>
    <col width="9.109375" customWidth="1" style="1" min="3596" max="3840"/>
    <col width="12.88671875" bestFit="1" customWidth="1" style="1" min="3841" max="3841"/>
    <col width="70" bestFit="1" customWidth="1" style="1" min="3842" max="3842"/>
    <col width="26" bestFit="1" customWidth="1" style="1" min="3843" max="3843"/>
    <col width="17.5546875" customWidth="1" style="1" min="3844" max="3847"/>
    <col width="20.44140625" bestFit="1" customWidth="1" style="1" min="3848" max="3848"/>
    <col width="11.33203125" bestFit="1" customWidth="1" style="1" min="3849" max="3849"/>
    <col width="9.109375" customWidth="1" style="1" min="3850" max="3850"/>
    <col width="10.88671875" bestFit="1" customWidth="1" style="1" min="3851" max="3851"/>
    <col width="9.109375" customWidth="1" style="1" min="3852" max="4096"/>
    <col width="12.88671875" bestFit="1" customWidth="1" style="1" min="4097" max="4097"/>
    <col width="70" bestFit="1" customWidth="1" style="1" min="4098" max="4098"/>
    <col width="26" bestFit="1" customWidth="1" style="1" min="4099" max="4099"/>
    <col width="17.5546875" customWidth="1" style="1" min="4100" max="4103"/>
    <col width="20.44140625" bestFit="1" customWidth="1" style="1" min="4104" max="4104"/>
    <col width="11.33203125" bestFit="1" customWidth="1" style="1" min="4105" max="4105"/>
    <col width="9.109375" customWidth="1" style="1" min="4106" max="4106"/>
    <col width="10.88671875" bestFit="1" customWidth="1" style="1" min="4107" max="4107"/>
    <col width="9.109375" customWidth="1" style="1" min="4108" max="4352"/>
    <col width="12.88671875" bestFit="1" customWidth="1" style="1" min="4353" max="4353"/>
    <col width="70" bestFit="1" customWidth="1" style="1" min="4354" max="4354"/>
    <col width="26" bestFit="1" customWidth="1" style="1" min="4355" max="4355"/>
    <col width="17.5546875" customWidth="1" style="1" min="4356" max="4359"/>
    <col width="20.44140625" bestFit="1" customWidth="1" style="1" min="4360" max="4360"/>
    <col width="11.33203125" bestFit="1" customWidth="1" style="1" min="4361" max="4361"/>
    <col width="9.109375" customWidth="1" style="1" min="4362" max="4362"/>
    <col width="10.88671875" bestFit="1" customWidth="1" style="1" min="4363" max="4363"/>
    <col width="9.109375" customWidth="1" style="1" min="4364" max="4608"/>
    <col width="12.88671875" bestFit="1" customWidth="1" style="1" min="4609" max="4609"/>
    <col width="70" bestFit="1" customWidth="1" style="1" min="4610" max="4610"/>
    <col width="26" bestFit="1" customWidth="1" style="1" min="4611" max="4611"/>
    <col width="17.5546875" customWidth="1" style="1" min="4612" max="4615"/>
    <col width="20.44140625" bestFit="1" customWidth="1" style="1" min="4616" max="4616"/>
    <col width="11.33203125" bestFit="1" customWidth="1" style="1" min="4617" max="4617"/>
    <col width="9.109375" customWidth="1" style="1" min="4618" max="4618"/>
    <col width="10.88671875" bestFit="1" customWidth="1" style="1" min="4619" max="4619"/>
    <col width="9.109375" customWidth="1" style="1" min="4620" max="4864"/>
    <col width="12.88671875" bestFit="1" customWidth="1" style="1" min="4865" max="4865"/>
    <col width="70" bestFit="1" customWidth="1" style="1" min="4866" max="4866"/>
    <col width="26" bestFit="1" customWidth="1" style="1" min="4867" max="4867"/>
    <col width="17.5546875" customWidth="1" style="1" min="4868" max="4871"/>
    <col width="20.44140625" bestFit="1" customWidth="1" style="1" min="4872" max="4872"/>
    <col width="11.33203125" bestFit="1" customWidth="1" style="1" min="4873" max="4873"/>
    <col width="9.109375" customWidth="1" style="1" min="4874" max="4874"/>
    <col width="10.88671875" bestFit="1" customWidth="1" style="1" min="4875" max="4875"/>
    <col width="9.109375" customWidth="1" style="1" min="4876" max="5120"/>
    <col width="12.88671875" bestFit="1" customWidth="1" style="1" min="5121" max="5121"/>
    <col width="70" bestFit="1" customWidth="1" style="1" min="5122" max="5122"/>
    <col width="26" bestFit="1" customWidth="1" style="1" min="5123" max="5123"/>
    <col width="17.5546875" customWidth="1" style="1" min="5124" max="5127"/>
    <col width="20.44140625" bestFit="1" customWidth="1" style="1" min="5128" max="5128"/>
    <col width="11.33203125" bestFit="1" customWidth="1" style="1" min="5129" max="5129"/>
    <col width="9.109375" customWidth="1" style="1" min="5130" max="5130"/>
    <col width="10.88671875" bestFit="1" customWidth="1" style="1" min="5131" max="5131"/>
    <col width="9.109375" customWidth="1" style="1" min="5132" max="5376"/>
    <col width="12.88671875" bestFit="1" customWidth="1" style="1" min="5377" max="5377"/>
    <col width="70" bestFit="1" customWidth="1" style="1" min="5378" max="5378"/>
    <col width="26" bestFit="1" customWidth="1" style="1" min="5379" max="5379"/>
    <col width="17.5546875" customWidth="1" style="1" min="5380" max="5383"/>
    <col width="20.44140625" bestFit="1" customWidth="1" style="1" min="5384" max="5384"/>
    <col width="11.33203125" bestFit="1" customWidth="1" style="1" min="5385" max="5385"/>
    <col width="9.109375" customWidth="1" style="1" min="5386" max="5386"/>
    <col width="10.88671875" bestFit="1" customWidth="1" style="1" min="5387" max="5387"/>
    <col width="9.109375" customWidth="1" style="1" min="5388" max="5632"/>
    <col width="12.88671875" bestFit="1" customWidth="1" style="1" min="5633" max="5633"/>
    <col width="70" bestFit="1" customWidth="1" style="1" min="5634" max="5634"/>
    <col width="26" bestFit="1" customWidth="1" style="1" min="5635" max="5635"/>
    <col width="17.5546875" customWidth="1" style="1" min="5636" max="5639"/>
    <col width="20.44140625" bestFit="1" customWidth="1" style="1" min="5640" max="5640"/>
    <col width="11.33203125" bestFit="1" customWidth="1" style="1" min="5641" max="5641"/>
    <col width="9.109375" customWidth="1" style="1" min="5642" max="5642"/>
    <col width="10.88671875" bestFit="1" customWidth="1" style="1" min="5643" max="5643"/>
    <col width="9.109375" customWidth="1" style="1" min="5644" max="5888"/>
    <col width="12.88671875" bestFit="1" customWidth="1" style="1" min="5889" max="5889"/>
    <col width="70" bestFit="1" customWidth="1" style="1" min="5890" max="5890"/>
    <col width="26" bestFit="1" customWidth="1" style="1" min="5891" max="5891"/>
    <col width="17.5546875" customWidth="1" style="1" min="5892" max="5895"/>
    <col width="20.44140625" bestFit="1" customWidth="1" style="1" min="5896" max="5896"/>
    <col width="11.33203125" bestFit="1" customWidth="1" style="1" min="5897" max="5897"/>
    <col width="9.109375" customWidth="1" style="1" min="5898" max="5898"/>
    <col width="10.88671875" bestFit="1" customWidth="1" style="1" min="5899" max="5899"/>
    <col width="9.109375" customWidth="1" style="1" min="5900" max="6144"/>
    <col width="12.88671875" bestFit="1" customWidth="1" style="1" min="6145" max="6145"/>
    <col width="70" bestFit="1" customWidth="1" style="1" min="6146" max="6146"/>
    <col width="26" bestFit="1" customWidth="1" style="1" min="6147" max="6147"/>
    <col width="17.5546875" customWidth="1" style="1" min="6148" max="6151"/>
    <col width="20.44140625" bestFit="1" customWidth="1" style="1" min="6152" max="6152"/>
    <col width="11.33203125" bestFit="1" customWidth="1" style="1" min="6153" max="6153"/>
    <col width="9.109375" customWidth="1" style="1" min="6154" max="6154"/>
    <col width="10.88671875" bestFit="1" customWidth="1" style="1" min="6155" max="6155"/>
    <col width="9.109375" customWidth="1" style="1" min="6156" max="6400"/>
    <col width="12.88671875" bestFit="1" customWidth="1" style="1" min="6401" max="6401"/>
    <col width="70" bestFit="1" customWidth="1" style="1" min="6402" max="6402"/>
    <col width="26" bestFit="1" customWidth="1" style="1" min="6403" max="6403"/>
    <col width="17.5546875" customWidth="1" style="1" min="6404" max="6407"/>
    <col width="20.44140625" bestFit="1" customWidth="1" style="1" min="6408" max="6408"/>
    <col width="11.33203125" bestFit="1" customWidth="1" style="1" min="6409" max="6409"/>
    <col width="9.109375" customWidth="1" style="1" min="6410" max="6410"/>
    <col width="10.88671875" bestFit="1" customWidth="1" style="1" min="6411" max="6411"/>
    <col width="9.109375" customWidth="1" style="1" min="6412" max="6656"/>
    <col width="12.88671875" bestFit="1" customWidth="1" style="1" min="6657" max="6657"/>
    <col width="70" bestFit="1" customWidth="1" style="1" min="6658" max="6658"/>
    <col width="26" bestFit="1" customWidth="1" style="1" min="6659" max="6659"/>
    <col width="17.5546875" customWidth="1" style="1" min="6660" max="6663"/>
    <col width="20.44140625" bestFit="1" customWidth="1" style="1" min="6664" max="6664"/>
    <col width="11.33203125" bestFit="1" customWidth="1" style="1" min="6665" max="6665"/>
    <col width="9.109375" customWidth="1" style="1" min="6666" max="6666"/>
    <col width="10.88671875" bestFit="1" customWidth="1" style="1" min="6667" max="6667"/>
    <col width="9.109375" customWidth="1" style="1" min="6668" max="6912"/>
    <col width="12.88671875" bestFit="1" customWidth="1" style="1" min="6913" max="6913"/>
    <col width="70" bestFit="1" customWidth="1" style="1" min="6914" max="6914"/>
    <col width="26" bestFit="1" customWidth="1" style="1" min="6915" max="6915"/>
    <col width="17.5546875" customWidth="1" style="1" min="6916" max="6919"/>
    <col width="20.44140625" bestFit="1" customWidth="1" style="1" min="6920" max="6920"/>
    <col width="11.33203125" bestFit="1" customWidth="1" style="1" min="6921" max="6921"/>
    <col width="9.109375" customWidth="1" style="1" min="6922" max="6922"/>
    <col width="10.88671875" bestFit="1" customWidth="1" style="1" min="6923" max="6923"/>
    <col width="9.109375" customWidth="1" style="1" min="6924" max="7168"/>
    <col width="12.88671875" bestFit="1" customWidth="1" style="1" min="7169" max="7169"/>
    <col width="70" bestFit="1" customWidth="1" style="1" min="7170" max="7170"/>
    <col width="26" bestFit="1" customWidth="1" style="1" min="7171" max="7171"/>
    <col width="17.5546875" customWidth="1" style="1" min="7172" max="7175"/>
    <col width="20.44140625" bestFit="1" customWidth="1" style="1" min="7176" max="7176"/>
    <col width="11.33203125" bestFit="1" customWidth="1" style="1" min="7177" max="7177"/>
    <col width="9.109375" customWidth="1" style="1" min="7178" max="7178"/>
    <col width="10.88671875" bestFit="1" customWidth="1" style="1" min="7179" max="7179"/>
    <col width="9.109375" customWidth="1" style="1" min="7180" max="7424"/>
    <col width="12.88671875" bestFit="1" customWidth="1" style="1" min="7425" max="7425"/>
    <col width="70" bestFit="1" customWidth="1" style="1" min="7426" max="7426"/>
    <col width="26" bestFit="1" customWidth="1" style="1" min="7427" max="7427"/>
    <col width="17.5546875" customWidth="1" style="1" min="7428" max="7431"/>
    <col width="20.44140625" bestFit="1" customWidth="1" style="1" min="7432" max="7432"/>
    <col width="11.33203125" bestFit="1" customWidth="1" style="1" min="7433" max="7433"/>
    <col width="9.109375" customWidth="1" style="1" min="7434" max="7434"/>
    <col width="10.88671875" bestFit="1" customWidth="1" style="1" min="7435" max="7435"/>
    <col width="9.109375" customWidth="1" style="1" min="7436" max="7680"/>
    <col width="12.88671875" bestFit="1" customWidth="1" style="1" min="7681" max="7681"/>
    <col width="70" bestFit="1" customWidth="1" style="1" min="7682" max="7682"/>
    <col width="26" bestFit="1" customWidth="1" style="1" min="7683" max="7683"/>
    <col width="17.5546875" customWidth="1" style="1" min="7684" max="7687"/>
    <col width="20.44140625" bestFit="1" customWidth="1" style="1" min="7688" max="7688"/>
    <col width="11.33203125" bestFit="1" customWidth="1" style="1" min="7689" max="7689"/>
    <col width="9.109375" customWidth="1" style="1" min="7690" max="7690"/>
    <col width="10.88671875" bestFit="1" customWidth="1" style="1" min="7691" max="7691"/>
    <col width="9.109375" customWidth="1" style="1" min="7692" max="7936"/>
    <col width="12.88671875" bestFit="1" customWidth="1" style="1" min="7937" max="7937"/>
    <col width="70" bestFit="1" customWidth="1" style="1" min="7938" max="7938"/>
    <col width="26" bestFit="1" customWidth="1" style="1" min="7939" max="7939"/>
    <col width="17.5546875" customWidth="1" style="1" min="7940" max="7943"/>
    <col width="20.44140625" bestFit="1" customWidth="1" style="1" min="7944" max="7944"/>
    <col width="11.33203125" bestFit="1" customWidth="1" style="1" min="7945" max="7945"/>
    <col width="9.109375" customWidth="1" style="1" min="7946" max="7946"/>
    <col width="10.88671875" bestFit="1" customWidth="1" style="1" min="7947" max="7947"/>
    <col width="9.109375" customWidth="1" style="1" min="7948" max="8192"/>
    <col width="12.88671875" bestFit="1" customWidth="1" style="1" min="8193" max="8193"/>
    <col width="70" bestFit="1" customWidth="1" style="1" min="8194" max="8194"/>
    <col width="26" bestFit="1" customWidth="1" style="1" min="8195" max="8195"/>
    <col width="17.5546875" customWidth="1" style="1" min="8196" max="8199"/>
    <col width="20.44140625" bestFit="1" customWidth="1" style="1" min="8200" max="8200"/>
    <col width="11.33203125" bestFit="1" customWidth="1" style="1" min="8201" max="8201"/>
    <col width="9.109375" customWidth="1" style="1" min="8202" max="8202"/>
    <col width="10.88671875" bestFit="1" customWidth="1" style="1" min="8203" max="8203"/>
    <col width="9.109375" customWidth="1" style="1" min="8204" max="8448"/>
    <col width="12.88671875" bestFit="1" customWidth="1" style="1" min="8449" max="8449"/>
    <col width="70" bestFit="1" customWidth="1" style="1" min="8450" max="8450"/>
    <col width="26" bestFit="1" customWidth="1" style="1" min="8451" max="8451"/>
    <col width="17.5546875" customWidth="1" style="1" min="8452" max="8455"/>
    <col width="20.44140625" bestFit="1" customWidth="1" style="1" min="8456" max="8456"/>
    <col width="11.33203125" bestFit="1" customWidth="1" style="1" min="8457" max="8457"/>
    <col width="9.109375" customWidth="1" style="1" min="8458" max="8458"/>
    <col width="10.88671875" bestFit="1" customWidth="1" style="1" min="8459" max="8459"/>
    <col width="9.109375" customWidth="1" style="1" min="8460" max="8704"/>
    <col width="12.88671875" bestFit="1" customWidth="1" style="1" min="8705" max="8705"/>
    <col width="70" bestFit="1" customWidth="1" style="1" min="8706" max="8706"/>
    <col width="26" bestFit="1" customWidth="1" style="1" min="8707" max="8707"/>
    <col width="17.5546875" customWidth="1" style="1" min="8708" max="8711"/>
    <col width="20.44140625" bestFit="1" customWidth="1" style="1" min="8712" max="8712"/>
    <col width="11.33203125" bestFit="1" customWidth="1" style="1" min="8713" max="8713"/>
    <col width="9.109375" customWidth="1" style="1" min="8714" max="8714"/>
    <col width="10.88671875" bestFit="1" customWidth="1" style="1" min="8715" max="8715"/>
    <col width="9.109375" customWidth="1" style="1" min="8716" max="8960"/>
    <col width="12.88671875" bestFit="1" customWidth="1" style="1" min="8961" max="8961"/>
    <col width="70" bestFit="1" customWidth="1" style="1" min="8962" max="8962"/>
    <col width="26" bestFit="1" customWidth="1" style="1" min="8963" max="8963"/>
    <col width="17.5546875" customWidth="1" style="1" min="8964" max="8967"/>
    <col width="20.44140625" bestFit="1" customWidth="1" style="1" min="8968" max="8968"/>
    <col width="11.33203125" bestFit="1" customWidth="1" style="1" min="8969" max="8969"/>
    <col width="9.109375" customWidth="1" style="1" min="8970" max="8970"/>
    <col width="10.88671875" bestFit="1" customWidth="1" style="1" min="8971" max="8971"/>
    <col width="9.109375" customWidth="1" style="1" min="8972" max="9216"/>
    <col width="12.88671875" bestFit="1" customWidth="1" style="1" min="9217" max="9217"/>
    <col width="70" bestFit="1" customWidth="1" style="1" min="9218" max="9218"/>
    <col width="26" bestFit="1" customWidth="1" style="1" min="9219" max="9219"/>
    <col width="17.5546875" customWidth="1" style="1" min="9220" max="9223"/>
    <col width="20.44140625" bestFit="1" customWidth="1" style="1" min="9224" max="9224"/>
    <col width="11.33203125" bestFit="1" customWidth="1" style="1" min="9225" max="9225"/>
    <col width="9.109375" customWidth="1" style="1" min="9226" max="9226"/>
    <col width="10.88671875" bestFit="1" customWidth="1" style="1" min="9227" max="9227"/>
    <col width="9.109375" customWidth="1" style="1" min="9228" max="9472"/>
    <col width="12.88671875" bestFit="1" customWidth="1" style="1" min="9473" max="9473"/>
    <col width="70" bestFit="1" customWidth="1" style="1" min="9474" max="9474"/>
    <col width="26" bestFit="1" customWidth="1" style="1" min="9475" max="9475"/>
    <col width="17.5546875" customWidth="1" style="1" min="9476" max="9479"/>
    <col width="20.44140625" bestFit="1" customWidth="1" style="1" min="9480" max="9480"/>
    <col width="11.33203125" bestFit="1" customWidth="1" style="1" min="9481" max="9481"/>
    <col width="9.109375" customWidth="1" style="1" min="9482" max="9482"/>
    <col width="10.88671875" bestFit="1" customWidth="1" style="1" min="9483" max="9483"/>
    <col width="9.109375" customWidth="1" style="1" min="9484" max="9728"/>
    <col width="12.88671875" bestFit="1" customWidth="1" style="1" min="9729" max="9729"/>
    <col width="70" bestFit="1" customWidth="1" style="1" min="9730" max="9730"/>
    <col width="26" bestFit="1" customWidth="1" style="1" min="9731" max="9731"/>
    <col width="17.5546875" customWidth="1" style="1" min="9732" max="9735"/>
    <col width="20.44140625" bestFit="1" customWidth="1" style="1" min="9736" max="9736"/>
    <col width="11.33203125" bestFit="1" customWidth="1" style="1" min="9737" max="9737"/>
    <col width="9.109375" customWidth="1" style="1" min="9738" max="9738"/>
    <col width="10.88671875" bestFit="1" customWidth="1" style="1" min="9739" max="9739"/>
    <col width="9.109375" customWidth="1" style="1" min="9740" max="9984"/>
    <col width="12.88671875" bestFit="1" customWidth="1" style="1" min="9985" max="9985"/>
    <col width="70" bestFit="1" customWidth="1" style="1" min="9986" max="9986"/>
    <col width="26" bestFit="1" customWidth="1" style="1" min="9987" max="9987"/>
    <col width="17.5546875" customWidth="1" style="1" min="9988" max="9991"/>
    <col width="20.44140625" bestFit="1" customWidth="1" style="1" min="9992" max="9992"/>
    <col width="11.33203125" bestFit="1" customWidth="1" style="1" min="9993" max="9993"/>
    <col width="9.109375" customWidth="1" style="1" min="9994" max="9994"/>
    <col width="10.88671875" bestFit="1" customWidth="1" style="1" min="9995" max="9995"/>
    <col width="9.109375" customWidth="1" style="1" min="9996" max="10240"/>
    <col width="12.88671875" bestFit="1" customWidth="1" style="1" min="10241" max="10241"/>
    <col width="70" bestFit="1" customWidth="1" style="1" min="10242" max="10242"/>
    <col width="26" bestFit="1" customWidth="1" style="1" min="10243" max="10243"/>
    <col width="17.5546875" customWidth="1" style="1" min="10244" max="10247"/>
    <col width="20.44140625" bestFit="1" customWidth="1" style="1" min="10248" max="10248"/>
    <col width="11.33203125" bestFit="1" customWidth="1" style="1" min="10249" max="10249"/>
    <col width="9.109375" customWidth="1" style="1" min="10250" max="10250"/>
    <col width="10.88671875" bestFit="1" customWidth="1" style="1" min="10251" max="10251"/>
    <col width="9.109375" customWidth="1" style="1" min="10252" max="10496"/>
    <col width="12.88671875" bestFit="1" customWidth="1" style="1" min="10497" max="10497"/>
    <col width="70" bestFit="1" customWidth="1" style="1" min="10498" max="10498"/>
    <col width="26" bestFit="1" customWidth="1" style="1" min="10499" max="10499"/>
    <col width="17.5546875" customWidth="1" style="1" min="10500" max="10503"/>
    <col width="20.44140625" bestFit="1" customWidth="1" style="1" min="10504" max="10504"/>
    <col width="11.33203125" bestFit="1" customWidth="1" style="1" min="10505" max="10505"/>
    <col width="9.109375" customWidth="1" style="1" min="10506" max="10506"/>
    <col width="10.88671875" bestFit="1" customWidth="1" style="1" min="10507" max="10507"/>
    <col width="9.109375" customWidth="1" style="1" min="10508" max="10752"/>
    <col width="12.88671875" bestFit="1" customWidth="1" style="1" min="10753" max="10753"/>
    <col width="70" bestFit="1" customWidth="1" style="1" min="10754" max="10754"/>
    <col width="26" bestFit="1" customWidth="1" style="1" min="10755" max="10755"/>
    <col width="17.5546875" customWidth="1" style="1" min="10756" max="10759"/>
    <col width="20.44140625" bestFit="1" customWidth="1" style="1" min="10760" max="10760"/>
    <col width="11.33203125" bestFit="1" customWidth="1" style="1" min="10761" max="10761"/>
    <col width="9.109375" customWidth="1" style="1" min="10762" max="10762"/>
    <col width="10.88671875" bestFit="1" customWidth="1" style="1" min="10763" max="10763"/>
    <col width="9.109375" customWidth="1" style="1" min="10764" max="11008"/>
    <col width="12.88671875" bestFit="1" customWidth="1" style="1" min="11009" max="11009"/>
    <col width="70" bestFit="1" customWidth="1" style="1" min="11010" max="11010"/>
    <col width="26" bestFit="1" customWidth="1" style="1" min="11011" max="11011"/>
    <col width="17.5546875" customWidth="1" style="1" min="11012" max="11015"/>
    <col width="20.44140625" bestFit="1" customWidth="1" style="1" min="11016" max="11016"/>
    <col width="11.33203125" bestFit="1" customWidth="1" style="1" min="11017" max="11017"/>
    <col width="9.109375" customWidth="1" style="1" min="11018" max="11018"/>
    <col width="10.88671875" bestFit="1" customWidth="1" style="1" min="11019" max="11019"/>
    <col width="9.109375" customWidth="1" style="1" min="11020" max="11264"/>
    <col width="12.88671875" bestFit="1" customWidth="1" style="1" min="11265" max="11265"/>
    <col width="70" bestFit="1" customWidth="1" style="1" min="11266" max="11266"/>
    <col width="26" bestFit="1" customWidth="1" style="1" min="11267" max="11267"/>
    <col width="17.5546875" customWidth="1" style="1" min="11268" max="11271"/>
    <col width="20.44140625" bestFit="1" customWidth="1" style="1" min="11272" max="11272"/>
    <col width="11.33203125" bestFit="1" customWidth="1" style="1" min="11273" max="11273"/>
    <col width="9.109375" customWidth="1" style="1" min="11274" max="11274"/>
    <col width="10.88671875" bestFit="1" customWidth="1" style="1" min="11275" max="11275"/>
    <col width="9.109375" customWidth="1" style="1" min="11276" max="11520"/>
    <col width="12.88671875" bestFit="1" customWidth="1" style="1" min="11521" max="11521"/>
    <col width="70" bestFit="1" customWidth="1" style="1" min="11522" max="11522"/>
    <col width="26" bestFit="1" customWidth="1" style="1" min="11523" max="11523"/>
    <col width="17.5546875" customWidth="1" style="1" min="11524" max="11527"/>
    <col width="20.44140625" bestFit="1" customWidth="1" style="1" min="11528" max="11528"/>
    <col width="11.33203125" bestFit="1" customWidth="1" style="1" min="11529" max="11529"/>
    <col width="9.109375" customWidth="1" style="1" min="11530" max="11530"/>
    <col width="10.88671875" bestFit="1" customWidth="1" style="1" min="11531" max="11531"/>
    <col width="9.109375" customWidth="1" style="1" min="11532" max="11776"/>
    <col width="12.88671875" bestFit="1" customWidth="1" style="1" min="11777" max="11777"/>
    <col width="70" bestFit="1" customWidth="1" style="1" min="11778" max="11778"/>
    <col width="26" bestFit="1" customWidth="1" style="1" min="11779" max="11779"/>
    <col width="17.5546875" customWidth="1" style="1" min="11780" max="11783"/>
    <col width="20.44140625" bestFit="1" customWidth="1" style="1" min="11784" max="11784"/>
    <col width="11.33203125" bestFit="1" customWidth="1" style="1" min="11785" max="11785"/>
    <col width="9.109375" customWidth="1" style="1" min="11786" max="11786"/>
    <col width="10.88671875" bestFit="1" customWidth="1" style="1" min="11787" max="11787"/>
    <col width="9.109375" customWidth="1" style="1" min="11788" max="12032"/>
    <col width="12.88671875" bestFit="1" customWidth="1" style="1" min="12033" max="12033"/>
    <col width="70" bestFit="1" customWidth="1" style="1" min="12034" max="12034"/>
    <col width="26" bestFit="1" customWidth="1" style="1" min="12035" max="12035"/>
    <col width="17.5546875" customWidth="1" style="1" min="12036" max="12039"/>
    <col width="20.44140625" bestFit="1" customWidth="1" style="1" min="12040" max="12040"/>
    <col width="11.33203125" bestFit="1" customWidth="1" style="1" min="12041" max="12041"/>
    <col width="9.109375" customWidth="1" style="1" min="12042" max="12042"/>
    <col width="10.88671875" bestFit="1" customWidth="1" style="1" min="12043" max="12043"/>
    <col width="9.109375" customWidth="1" style="1" min="12044" max="12288"/>
    <col width="12.88671875" bestFit="1" customWidth="1" style="1" min="12289" max="12289"/>
    <col width="70" bestFit="1" customWidth="1" style="1" min="12290" max="12290"/>
    <col width="26" bestFit="1" customWidth="1" style="1" min="12291" max="12291"/>
    <col width="17.5546875" customWidth="1" style="1" min="12292" max="12295"/>
    <col width="20.44140625" bestFit="1" customWidth="1" style="1" min="12296" max="12296"/>
    <col width="11.33203125" bestFit="1" customWidth="1" style="1" min="12297" max="12297"/>
    <col width="9.109375" customWidth="1" style="1" min="12298" max="12298"/>
    <col width="10.88671875" bestFit="1" customWidth="1" style="1" min="12299" max="12299"/>
    <col width="9.109375" customWidth="1" style="1" min="12300" max="12544"/>
    <col width="12.88671875" bestFit="1" customWidth="1" style="1" min="12545" max="12545"/>
    <col width="70" bestFit="1" customWidth="1" style="1" min="12546" max="12546"/>
    <col width="26" bestFit="1" customWidth="1" style="1" min="12547" max="12547"/>
    <col width="17.5546875" customWidth="1" style="1" min="12548" max="12551"/>
    <col width="20.44140625" bestFit="1" customWidth="1" style="1" min="12552" max="12552"/>
    <col width="11.33203125" bestFit="1" customWidth="1" style="1" min="12553" max="12553"/>
    <col width="9.109375" customWidth="1" style="1" min="12554" max="12554"/>
    <col width="10.88671875" bestFit="1" customWidth="1" style="1" min="12555" max="12555"/>
    <col width="9.109375" customWidth="1" style="1" min="12556" max="12800"/>
    <col width="12.88671875" bestFit="1" customWidth="1" style="1" min="12801" max="12801"/>
    <col width="70" bestFit="1" customWidth="1" style="1" min="12802" max="12802"/>
    <col width="26" bestFit="1" customWidth="1" style="1" min="12803" max="12803"/>
    <col width="17.5546875" customWidth="1" style="1" min="12804" max="12807"/>
    <col width="20.44140625" bestFit="1" customWidth="1" style="1" min="12808" max="12808"/>
    <col width="11.33203125" bestFit="1" customWidth="1" style="1" min="12809" max="12809"/>
    <col width="9.109375" customWidth="1" style="1" min="12810" max="12810"/>
    <col width="10.88671875" bestFit="1" customWidth="1" style="1" min="12811" max="12811"/>
    <col width="9.109375" customWidth="1" style="1" min="12812" max="13056"/>
    <col width="12.88671875" bestFit="1" customWidth="1" style="1" min="13057" max="13057"/>
    <col width="70" bestFit="1" customWidth="1" style="1" min="13058" max="13058"/>
    <col width="26" bestFit="1" customWidth="1" style="1" min="13059" max="13059"/>
    <col width="17.5546875" customWidth="1" style="1" min="13060" max="13063"/>
    <col width="20.44140625" bestFit="1" customWidth="1" style="1" min="13064" max="13064"/>
    <col width="11.33203125" bestFit="1" customWidth="1" style="1" min="13065" max="13065"/>
    <col width="9.109375" customWidth="1" style="1" min="13066" max="13066"/>
    <col width="10.88671875" bestFit="1" customWidth="1" style="1" min="13067" max="13067"/>
    <col width="9.109375" customWidth="1" style="1" min="13068" max="13312"/>
    <col width="12.88671875" bestFit="1" customWidth="1" style="1" min="13313" max="13313"/>
    <col width="70" bestFit="1" customWidth="1" style="1" min="13314" max="13314"/>
    <col width="26" bestFit="1" customWidth="1" style="1" min="13315" max="13315"/>
    <col width="17.5546875" customWidth="1" style="1" min="13316" max="13319"/>
    <col width="20.44140625" bestFit="1" customWidth="1" style="1" min="13320" max="13320"/>
    <col width="11.33203125" bestFit="1" customWidth="1" style="1" min="13321" max="13321"/>
    <col width="9.109375" customWidth="1" style="1" min="13322" max="13322"/>
    <col width="10.88671875" bestFit="1" customWidth="1" style="1" min="13323" max="13323"/>
    <col width="9.109375" customWidth="1" style="1" min="13324" max="13568"/>
    <col width="12.88671875" bestFit="1" customWidth="1" style="1" min="13569" max="13569"/>
    <col width="70" bestFit="1" customWidth="1" style="1" min="13570" max="13570"/>
    <col width="26" bestFit="1" customWidth="1" style="1" min="13571" max="13571"/>
    <col width="17.5546875" customWidth="1" style="1" min="13572" max="13575"/>
    <col width="20.44140625" bestFit="1" customWidth="1" style="1" min="13576" max="13576"/>
    <col width="11.33203125" bestFit="1" customWidth="1" style="1" min="13577" max="13577"/>
    <col width="9.109375" customWidth="1" style="1" min="13578" max="13578"/>
    <col width="10.88671875" bestFit="1" customWidth="1" style="1" min="13579" max="13579"/>
    <col width="9.109375" customWidth="1" style="1" min="13580" max="13824"/>
    <col width="12.88671875" bestFit="1" customWidth="1" style="1" min="13825" max="13825"/>
    <col width="70" bestFit="1" customWidth="1" style="1" min="13826" max="13826"/>
    <col width="26" bestFit="1" customWidth="1" style="1" min="13827" max="13827"/>
    <col width="17.5546875" customWidth="1" style="1" min="13828" max="13831"/>
    <col width="20.44140625" bestFit="1" customWidth="1" style="1" min="13832" max="13832"/>
    <col width="11.33203125" bestFit="1" customWidth="1" style="1" min="13833" max="13833"/>
    <col width="9.109375" customWidth="1" style="1" min="13834" max="13834"/>
    <col width="10.88671875" bestFit="1" customWidth="1" style="1" min="13835" max="13835"/>
    <col width="9.109375" customWidth="1" style="1" min="13836" max="14080"/>
    <col width="12.88671875" bestFit="1" customWidth="1" style="1" min="14081" max="14081"/>
    <col width="70" bestFit="1" customWidth="1" style="1" min="14082" max="14082"/>
    <col width="26" bestFit="1" customWidth="1" style="1" min="14083" max="14083"/>
    <col width="17.5546875" customWidth="1" style="1" min="14084" max="14087"/>
    <col width="20.44140625" bestFit="1" customWidth="1" style="1" min="14088" max="14088"/>
    <col width="11.33203125" bestFit="1" customWidth="1" style="1" min="14089" max="14089"/>
    <col width="9.109375" customWidth="1" style="1" min="14090" max="14090"/>
    <col width="10.88671875" bestFit="1" customWidth="1" style="1" min="14091" max="14091"/>
    <col width="9.109375" customWidth="1" style="1" min="14092" max="14336"/>
    <col width="12.88671875" bestFit="1" customWidth="1" style="1" min="14337" max="14337"/>
    <col width="70" bestFit="1" customWidth="1" style="1" min="14338" max="14338"/>
    <col width="26" bestFit="1" customWidth="1" style="1" min="14339" max="14339"/>
    <col width="17.5546875" customWidth="1" style="1" min="14340" max="14343"/>
    <col width="20.44140625" bestFit="1" customWidth="1" style="1" min="14344" max="14344"/>
    <col width="11.33203125" bestFit="1" customWidth="1" style="1" min="14345" max="14345"/>
    <col width="9.109375" customWidth="1" style="1" min="14346" max="14346"/>
    <col width="10.88671875" bestFit="1" customWidth="1" style="1" min="14347" max="14347"/>
    <col width="9.109375" customWidth="1" style="1" min="14348" max="14592"/>
    <col width="12.88671875" bestFit="1" customWidth="1" style="1" min="14593" max="14593"/>
    <col width="70" bestFit="1" customWidth="1" style="1" min="14594" max="14594"/>
    <col width="26" bestFit="1" customWidth="1" style="1" min="14595" max="14595"/>
    <col width="17.5546875" customWidth="1" style="1" min="14596" max="14599"/>
    <col width="20.44140625" bestFit="1" customWidth="1" style="1" min="14600" max="14600"/>
    <col width="11.33203125" bestFit="1" customWidth="1" style="1" min="14601" max="14601"/>
    <col width="9.109375" customWidth="1" style="1" min="14602" max="14602"/>
    <col width="10.88671875" bestFit="1" customWidth="1" style="1" min="14603" max="14603"/>
    <col width="9.109375" customWidth="1" style="1" min="14604" max="14848"/>
    <col width="12.88671875" bestFit="1" customWidth="1" style="1" min="14849" max="14849"/>
    <col width="70" bestFit="1" customWidth="1" style="1" min="14850" max="14850"/>
    <col width="26" bestFit="1" customWidth="1" style="1" min="14851" max="14851"/>
    <col width="17.5546875" customWidth="1" style="1" min="14852" max="14855"/>
    <col width="20.44140625" bestFit="1" customWidth="1" style="1" min="14856" max="14856"/>
    <col width="11.33203125" bestFit="1" customWidth="1" style="1" min="14857" max="14857"/>
    <col width="9.109375" customWidth="1" style="1" min="14858" max="14858"/>
    <col width="10.88671875" bestFit="1" customWidth="1" style="1" min="14859" max="14859"/>
    <col width="9.109375" customWidth="1" style="1" min="14860" max="15104"/>
    <col width="12.88671875" bestFit="1" customWidth="1" style="1" min="15105" max="15105"/>
    <col width="70" bestFit="1" customWidth="1" style="1" min="15106" max="15106"/>
    <col width="26" bestFit="1" customWidth="1" style="1" min="15107" max="15107"/>
    <col width="17.5546875" customWidth="1" style="1" min="15108" max="15111"/>
    <col width="20.44140625" bestFit="1" customWidth="1" style="1" min="15112" max="15112"/>
    <col width="11.33203125" bestFit="1" customWidth="1" style="1" min="15113" max="15113"/>
    <col width="9.109375" customWidth="1" style="1" min="15114" max="15114"/>
    <col width="10.88671875" bestFit="1" customWidth="1" style="1" min="15115" max="15115"/>
    <col width="9.109375" customWidth="1" style="1" min="15116" max="15360"/>
    <col width="12.88671875" bestFit="1" customWidth="1" style="1" min="15361" max="15361"/>
    <col width="70" bestFit="1" customWidth="1" style="1" min="15362" max="15362"/>
    <col width="26" bestFit="1" customWidth="1" style="1" min="15363" max="15363"/>
    <col width="17.5546875" customWidth="1" style="1" min="15364" max="15367"/>
    <col width="20.44140625" bestFit="1" customWidth="1" style="1" min="15368" max="15368"/>
    <col width="11.33203125" bestFit="1" customWidth="1" style="1" min="15369" max="15369"/>
    <col width="9.109375" customWidth="1" style="1" min="15370" max="15370"/>
    <col width="10.88671875" bestFit="1" customWidth="1" style="1" min="15371" max="15371"/>
    <col width="9.109375" customWidth="1" style="1" min="15372" max="15616"/>
    <col width="12.88671875" bestFit="1" customWidth="1" style="1" min="15617" max="15617"/>
    <col width="70" bestFit="1" customWidth="1" style="1" min="15618" max="15618"/>
    <col width="26" bestFit="1" customWidth="1" style="1" min="15619" max="15619"/>
    <col width="17.5546875" customWidth="1" style="1" min="15620" max="15623"/>
    <col width="20.44140625" bestFit="1" customWidth="1" style="1" min="15624" max="15624"/>
    <col width="11.33203125" bestFit="1" customWidth="1" style="1" min="15625" max="15625"/>
    <col width="9.109375" customWidth="1" style="1" min="15626" max="15626"/>
    <col width="10.88671875" bestFit="1" customWidth="1" style="1" min="15627" max="15627"/>
    <col width="9.109375" customWidth="1" style="1" min="15628" max="15872"/>
    <col width="12.88671875" bestFit="1" customWidth="1" style="1" min="15873" max="15873"/>
    <col width="70" bestFit="1" customWidth="1" style="1" min="15874" max="15874"/>
    <col width="26" bestFit="1" customWidth="1" style="1" min="15875" max="15875"/>
    <col width="17.5546875" customWidth="1" style="1" min="15876" max="15879"/>
    <col width="20.44140625" bestFit="1" customWidth="1" style="1" min="15880" max="15880"/>
    <col width="11.33203125" bestFit="1" customWidth="1" style="1" min="15881" max="15881"/>
    <col width="9.109375" customWidth="1" style="1" min="15882" max="15882"/>
    <col width="10.88671875" bestFit="1" customWidth="1" style="1" min="15883" max="15883"/>
    <col width="9.109375" customWidth="1" style="1" min="15884" max="16128"/>
    <col width="12.88671875" bestFit="1" customWidth="1" style="1" min="16129" max="16129"/>
    <col width="70" bestFit="1" customWidth="1" style="1" min="16130" max="16130"/>
    <col width="26" bestFit="1" customWidth="1" style="1" min="16131" max="16131"/>
    <col width="17.5546875" customWidth="1" style="1" min="16132" max="16135"/>
    <col width="20.44140625" bestFit="1" customWidth="1" style="1" min="16136" max="16136"/>
    <col width="11.33203125" bestFit="1" customWidth="1" style="1" min="16137" max="16137"/>
    <col width="9.109375" customWidth="1" style="1" min="16138" max="16138"/>
    <col width="10.88671875" bestFit="1" customWidth="1" style="1" min="16139" max="16139"/>
    <col width="9.109375" customWidth="1" style="1" min="16140" max="16384"/>
  </cols>
  <sheetData>
    <row r="1" ht="12.75" customHeight="1">
      <c r="C1" s="354" t="inlineStr">
        <is>
          <t>Eindbalans per 31-03-2024</t>
        </is>
      </c>
      <c r="D1" s="354" t="inlineStr">
        <is>
          <t>Mutaties Q2 2024</t>
        </is>
      </c>
      <c r="E1" s="354" t="inlineStr">
        <is>
          <t>Mutaties Q3 2024</t>
        </is>
      </c>
      <c r="F1" s="354" t="inlineStr">
        <is>
          <t>Mutaties Q4 2024</t>
        </is>
      </c>
      <c r="G1" s="354" t="inlineStr">
        <is>
          <t>Mutaties Q1 2025</t>
        </is>
      </c>
      <c r="H1" s="354" t="inlineStr">
        <is>
          <t>Saldi per 30-09-2024</t>
        </is>
      </c>
    </row>
    <row r="3" ht="12.75" customHeight="1">
      <c r="A3" s="132" t="inlineStr">
        <is>
          <t>Balans</t>
        </is>
      </c>
    </row>
    <row r="4" ht="12.75" customHeight="1">
      <c r="A4" s="132" t="n"/>
    </row>
    <row r="5" ht="12.75" customHeight="1">
      <c r="A5" s="132" t="inlineStr">
        <is>
          <t>Materiële vaste activa</t>
        </is>
      </c>
    </row>
    <row r="6" ht="12.75" customHeight="1">
      <c r="A6" s="1" t="inlineStr">
        <is>
          <t>1600000</t>
        </is>
      </c>
      <c r="B6" s="1" t="inlineStr">
        <is>
          <t>VG Vastgoedbeleggingen Verkrijgings- of vervaardigingsprijs -</t>
        </is>
      </c>
      <c r="C6" s="293" t="n">
        <v>125502377</v>
      </c>
      <c r="D6" s="346" t="n">
        <v>281229</v>
      </c>
      <c r="E6" s="346" t="n">
        <v>321640</v>
      </c>
      <c r="F6" s="357" t="n">
        <v>1811633.16</v>
      </c>
      <c r="G6" s="293" t="n">
        <v>758835</v>
      </c>
      <c r="H6" s="305">
        <f>SUM(C6:G6)</f>
        <v/>
      </c>
      <c r="I6" s="264" t="inlineStr">
        <is>
          <t>Kosten betaald in 2025 voor 2024</t>
        </is>
      </c>
    </row>
    <row r="7" ht="12.75" customHeight="1">
      <c r="A7" s="1" t="inlineStr">
        <is>
          <t>1600200</t>
        </is>
      </c>
      <c r="B7" s="1" t="inlineStr">
        <is>
          <t>VG Vastgoedbeleggingen Cum afschrijvingen en waardeverm -</t>
        </is>
      </c>
      <c r="C7" s="293" t="n">
        <v>-20817118</v>
      </c>
      <c r="D7" s="293" t="n">
        <v>-752120</v>
      </c>
      <c r="E7" s="293">
        <f>VLOOKUP(A7,[2]Kolommenbalans!B$1:D$65536,3,FALSE)</f>
        <v/>
      </c>
      <c r="F7" s="293" t="n">
        <v>-793542</v>
      </c>
      <c r="G7" s="293" t="n">
        <v>-811996</v>
      </c>
      <c r="H7" s="305">
        <f>SUM(C7:G7)</f>
        <v/>
      </c>
    </row>
    <row r="8" ht="12.75" customHeight="1">
      <c r="A8" s="302" t="inlineStr">
        <is>
          <t>1601000</t>
        </is>
      </c>
      <c r="B8" s="302" t="inlineStr">
        <is>
          <t>VG Vastgoedbeleggingen Buitengebruikstellingen CA en waardeverm. -</t>
        </is>
      </c>
      <c r="C8" s="293" t="n">
        <v>-722644</v>
      </c>
      <c r="D8" s="293" t="n">
        <v>-621877</v>
      </c>
      <c r="E8" s="293">
        <f>VLOOKUP(A8,[2]Kolommenbalans!B$1:D$65536,3,FALSE)</f>
        <v/>
      </c>
      <c r="F8" s="293" t="n">
        <v>0</v>
      </c>
      <c r="G8" s="293" t="n">
        <v>-677990</v>
      </c>
      <c r="H8" s="305">
        <f>SUM(C8:G8)</f>
        <v/>
      </c>
    </row>
    <row r="9" ht="12.75" customHeight="1">
      <c r="A9" s="1" t="inlineStr">
        <is>
          <t>1611003</t>
        </is>
      </c>
      <c r="B9" s="1" t="inlineStr">
        <is>
          <t>VG Comm VG in exploitatie Buitengebruikstellingen cum. afschr. en waardeverm.</t>
        </is>
      </c>
      <c r="C9" s="293" t="n">
        <v>119653</v>
      </c>
      <c r="D9" s="293" t="n">
        <v>107020</v>
      </c>
      <c r="E9" s="293">
        <f>VLOOKUP(A9,[2]Kolommenbalans!B$1:D$65536,3,FALSE)</f>
        <v/>
      </c>
      <c r="G9" s="293" t="n">
        <v>126494</v>
      </c>
      <c r="H9" s="305">
        <f>SUM(C9:G9)</f>
        <v/>
      </c>
    </row>
    <row r="10" ht="12.75" customHeight="1">
      <c r="A10" s="1" t="inlineStr">
        <is>
          <t>1610803</t>
        </is>
      </c>
      <c r="B10" s="1" t="inlineStr">
        <is>
          <t>VG Comm VG in exploitatie Buitengebruikstellingen aanschaffingswaarde</t>
        </is>
      </c>
      <c r="C10" s="293" t="n">
        <v>0</v>
      </c>
      <c r="F10" s="293" t="n">
        <v>0</v>
      </c>
      <c r="H10" s="290" t="n"/>
    </row>
    <row r="11" ht="12.75" customHeight="1">
      <c r="C11" s="293" t="n">
        <v>0</v>
      </c>
      <c r="H11" s="290" t="n"/>
    </row>
    <row r="12" ht="12.75" customHeight="1">
      <c r="A12" s="256" t="inlineStr">
        <is>
          <t>Financiële Vaste Lasten</t>
        </is>
      </c>
      <c r="C12" s="293" t="n">
        <v>0</v>
      </c>
      <c r="H12" s="290">
        <f>SUM(C12:F12)</f>
        <v/>
      </c>
    </row>
    <row r="13" ht="12.75" customHeight="1">
      <c r="A13" s="1" t="inlineStr">
        <is>
          <t>1760000</t>
        </is>
      </c>
      <c r="B13" s="1" t="inlineStr">
        <is>
          <t>FVA Vord op DMRRP INV - I BV  saldo</t>
        </is>
      </c>
      <c r="C13" s="293" t="n">
        <v>38320325</v>
      </c>
      <c r="H13" s="305">
        <f>SUM(C13:G13)</f>
        <v/>
      </c>
      <c r="I13" s="290" t="n"/>
    </row>
    <row r="14" ht="12.75" customHeight="1">
      <c r="A14" s="1" t="inlineStr">
        <is>
          <t>1760300</t>
        </is>
      </c>
      <c r="B14" s="1" t="inlineStr">
        <is>
          <t>FVA Vord op DMRRP INV - I BV  aflossingen</t>
        </is>
      </c>
      <c r="C14" s="293" t="n">
        <v>-1601670</v>
      </c>
      <c r="D14" s="293" t="n">
        <v>-503912.27</v>
      </c>
      <c r="E14" s="293">
        <f>VLOOKUP(A14,[2]Kolommenbalans!B$1:D$65536,3,FALSE)</f>
        <v/>
      </c>
      <c r="F14" s="293" t="n">
        <v>-95800</v>
      </c>
      <c r="G14" s="293">
        <f>-242785.82+140415</f>
        <v/>
      </c>
      <c r="H14" s="305">
        <f>SUM(C14:G14)</f>
        <v/>
      </c>
    </row>
    <row r="15" ht="12.75" customHeight="1">
      <c r="A15" s="1" t="inlineStr">
        <is>
          <t>1790000</t>
        </is>
      </c>
      <c r="B15" s="1" t="inlineStr">
        <is>
          <t>FVA Swap fee</t>
        </is>
      </c>
      <c r="C15" s="293" t="n">
        <v>1549105</v>
      </c>
      <c r="D15" s="293" t="n">
        <v>-110650</v>
      </c>
      <c r="E15" s="293">
        <f>VLOOKUP(A15,[2]Kolommenbalans!B$1:D$65536,3,FALSE)</f>
        <v/>
      </c>
      <c r="F15" s="293" t="n">
        <v>-110650</v>
      </c>
      <c r="G15" s="293">
        <f>-110650-5</f>
        <v/>
      </c>
      <c r="H15" s="305">
        <f>SUM(C15:G15)</f>
        <v/>
      </c>
    </row>
    <row r="16" ht="12.75" customHeight="1">
      <c r="A16" s="1" t="inlineStr">
        <is>
          <t>1790002</t>
        </is>
      </c>
      <c r="B16" s="1" t="inlineStr">
        <is>
          <t>FVA Latente belastingvordering langlopend</t>
        </is>
      </c>
      <c r="C16" s="293" t="n">
        <v>6541646</v>
      </c>
      <c r="D16" s="293" t="n">
        <v>176734</v>
      </c>
      <c r="E16" s="293">
        <f>VLOOKUP(A16,[2]Kolommenbalans!B$1:D$65536,3,FALSE)</f>
        <v/>
      </c>
      <c r="F16" s="357" t="n">
        <v>920937</v>
      </c>
      <c r="G16" s="293" t="n">
        <v>173840</v>
      </c>
      <c r="H16" s="305">
        <f>SUM(C16:G16)</f>
        <v/>
      </c>
      <c r="I16" s="264" t="inlineStr">
        <is>
          <t>Latentie inz rente aftrekbeperking</t>
        </is>
      </c>
    </row>
    <row r="17" ht="12.75" customHeight="1">
      <c r="C17" s="293" t="n">
        <v>0</v>
      </c>
      <c r="H17" s="290">
        <f>SUM(C17:G17)</f>
        <v/>
      </c>
    </row>
    <row r="18" ht="12.75" customHeight="1">
      <c r="A18" s="256" t="inlineStr">
        <is>
          <t>Vorderingen</t>
        </is>
      </c>
      <c r="C18" s="293" t="n">
        <v>0</v>
      </c>
      <c r="H18" s="290">
        <f>SUM(C18:G18)</f>
        <v/>
      </c>
    </row>
    <row r="19" ht="12.75" customHeight="1">
      <c r="A19" s="1" t="inlineStr">
        <is>
          <t>2000000</t>
        </is>
      </c>
      <c r="B19" s="1" t="inlineStr">
        <is>
          <t>VOR Debiteuren</t>
        </is>
      </c>
      <c r="C19" s="293" t="n">
        <v>3320234</v>
      </c>
      <c r="D19" s="293" t="n">
        <v>2530742.76</v>
      </c>
      <c r="E19" s="293">
        <f>VLOOKUP(A19,[2]Kolommenbalans!B$1:D$65536,3,FALSE)</f>
        <v/>
      </c>
      <c r="F19" s="293" t="n">
        <v>-6054041</v>
      </c>
      <c r="G19" s="293" t="n">
        <v>334826</v>
      </c>
      <c r="H19" s="305">
        <f>SUM(C19:G19)</f>
        <v/>
      </c>
      <c r="I19" s="264" t="n"/>
    </row>
    <row r="20" ht="12.75" customHeight="1">
      <c r="A20" s="1" t="inlineStr">
        <is>
          <t>2000100</t>
        </is>
      </c>
      <c r="B20" s="1" t="inlineStr">
        <is>
          <t>VOR Debiteuren intercompany</t>
        </is>
      </c>
      <c r="C20" s="293" t="n">
        <v>0</v>
      </c>
      <c r="F20" s="293" t="n">
        <v>6675101</v>
      </c>
      <c r="G20" s="293" t="n">
        <v>493276</v>
      </c>
      <c r="H20" s="305">
        <f>SUM(C20:G20)</f>
        <v/>
      </c>
    </row>
    <row r="21" ht="12.75" customHeight="1">
      <c r="A21" s="1" t="inlineStr">
        <is>
          <t>2000300</t>
        </is>
      </c>
      <c r="B21" s="1" t="inlineStr">
        <is>
          <t>VOR Voorziening dubieuze debiteuren</t>
        </is>
      </c>
      <c r="C21" s="293" t="n">
        <v>-8374</v>
      </c>
      <c r="F21" s="357" t="n">
        <v>-81794.69</v>
      </c>
      <c r="G21" s="293" t="n">
        <v>1</v>
      </c>
      <c r="H21" s="305">
        <f>SUM(C21:G21)</f>
        <v/>
      </c>
      <c r="I21" s="264" t="inlineStr">
        <is>
          <t>Dubieuze debiteuren vanuit Hoen</t>
        </is>
      </c>
    </row>
    <row r="22" ht="12.75" customHeight="1">
      <c r="A22" s="1" t="inlineStr">
        <is>
          <t>2040100</t>
        </is>
      </c>
      <c r="B22" s="1" t="inlineStr">
        <is>
          <t>VOR Nog te factureren bedragen</t>
        </is>
      </c>
      <c r="C22" s="293" t="n">
        <v>0</v>
      </c>
      <c r="E22" s="293">
        <f>VLOOKUP(A22,[2]Kolommenbalans!B$1:D$65536,3,FALSE)</f>
        <v/>
      </c>
      <c r="G22" s="293" t="n">
        <v>146986</v>
      </c>
      <c r="H22" s="305">
        <f>SUM(C22:G22)</f>
        <v/>
      </c>
    </row>
    <row r="23" ht="12.75" customHeight="1">
      <c r="A23" s="1" t="inlineStr">
        <is>
          <t>2040200</t>
        </is>
      </c>
      <c r="B23" s="1" t="inlineStr">
        <is>
          <t>VOR Te vorderen waarborgsommen kortlopend</t>
        </is>
      </c>
      <c r="C23" s="293" t="n">
        <v>5000</v>
      </c>
      <c r="H23" s="305">
        <f>SUM(C23:G23)</f>
        <v/>
      </c>
    </row>
    <row r="24" ht="12.75" customHeight="1">
      <c r="A24" s="1" t="inlineStr">
        <is>
          <t>2040500</t>
        </is>
      </c>
      <c r="B24" s="1" t="inlineStr">
        <is>
          <t>VOR Vooruitbetaalde verzekeringen</t>
        </is>
      </c>
      <c r="C24" s="293" t="n">
        <v>64302</v>
      </c>
      <c r="D24" s="293" t="n">
        <v>-21435</v>
      </c>
      <c r="E24" s="293">
        <f>VLOOKUP(A24,[2]Kolommenbalans!B$1:D$65536,3,FALSE)</f>
        <v/>
      </c>
      <c r="F24" s="293" t="n">
        <v>-21435</v>
      </c>
      <c r="G24" s="293" t="n">
        <v>89982.3</v>
      </c>
      <c r="H24" s="305">
        <f>SUM(C24:G24)</f>
        <v/>
      </c>
    </row>
    <row r="25" ht="12.75" customHeight="1">
      <c r="A25" s="1" t="inlineStr">
        <is>
          <t>2040900</t>
        </is>
      </c>
      <c r="B25" s="1" t="inlineStr">
        <is>
          <t>VOR Vooruitbetaalde overige kosten</t>
        </is>
      </c>
      <c r="C25" s="293" t="n">
        <v>268134</v>
      </c>
      <c r="D25" s="293" t="n">
        <v>-89377.98</v>
      </c>
      <c r="E25" s="293">
        <f>VLOOKUP(A25,[2]Kolommenbalans!B$1:D$65536,3,FALSE)</f>
        <v/>
      </c>
      <c r="F25" s="293" t="n">
        <v>-89378</v>
      </c>
      <c r="G25" s="293" t="n">
        <v>334004</v>
      </c>
      <c r="H25" s="305">
        <f>SUM(C25:G25)</f>
        <v/>
      </c>
    </row>
    <row r="26" ht="12.75" customHeight="1">
      <c r="C26" s="293" t="n">
        <v>0</v>
      </c>
      <c r="H26" s="290">
        <f>SUM(C26:G26)</f>
        <v/>
      </c>
    </row>
    <row r="27" ht="12.75" customHeight="1">
      <c r="A27" s="256" t="inlineStr">
        <is>
          <t>Liquide middelen</t>
        </is>
      </c>
      <c r="C27" s="293" t="n">
        <v>0</v>
      </c>
      <c r="H27" s="290">
        <f>SUM(C27:G27)</f>
        <v/>
      </c>
    </row>
    <row r="28" ht="12.75" customHeight="1">
      <c r="A28" s="1" t="inlineStr">
        <is>
          <t>2300000</t>
        </is>
      </c>
      <c r="B28" s="1" t="inlineStr">
        <is>
          <t>LM Kruisposten</t>
        </is>
      </c>
      <c r="C28" s="293" t="n">
        <v>0</v>
      </c>
      <c r="D28" s="293" t="n">
        <v>358000</v>
      </c>
      <c r="E28" s="293">
        <f>VLOOKUP(A28,[2]Kolommenbalans!B$1:D$65536,3,FALSE)</f>
        <v/>
      </c>
      <c r="F28" s="357" t="n">
        <v>-0.48</v>
      </c>
      <c r="H28" s="305">
        <f>SUM(C28:G28)</f>
        <v/>
      </c>
      <c r="I28" s="264" t="inlineStr">
        <is>
          <t>Afboeking van kruisposten</t>
        </is>
      </c>
    </row>
    <row r="29" ht="12.75" customHeight="1">
      <c r="A29" s="1" t="inlineStr">
        <is>
          <t>2300001</t>
        </is>
      </c>
      <c r="B29" s="1" t="inlineStr">
        <is>
          <t>LM Kruisposten pin</t>
        </is>
      </c>
      <c r="C29" s="293" t="n">
        <v>122</v>
      </c>
      <c r="D29" s="293" t="n">
        <v>-3547.65</v>
      </c>
      <c r="E29" s="293">
        <f>VLOOKUP(A29,[2]Kolommenbalans!B$1:D$65536,3,FALSE)</f>
        <v/>
      </c>
      <c r="F29" s="293" t="n">
        <v>4950</v>
      </c>
      <c r="G29" s="293" t="n">
        <v>4485</v>
      </c>
      <c r="H29" s="305">
        <f>SUM(C29:G29)</f>
        <v/>
      </c>
    </row>
    <row r="30" ht="12.75" customHeight="1">
      <c r="A30" s="1" t="inlineStr">
        <is>
          <t>2400200</t>
        </is>
      </c>
      <c r="B30" s="1" t="inlineStr">
        <is>
          <t>LM ABN AMRO Bank Disposal NL58 ABNA 0818 9180 39</t>
        </is>
      </c>
      <c r="C30" s="293" t="n">
        <v>490000</v>
      </c>
      <c r="D30" s="293" t="n">
        <v>-490000</v>
      </c>
      <c r="E30" s="293">
        <f>VLOOKUP(A30,[2]Kolommenbalans!B$1:D$65536,3,FALSE)</f>
        <v/>
      </c>
      <c r="F30" s="293" t="n">
        <v>0</v>
      </c>
      <c r="G30" s="293" t="n">
        <v>194000</v>
      </c>
      <c r="H30" s="305">
        <f>SUM(C30:G30)</f>
        <v/>
      </c>
    </row>
    <row r="31" ht="12.75" customHeight="1">
      <c r="A31" s="1" t="inlineStr">
        <is>
          <t>2400201</t>
        </is>
      </c>
      <c r="B31" s="1" t="inlineStr">
        <is>
          <t>LM ABN AMRO Bank Deposit NL57 ABNA 0541 6205 68</t>
        </is>
      </c>
      <c r="C31" s="293" t="n">
        <v>4494</v>
      </c>
      <c r="D31" s="293" t="n">
        <v>2948.65</v>
      </c>
      <c r="E31" s="293">
        <f>VLOOKUP(A31,[2]Kolommenbalans!B$1:D$65536,3,FALSE)</f>
        <v/>
      </c>
      <c r="F31" s="293" t="n">
        <v>-6577.5</v>
      </c>
      <c r="G31" s="293" t="n">
        <v>9940.5</v>
      </c>
      <c r="H31" s="305">
        <f>SUM(C31:G31)</f>
        <v/>
      </c>
    </row>
    <row r="32" ht="12.75" customHeight="1">
      <c r="A32" s="1" t="inlineStr">
        <is>
          <t>2400202</t>
        </is>
      </c>
      <c r="B32" s="1" t="inlineStr">
        <is>
          <t>LM ABN AMRO Bank General NL93 ABNA 0541 6132 27</t>
        </is>
      </c>
      <c r="C32" s="293" t="n">
        <v>73</v>
      </c>
      <c r="D32" s="293" t="n">
        <v>-46.3</v>
      </c>
      <c r="E32" s="293">
        <f>VLOOKUP(A32,[2]Kolommenbalans!B$1:D$65536,3,FALSE)</f>
        <v/>
      </c>
      <c r="H32" s="305">
        <f>SUM(C32:G32)</f>
        <v/>
      </c>
    </row>
    <row r="33" ht="12.75" customHeight="1">
      <c r="A33" s="1" t="inlineStr">
        <is>
          <t>2400203</t>
        </is>
      </c>
      <c r="B33" s="1" t="inlineStr">
        <is>
          <t>LM ABN AMRO Bank Maintres NL04 ABNA 0541 6188 06</t>
        </is>
      </c>
      <c r="C33" s="293" t="n">
        <v>7389</v>
      </c>
      <c r="D33" s="293" t="n">
        <v>-6645.75</v>
      </c>
      <c r="E33" s="293">
        <f>VLOOKUP(A33,[2]Kolommenbalans!B$1:D$65536,3,FALSE)</f>
        <v/>
      </c>
      <c r="F33" s="293" t="n">
        <v>276826.61</v>
      </c>
      <c r="G33" s="293" t="n">
        <v>-271247.9</v>
      </c>
      <c r="H33" s="305">
        <f>SUM(C33:G33)</f>
        <v/>
      </c>
    </row>
    <row r="34" ht="12.75" customHeight="1">
      <c r="A34" s="1" t="inlineStr">
        <is>
          <t>2400204</t>
        </is>
      </c>
      <c r="B34" s="1" t="inlineStr">
        <is>
          <t>LM ABN AMRO Bank Rent NL46 ABNA 0541 6088 35</t>
        </is>
      </c>
      <c r="C34" s="293" t="n">
        <v>293648</v>
      </c>
      <c r="D34" s="293" t="n">
        <v>-230570.79</v>
      </c>
      <c r="E34" s="293">
        <f>VLOOKUP(A34,[2]Kolommenbalans!B$1:D$65536,3,FALSE)</f>
        <v/>
      </c>
      <c r="F34" s="293" t="n">
        <v>22169.18</v>
      </c>
      <c r="G34" s="293">
        <f>92619.86+1</f>
        <v/>
      </c>
      <c r="H34" s="305">
        <f>SUM(C34:G34)</f>
        <v/>
      </c>
    </row>
    <row r="35" ht="12.75" customHeight="1">
      <c r="A35" s="1" t="inlineStr">
        <is>
          <t>2400205</t>
        </is>
      </c>
      <c r="B35" s="1" t="inlineStr">
        <is>
          <t>LM ABN AMRO Bank SR EXP NL88 ABNA 0541 6205 92</t>
        </is>
      </c>
      <c r="C35" s="293" t="n">
        <v>148083</v>
      </c>
      <c r="D35" s="293" t="n">
        <v>-147771.81</v>
      </c>
      <c r="E35" s="293">
        <f>VLOOKUP(A35,[2]Kolommenbalans!B$1:D$65536,3,FALSE)</f>
        <v/>
      </c>
      <c r="F35" s="293" t="n">
        <v>-2980</v>
      </c>
      <c r="G35" s="293">
        <f>5966+1</f>
        <v/>
      </c>
      <c r="H35" s="305">
        <f>SUM(C35:G35)</f>
        <v/>
      </c>
    </row>
    <row r="36" ht="12.75" customHeight="1">
      <c r="A36" s="1" t="inlineStr">
        <is>
          <t>2400206</t>
        </is>
      </c>
      <c r="B36" s="1" t="inlineStr">
        <is>
          <t>LM ABN AMRO Bank Capex NL11 ABNA 0114 3362 02</t>
        </is>
      </c>
      <c r="C36" s="293" t="n">
        <v>5644</v>
      </c>
      <c r="D36" s="293" t="n">
        <v>-5660.09</v>
      </c>
      <c r="G36" s="293" t="n">
        <v>-1</v>
      </c>
      <c r="H36" s="305">
        <f>SUM(C36:G36)</f>
        <v/>
      </c>
    </row>
    <row r="37" ht="12.75" customHeight="1">
      <c r="C37" s="293" t="n">
        <v>0</v>
      </c>
      <c r="H37" s="290">
        <f>SUM(C37:G37)</f>
        <v/>
      </c>
    </row>
    <row r="38" ht="12.75" customHeight="1">
      <c r="A38" s="256" t="inlineStr">
        <is>
          <t>Eigen vermogen</t>
        </is>
      </c>
      <c r="C38" s="293" t="n">
        <v>0</v>
      </c>
      <c r="H38" s="290">
        <f>SUM(C38:G38)</f>
        <v/>
      </c>
    </row>
    <row r="39" ht="12.75" customHeight="1">
      <c r="A39" s="1" t="inlineStr">
        <is>
          <t>1000002</t>
        </is>
      </c>
      <c r="B39" s="1" t="inlineStr">
        <is>
          <t>EV Normale aandelen  Saldo</t>
        </is>
      </c>
      <c r="C39" s="293" t="n">
        <v>-1</v>
      </c>
      <c r="H39" s="305">
        <f>SUM(C39:G39)</f>
        <v/>
      </c>
    </row>
    <row r="40" ht="12.75" customHeight="1">
      <c r="A40" s="1" t="inlineStr">
        <is>
          <t>1100000</t>
        </is>
      </c>
      <c r="B40" s="1" t="inlineStr">
        <is>
          <t>EV Agioreserve Agio aandelen</t>
        </is>
      </c>
      <c r="C40" s="293" t="n">
        <v>-18931219</v>
      </c>
      <c r="H40" s="305">
        <f>SUM(C40:G40)</f>
        <v/>
      </c>
    </row>
    <row r="41" ht="12.75" customHeight="1">
      <c r="A41" s="1" t="inlineStr">
        <is>
          <t>1160000</t>
        </is>
      </c>
      <c r="B41" s="1" t="inlineStr">
        <is>
          <t>EV Overige reserve Reserve aandelen</t>
        </is>
      </c>
      <c r="C41" s="293">
        <f>4831607-1089365</f>
        <v/>
      </c>
      <c r="H41" s="305">
        <f>SUM(C41:G41)</f>
        <v/>
      </c>
    </row>
    <row r="42" ht="12.75" customHeight="1">
      <c r="C42" s="293" t="n">
        <v>0</v>
      </c>
      <c r="H42" s="290">
        <f>SUM(C42:G42)</f>
        <v/>
      </c>
    </row>
    <row r="43" ht="12.75" customHeight="1">
      <c r="A43" s="256" t="inlineStr">
        <is>
          <t>Langlopende schulden</t>
        </is>
      </c>
      <c r="C43" s="293" t="n">
        <v>0</v>
      </c>
      <c r="H43" s="290">
        <f>SUM(C43:G43)</f>
        <v/>
      </c>
    </row>
    <row r="44" ht="12.75" customHeight="1">
      <c r="A44" s="1" t="inlineStr">
        <is>
          <t>1930001</t>
        </is>
      </c>
      <c r="B44" s="1" t="inlineStr">
        <is>
          <t>LLS Hoofdsom ABN AMRO Bank NV Senior Facility Agreement</t>
        </is>
      </c>
      <c r="C44" s="293" t="n">
        <v>-169075986</v>
      </c>
      <c r="D44" s="293" t="n">
        <v>-459986.91</v>
      </c>
      <c r="F44" s="293" t="n">
        <v>-875164.8</v>
      </c>
      <c r="G44" s="293" t="n">
        <v>-670610.59</v>
      </c>
      <c r="H44" s="305">
        <f>SUM(C44:G44)</f>
        <v/>
      </c>
    </row>
    <row r="45" ht="12.75" customHeight="1">
      <c r="A45" s="1" t="inlineStr">
        <is>
          <t>1930101</t>
        </is>
      </c>
      <c r="B45" s="1" t="inlineStr">
        <is>
          <t>LLS Cum aflossingen ABN AMRO Bank NV Senior Facility Agreement</t>
        </is>
      </c>
      <c r="C45" s="293" t="n">
        <v>34171891</v>
      </c>
      <c r="D45" s="293" t="n">
        <v>1328000</v>
      </c>
      <c r="E45" s="357" t="n">
        <v>1440000</v>
      </c>
      <c r="F45" s="293" t="n">
        <v>350000</v>
      </c>
      <c r="G45" s="293" t="n">
        <v>887000</v>
      </c>
      <c r="H45" s="305">
        <f>SUM(C45:G45)</f>
        <v/>
      </c>
      <c r="I45" s="264" t="inlineStr">
        <is>
          <t>Correctie inzake rente ipv aflossing</t>
        </is>
      </c>
    </row>
    <row r="46" ht="12.75" customHeight="1">
      <c r="A46" s="1" t="inlineStr">
        <is>
          <t>1930200</t>
        </is>
      </c>
      <c r="B46" s="1" t="inlineStr">
        <is>
          <t>LLS Extension fee&amp; professional fees</t>
        </is>
      </c>
      <c r="C46" s="293" t="n">
        <v>406963</v>
      </c>
      <c r="D46" s="293" t="n">
        <v>-29069.06</v>
      </c>
      <c r="E46" s="293">
        <f>VLOOKUP(A46,[2]Kolommenbalans!B$1:D$65536,3,FALSE)</f>
        <v/>
      </c>
      <c r="F46" s="293" t="n">
        <v>-29069.06</v>
      </c>
      <c r="G46" s="293">
        <f>-29069.05+4</f>
        <v/>
      </c>
      <c r="H46" s="305">
        <f>SUM(C46:G46)</f>
        <v/>
      </c>
    </row>
    <row r="47" ht="12.75" customHeight="1">
      <c r="C47" s="293" t="n">
        <v>0</v>
      </c>
      <c r="H47" s="290">
        <f>SUM(C47:G47)</f>
        <v/>
      </c>
    </row>
    <row r="48" ht="12.75" customHeight="1">
      <c r="A48" s="256" t="inlineStr">
        <is>
          <t>Kortlopende schulden</t>
        </is>
      </c>
      <c r="C48" s="293" t="n">
        <v>0</v>
      </c>
      <c r="H48" s="290">
        <f>SUM(C48:G48)</f>
        <v/>
      </c>
    </row>
    <row r="49" ht="12.75" customHeight="1">
      <c r="A49" s="1" t="inlineStr">
        <is>
          <t>2730000</t>
        </is>
      </c>
      <c r="B49" s="1" t="inlineStr">
        <is>
          <t>KLS Crediteuren</t>
        </is>
      </c>
      <c r="C49" s="293" t="n">
        <v>-998575</v>
      </c>
      <c r="D49" s="293" t="n">
        <v>715812</v>
      </c>
      <c r="E49" s="293">
        <f>VLOOKUP(A49,[2]Kolommenbalans!B$1:D$65536,3,FALSE)</f>
        <v/>
      </c>
      <c r="F49" s="293" t="n">
        <v>-319583.96</v>
      </c>
      <c r="G49" s="293" t="n">
        <v>-525839</v>
      </c>
      <c r="H49" s="305">
        <f>SUM(C49:G49)</f>
        <v/>
      </c>
    </row>
    <row r="50" ht="12.75" customHeight="1">
      <c r="A50" s="1" t="inlineStr">
        <is>
          <t>2730001</t>
        </is>
      </c>
      <c r="B50" s="1" t="inlineStr">
        <is>
          <t>KLS Crediteuren intercompany</t>
        </is>
      </c>
      <c r="C50" s="293" t="n">
        <v>-947380</v>
      </c>
      <c r="D50" s="293" t="n">
        <v>14700</v>
      </c>
      <c r="E50" s="293">
        <f>VLOOKUP(A50,[2]Kolommenbalans!B$1:D$65536,3,FALSE)</f>
        <v/>
      </c>
      <c r="F50" s="293" t="n">
        <v>0</v>
      </c>
      <c r="G50" s="293" t="n">
        <v>-12500</v>
      </c>
      <c r="H50" s="305">
        <f>SUM(C50:G50)</f>
        <v/>
      </c>
    </row>
    <row r="51" ht="12.75" customHeight="1">
      <c r="A51" s="1" t="inlineStr">
        <is>
          <t>2620000</t>
        </is>
      </c>
      <c r="B51" s="1" t="inlineStr">
        <is>
          <t>RC Kortlopend D.M. Equity Partners C.V.</t>
        </is>
      </c>
      <c r="C51" s="293" t="n">
        <v>-401205</v>
      </c>
      <c r="D51" s="293" t="n">
        <v>-150000</v>
      </c>
      <c r="E51" s="293">
        <f>VLOOKUP(A51,[2]Kolommenbalans!B$1:D$65536,3,FALSE)</f>
        <v/>
      </c>
      <c r="F51" s="357" t="n">
        <v>-9557</v>
      </c>
      <c r="H51" s="305">
        <f>SUM(C51:G51)</f>
        <v/>
      </c>
      <c r="I51" s="264" t="inlineStr">
        <is>
          <t>Rente boeking</t>
        </is>
      </c>
    </row>
    <row r="52" ht="12.75" customHeight="1">
      <c r="A52" s="1" t="inlineStr">
        <is>
          <t>2640000</t>
        </is>
      </c>
      <c r="B52" s="1" t="inlineStr">
        <is>
          <t>RC Kortlopend DMRRP INV - I BV</t>
        </is>
      </c>
      <c r="C52" s="293" t="n">
        <v>322865</v>
      </c>
      <c r="D52" s="293" t="n">
        <v>12470</v>
      </c>
      <c r="E52" s="293">
        <f>VLOOKUP(A52,[2]Kolommenbalans!B$1:D$65536,3,FALSE)</f>
        <v/>
      </c>
      <c r="F52" s="357" t="n">
        <v>-1742467</v>
      </c>
      <c r="G52" s="293">
        <f>365128-140416</f>
        <v/>
      </c>
      <c r="H52" s="305">
        <f>SUM(C52:G52)</f>
        <v/>
      </c>
      <c r="I52" s="264" t="inlineStr">
        <is>
          <t>Doorbelasting VPB en rente op RC</t>
        </is>
      </c>
      <c r="L52" s="290" t="n"/>
    </row>
    <row r="53" ht="12.75" customHeight="1">
      <c r="A53" s="130" t="n">
        <v>2650000</v>
      </c>
      <c r="B53" s="1" t="inlineStr">
        <is>
          <t>RC Kortlopend WPNL- V B.V.</t>
        </is>
      </c>
      <c r="C53" s="293" t="n">
        <v>0</v>
      </c>
      <c r="D53" s="293" t="n">
        <v>-500000</v>
      </c>
      <c r="F53" s="357" t="n">
        <v>-5000</v>
      </c>
      <c r="H53" s="305">
        <f>SUM(C53:G53)</f>
        <v/>
      </c>
      <c r="I53" s="264" t="inlineStr">
        <is>
          <t>Rente boeking</t>
        </is>
      </c>
    </row>
    <row r="54" ht="12.75" customHeight="1">
      <c r="A54" s="1" t="inlineStr">
        <is>
          <t>2512100</t>
        </is>
      </c>
      <c r="B54" s="1" t="inlineStr">
        <is>
          <t>BEL Afgedragen/ontvangen BTW</t>
        </is>
      </c>
      <c r="C54" s="293" t="n">
        <v>-5307</v>
      </c>
      <c r="D54" s="293" t="n">
        <v>2856.3</v>
      </c>
      <c r="E54" s="293">
        <f>VLOOKUP(A54,[2]Kolommenbalans!B$1:D$65536,3,FALSE)</f>
        <v/>
      </c>
      <c r="F54" s="293" t="n">
        <v>-2177</v>
      </c>
      <c r="G54" s="293">
        <f>3176-1</f>
        <v/>
      </c>
      <c r="H54" s="305">
        <f>SUM(C54:G54)</f>
        <v/>
      </c>
    </row>
    <row r="55" ht="12.75" customHeight="1">
      <c r="A55" s="1" t="inlineStr">
        <is>
          <t>2740100</t>
        </is>
      </c>
      <c r="B55" s="1" t="inlineStr">
        <is>
          <t>KLS Vooruitgefactureerde bedragen</t>
        </is>
      </c>
      <c r="C55" s="293" t="n">
        <v>-900394</v>
      </c>
      <c r="D55" s="293" t="n">
        <v>-47340.8</v>
      </c>
      <c r="E55" s="293">
        <f>VLOOKUP(A55,[2]Kolommenbalans!B$1:D$65536,3,FALSE)</f>
        <v/>
      </c>
      <c r="F55" s="293" t="n">
        <v>1511.29</v>
      </c>
      <c r="G55" s="293" t="n">
        <v>-127085</v>
      </c>
      <c r="H55" s="305">
        <f>SUM(C55:G55)</f>
        <v/>
      </c>
      <c r="I55" s="264" t="n"/>
    </row>
    <row r="56" ht="12.75" customHeight="1">
      <c r="A56" s="1" t="inlineStr">
        <is>
          <t>2740300</t>
        </is>
      </c>
      <c r="B56" s="1" t="inlineStr">
        <is>
          <t>KLS Te betalen waarborgsommen kortlopend</t>
        </is>
      </c>
      <c r="C56" s="293" t="n">
        <v>-957506</v>
      </c>
      <c r="D56" s="293" t="n">
        <v>-4796</v>
      </c>
      <c r="E56" s="293">
        <f>VLOOKUP(A56,[2]Kolommenbalans!B$1:D$65536,3,FALSE)</f>
        <v/>
      </c>
      <c r="F56" s="293" t="n">
        <v>3736</v>
      </c>
      <c r="G56" s="293">
        <f>10637.04+1</f>
        <v/>
      </c>
      <c r="H56" s="305">
        <f>SUM(C56:G56)</f>
        <v/>
      </c>
    </row>
    <row r="57" ht="12.75" customHeight="1">
      <c r="A57" s="1" t="inlineStr">
        <is>
          <t>2740500</t>
        </is>
      </c>
      <c r="B57" s="1" t="inlineStr">
        <is>
          <t>KLS Te betalen accountants- en administratiekosten</t>
        </is>
      </c>
      <c r="C57" s="293" t="n">
        <v>-45000</v>
      </c>
      <c r="H57" s="305">
        <f>SUM(C57:G57)</f>
        <v/>
      </c>
    </row>
    <row r="58" ht="12.75" customHeight="1">
      <c r="A58" s="1" t="inlineStr">
        <is>
          <t>2741000</t>
        </is>
      </c>
      <c r="B58" s="1" t="inlineStr">
        <is>
          <t>KLS Te betalen servicekosten</t>
        </is>
      </c>
      <c r="C58" s="293" t="n">
        <v>1</v>
      </c>
      <c r="E58" s="293">
        <f>VLOOKUP(A58,[2]Kolommenbalans!B$1:D$65536,3,FALSE)</f>
        <v/>
      </c>
      <c r="H58" s="305">
        <f>SUM(C58:G58)</f>
        <v/>
      </c>
    </row>
    <row r="59" ht="12.75" customHeight="1">
      <c r="A59" s="1" t="inlineStr">
        <is>
          <t>2741001</t>
        </is>
      </c>
      <c r="B59" s="1" t="inlineStr">
        <is>
          <t>KLS Te betalen servicekosten -</t>
        </is>
      </c>
      <c r="C59" s="293" t="n">
        <v>0</v>
      </c>
      <c r="H59" s="305">
        <f>SUM(C59:G59)</f>
        <v/>
      </c>
    </row>
    <row r="60" ht="12.75" customHeight="1">
      <c r="A60" s="1" t="inlineStr">
        <is>
          <t>2741004</t>
        </is>
      </c>
      <c r="B60" s="1" t="inlineStr">
        <is>
          <t>KLS Te betalen Hoen</t>
        </is>
      </c>
      <c r="C60" s="293" t="n">
        <v>-174301</v>
      </c>
      <c r="D60" s="293" t="n">
        <v>-87499.92999999999</v>
      </c>
      <c r="E60" s="293">
        <f>VLOOKUP(A60,[2]Kolommenbalans!B$1:D$65536,3,FALSE)</f>
        <v/>
      </c>
      <c r="F60" s="293" t="n">
        <v>-45993.21</v>
      </c>
      <c r="G60" s="293">
        <f>-140627-1</f>
        <v/>
      </c>
      <c r="H60" s="305">
        <f>SUM(C60:G60)</f>
        <v/>
      </c>
    </row>
    <row r="61" ht="12.75" customHeight="1">
      <c r="A61" s="1" t="inlineStr">
        <is>
          <t>2741200</t>
        </is>
      </c>
      <c r="B61" s="1" t="inlineStr">
        <is>
          <t>KLS Te betalen overige kosten</t>
        </is>
      </c>
      <c r="C61" s="293" t="n">
        <v>30002</v>
      </c>
      <c r="E61" s="293">
        <f>VLOOKUP(A61,[2]Kolommenbalans!B$1:D$65536,3,FALSE)</f>
        <v/>
      </c>
      <c r="F61" s="357" t="n">
        <v>-783782.38</v>
      </c>
      <c r="G61" s="293" t="n">
        <v>783782.38</v>
      </c>
      <c r="H61" s="305">
        <f>SUM(C61:G61)</f>
        <v/>
      </c>
      <c r="I61" s="264" t="inlineStr">
        <is>
          <t>Kosten betaald in 2025 voor 2024</t>
        </is>
      </c>
    </row>
    <row r="62" ht="12.75" customHeight="1">
      <c r="A62" s="1" t="inlineStr">
        <is>
          <t>2742000</t>
        </is>
      </c>
      <c r="B62" s="1" t="inlineStr">
        <is>
          <t>KLS Vraagposten</t>
        </is>
      </c>
      <c r="C62" s="293" t="n">
        <v>0</v>
      </c>
      <c r="D62" s="346" t="n">
        <v>0</v>
      </c>
      <c r="E62" s="293">
        <f>VLOOKUP(A62,[2]Kolommenbalans!B$1:D$65536,3,FALSE)</f>
        <v/>
      </c>
      <c r="H62" s="305">
        <f>SUM(C62:G62)</f>
        <v/>
      </c>
    </row>
    <row r="63" ht="12.75" customHeight="1">
      <c r="A63" s="130" t="inlineStr">
        <is>
          <t>2760000</t>
        </is>
      </c>
      <c r="B63" s="1" t="inlineStr">
        <is>
          <t>KLS Saldo lening DMRRP INV - I BV</t>
        </is>
      </c>
      <c r="C63" s="293" t="n">
        <v>0</v>
      </c>
      <c r="E63" s="293">
        <f>VLOOKUP(A63,[2]Kolommenbalans!B$1:D$65536,3,FALSE)</f>
        <v/>
      </c>
      <c r="H63" s="290">
        <f>SUM(C63:G63)</f>
        <v/>
      </c>
    </row>
    <row r="64" ht="12.75" customHeight="1">
      <c r="A64" s="130" t="n">
        <v>2502020</v>
      </c>
      <c r="B64" s="1" t="inlineStr">
        <is>
          <t>Servicekosten 2020</t>
        </is>
      </c>
      <c r="C64" s="293" t="n">
        <v>789</v>
      </c>
      <c r="F64" s="293" t="n">
        <v>-788.66</v>
      </c>
      <c r="H64" s="290">
        <f>SUM(C64:G64)</f>
        <v/>
      </c>
      <c r="I64" s="290" t="n"/>
    </row>
    <row r="65" ht="12.75" customHeight="1">
      <c r="A65" s="1" t="inlineStr">
        <is>
          <t>2502021</t>
        </is>
      </c>
      <c r="B65" s="1" t="inlineStr">
        <is>
          <t>Servicekosten 2021</t>
        </is>
      </c>
      <c r="C65" s="293" t="n">
        <v>89443</v>
      </c>
      <c r="D65" s="293" t="n">
        <v>-93962.63</v>
      </c>
      <c r="E65" s="293">
        <f>VLOOKUP(A65,[2]Kolommenbalans!B$1:D$65536,3,FALSE)</f>
        <v/>
      </c>
      <c r="F65" s="357" t="n">
        <v>11164.33</v>
      </c>
      <c r="G65" s="293" t="n">
        <v>-5932.67</v>
      </c>
      <c r="H65" s="305">
        <f>SUM(C65:G65)</f>
        <v/>
      </c>
      <c r="I65" s="362" t="inlineStr">
        <is>
          <t>Aansluiting op cijfers Hoen</t>
        </is>
      </c>
    </row>
    <row r="66" ht="12.75" customHeight="1">
      <c r="A66" s="1" t="inlineStr">
        <is>
          <t>2502022</t>
        </is>
      </c>
      <c r="B66" s="1" t="inlineStr">
        <is>
          <t>Servicekosten 2022</t>
        </is>
      </c>
      <c r="C66" s="293" t="n">
        <v>179349</v>
      </c>
      <c r="D66" s="293" t="n">
        <v>-261260</v>
      </c>
      <c r="E66" s="293">
        <f>VLOOKUP(A66,[2]Kolommenbalans!B$1:D$65536,3,FALSE)</f>
        <v/>
      </c>
      <c r="F66" s="357" t="n">
        <v>85939.7</v>
      </c>
      <c r="G66" s="293" t="n">
        <v>679.9299999999999</v>
      </c>
      <c r="H66" s="305">
        <f>SUM(C66:G66)</f>
        <v/>
      </c>
      <c r="I66" s="362" t="inlineStr">
        <is>
          <t>Aansluiting op cijfers Hoen</t>
        </is>
      </c>
    </row>
    <row r="67" ht="12.75" customHeight="1">
      <c r="A67" s="1" t="inlineStr">
        <is>
          <t>2502023</t>
        </is>
      </c>
      <c r="B67" s="1" t="inlineStr">
        <is>
          <t>Servicekosten 2023</t>
        </is>
      </c>
      <c r="C67" s="293" t="n">
        <v>9622</v>
      </c>
      <c r="D67" s="293" t="n">
        <v>-212658.64</v>
      </c>
      <c r="E67" s="293">
        <f>VLOOKUP(A67,[2]Kolommenbalans!B$1:D$65536,3,FALSE)</f>
        <v/>
      </c>
      <c r="F67" s="357" t="n">
        <v>174386.43</v>
      </c>
      <c r="G67" s="293" t="n">
        <v>-5964</v>
      </c>
      <c r="H67" s="305">
        <f>SUM(C67:G67)</f>
        <v/>
      </c>
      <c r="I67" s="362" t="inlineStr">
        <is>
          <t>Aansluiting op cijfers Hoen</t>
        </is>
      </c>
    </row>
    <row r="68" ht="12.75" customHeight="1">
      <c r="A68" s="302" t="inlineStr">
        <is>
          <t>2502024</t>
        </is>
      </c>
      <c r="B68" s="302" t="inlineStr">
        <is>
          <t>Servicekosten 2024</t>
        </is>
      </c>
      <c r="C68" s="293" t="n">
        <v>-6716</v>
      </c>
      <c r="D68" s="293">
        <f>225121.63-1</f>
        <v/>
      </c>
      <c r="E68" s="293">
        <f>VLOOKUP(A68,[2]Kolommenbalans!B$1:D$65536,3,FALSE)</f>
        <v/>
      </c>
      <c r="F68" s="293">
        <f>-187446.25-1</f>
        <v/>
      </c>
      <c r="G68" s="293" t="n">
        <v>63895</v>
      </c>
      <c r="H68" s="305">
        <f>SUM(C68:G68)</f>
        <v/>
      </c>
    </row>
    <row r="69" ht="12.75" customHeight="1">
      <c r="A69" s="302" t="inlineStr">
        <is>
          <t>2502024</t>
        </is>
      </c>
      <c r="B69" s="302" t="inlineStr">
        <is>
          <t>Servicekosten 2025</t>
        </is>
      </c>
      <c r="G69" s="293">
        <f>23666+2</f>
        <v/>
      </c>
      <c r="H69" s="305">
        <f>SUM(C69:G69)</f>
        <v/>
      </c>
    </row>
    <row r="70" ht="12.75" customHeight="1">
      <c r="H70" s="290">
        <f>SUM(C70:G70)</f>
        <v/>
      </c>
    </row>
    <row r="71" ht="12.75" customHeight="1">
      <c r="A71" s="132" t="inlineStr">
        <is>
          <t>Winst- en verliesrekening (baten zijn negatief, kosten positief)</t>
        </is>
      </c>
      <c r="H71" s="290">
        <f>SUM(C71:G71)</f>
        <v/>
      </c>
    </row>
    <row r="72" ht="12.75" customHeight="1">
      <c r="H72" s="290">
        <f>SUM(C72:G72)</f>
        <v/>
      </c>
    </row>
    <row r="73" ht="12.75" customHeight="1">
      <c r="A73" s="1" t="inlineStr">
        <is>
          <t>8000003</t>
        </is>
      </c>
      <c r="B73" s="1" t="inlineStr">
        <is>
          <t>OPB Netto-omzet Theoretische huuropbrengsten</t>
        </is>
      </c>
      <c r="D73" s="293" t="n">
        <v>-3065862.05</v>
      </c>
      <c r="E73" s="293">
        <f>VLOOKUP(A73,[2]Kolommenbalans!B$1:D$65536,3,FALSE)</f>
        <v/>
      </c>
      <c r="F73" s="293" t="n">
        <v>-3186800.49</v>
      </c>
      <c r="G73" s="294" t="n">
        <v>-3209085.09</v>
      </c>
      <c r="H73" s="305">
        <f>SUM(C73:G73)</f>
        <v/>
      </c>
      <c r="I73" s="290" t="n"/>
    </row>
    <row r="74" ht="12.75" customHeight="1">
      <c r="A74" s="1" t="inlineStr">
        <is>
          <t>8000004</t>
        </is>
      </c>
      <c r="B74" s="1" t="inlineStr">
        <is>
          <t>OPB Netto-omzet Leegstand huuropbrengsten</t>
        </is>
      </c>
      <c r="D74" s="293" t="n">
        <v>72337.34</v>
      </c>
      <c r="E74" s="293">
        <f>VLOOKUP(A74,[2]Kolommenbalans!B$1:D$65536,3,FALSE)</f>
        <v/>
      </c>
      <c r="F74" s="293" t="n">
        <v>106874.37</v>
      </c>
      <c r="G74" s="294" t="n">
        <v>143610.3</v>
      </c>
      <c r="H74" s="305">
        <f>SUM(C74:G74)</f>
        <v/>
      </c>
      <c r="I74" s="290" t="n"/>
    </row>
    <row r="75" ht="12.75" customHeight="1">
      <c r="H75" s="290">
        <f>SUM(C75:G75)</f>
        <v/>
      </c>
      <c r="I75" s="290" t="n"/>
    </row>
    <row r="76" ht="12.75" customHeight="1">
      <c r="A76" s="1" t="inlineStr">
        <is>
          <t>8400600</t>
        </is>
      </c>
      <c r="B76" s="1" t="inlineStr">
        <is>
          <t>OPB Overige bedrijfsopbrengsten Totale servicekosten</t>
        </is>
      </c>
      <c r="D76" s="293" t="n">
        <v>285</v>
      </c>
      <c r="E76" s="293">
        <f>VLOOKUP(A76,[2]Kolommenbalans!B$1:D$65536,3,FALSE)</f>
        <v/>
      </c>
      <c r="F76" s="293" t="n">
        <v>76472.45</v>
      </c>
      <c r="G76" s="294" t="n">
        <v>-294</v>
      </c>
      <c r="H76" s="290">
        <f>SUM(C76:G76)</f>
        <v/>
      </c>
      <c r="I76" s="290" t="n"/>
    </row>
    <row r="77" ht="12.75" customHeight="1">
      <c r="A77" s="1" t="inlineStr">
        <is>
          <t>8400700</t>
        </is>
      </c>
      <c r="B77" s="1" t="inlineStr">
        <is>
          <t>OPB Overige bedrijfsopbrengsten Servicekosten leegstand</t>
        </is>
      </c>
      <c r="D77" s="293" t="n">
        <v>44728.32</v>
      </c>
      <c r="E77" s="293">
        <f>VLOOKUP(A77,[2]Kolommenbalans!B$1:D$65536,3,FALSE)</f>
        <v/>
      </c>
      <c r="F77" s="293" t="n">
        <v>-167419.98</v>
      </c>
      <c r="G77" s="294" t="n">
        <v>8776</v>
      </c>
      <c r="H77" s="290">
        <f>SUM(C77:G77)</f>
        <v/>
      </c>
      <c r="I77" s="290" t="n"/>
    </row>
    <row r="78" ht="12.75" customHeight="1">
      <c r="A78" s="1" t="inlineStr">
        <is>
          <t>8400800</t>
        </is>
      </c>
      <c r="B78" s="1" t="inlineStr">
        <is>
          <t>OPB Overige bedrijfsopbrengsten Gerealiseerde servicekosten</t>
        </is>
      </c>
      <c r="D78" s="293" t="n">
        <v>95667.58</v>
      </c>
      <c r="E78" s="293">
        <f>VLOOKUP(A78,[2]Kolommenbalans!B$1:D$65536,3,FALSE)</f>
        <v/>
      </c>
      <c r="F78" s="357" t="n">
        <v>-279511.1</v>
      </c>
      <c r="G78" s="294" t="n">
        <v>131053</v>
      </c>
      <c r="H78" s="290">
        <f>SUM(C78:G78)</f>
        <v/>
      </c>
      <c r="I78" s="362" t="inlineStr">
        <is>
          <t>Aansluiting op cijfers Hoen</t>
        </is>
      </c>
    </row>
    <row r="79" ht="12.75" customHeight="1">
      <c r="H79" s="290">
        <f>SUM(C79:G79)</f>
        <v/>
      </c>
      <c r="I79" s="290" t="n"/>
    </row>
    <row r="80" ht="12.75" customHeight="1">
      <c r="A80" s="1" t="inlineStr">
        <is>
          <t>4051400</t>
        </is>
      </c>
      <c r="B80" s="1" t="inlineStr">
        <is>
          <t>KN Diensten door derden</t>
        </is>
      </c>
      <c r="D80" s="293" t="n">
        <v>130121.37</v>
      </c>
      <c r="E80" s="293">
        <f>VLOOKUP(A80,[2]Kolommenbalans!B$1:D$65536,3,FALSE)</f>
        <v/>
      </c>
      <c r="F80" s="293" t="n">
        <v>135444.14</v>
      </c>
      <c r="G80" s="293" t="n">
        <v>137751</v>
      </c>
      <c r="H80" s="290">
        <f>SUM(C80:G80)</f>
        <v/>
      </c>
      <c r="I80" s="290" t="n"/>
    </row>
    <row r="81" ht="12.75" customHeight="1">
      <c r="H81" s="290">
        <f>SUM(C81:G81)</f>
        <v/>
      </c>
      <c r="I81" s="290" t="n"/>
    </row>
    <row r="82" ht="12.75" customHeight="1">
      <c r="A82" s="1" t="inlineStr">
        <is>
          <t>4730000</t>
        </is>
      </c>
      <c r="B82" s="1" t="inlineStr">
        <is>
          <t>AFKN Afschrijvingskosten -</t>
        </is>
      </c>
      <c r="D82" s="293" t="n">
        <v>752120</v>
      </c>
      <c r="E82" s="293">
        <f>VLOOKUP(A82,[2]Kolommenbalans!B$1:D$65536,3,FALSE)</f>
        <v/>
      </c>
      <c r="F82" s="293" t="n">
        <v>793542</v>
      </c>
      <c r="G82" s="293" t="n">
        <v>811996</v>
      </c>
      <c r="H82" s="290">
        <f>SUM(C82:G82)</f>
        <v/>
      </c>
      <c r="I82" s="290" t="n"/>
    </row>
    <row r="83" ht="12.75" customHeight="1">
      <c r="A83" s="1" t="inlineStr">
        <is>
          <t>4730200</t>
        </is>
      </c>
      <c r="B83" s="1" t="inlineStr">
        <is>
          <t>AFKN Boekresultaat -</t>
        </is>
      </c>
      <c r="D83" s="293" t="n">
        <v>-903643</v>
      </c>
      <c r="E83" s="293">
        <f>VLOOKUP(A83,[2]Kolommenbalans!B$1:D$65536,3,FALSE)</f>
        <v/>
      </c>
      <c r="F83" s="293" t="n">
        <v>0</v>
      </c>
      <c r="G83" s="293" t="n">
        <v>-1202123</v>
      </c>
      <c r="H83" s="290">
        <f>SUM(C83:G83)</f>
        <v/>
      </c>
      <c r="I83" s="290" t="n"/>
    </row>
    <row r="84" ht="12.75" customHeight="1">
      <c r="H84" s="290">
        <f>SUM(C84:G84)</f>
        <v/>
      </c>
      <c r="I84" s="290" t="n"/>
    </row>
    <row r="85" ht="12.75" customHeight="1">
      <c r="A85" s="1" t="inlineStr">
        <is>
          <t>4100400</t>
        </is>
      </c>
      <c r="B85" s="1" t="inlineStr">
        <is>
          <t>KN Onderhoud gebouwen</t>
        </is>
      </c>
      <c r="D85" s="346" t="n">
        <v>329083</v>
      </c>
      <c r="E85" s="346" t="n">
        <v>216162</v>
      </c>
      <c r="F85" s="357" t="n">
        <v>320115.76</v>
      </c>
      <c r="G85" s="294" t="n">
        <v>335314</v>
      </c>
      <c r="H85" s="305">
        <f>SUM(C85:G85)</f>
        <v/>
      </c>
      <c r="I85" s="264" t="inlineStr">
        <is>
          <t>Kosten betaald in 2025 voor 2024</t>
        </is>
      </c>
    </row>
    <row r="86" ht="12.75" customHeight="1">
      <c r="A86" s="1" t="inlineStr">
        <is>
          <t>4100900</t>
        </is>
      </c>
      <c r="B86" s="1" t="inlineStr">
        <is>
          <t>KN Onroerende zaakbelasting</t>
        </is>
      </c>
      <c r="D86" s="293" t="n">
        <v>66177.88</v>
      </c>
      <c r="E86" s="293">
        <f>VLOOKUP(A86,[2]Kolommenbalans!B$1:D$65536,3,FALSE)</f>
        <v/>
      </c>
      <c r="F86" s="293" t="n">
        <v>69696.85000000001</v>
      </c>
      <c r="G86" s="294" t="n">
        <v>80016</v>
      </c>
      <c r="H86" s="290">
        <f>SUM(C86:G86)</f>
        <v/>
      </c>
      <c r="I86" s="290" t="n"/>
      <c r="J86" s="290" t="n"/>
    </row>
    <row r="87" ht="12.75" customHeight="1">
      <c r="A87" s="1" t="inlineStr">
        <is>
          <t>4101000</t>
        </is>
      </c>
      <c r="B87" s="1" t="inlineStr">
        <is>
          <t>KN Vaste lasten</t>
        </is>
      </c>
      <c r="D87" s="293" t="n">
        <v>262945.32</v>
      </c>
      <c r="E87" s="293">
        <f>VLOOKUP(A87,[2]Kolommenbalans!B$1:D$65536,3,FALSE)</f>
        <v/>
      </c>
      <c r="F87" s="357" t="n">
        <v>180464.32</v>
      </c>
      <c r="G87" s="294" t="n">
        <v>199784</v>
      </c>
      <c r="H87" s="290">
        <f>SUM(C87:G87)</f>
        <v/>
      </c>
      <c r="I87" s="264" t="inlineStr">
        <is>
          <t>Kosten betaald in 2025 voor 2024</t>
        </is>
      </c>
    </row>
    <row r="88" ht="12.75" customHeight="1">
      <c r="A88" s="1" t="inlineStr">
        <is>
          <t>4100410</t>
        </is>
      </c>
      <c r="B88" s="1" t="inlineStr">
        <is>
          <t>Verhuurdersheffing</t>
        </is>
      </c>
      <c r="G88" s="293" t="n">
        <v>63619</v>
      </c>
      <c r="H88" s="290">
        <f>SUM(C88:G88)</f>
        <v/>
      </c>
      <c r="I88" s="290" t="n"/>
    </row>
    <row r="89" ht="12.75" customHeight="1">
      <c r="A89" s="1" t="inlineStr">
        <is>
          <t>4101010</t>
        </is>
      </c>
      <c r="B89" s="1" t="inlineStr">
        <is>
          <t>Gemeentelijke belastingen</t>
        </is>
      </c>
      <c r="D89" s="293" t="n">
        <v>23941.86</v>
      </c>
      <c r="E89" s="293">
        <f>VLOOKUP(A89,[2]Kolommenbalans!B$1:D$65536,3,FALSE)</f>
        <v/>
      </c>
      <c r="F89" s="357" t="n">
        <v>27115.88</v>
      </c>
      <c r="G89" s="294" t="n">
        <v>26493</v>
      </c>
      <c r="H89" s="290">
        <f>SUM(C89:G89)</f>
        <v/>
      </c>
      <c r="I89" s="264" t="inlineStr">
        <is>
          <t>Kosten betaald in 2025 voor 2024</t>
        </is>
      </c>
      <c r="J89" s="290" t="n"/>
    </row>
    <row r="90" ht="12.75" customHeight="1">
      <c r="A90" s="1" t="inlineStr">
        <is>
          <t>4101020</t>
        </is>
      </c>
      <c r="B90" s="1" t="inlineStr">
        <is>
          <t>Waterschapsbelasting</t>
        </is>
      </c>
      <c r="D90" s="293" t="n">
        <v>48840.03</v>
      </c>
      <c r="E90" s="293">
        <f>VLOOKUP(A90,[2]Kolommenbalans!B$1:D$65536,3,FALSE)</f>
        <v/>
      </c>
      <c r="F90" s="357" t="n">
        <v>13307.02</v>
      </c>
      <c r="G90" s="294" t="n">
        <v>10678.06</v>
      </c>
      <c r="H90" s="290">
        <f>SUM(C90:G90)</f>
        <v/>
      </c>
      <c r="I90" s="264" t="inlineStr">
        <is>
          <t>Kosten betaald in 2025 voor 2024</t>
        </is>
      </c>
    </row>
    <row r="91" ht="12.75" customHeight="1">
      <c r="A91" s="1" t="inlineStr">
        <is>
          <t>4101300</t>
        </is>
      </c>
      <c r="B91" s="1" t="inlineStr">
        <is>
          <t>KN Servicekosten leegstand</t>
        </is>
      </c>
      <c r="E91" s="293">
        <f>VLOOKUP(A91,[2]Kolommenbalans!B$1:D$65536,3,FALSE)</f>
        <v/>
      </c>
      <c r="G91" s="293" t="n">
        <v>-765.02</v>
      </c>
      <c r="H91" s="290">
        <f>SUM(C91:G91)</f>
        <v/>
      </c>
      <c r="I91" s="290" t="n"/>
    </row>
    <row r="92" ht="12.75" customHeight="1">
      <c r="H92" s="290">
        <f>SUM(C92:G92)</f>
        <v/>
      </c>
      <c r="I92" s="290" t="n"/>
    </row>
    <row r="93" ht="12.75" customHeight="1">
      <c r="A93" s="1" t="inlineStr">
        <is>
          <t>4501200</t>
        </is>
      </c>
      <c r="B93" s="1" t="inlineStr">
        <is>
          <t>KN Mutatie voorziening dubieuze debiteuren</t>
        </is>
      </c>
      <c r="F93" s="357" t="n">
        <v>81794.69</v>
      </c>
      <c r="G93" s="294" t="n"/>
      <c r="H93" s="290">
        <f>SUM(C93:G93)</f>
        <v/>
      </c>
      <c r="I93" s="264" t="inlineStr">
        <is>
          <t>Dubieuze debiteuren vanuit Hoen</t>
        </is>
      </c>
    </row>
    <row r="94" ht="12.75" customHeight="1">
      <c r="A94" s="1" t="inlineStr">
        <is>
          <t>4501300</t>
        </is>
      </c>
      <c r="B94" s="1" t="inlineStr">
        <is>
          <t>KN Afboeking dubieuze debiteuren</t>
        </is>
      </c>
      <c r="D94" s="293" t="n">
        <v>42503.08</v>
      </c>
      <c r="E94" s="293">
        <f>VLOOKUP(A94,[2]Kolommenbalans!B$1:D$65536,3,FALSE)</f>
        <v/>
      </c>
      <c r="F94" s="293" t="n">
        <v>10216.44</v>
      </c>
      <c r="G94" s="294" t="n">
        <v>311.29</v>
      </c>
      <c r="H94" s="290">
        <f>SUM(C94:G94)</f>
        <v/>
      </c>
      <c r="I94" s="290" t="n"/>
    </row>
    <row r="95" ht="12.75" customHeight="1">
      <c r="H95" s="290">
        <f>SUM(C95:G95)</f>
        <v/>
      </c>
      <c r="I95" s="290" t="n"/>
    </row>
    <row r="96" ht="12.75" customHeight="1">
      <c r="A96" s="1" t="inlineStr">
        <is>
          <t>4300200</t>
        </is>
      </c>
      <c r="B96" s="1" t="inlineStr">
        <is>
          <t>KN Communicatiekosten</t>
        </is>
      </c>
      <c r="F96" s="293" t="n">
        <v>36.63</v>
      </c>
      <c r="G96" s="294" t="n"/>
      <c r="H96" s="290">
        <f>SUM(C96:G96)</f>
        <v/>
      </c>
      <c r="I96" s="290" t="n"/>
    </row>
    <row r="97" ht="12.75" customHeight="1">
      <c r="A97" s="1" t="inlineStr">
        <is>
          <t>4300500</t>
        </is>
      </c>
      <c r="B97" s="1" t="inlineStr">
        <is>
          <t>KN Incassokosten</t>
        </is>
      </c>
      <c r="D97" s="293" t="n">
        <v>40</v>
      </c>
      <c r="E97" s="293">
        <f>VLOOKUP(A97,[2]Kolommenbalans!B$1:D$65536,3,FALSE)</f>
        <v/>
      </c>
      <c r="F97" s="293" t="n">
        <v>500</v>
      </c>
      <c r="G97" s="294" t="n">
        <v>740</v>
      </c>
      <c r="H97" s="290">
        <f>SUM(C97:G97)</f>
        <v/>
      </c>
      <c r="I97" s="290" t="n"/>
    </row>
    <row r="98" ht="12.75" customHeight="1">
      <c r="H98" s="290">
        <f>SUM(C98:G98)</f>
        <v/>
      </c>
      <c r="I98" s="290" t="n"/>
    </row>
    <row r="99" ht="12.75" customHeight="1">
      <c r="A99" s="1" t="inlineStr">
        <is>
          <t>4310400</t>
        </is>
      </c>
      <c r="B99" s="1" t="inlineStr">
        <is>
          <t>KN Assurantiepremie algemeen</t>
        </is>
      </c>
      <c r="D99" s="293">
        <f>37420.71</f>
        <v/>
      </c>
      <c r="E99" s="293">
        <f>VLOOKUP(A99,[2]Kolommenbalans!B$1:D$65536,3,FALSE)</f>
        <v/>
      </c>
      <c r="F99" s="293" t="n">
        <v>18609.21</v>
      </c>
      <c r="G99" s="294" t="n">
        <v>29994.09</v>
      </c>
      <c r="H99" s="290">
        <f>SUM(C99:G99)</f>
        <v/>
      </c>
      <c r="I99" s="290" t="n"/>
      <c r="J99" s="290" t="n"/>
    </row>
    <row r="100" ht="12.75" customHeight="1">
      <c r="A100" s="1" t="inlineStr">
        <is>
          <t>4310500</t>
        </is>
      </c>
      <c r="B100" s="1" t="inlineStr">
        <is>
          <t>KN Managementvergoeding</t>
        </is>
      </c>
      <c r="D100" s="293" t="n">
        <v>1500</v>
      </c>
      <c r="E100" s="293">
        <f>VLOOKUP(A100,[2]Kolommenbalans!B$1:D$65536,3,FALSE)</f>
        <v/>
      </c>
      <c r="F100" s="293" t="n">
        <v>1500</v>
      </c>
      <c r="G100" s="293" t="n">
        <v>1500</v>
      </c>
      <c r="H100" s="290">
        <f>SUM(C100:G100)</f>
        <v/>
      </c>
      <c r="I100" s="290" t="n"/>
    </row>
    <row r="101" ht="12.75" customHeight="1">
      <c r="A101" s="1" t="inlineStr">
        <is>
          <t>4310600</t>
        </is>
      </c>
      <c r="B101" s="1" t="inlineStr">
        <is>
          <t>KN Accountantskosten</t>
        </is>
      </c>
      <c r="D101" s="293" t="n">
        <v>19091</v>
      </c>
      <c r="E101" s="293">
        <f>VLOOKUP(A101,[2]Kolommenbalans!B$1:D$65536,3,FALSE)</f>
        <v/>
      </c>
      <c r="F101" s="357" t="n">
        <v>28685.98</v>
      </c>
      <c r="G101" s="294" t="n">
        <v>37717</v>
      </c>
      <c r="H101" s="290">
        <f>SUM(C101:G101)</f>
        <v/>
      </c>
      <c r="I101" s="264" t="inlineStr">
        <is>
          <t>Kosten betaald in 2025 voor 2024</t>
        </is>
      </c>
    </row>
    <row r="102" ht="12.75" customHeight="1">
      <c r="A102" s="1" t="inlineStr">
        <is>
          <t>4310700</t>
        </is>
      </c>
      <c r="B102" s="1" t="inlineStr">
        <is>
          <t>KN Administratiekosten</t>
        </is>
      </c>
      <c r="D102" s="293" t="n">
        <v>2825.35</v>
      </c>
      <c r="E102" s="293">
        <f>VLOOKUP(A102,[2]Kolommenbalans!B$1:D$65536,3,FALSE)</f>
        <v/>
      </c>
      <c r="F102" s="293" t="n">
        <v>1397.55</v>
      </c>
      <c r="G102" s="294" t="n"/>
      <c r="H102" s="290">
        <f>SUM(C102:G102)</f>
        <v/>
      </c>
      <c r="I102" s="290" t="n"/>
    </row>
    <row r="103" ht="12.75" customHeight="1">
      <c r="A103" s="1" t="inlineStr">
        <is>
          <t>4310800</t>
        </is>
      </c>
      <c r="B103" s="1" t="inlineStr">
        <is>
          <t>KN Notariskosten</t>
        </is>
      </c>
      <c r="D103" s="293" t="n">
        <v>46357.1</v>
      </c>
      <c r="E103" s="293">
        <f>VLOOKUP(A103,[2]Kolommenbalans!B$1:D$65536,3,FALSE)</f>
        <v/>
      </c>
      <c r="F103" s="357" t="n">
        <v>40046.62</v>
      </c>
      <c r="G103" s="294" t="n">
        <v>62948.91</v>
      </c>
      <c r="H103" s="290">
        <f>SUM(C103:G103)</f>
        <v/>
      </c>
      <c r="I103" s="264" t="inlineStr">
        <is>
          <t>Kosten betaald in 2025 voor 2024</t>
        </is>
      </c>
    </row>
    <row r="104" ht="12.75" customHeight="1">
      <c r="A104" s="1" t="inlineStr">
        <is>
          <t>4311000</t>
        </is>
      </c>
      <c r="B104" s="1" t="inlineStr">
        <is>
          <t>KN Juridische kosten</t>
        </is>
      </c>
      <c r="D104" s="293" t="n">
        <v>7662.19</v>
      </c>
      <c r="E104" s="293">
        <f>VLOOKUP(A104,[2]Kolommenbalans!B$1:D$65536,3,FALSE)</f>
        <v/>
      </c>
      <c r="F104" s="357" t="n">
        <v>21661.23</v>
      </c>
      <c r="G104" s="294" t="n">
        <v>23359.27</v>
      </c>
      <c r="H104" s="290">
        <f>SUM(C104:G104)</f>
        <v/>
      </c>
      <c r="I104" s="264" t="inlineStr">
        <is>
          <t>Kosten betaald in 2025 voor 2024</t>
        </is>
      </c>
    </row>
    <row r="105" ht="12.75" customHeight="1">
      <c r="A105" s="1" t="inlineStr">
        <is>
          <t>4311800</t>
        </is>
      </c>
      <c r="B105" s="1" t="inlineStr">
        <is>
          <t>KN Advieskosten</t>
        </is>
      </c>
      <c r="D105" s="293" t="n">
        <v>9900</v>
      </c>
      <c r="E105" s="293">
        <f>VLOOKUP(A105,[2]Kolommenbalans!B$1:D$65536,3,FALSE)</f>
        <v/>
      </c>
      <c r="F105" s="357" t="n">
        <v>35200</v>
      </c>
      <c r="G105" s="294" t="n">
        <v>11168</v>
      </c>
      <c r="H105" s="290">
        <f>SUM(C105:G105)</f>
        <v/>
      </c>
      <c r="I105" s="264" t="inlineStr">
        <is>
          <t>Kosten betaald in 2025 voor 2024</t>
        </is>
      </c>
    </row>
    <row r="106" ht="12.75" customHeight="1">
      <c r="A106" s="1" t="inlineStr">
        <is>
          <t>4311900</t>
        </is>
      </c>
      <c r="B106" s="1" t="inlineStr">
        <is>
          <t>KN Bankkosten</t>
        </is>
      </c>
      <c r="D106" s="346" t="n">
        <v>30344</v>
      </c>
      <c r="E106" s="346" t="n">
        <v>30223</v>
      </c>
      <c r="F106" s="293" t="n">
        <v>30061.71</v>
      </c>
      <c r="G106" s="294" t="n">
        <v>30747</v>
      </c>
      <c r="H106" s="290">
        <f>SUM(C106:G106)</f>
        <v/>
      </c>
      <c r="I106" s="362" t="n"/>
    </row>
    <row r="107" ht="12.75" customHeight="1">
      <c r="A107" s="1" t="inlineStr">
        <is>
          <t>4312600</t>
        </is>
      </c>
      <c r="B107" s="1" t="inlineStr">
        <is>
          <t>KN Diverse lasten</t>
        </is>
      </c>
      <c r="D107" s="293" t="n">
        <v>0</v>
      </c>
      <c r="E107" s="293">
        <f>VLOOKUP(A107,[2]Kolommenbalans!B$1:D$65536,3,FALSE)</f>
        <v/>
      </c>
      <c r="F107" s="293" t="n">
        <v>40000</v>
      </c>
      <c r="G107" s="294" t="n"/>
      <c r="H107" s="290">
        <f>SUM(C107:G107)</f>
        <v/>
      </c>
      <c r="I107" s="290" t="n"/>
    </row>
    <row r="108" ht="12.75" customHeight="1">
      <c r="A108" s="1" t="inlineStr">
        <is>
          <t>4319800</t>
        </is>
      </c>
      <c r="B108" s="1" t="inlineStr">
        <is>
          <t>KN Overige algemene kosten</t>
        </is>
      </c>
      <c r="D108" s="293" t="n">
        <v>2438.7</v>
      </c>
      <c r="E108" s="293">
        <f>VLOOKUP(A108,[2]Kolommenbalans!B$1:D$65536,3,FALSE)</f>
        <v/>
      </c>
      <c r="F108" s="357" t="n">
        <v>4048.3</v>
      </c>
      <c r="G108" s="294" t="n">
        <v>-812.48</v>
      </c>
      <c r="H108" s="290">
        <f>SUM(C108:G108)</f>
        <v/>
      </c>
      <c r="I108" s="264" t="inlineStr">
        <is>
          <t>Kosten betaald in 2025 voor 2024 en afboeking kruisposten</t>
        </is>
      </c>
    </row>
    <row r="109" ht="12.75" customHeight="1">
      <c r="H109" s="290">
        <f>SUM(C109:G109)</f>
        <v/>
      </c>
      <c r="I109" s="290" t="n"/>
    </row>
    <row r="110" ht="12.75" customHeight="1">
      <c r="A110" s="1" t="inlineStr">
        <is>
          <t>4601000</t>
        </is>
      </c>
      <c r="B110" s="1" t="inlineStr">
        <is>
          <t>FINBL Rente RC D.M. Equity Partners C.V.</t>
        </is>
      </c>
      <c r="H110" s="290">
        <f>SUM(C110:G110)</f>
        <v/>
      </c>
      <c r="I110" s="290" t="n"/>
    </row>
    <row r="111" ht="12.75" customHeight="1">
      <c r="A111" s="1" t="inlineStr">
        <is>
          <t>4611000</t>
        </is>
      </c>
      <c r="B111" s="1" t="inlineStr">
        <is>
          <t>FINBL Rente RC DMRRP INV - I BV</t>
        </is>
      </c>
      <c r="F111" s="357" t="n">
        <v>9557</v>
      </c>
      <c r="H111" s="290">
        <f>SUM(C111:G111)</f>
        <v/>
      </c>
      <c r="I111" s="264" t="inlineStr">
        <is>
          <t>Rente boeking</t>
        </is>
      </c>
    </row>
    <row r="112" ht="12.75" customHeight="1">
      <c r="A112" s="130" t="n">
        <v>4613000</v>
      </c>
      <c r="B112" s="1" t="inlineStr">
        <is>
          <t>FINBL Rente WPNL - V B.V.</t>
        </is>
      </c>
      <c r="F112" s="357" t="n">
        <v>5000</v>
      </c>
      <c r="H112" s="290">
        <f>SUM(C112:G112)</f>
        <v/>
      </c>
      <c r="I112" s="264" t="inlineStr">
        <is>
          <t>Rente boeking</t>
        </is>
      </c>
    </row>
    <row r="113" ht="12.75" customHeight="1">
      <c r="A113" s="1" t="inlineStr">
        <is>
          <t>4620200</t>
        </is>
      </c>
      <c r="B113" s="1" t="inlineStr">
        <is>
          <t>FINBL Rente ABN AMRO Bank Disposal NL58 ABNA 0818 9180 39</t>
        </is>
      </c>
      <c r="F113" s="293" t="n">
        <v>-10316</v>
      </c>
      <c r="G113" s="294" t="n">
        <v>88.36</v>
      </c>
      <c r="H113" s="290">
        <f>SUM(C113:G113)</f>
        <v/>
      </c>
      <c r="I113" s="290" t="n"/>
    </row>
    <row r="114" ht="12.75" customHeight="1">
      <c r="A114" s="1" t="inlineStr">
        <is>
          <t>4623001</t>
        </is>
      </c>
      <c r="B114" s="1" t="inlineStr">
        <is>
          <t>FINBL Rente ABN AMRO Bank NV Senior Facility Agreement</t>
        </is>
      </c>
      <c r="D114" s="293" t="n">
        <v>1946836.3</v>
      </c>
      <c r="E114" s="357" t="n">
        <v>1924988.9</v>
      </c>
      <c r="F114" s="293" t="n">
        <v>1738638.91</v>
      </c>
      <c r="G114" s="293" t="n">
        <v>1484000.59</v>
      </c>
      <c r="H114" s="290">
        <f>SUM(C114:G114)</f>
        <v/>
      </c>
      <c r="I114" s="264" t="inlineStr">
        <is>
          <t>Correctie inzake rente ipv aflossing</t>
        </is>
      </c>
    </row>
    <row r="115" ht="12.75" customHeight="1">
      <c r="A115" s="1" t="inlineStr">
        <is>
          <t>4643000</t>
        </is>
      </c>
      <c r="B115" s="266" t="inlineStr">
        <is>
          <t>FINBL Overige rentelasten</t>
        </is>
      </c>
      <c r="D115" s="346" t="n">
        <v>-222008</v>
      </c>
      <c r="E115" s="346" t="n">
        <v>-181507</v>
      </c>
      <c r="F115" s="293" t="n">
        <v>-76671.34</v>
      </c>
      <c r="G115" s="293" t="n">
        <v>81808</v>
      </c>
      <c r="H115" s="290">
        <f>SUM(C115:G115)</f>
        <v/>
      </c>
      <c r="I115" s="362" t="n"/>
    </row>
    <row r="116" ht="12.75" customHeight="1">
      <c r="A116" s="1" t="inlineStr">
        <is>
          <t>4642000</t>
        </is>
      </c>
      <c r="B116" s="1" t="inlineStr">
        <is>
          <t>FINBL Overige rentebaten</t>
        </is>
      </c>
      <c r="D116" s="346" t="n">
        <v>0</v>
      </c>
      <c r="E116" s="293">
        <f>VLOOKUP(A116,[2]Kolommenbalans!B$1:D$65536,3,FALSE)</f>
        <v/>
      </c>
      <c r="F116" s="357" t="n">
        <v>0</v>
      </c>
      <c r="H116" s="290">
        <f>SUM(C116:G116)</f>
        <v/>
      </c>
      <c r="I116" s="362" t="inlineStr">
        <is>
          <t>Overboeking rente DMRRP Q4</t>
        </is>
      </c>
    </row>
    <row r="117" ht="12.75" customHeight="1">
      <c r="A117" s="1" t="inlineStr">
        <is>
          <t>4663000</t>
        </is>
      </c>
      <c r="B117" s="266" t="inlineStr">
        <is>
          <t>FINBL Rente vord DMRRP INV - I BV</t>
        </is>
      </c>
      <c r="D117" s="293" t="n">
        <v>-530364.23</v>
      </c>
      <c r="E117" s="293">
        <f>VLOOKUP(A117,[2]Kolommenbalans!B$1:D$65536,3,FALSE)</f>
        <v/>
      </c>
      <c r="F117" s="357" t="n">
        <v>-468232.28</v>
      </c>
      <c r="G117" s="293" t="n">
        <v>-397476.14</v>
      </c>
      <c r="H117" s="290">
        <f>SUM(C117:G117)</f>
        <v/>
      </c>
      <c r="I117" s="362" t="inlineStr">
        <is>
          <t>Overboeking rente DMRRP Q4</t>
        </is>
      </c>
    </row>
    <row r="118" ht="12.75" customHeight="1">
      <c r="H118" s="290">
        <f>SUM(C118:G118)</f>
        <v/>
      </c>
      <c r="I118" s="290" t="n"/>
    </row>
    <row r="119" ht="12.75" customHeight="1">
      <c r="A119" s="1" t="inlineStr">
        <is>
          <t>9500000</t>
        </is>
      </c>
      <c r="B119" s="1" t="inlineStr">
        <is>
          <t>VPB Vennootschapsbelasting VPB huidig jaar</t>
        </is>
      </c>
      <c r="F119" s="357" t="n">
        <v>2238775</v>
      </c>
      <c r="H119" s="290">
        <f>SUM(C119:G119)</f>
        <v/>
      </c>
      <c r="I119" s="362" t="inlineStr">
        <is>
          <t>VPB boeking</t>
        </is>
      </c>
    </row>
    <row r="120" ht="12.75" customHeight="1">
      <c r="A120" s="1" t="inlineStr">
        <is>
          <t>9510000</t>
        </is>
      </c>
      <c r="B120" s="1" t="inlineStr">
        <is>
          <t>VPB Mutatie belastinglatentie Mutatie actieve latentie</t>
        </is>
      </c>
      <c r="D120" s="293" t="n">
        <v>-176734</v>
      </c>
      <c r="E120" s="293">
        <f>VLOOKUP(A120,[2]Kolommenbalans!B$1:D$65536,3,FALSE)</f>
        <v/>
      </c>
      <c r="F120" s="357" t="n">
        <v>-920937</v>
      </c>
      <c r="G120" s="293" t="n">
        <v>-173840</v>
      </c>
      <c r="H120" s="290">
        <f>SUM(C120:G120)</f>
        <v/>
      </c>
      <c r="I120" s="362" t="inlineStr">
        <is>
          <t>Latentie inz rente aftrekbeperking</t>
        </is>
      </c>
    </row>
    <row r="121" ht="12.75" customHeight="1">
      <c r="H121" s="290" t="n"/>
      <c r="I121" s="290" t="n"/>
    </row>
    <row r="122" ht="12.75" customHeight="1">
      <c r="A122" s="1" t="inlineStr">
        <is>
          <t>Resultaat na belasting</t>
        </is>
      </c>
      <c r="D122" s="293">
        <f>SUM(D73:D120)</f>
        <v/>
      </c>
      <c r="E122" s="293">
        <f>SUM(E73:E120)</f>
        <v/>
      </c>
      <c r="F122" s="293">
        <f>SUM(F73:F120)</f>
        <v/>
      </c>
      <c r="G122" s="293">
        <f>SUM(G73:G120)</f>
        <v/>
      </c>
      <c r="H122" s="290">
        <f>SUM(D122:G122)</f>
        <v/>
      </c>
      <c r="I122" s="290" t="n"/>
    </row>
    <row r="124" ht="12.75" customHeight="1">
      <c r="A124" s="1" t="inlineStr">
        <is>
          <t>Verschil balans en winst-en-verlies</t>
        </is>
      </c>
      <c r="D124" s="293">
        <f>SUM(D5:D120)</f>
        <v/>
      </c>
      <c r="E124" s="293">
        <f>SUM(E5:E120)</f>
        <v/>
      </c>
      <c r="F124" s="293">
        <f>SUM(F5:F120)</f>
        <v/>
      </c>
      <c r="G124" s="293">
        <f>SUM(G5:G120)</f>
        <v/>
      </c>
      <c r="H124" s="293">
        <f>SUM(H5:H120)</f>
        <v/>
      </c>
    </row>
    <row r="126" ht="12.75" customHeight="1">
      <c r="A126" s="130" t="inlineStr">
        <is>
          <t>afschrijving SWAP</t>
        </is>
      </c>
      <c r="C126" s="341" t="n"/>
      <c r="D126" s="289">
        <f>36883.33*3</f>
        <v/>
      </c>
      <c r="E126" s="289">
        <f>36883.33*3</f>
        <v/>
      </c>
      <c r="F126" s="289">
        <f>36883.33*3</f>
        <v/>
      </c>
      <c r="G126" s="289">
        <f>36883.33*3</f>
        <v/>
      </c>
      <c r="H126" s="290" t="n"/>
    </row>
    <row r="127" ht="12.75" customHeight="1">
      <c r="A127" s="130" t="inlineStr">
        <is>
          <t>Inkomsten SWAP</t>
        </is>
      </c>
      <c r="C127" s="341" t="n"/>
      <c r="D127" s="341" t="n">
        <v>-332658.47</v>
      </c>
      <c r="E127" s="359" t="n">
        <v>-292157.34</v>
      </c>
      <c r="F127" s="359" t="n">
        <v>-187321.85</v>
      </c>
      <c r="G127" s="293" t="n">
        <v>-28841.62</v>
      </c>
      <c r="H127" s="290" t="n"/>
    </row>
    <row r="128" ht="12.75" customHeight="1">
      <c r="A128" s="130" t="n"/>
      <c r="C128" s="341" t="n"/>
      <c r="D128" s="341" t="n"/>
      <c r="E128" s="341" t="n"/>
      <c r="F128" s="341" t="n"/>
      <c r="G128" s="341" t="n"/>
      <c r="H128" s="290" t="n"/>
    </row>
    <row r="129" ht="12.75" customHeight="1">
      <c r="A129" s="130" t="inlineStr">
        <is>
          <t>Rente</t>
        </is>
      </c>
      <c r="C129" s="341" t="n"/>
      <c r="D129" s="341">
        <f>D114</f>
        <v/>
      </c>
      <c r="E129" s="341">
        <f>E114</f>
        <v/>
      </c>
      <c r="F129" s="341">
        <f>F114</f>
        <v/>
      </c>
      <c r="G129" s="341">
        <f>G114</f>
        <v/>
      </c>
      <c r="H129" s="341">
        <f>H114+H111+H113+H112</f>
        <v/>
      </c>
    </row>
    <row r="130" ht="12.75" customHeight="1">
      <c r="A130" s="130" t="inlineStr">
        <is>
          <t>SWAP</t>
        </is>
      </c>
      <c r="C130" s="341" t="n"/>
      <c r="D130" s="341">
        <f>D127</f>
        <v/>
      </c>
      <c r="E130" s="360">
        <f>E127</f>
        <v/>
      </c>
      <c r="F130" s="360">
        <f>F127</f>
        <v/>
      </c>
      <c r="G130" s="360">
        <f>G127</f>
        <v/>
      </c>
      <c r="H130" s="351">
        <f>SUM(D130:G130)</f>
        <v/>
      </c>
    </row>
    <row r="131" ht="12.75" customHeight="1">
      <c r="A131" s="130" t="inlineStr">
        <is>
          <t>Afschrijving prepaid derivatives transaction</t>
        </is>
      </c>
      <c r="C131" s="341" t="n"/>
      <c r="D131" s="341">
        <f>D126</f>
        <v/>
      </c>
      <c r="E131" s="360">
        <f>E126</f>
        <v/>
      </c>
      <c r="F131" s="360">
        <f>F126</f>
        <v/>
      </c>
      <c r="G131" s="360">
        <f>G126</f>
        <v/>
      </c>
      <c r="H131" s="351">
        <f>SUM(D131:G131)</f>
        <v/>
      </c>
    </row>
    <row r="132" ht="12.75" customHeight="1">
      <c r="A132" s="130" t="inlineStr">
        <is>
          <t>IC interest</t>
        </is>
      </c>
      <c r="C132" s="341" t="n"/>
      <c r="D132" s="341">
        <f>D112+D117</f>
        <v/>
      </c>
      <c r="E132" s="341">
        <f>E112+E117</f>
        <v/>
      </c>
      <c r="F132" s="341">
        <f>F112+F117</f>
        <v/>
      </c>
      <c r="G132" s="341">
        <f>G112+G117</f>
        <v/>
      </c>
      <c r="H132" s="290">
        <f>SUM(D132:G132)</f>
        <v/>
      </c>
    </row>
    <row r="133" ht="12.75" customHeight="1">
      <c r="D133" s="341">
        <f>SUM(D129:D132)</f>
        <v/>
      </c>
      <c r="E133" s="341">
        <f>SUM(E129:E132)</f>
        <v/>
      </c>
      <c r="F133" s="341">
        <f>SUM(F129:F132)</f>
        <v/>
      </c>
      <c r="G133" s="341">
        <f>SUM(G129:G132)</f>
        <v/>
      </c>
      <c r="H133" s="290">
        <f>SUM(D133:G133)</f>
        <v/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136"/>
  <sheetViews>
    <sheetView workbookViewId="0">
      <pane ySplit="1" topLeftCell="A2" activePane="bottomLeft" state="frozen"/>
      <selection pane="bottomLeft" activeCell="B113" sqref="B113"/>
    </sheetView>
  </sheetViews>
  <sheetFormatPr baseColWidth="8" defaultRowHeight="14.4"/>
  <cols>
    <col width="12.88671875" bestFit="1" customWidth="1" style="112" min="1" max="1"/>
    <col width="70" customWidth="1" style="112" min="2" max="2"/>
    <col width="25.44140625" bestFit="1" customWidth="1" style="293" min="3" max="3"/>
    <col width="17.33203125" bestFit="1" customWidth="1" style="293" min="4" max="7"/>
    <col width="19.88671875" bestFit="1" customWidth="1" style="112" min="8" max="8"/>
    <col width="12.44140625" bestFit="1" customWidth="1" style="112" min="9" max="9"/>
    <col width="8.88671875" customWidth="1" style="112" min="10" max="10"/>
    <col width="10.88671875" bestFit="1" customWidth="1" style="112" min="11" max="11"/>
    <col width="8.88671875" customWidth="1" style="112" min="12" max="256"/>
    <col width="12.88671875" bestFit="1" customWidth="1" style="112" min="257" max="257"/>
    <col width="70" bestFit="1" customWidth="1" style="112" min="258" max="258"/>
    <col width="26" bestFit="1" customWidth="1" style="112" min="259" max="259"/>
    <col width="17.5546875" customWidth="1" style="112" min="260" max="263"/>
    <col width="20.44140625" bestFit="1" customWidth="1" style="112" min="264" max="264"/>
    <col width="11.33203125" bestFit="1" customWidth="1" style="112" min="265" max="265"/>
    <col width="8.88671875" customWidth="1" style="112" min="266" max="266"/>
    <col width="10.88671875" bestFit="1" customWidth="1" style="112" min="267" max="267"/>
    <col width="8.88671875" customWidth="1" style="112" min="268" max="512"/>
    <col width="12.88671875" bestFit="1" customWidth="1" style="112" min="513" max="513"/>
    <col width="70" bestFit="1" customWidth="1" style="112" min="514" max="514"/>
    <col width="26" bestFit="1" customWidth="1" style="112" min="515" max="515"/>
    <col width="17.5546875" customWidth="1" style="112" min="516" max="519"/>
    <col width="20.44140625" bestFit="1" customWidth="1" style="112" min="520" max="520"/>
    <col width="11.33203125" bestFit="1" customWidth="1" style="112" min="521" max="521"/>
    <col width="8.88671875" customWidth="1" style="112" min="522" max="522"/>
    <col width="10.88671875" bestFit="1" customWidth="1" style="112" min="523" max="523"/>
    <col width="8.88671875" customWidth="1" style="112" min="524" max="768"/>
    <col width="12.88671875" bestFit="1" customWidth="1" style="112" min="769" max="769"/>
    <col width="70" bestFit="1" customWidth="1" style="112" min="770" max="770"/>
    <col width="26" bestFit="1" customWidth="1" style="112" min="771" max="771"/>
    <col width="17.5546875" customWidth="1" style="112" min="772" max="775"/>
    <col width="20.44140625" bestFit="1" customWidth="1" style="112" min="776" max="776"/>
    <col width="11.33203125" bestFit="1" customWidth="1" style="112" min="777" max="777"/>
    <col width="8.88671875" customWidth="1" style="112" min="778" max="778"/>
    <col width="10.88671875" bestFit="1" customWidth="1" style="112" min="779" max="779"/>
    <col width="8.88671875" customWidth="1" style="112" min="780" max="1024"/>
    <col width="12.88671875" bestFit="1" customWidth="1" style="112" min="1025" max="1025"/>
    <col width="70" bestFit="1" customWidth="1" style="112" min="1026" max="1026"/>
    <col width="26" bestFit="1" customWidth="1" style="112" min="1027" max="1027"/>
    <col width="17.5546875" customWidth="1" style="112" min="1028" max="1031"/>
    <col width="20.44140625" bestFit="1" customWidth="1" style="112" min="1032" max="1032"/>
    <col width="11.33203125" bestFit="1" customWidth="1" style="112" min="1033" max="1033"/>
    <col width="8.88671875" customWidth="1" style="112" min="1034" max="1034"/>
    <col width="10.88671875" bestFit="1" customWidth="1" style="112" min="1035" max="1035"/>
    <col width="8.88671875" customWidth="1" style="112" min="1036" max="1280"/>
    <col width="12.88671875" bestFit="1" customWidth="1" style="112" min="1281" max="1281"/>
    <col width="70" bestFit="1" customWidth="1" style="112" min="1282" max="1282"/>
    <col width="26" bestFit="1" customWidth="1" style="112" min="1283" max="1283"/>
    <col width="17.5546875" customWidth="1" style="112" min="1284" max="1287"/>
    <col width="20.44140625" bestFit="1" customWidth="1" style="112" min="1288" max="1288"/>
    <col width="11.33203125" bestFit="1" customWidth="1" style="112" min="1289" max="1289"/>
    <col width="8.88671875" customWidth="1" style="112" min="1290" max="1290"/>
    <col width="10.88671875" bestFit="1" customWidth="1" style="112" min="1291" max="1291"/>
    <col width="8.88671875" customWidth="1" style="112" min="1292" max="1536"/>
    <col width="12.88671875" bestFit="1" customWidth="1" style="112" min="1537" max="1537"/>
    <col width="70" bestFit="1" customWidth="1" style="112" min="1538" max="1538"/>
    <col width="26" bestFit="1" customWidth="1" style="112" min="1539" max="1539"/>
    <col width="17.5546875" customWidth="1" style="112" min="1540" max="1543"/>
    <col width="20.44140625" bestFit="1" customWidth="1" style="112" min="1544" max="1544"/>
    <col width="11.33203125" bestFit="1" customWidth="1" style="112" min="1545" max="1545"/>
    <col width="8.88671875" customWidth="1" style="112" min="1546" max="1546"/>
    <col width="10.88671875" bestFit="1" customWidth="1" style="112" min="1547" max="1547"/>
    <col width="8.88671875" customWidth="1" style="112" min="1548" max="1792"/>
    <col width="12.88671875" bestFit="1" customWidth="1" style="112" min="1793" max="1793"/>
    <col width="70" bestFit="1" customWidth="1" style="112" min="1794" max="1794"/>
    <col width="26" bestFit="1" customWidth="1" style="112" min="1795" max="1795"/>
    <col width="17.5546875" customWidth="1" style="112" min="1796" max="1799"/>
    <col width="20.44140625" bestFit="1" customWidth="1" style="112" min="1800" max="1800"/>
    <col width="11.33203125" bestFit="1" customWidth="1" style="112" min="1801" max="1801"/>
    <col width="8.88671875" customWidth="1" style="112" min="1802" max="1802"/>
    <col width="10.88671875" bestFit="1" customWidth="1" style="112" min="1803" max="1803"/>
    <col width="8.88671875" customWidth="1" style="112" min="1804" max="2048"/>
    <col width="12.88671875" bestFit="1" customWidth="1" style="112" min="2049" max="2049"/>
    <col width="70" bestFit="1" customWidth="1" style="112" min="2050" max="2050"/>
    <col width="26" bestFit="1" customWidth="1" style="112" min="2051" max="2051"/>
    <col width="17.5546875" customWidth="1" style="112" min="2052" max="2055"/>
    <col width="20.44140625" bestFit="1" customWidth="1" style="112" min="2056" max="2056"/>
    <col width="11.33203125" bestFit="1" customWidth="1" style="112" min="2057" max="2057"/>
    <col width="8.88671875" customWidth="1" style="112" min="2058" max="2058"/>
    <col width="10.88671875" bestFit="1" customWidth="1" style="112" min="2059" max="2059"/>
    <col width="8.88671875" customWidth="1" style="112" min="2060" max="2304"/>
    <col width="12.88671875" bestFit="1" customWidth="1" style="112" min="2305" max="2305"/>
    <col width="70" bestFit="1" customWidth="1" style="112" min="2306" max="2306"/>
    <col width="26" bestFit="1" customWidth="1" style="112" min="2307" max="2307"/>
    <col width="17.5546875" customWidth="1" style="112" min="2308" max="2311"/>
    <col width="20.44140625" bestFit="1" customWidth="1" style="112" min="2312" max="2312"/>
    <col width="11.33203125" bestFit="1" customWidth="1" style="112" min="2313" max="2313"/>
    <col width="8.88671875" customWidth="1" style="112" min="2314" max="2314"/>
    <col width="10.88671875" bestFit="1" customWidth="1" style="112" min="2315" max="2315"/>
    <col width="8.88671875" customWidth="1" style="112" min="2316" max="2560"/>
    <col width="12.88671875" bestFit="1" customWidth="1" style="112" min="2561" max="2561"/>
    <col width="70" bestFit="1" customWidth="1" style="112" min="2562" max="2562"/>
    <col width="26" bestFit="1" customWidth="1" style="112" min="2563" max="2563"/>
    <col width="17.5546875" customWidth="1" style="112" min="2564" max="2567"/>
    <col width="20.44140625" bestFit="1" customWidth="1" style="112" min="2568" max="2568"/>
    <col width="11.33203125" bestFit="1" customWidth="1" style="112" min="2569" max="2569"/>
    <col width="8.88671875" customWidth="1" style="112" min="2570" max="2570"/>
    <col width="10.88671875" bestFit="1" customWidth="1" style="112" min="2571" max="2571"/>
    <col width="8.88671875" customWidth="1" style="112" min="2572" max="2816"/>
    <col width="12.88671875" bestFit="1" customWidth="1" style="112" min="2817" max="2817"/>
    <col width="70" bestFit="1" customWidth="1" style="112" min="2818" max="2818"/>
    <col width="26" bestFit="1" customWidth="1" style="112" min="2819" max="2819"/>
    <col width="17.5546875" customWidth="1" style="112" min="2820" max="2823"/>
    <col width="20.44140625" bestFit="1" customWidth="1" style="112" min="2824" max="2824"/>
    <col width="11.33203125" bestFit="1" customWidth="1" style="112" min="2825" max="2825"/>
    <col width="8.88671875" customWidth="1" style="112" min="2826" max="2826"/>
    <col width="10.88671875" bestFit="1" customWidth="1" style="112" min="2827" max="2827"/>
    <col width="8.88671875" customWidth="1" style="112" min="2828" max="3072"/>
    <col width="12.88671875" bestFit="1" customWidth="1" style="112" min="3073" max="3073"/>
    <col width="70" bestFit="1" customWidth="1" style="112" min="3074" max="3074"/>
    <col width="26" bestFit="1" customWidth="1" style="112" min="3075" max="3075"/>
    <col width="17.5546875" customWidth="1" style="112" min="3076" max="3079"/>
    <col width="20.44140625" bestFit="1" customWidth="1" style="112" min="3080" max="3080"/>
    <col width="11.33203125" bestFit="1" customWidth="1" style="112" min="3081" max="3081"/>
    <col width="8.88671875" customWidth="1" style="112" min="3082" max="3082"/>
    <col width="10.88671875" bestFit="1" customWidth="1" style="112" min="3083" max="3083"/>
    <col width="8.88671875" customWidth="1" style="112" min="3084" max="3328"/>
    <col width="12.88671875" bestFit="1" customWidth="1" style="112" min="3329" max="3329"/>
    <col width="70" bestFit="1" customWidth="1" style="112" min="3330" max="3330"/>
    <col width="26" bestFit="1" customWidth="1" style="112" min="3331" max="3331"/>
    <col width="17.5546875" customWidth="1" style="112" min="3332" max="3335"/>
    <col width="20.44140625" bestFit="1" customWidth="1" style="112" min="3336" max="3336"/>
    <col width="11.33203125" bestFit="1" customWidth="1" style="112" min="3337" max="3337"/>
    <col width="8.88671875" customWidth="1" style="112" min="3338" max="3338"/>
    <col width="10.88671875" bestFit="1" customWidth="1" style="112" min="3339" max="3339"/>
    <col width="8.88671875" customWidth="1" style="112" min="3340" max="3584"/>
    <col width="12.88671875" bestFit="1" customWidth="1" style="112" min="3585" max="3585"/>
    <col width="70" bestFit="1" customWidth="1" style="112" min="3586" max="3586"/>
    <col width="26" bestFit="1" customWidth="1" style="112" min="3587" max="3587"/>
    <col width="17.5546875" customWidth="1" style="112" min="3588" max="3591"/>
    <col width="20.44140625" bestFit="1" customWidth="1" style="112" min="3592" max="3592"/>
    <col width="11.33203125" bestFit="1" customWidth="1" style="112" min="3593" max="3593"/>
    <col width="8.88671875" customWidth="1" style="112" min="3594" max="3594"/>
    <col width="10.88671875" bestFit="1" customWidth="1" style="112" min="3595" max="3595"/>
    <col width="8.88671875" customWidth="1" style="112" min="3596" max="3840"/>
    <col width="12.88671875" bestFit="1" customWidth="1" style="112" min="3841" max="3841"/>
    <col width="70" bestFit="1" customWidth="1" style="112" min="3842" max="3842"/>
    <col width="26" bestFit="1" customWidth="1" style="112" min="3843" max="3843"/>
    <col width="17.5546875" customWidth="1" style="112" min="3844" max="3847"/>
    <col width="20.44140625" bestFit="1" customWidth="1" style="112" min="3848" max="3848"/>
    <col width="11.33203125" bestFit="1" customWidth="1" style="112" min="3849" max="3849"/>
    <col width="8.88671875" customWidth="1" style="112" min="3850" max="3850"/>
    <col width="10.88671875" bestFit="1" customWidth="1" style="112" min="3851" max="3851"/>
    <col width="8.88671875" customWidth="1" style="112" min="3852" max="4096"/>
    <col width="12.88671875" bestFit="1" customWidth="1" style="112" min="4097" max="4097"/>
    <col width="70" bestFit="1" customWidth="1" style="112" min="4098" max="4098"/>
    <col width="26" bestFit="1" customWidth="1" style="112" min="4099" max="4099"/>
    <col width="17.5546875" customWidth="1" style="112" min="4100" max="4103"/>
    <col width="20.44140625" bestFit="1" customWidth="1" style="112" min="4104" max="4104"/>
    <col width="11.33203125" bestFit="1" customWidth="1" style="112" min="4105" max="4105"/>
    <col width="8.88671875" customWidth="1" style="112" min="4106" max="4106"/>
    <col width="10.88671875" bestFit="1" customWidth="1" style="112" min="4107" max="4107"/>
    <col width="8.88671875" customWidth="1" style="112" min="4108" max="4352"/>
    <col width="12.88671875" bestFit="1" customWidth="1" style="112" min="4353" max="4353"/>
    <col width="70" bestFit="1" customWidth="1" style="112" min="4354" max="4354"/>
    <col width="26" bestFit="1" customWidth="1" style="112" min="4355" max="4355"/>
    <col width="17.5546875" customWidth="1" style="112" min="4356" max="4359"/>
    <col width="20.44140625" bestFit="1" customWidth="1" style="112" min="4360" max="4360"/>
    <col width="11.33203125" bestFit="1" customWidth="1" style="112" min="4361" max="4361"/>
    <col width="8.88671875" customWidth="1" style="112" min="4362" max="4362"/>
    <col width="10.88671875" bestFit="1" customWidth="1" style="112" min="4363" max="4363"/>
    <col width="8.88671875" customWidth="1" style="112" min="4364" max="4608"/>
    <col width="12.88671875" bestFit="1" customWidth="1" style="112" min="4609" max="4609"/>
    <col width="70" bestFit="1" customWidth="1" style="112" min="4610" max="4610"/>
    <col width="26" bestFit="1" customWidth="1" style="112" min="4611" max="4611"/>
    <col width="17.5546875" customWidth="1" style="112" min="4612" max="4615"/>
    <col width="20.44140625" bestFit="1" customWidth="1" style="112" min="4616" max="4616"/>
    <col width="11.33203125" bestFit="1" customWidth="1" style="112" min="4617" max="4617"/>
    <col width="8.88671875" customWidth="1" style="112" min="4618" max="4618"/>
    <col width="10.88671875" bestFit="1" customWidth="1" style="112" min="4619" max="4619"/>
    <col width="8.88671875" customWidth="1" style="112" min="4620" max="4864"/>
    <col width="12.88671875" bestFit="1" customWidth="1" style="112" min="4865" max="4865"/>
    <col width="70" bestFit="1" customWidth="1" style="112" min="4866" max="4866"/>
    <col width="26" bestFit="1" customWidth="1" style="112" min="4867" max="4867"/>
    <col width="17.5546875" customWidth="1" style="112" min="4868" max="4871"/>
    <col width="20.44140625" bestFit="1" customWidth="1" style="112" min="4872" max="4872"/>
    <col width="11.33203125" bestFit="1" customWidth="1" style="112" min="4873" max="4873"/>
    <col width="8.88671875" customWidth="1" style="112" min="4874" max="4874"/>
    <col width="10.88671875" bestFit="1" customWidth="1" style="112" min="4875" max="4875"/>
    <col width="8.88671875" customWidth="1" style="112" min="4876" max="5120"/>
    <col width="12.88671875" bestFit="1" customWidth="1" style="112" min="5121" max="5121"/>
    <col width="70" bestFit="1" customWidth="1" style="112" min="5122" max="5122"/>
    <col width="26" bestFit="1" customWidth="1" style="112" min="5123" max="5123"/>
    <col width="17.5546875" customWidth="1" style="112" min="5124" max="5127"/>
    <col width="20.44140625" bestFit="1" customWidth="1" style="112" min="5128" max="5128"/>
    <col width="11.33203125" bestFit="1" customWidth="1" style="112" min="5129" max="5129"/>
    <col width="8.88671875" customWidth="1" style="112" min="5130" max="5130"/>
    <col width="10.88671875" bestFit="1" customWidth="1" style="112" min="5131" max="5131"/>
    <col width="8.88671875" customWidth="1" style="112" min="5132" max="5376"/>
    <col width="12.88671875" bestFit="1" customWidth="1" style="112" min="5377" max="5377"/>
    <col width="70" bestFit="1" customWidth="1" style="112" min="5378" max="5378"/>
    <col width="26" bestFit="1" customWidth="1" style="112" min="5379" max="5379"/>
    <col width="17.5546875" customWidth="1" style="112" min="5380" max="5383"/>
    <col width="20.44140625" bestFit="1" customWidth="1" style="112" min="5384" max="5384"/>
    <col width="11.33203125" bestFit="1" customWidth="1" style="112" min="5385" max="5385"/>
    <col width="8.88671875" customWidth="1" style="112" min="5386" max="5386"/>
    <col width="10.88671875" bestFit="1" customWidth="1" style="112" min="5387" max="5387"/>
    <col width="8.88671875" customWidth="1" style="112" min="5388" max="5632"/>
    <col width="12.88671875" bestFit="1" customWidth="1" style="112" min="5633" max="5633"/>
    <col width="70" bestFit="1" customWidth="1" style="112" min="5634" max="5634"/>
    <col width="26" bestFit="1" customWidth="1" style="112" min="5635" max="5635"/>
    <col width="17.5546875" customWidth="1" style="112" min="5636" max="5639"/>
    <col width="20.44140625" bestFit="1" customWidth="1" style="112" min="5640" max="5640"/>
    <col width="11.33203125" bestFit="1" customWidth="1" style="112" min="5641" max="5641"/>
    <col width="8.88671875" customWidth="1" style="112" min="5642" max="5642"/>
    <col width="10.88671875" bestFit="1" customWidth="1" style="112" min="5643" max="5643"/>
    <col width="8.88671875" customWidth="1" style="112" min="5644" max="5888"/>
    <col width="12.88671875" bestFit="1" customWidth="1" style="112" min="5889" max="5889"/>
    <col width="70" bestFit="1" customWidth="1" style="112" min="5890" max="5890"/>
    <col width="26" bestFit="1" customWidth="1" style="112" min="5891" max="5891"/>
    <col width="17.5546875" customWidth="1" style="112" min="5892" max="5895"/>
    <col width="20.44140625" bestFit="1" customWidth="1" style="112" min="5896" max="5896"/>
    <col width="11.33203125" bestFit="1" customWidth="1" style="112" min="5897" max="5897"/>
    <col width="8.88671875" customWidth="1" style="112" min="5898" max="5898"/>
    <col width="10.88671875" bestFit="1" customWidth="1" style="112" min="5899" max="5899"/>
    <col width="8.88671875" customWidth="1" style="112" min="5900" max="6144"/>
    <col width="12.88671875" bestFit="1" customWidth="1" style="112" min="6145" max="6145"/>
    <col width="70" bestFit="1" customWidth="1" style="112" min="6146" max="6146"/>
    <col width="26" bestFit="1" customWidth="1" style="112" min="6147" max="6147"/>
    <col width="17.5546875" customWidth="1" style="112" min="6148" max="6151"/>
    <col width="20.44140625" bestFit="1" customWidth="1" style="112" min="6152" max="6152"/>
    <col width="11.33203125" bestFit="1" customWidth="1" style="112" min="6153" max="6153"/>
    <col width="8.88671875" customWidth="1" style="112" min="6154" max="6154"/>
    <col width="10.88671875" bestFit="1" customWidth="1" style="112" min="6155" max="6155"/>
    <col width="8.88671875" customWidth="1" style="112" min="6156" max="6400"/>
    <col width="12.88671875" bestFit="1" customWidth="1" style="112" min="6401" max="6401"/>
    <col width="70" bestFit="1" customWidth="1" style="112" min="6402" max="6402"/>
    <col width="26" bestFit="1" customWidth="1" style="112" min="6403" max="6403"/>
    <col width="17.5546875" customWidth="1" style="112" min="6404" max="6407"/>
    <col width="20.44140625" bestFit="1" customWidth="1" style="112" min="6408" max="6408"/>
    <col width="11.33203125" bestFit="1" customWidth="1" style="112" min="6409" max="6409"/>
    <col width="8.88671875" customWidth="1" style="112" min="6410" max="6410"/>
    <col width="10.88671875" bestFit="1" customWidth="1" style="112" min="6411" max="6411"/>
    <col width="8.88671875" customWidth="1" style="112" min="6412" max="6656"/>
    <col width="12.88671875" bestFit="1" customWidth="1" style="112" min="6657" max="6657"/>
    <col width="70" bestFit="1" customWidth="1" style="112" min="6658" max="6658"/>
    <col width="26" bestFit="1" customWidth="1" style="112" min="6659" max="6659"/>
    <col width="17.5546875" customWidth="1" style="112" min="6660" max="6663"/>
    <col width="20.44140625" bestFit="1" customWidth="1" style="112" min="6664" max="6664"/>
    <col width="11.33203125" bestFit="1" customWidth="1" style="112" min="6665" max="6665"/>
    <col width="8.88671875" customWidth="1" style="112" min="6666" max="6666"/>
    <col width="10.88671875" bestFit="1" customWidth="1" style="112" min="6667" max="6667"/>
    <col width="8.88671875" customWidth="1" style="112" min="6668" max="6912"/>
    <col width="12.88671875" bestFit="1" customWidth="1" style="112" min="6913" max="6913"/>
    <col width="70" bestFit="1" customWidth="1" style="112" min="6914" max="6914"/>
    <col width="26" bestFit="1" customWidth="1" style="112" min="6915" max="6915"/>
    <col width="17.5546875" customWidth="1" style="112" min="6916" max="6919"/>
    <col width="20.44140625" bestFit="1" customWidth="1" style="112" min="6920" max="6920"/>
    <col width="11.33203125" bestFit="1" customWidth="1" style="112" min="6921" max="6921"/>
    <col width="8.88671875" customWidth="1" style="112" min="6922" max="6922"/>
    <col width="10.88671875" bestFit="1" customWidth="1" style="112" min="6923" max="6923"/>
    <col width="8.88671875" customWidth="1" style="112" min="6924" max="7168"/>
    <col width="12.88671875" bestFit="1" customWidth="1" style="112" min="7169" max="7169"/>
    <col width="70" bestFit="1" customWidth="1" style="112" min="7170" max="7170"/>
    <col width="26" bestFit="1" customWidth="1" style="112" min="7171" max="7171"/>
    <col width="17.5546875" customWidth="1" style="112" min="7172" max="7175"/>
    <col width="20.44140625" bestFit="1" customWidth="1" style="112" min="7176" max="7176"/>
    <col width="11.33203125" bestFit="1" customWidth="1" style="112" min="7177" max="7177"/>
    <col width="8.88671875" customWidth="1" style="112" min="7178" max="7178"/>
    <col width="10.88671875" bestFit="1" customWidth="1" style="112" min="7179" max="7179"/>
    <col width="8.88671875" customWidth="1" style="112" min="7180" max="7424"/>
    <col width="12.88671875" bestFit="1" customWidth="1" style="112" min="7425" max="7425"/>
    <col width="70" bestFit="1" customWidth="1" style="112" min="7426" max="7426"/>
    <col width="26" bestFit="1" customWidth="1" style="112" min="7427" max="7427"/>
    <col width="17.5546875" customWidth="1" style="112" min="7428" max="7431"/>
    <col width="20.44140625" bestFit="1" customWidth="1" style="112" min="7432" max="7432"/>
    <col width="11.33203125" bestFit="1" customWidth="1" style="112" min="7433" max="7433"/>
    <col width="8.88671875" customWidth="1" style="112" min="7434" max="7434"/>
    <col width="10.88671875" bestFit="1" customWidth="1" style="112" min="7435" max="7435"/>
    <col width="8.88671875" customWidth="1" style="112" min="7436" max="7680"/>
    <col width="12.88671875" bestFit="1" customWidth="1" style="112" min="7681" max="7681"/>
    <col width="70" bestFit="1" customWidth="1" style="112" min="7682" max="7682"/>
    <col width="26" bestFit="1" customWidth="1" style="112" min="7683" max="7683"/>
    <col width="17.5546875" customWidth="1" style="112" min="7684" max="7687"/>
    <col width="20.44140625" bestFit="1" customWidth="1" style="112" min="7688" max="7688"/>
    <col width="11.33203125" bestFit="1" customWidth="1" style="112" min="7689" max="7689"/>
    <col width="8.88671875" customWidth="1" style="112" min="7690" max="7690"/>
    <col width="10.88671875" bestFit="1" customWidth="1" style="112" min="7691" max="7691"/>
    <col width="8.88671875" customWidth="1" style="112" min="7692" max="7936"/>
    <col width="12.88671875" bestFit="1" customWidth="1" style="112" min="7937" max="7937"/>
    <col width="70" bestFit="1" customWidth="1" style="112" min="7938" max="7938"/>
    <col width="26" bestFit="1" customWidth="1" style="112" min="7939" max="7939"/>
    <col width="17.5546875" customWidth="1" style="112" min="7940" max="7943"/>
    <col width="20.44140625" bestFit="1" customWidth="1" style="112" min="7944" max="7944"/>
    <col width="11.33203125" bestFit="1" customWidth="1" style="112" min="7945" max="7945"/>
    <col width="8.88671875" customWidth="1" style="112" min="7946" max="7946"/>
    <col width="10.88671875" bestFit="1" customWidth="1" style="112" min="7947" max="7947"/>
    <col width="8.88671875" customWidth="1" style="112" min="7948" max="8192"/>
    <col width="12.88671875" bestFit="1" customWidth="1" style="112" min="8193" max="8193"/>
    <col width="70" bestFit="1" customWidth="1" style="112" min="8194" max="8194"/>
    <col width="26" bestFit="1" customWidth="1" style="112" min="8195" max="8195"/>
    <col width="17.5546875" customWidth="1" style="112" min="8196" max="8199"/>
    <col width="20.44140625" bestFit="1" customWidth="1" style="112" min="8200" max="8200"/>
    <col width="11.33203125" bestFit="1" customWidth="1" style="112" min="8201" max="8201"/>
    <col width="8.88671875" customWidth="1" style="112" min="8202" max="8202"/>
    <col width="10.88671875" bestFit="1" customWidth="1" style="112" min="8203" max="8203"/>
    <col width="8.88671875" customWidth="1" style="112" min="8204" max="8448"/>
    <col width="12.88671875" bestFit="1" customWidth="1" style="112" min="8449" max="8449"/>
    <col width="70" bestFit="1" customWidth="1" style="112" min="8450" max="8450"/>
    <col width="26" bestFit="1" customWidth="1" style="112" min="8451" max="8451"/>
    <col width="17.5546875" customWidth="1" style="112" min="8452" max="8455"/>
    <col width="20.44140625" bestFit="1" customWidth="1" style="112" min="8456" max="8456"/>
    <col width="11.33203125" bestFit="1" customWidth="1" style="112" min="8457" max="8457"/>
    <col width="8.88671875" customWidth="1" style="112" min="8458" max="8458"/>
    <col width="10.88671875" bestFit="1" customWidth="1" style="112" min="8459" max="8459"/>
    <col width="8.88671875" customWidth="1" style="112" min="8460" max="8704"/>
    <col width="12.88671875" bestFit="1" customWidth="1" style="112" min="8705" max="8705"/>
    <col width="70" bestFit="1" customWidth="1" style="112" min="8706" max="8706"/>
    <col width="26" bestFit="1" customWidth="1" style="112" min="8707" max="8707"/>
    <col width="17.5546875" customWidth="1" style="112" min="8708" max="8711"/>
    <col width="20.44140625" bestFit="1" customWidth="1" style="112" min="8712" max="8712"/>
    <col width="11.33203125" bestFit="1" customWidth="1" style="112" min="8713" max="8713"/>
    <col width="8.88671875" customWidth="1" style="112" min="8714" max="8714"/>
    <col width="10.88671875" bestFit="1" customWidth="1" style="112" min="8715" max="8715"/>
    <col width="8.88671875" customWidth="1" style="112" min="8716" max="8960"/>
    <col width="12.88671875" bestFit="1" customWidth="1" style="112" min="8961" max="8961"/>
    <col width="70" bestFit="1" customWidth="1" style="112" min="8962" max="8962"/>
    <col width="26" bestFit="1" customWidth="1" style="112" min="8963" max="8963"/>
    <col width="17.5546875" customWidth="1" style="112" min="8964" max="8967"/>
    <col width="20.44140625" bestFit="1" customWidth="1" style="112" min="8968" max="8968"/>
    <col width="11.33203125" bestFit="1" customWidth="1" style="112" min="8969" max="8969"/>
    <col width="8.88671875" customWidth="1" style="112" min="8970" max="8970"/>
    <col width="10.88671875" bestFit="1" customWidth="1" style="112" min="8971" max="8971"/>
    <col width="8.88671875" customWidth="1" style="112" min="8972" max="9216"/>
    <col width="12.88671875" bestFit="1" customWidth="1" style="112" min="9217" max="9217"/>
    <col width="70" bestFit="1" customWidth="1" style="112" min="9218" max="9218"/>
    <col width="26" bestFit="1" customWidth="1" style="112" min="9219" max="9219"/>
    <col width="17.5546875" customWidth="1" style="112" min="9220" max="9223"/>
    <col width="20.44140625" bestFit="1" customWidth="1" style="112" min="9224" max="9224"/>
    <col width="11.33203125" bestFit="1" customWidth="1" style="112" min="9225" max="9225"/>
    <col width="8.88671875" customWidth="1" style="112" min="9226" max="9226"/>
    <col width="10.88671875" bestFit="1" customWidth="1" style="112" min="9227" max="9227"/>
    <col width="8.88671875" customWidth="1" style="112" min="9228" max="9472"/>
    <col width="12.88671875" bestFit="1" customWidth="1" style="112" min="9473" max="9473"/>
    <col width="70" bestFit="1" customWidth="1" style="112" min="9474" max="9474"/>
    <col width="26" bestFit="1" customWidth="1" style="112" min="9475" max="9475"/>
    <col width="17.5546875" customWidth="1" style="112" min="9476" max="9479"/>
    <col width="20.44140625" bestFit="1" customWidth="1" style="112" min="9480" max="9480"/>
    <col width="11.33203125" bestFit="1" customWidth="1" style="112" min="9481" max="9481"/>
    <col width="8.88671875" customWidth="1" style="112" min="9482" max="9482"/>
    <col width="10.88671875" bestFit="1" customWidth="1" style="112" min="9483" max="9483"/>
    <col width="8.88671875" customWidth="1" style="112" min="9484" max="9728"/>
    <col width="12.88671875" bestFit="1" customWidth="1" style="112" min="9729" max="9729"/>
    <col width="70" bestFit="1" customWidth="1" style="112" min="9730" max="9730"/>
    <col width="26" bestFit="1" customWidth="1" style="112" min="9731" max="9731"/>
    <col width="17.5546875" customWidth="1" style="112" min="9732" max="9735"/>
    <col width="20.44140625" bestFit="1" customWidth="1" style="112" min="9736" max="9736"/>
    <col width="11.33203125" bestFit="1" customWidth="1" style="112" min="9737" max="9737"/>
    <col width="8.88671875" customWidth="1" style="112" min="9738" max="9738"/>
    <col width="10.88671875" bestFit="1" customWidth="1" style="112" min="9739" max="9739"/>
    <col width="8.88671875" customWidth="1" style="112" min="9740" max="9984"/>
    <col width="12.88671875" bestFit="1" customWidth="1" style="112" min="9985" max="9985"/>
    <col width="70" bestFit="1" customWidth="1" style="112" min="9986" max="9986"/>
    <col width="26" bestFit="1" customWidth="1" style="112" min="9987" max="9987"/>
    <col width="17.5546875" customWidth="1" style="112" min="9988" max="9991"/>
    <col width="20.44140625" bestFit="1" customWidth="1" style="112" min="9992" max="9992"/>
    <col width="11.33203125" bestFit="1" customWidth="1" style="112" min="9993" max="9993"/>
    <col width="8.88671875" customWidth="1" style="112" min="9994" max="9994"/>
    <col width="10.88671875" bestFit="1" customWidth="1" style="112" min="9995" max="9995"/>
    <col width="8.88671875" customWidth="1" style="112" min="9996" max="10240"/>
    <col width="12.88671875" bestFit="1" customWidth="1" style="112" min="10241" max="10241"/>
    <col width="70" bestFit="1" customWidth="1" style="112" min="10242" max="10242"/>
    <col width="26" bestFit="1" customWidth="1" style="112" min="10243" max="10243"/>
    <col width="17.5546875" customWidth="1" style="112" min="10244" max="10247"/>
    <col width="20.44140625" bestFit="1" customWidth="1" style="112" min="10248" max="10248"/>
    <col width="11.33203125" bestFit="1" customWidth="1" style="112" min="10249" max="10249"/>
    <col width="8.88671875" customWidth="1" style="112" min="10250" max="10250"/>
    <col width="10.88671875" bestFit="1" customWidth="1" style="112" min="10251" max="10251"/>
    <col width="8.88671875" customWidth="1" style="112" min="10252" max="10496"/>
    <col width="12.88671875" bestFit="1" customWidth="1" style="112" min="10497" max="10497"/>
    <col width="70" bestFit="1" customWidth="1" style="112" min="10498" max="10498"/>
    <col width="26" bestFit="1" customWidth="1" style="112" min="10499" max="10499"/>
    <col width="17.5546875" customWidth="1" style="112" min="10500" max="10503"/>
    <col width="20.44140625" bestFit="1" customWidth="1" style="112" min="10504" max="10504"/>
    <col width="11.33203125" bestFit="1" customWidth="1" style="112" min="10505" max="10505"/>
    <col width="8.88671875" customWidth="1" style="112" min="10506" max="10506"/>
    <col width="10.88671875" bestFit="1" customWidth="1" style="112" min="10507" max="10507"/>
    <col width="8.88671875" customWidth="1" style="112" min="10508" max="10752"/>
    <col width="12.88671875" bestFit="1" customWidth="1" style="112" min="10753" max="10753"/>
    <col width="70" bestFit="1" customWidth="1" style="112" min="10754" max="10754"/>
    <col width="26" bestFit="1" customWidth="1" style="112" min="10755" max="10755"/>
    <col width="17.5546875" customWidth="1" style="112" min="10756" max="10759"/>
    <col width="20.44140625" bestFit="1" customWidth="1" style="112" min="10760" max="10760"/>
    <col width="11.33203125" bestFit="1" customWidth="1" style="112" min="10761" max="10761"/>
    <col width="8.88671875" customWidth="1" style="112" min="10762" max="10762"/>
    <col width="10.88671875" bestFit="1" customWidth="1" style="112" min="10763" max="10763"/>
    <col width="8.88671875" customWidth="1" style="112" min="10764" max="11008"/>
    <col width="12.88671875" bestFit="1" customWidth="1" style="112" min="11009" max="11009"/>
    <col width="70" bestFit="1" customWidth="1" style="112" min="11010" max="11010"/>
    <col width="26" bestFit="1" customWidth="1" style="112" min="11011" max="11011"/>
    <col width="17.5546875" customWidth="1" style="112" min="11012" max="11015"/>
    <col width="20.44140625" bestFit="1" customWidth="1" style="112" min="11016" max="11016"/>
    <col width="11.33203125" bestFit="1" customWidth="1" style="112" min="11017" max="11017"/>
    <col width="8.88671875" customWidth="1" style="112" min="11018" max="11018"/>
    <col width="10.88671875" bestFit="1" customWidth="1" style="112" min="11019" max="11019"/>
    <col width="8.88671875" customWidth="1" style="112" min="11020" max="11264"/>
    <col width="12.88671875" bestFit="1" customWidth="1" style="112" min="11265" max="11265"/>
    <col width="70" bestFit="1" customWidth="1" style="112" min="11266" max="11266"/>
    <col width="26" bestFit="1" customWidth="1" style="112" min="11267" max="11267"/>
    <col width="17.5546875" customWidth="1" style="112" min="11268" max="11271"/>
    <col width="20.44140625" bestFit="1" customWidth="1" style="112" min="11272" max="11272"/>
    <col width="11.33203125" bestFit="1" customWidth="1" style="112" min="11273" max="11273"/>
    <col width="8.88671875" customWidth="1" style="112" min="11274" max="11274"/>
    <col width="10.88671875" bestFit="1" customWidth="1" style="112" min="11275" max="11275"/>
    <col width="8.88671875" customWidth="1" style="112" min="11276" max="11520"/>
    <col width="12.88671875" bestFit="1" customWidth="1" style="112" min="11521" max="11521"/>
    <col width="70" bestFit="1" customWidth="1" style="112" min="11522" max="11522"/>
    <col width="26" bestFit="1" customWidth="1" style="112" min="11523" max="11523"/>
    <col width="17.5546875" customWidth="1" style="112" min="11524" max="11527"/>
    <col width="20.44140625" bestFit="1" customWidth="1" style="112" min="11528" max="11528"/>
    <col width="11.33203125" bestFit="1" customWidth="1" style="112" min="11529" max="11529"/>
    <col width="8.88671875" customWidth="1" style="112" min="11530" max="11530"/>
    <col width="10.88671875" bestFit="1" customWidth="1" style="112" min="11531" max="11531"/>
    <col width="8.88671875" customWidth="1" style="112" min="11532" max="11776"/>
    <col width="12.88671875" bestFit="1" customWidth="1" style="112" min="11777" max="11777"/>
    <col width="70" bestFit="1" customWidth="1" style="112" min="11778" max="11778"/>
    <col width="26" bestFit="1" customWidth="1" style="112" min="11779" max="11779"/>
    <col width="17.5546875" customWidth="1" style="112" min="11780" max="11783"/>
    <col width="20.44140625" bestFit="1" customWidth="1" style="112" min="11784" max="11784"/>
    <col width="11.33203125" bestFit="1" customWidth="1" style="112" min="11785" max="11785"/>
    <col width="8.88671875" customWidth="1" style="112" min="11786" max="11786"/>
    <col width="10.88671875" bestFit="1" customWidth="1" style="112" min="11787" max="11787"/>
    <col width="8.88671875" customWidth="1" style="112" min="11788" max="12032"/>
    <col width="12.88671875" bestFit="1" customWidth="1" style="112" min="12033" max="12033"/>
    <col width="70" bestFit="1" customWidth="1" style="112" min="12034" max="12034"/>
    <col width="26" bestFit="1" customWidth="1" style="112" min="12035" max="12035"/>
    <col width="17.5546875" customWidth="1" style="112" min="12036" max="12039"/>
    <col width="20.44140625" bestFit="1" customWidth="1" style="112" min="12040" max="12040"/>
    <col width="11.33203125" bestFit="1" customWidth="1" style="112" min="12041" max="12041"/>
    <col width="8.88671875" customWidth="1" style="112" min="12042" max="12042"/>
    <col width="10.88671875" bestFit="1" customWidth="1" style="112" min="12043" max="12043"/>
    <col width="8.88671875" customWidth="1" style="112" min="12044" max="12288"/>
    <col width="12.88671875" bestFit="1" customWidth="1" style="112" min="12289" max="12289"/>
    <col width="70" bestFit="1" customWidth="1" style="112" min="12290" max="12290"/>
    <col width="26" bestFit="1" customWidth="1" style="112" min="12291" max="12291"/>
    <col width="17.5546875" customWidth="1" style="112" min="12292" max="12295"/>
    <col width="20.44140625" bestFit="1" customWidth="1" style="112" min="12296" max="12296"/>
    <col width="11.33203125" bestFit="1" customWidth="1" style="112" min="12297" max="12297"/>
    <col width="8.88671875" customWidth="1" style="112" min="12298" max="12298"/>
    <col width="10.88671875" bestFit="1" customWidth="1" style="112" min="12299" max="12299"/>
    <col width="8.88671875" customWidth="1" style="112" min="12300" max="12544"/>
    <col width="12.88671875" bestFit="1" customWidth="1" style="112" min="12545" max="12545"/>
    <col width="70" bestFit="1" customWidth="1" style="112" min="12546" max="12546"/>
    <col width="26" bestFit="1" customWidth="1" style="112" min="12547" max="12547"/>
    <col width="17.5546875" customWidth="1" style="112" min="12548" max="12551"/>
    <col width="20.44140625" bestFit="1" customWidth="1" style="112" min="12552" max="12552"/>
    <col width="11.33203125" bestFit="1" customWidth="1" style="112" min="12553" max="12553"/>
    <col width="8.88671875" customWidth="1" style="112" min="12554" max="12554"/>
    <col width="10.88671875" bestFit="1" customWidth="1" style="112" min="12555" max="12555"/>
    <col width="8.88671875" customWidth="1" style="112" min="12556" max="12800"/>
    <col width="12.88671875" bestFit="1" customWidth="1" style="112" min="12801" max="12801"/>
    <col width="70" bestFit="1" customWidth="1" style="112" min="12802" max="12802"/>
    <col width="26" bestFit="1" customWidth="1" style="112" min="12803" max="12803"/>
    <col width="17.5546875" customWidth="1" style="112" min="12804" max="12807"/>
    <col width="20.44140625" bestFit="1" customWidth="1" style="112" min="12808" max="12808"/>
    <col width="11.33203125" bestFit="1" customWidth="1" style="112" min="12809" max="12809"/>
    <col width="8.88671875" customWidth="1" style="112" min="12810" max="12810"/>
    <col width="10.88671875" bestFit="1" customWidth="1" style="112" min="12811" max="12811"/>
    <col width="8.88671875" customWidth="1" style="112" min="12812" max="13056"/>
    <col width="12.88671875" bestFit="1" customWidth="1" style="112" min="13057" max="13057"/>
    <col width="70" bestFit="1" customWidth="1" style="112" min="13058" max="13058"/>
    <col width="26" bestFit="1" customWidth="1" style="112" min="13059" max="13059"/>
    <col width="17.5546875" customWidth="1" style="112" min="13060" max="13063"/>
    <col width="20.44140625" bestFit="1" customWidth="1" style="112" min="13064" max="13064"/>
    <col width="11.33203125" bestFit="1" customWidth="1" style="112" min="13065" max="13065"/>
    <col width="8.88671875" customWidth="1" style="112" min="13066" max="13066"/>
    <col width="10.88671875" bestFit="1" customWidth="1" style="112" min="13067" max="13067"/>
    <col width="8.88671875" customWidth="1" style="112" min="13068" max="13312"/>
    <col width="12.88671875" bestFit="1" customWidth="1" style="112" min="13313" max="13313"/>
    <col width="70" bestFit="1" customWidth="1" style="112" min="13314" max="13314"/>
    <col width="26" bestFit="1" customWidth="1" style="112" min="13315" max="13315"/>
    <col width="17.5546875" customWidth="1" style="112" min="13316" max="13319"/>
    <col width="20.44140625" bestFit="1" customWidth="1" style="112" min="13320" max="13320"/>
    <col width="11.33203125" bestFit="1" customWidth="1" style="112" min="13321" max="13321"/>
    <col width="8.88671875" customWidth="1" style="112" min="13322" max="13322"/>
    <col width="10.88671875" bestFit="1" customWidth="1" style="112" min="13323" max="13323"/>
    <col width="8.88671875" customWidth="1" style="112" min="13324" max="13568"/>
    <col width="12.88671875" bestFit="1" customWidth="1" style="112" min="13569" max="13569"/>
    <col width="70" bestFit="1" customWidth="1" style="112" min="13570" max="13570"/>
    <col width="26" bestFit="1" customWidth="1" style="112" min="13571" max="13571"/>
    <col width="17.5546875" customWidth="1" style="112" min="13572" max="13575"/>
    <col width="20.44140625" bestFit="1" customWidth="1" style="112" min="13576" max="13576"/>
    <col width="11.33203125" bestFit="1" customWidth="1" style="112" min="13577" max="13577"/>
    <col width="8.88671875" customWidth="1" style="112" min="13578" max="13578"/>
    <col width="10.88671875" bestFit="1" customWidth="1" style="112" min="13579" max="13579"/>
    <col width="8.88671875" customWidth="1" style="112" min="13580" max="13824"/>
    <col width="12.88671875" bestFit="1" customWidth="1" style="112" min="13825" max="13825"/>
    <col width="70" bestFit="1" customWidth="1" style="112" min="13826" max="13826"/>
    <col width="26" bestFit="1" customWidth="1" style="112" min="13827" max="13827"/>
    <col width="17.5546875" customWidth="1" style="112" min="13828" max="13831"/>
    <col width="20.44140625" bestFit="1" customWidth="1" style="112" min="13832" max="13832"/>
    <col width="11.33203125" bestFit="1" customWidth="1" style="112" min="13833" max="13833"/>
    <col width="8.88671875" customWidth="1" style="112" min="13834" max="13834"/>
    <col width="10.88671875" bestFit="1" customWidth="1" style="112" min="13835" max="13835"/>
    <col width="8.88671875" customWidth="1" style="112" min="13836" max="14080"/>
    <col width="12.88671875" bestFit="1" customWidth="1" style="112" min="14081" max="14081"/>
    <col width="70" bestFit="1" customWidth="1" style="112" min="14082" max="14082"/>
    <col width="26" bestFit="1" customWidth="1" style="112" min="14083" max="14083"/>
    <col width="17.5546875" customWidth="1" style="112" min="14084" max="14087"/>
    <col width="20.44140625" bestFit="1" customWidth="1" style="112" min="14088" max="14088"/>
    <col width="11.33203125" bestFit="1" customWidth="1" style="112" min="14089" max="14089"/>
    <col width="8.88671875" customWidth="1" style="112" min="14090" max="14090"/>
    <col width="10.88671875" bestFit="1" customWidth="1" style="112" min="14091" max="14091"/>
    <col width="8.88671875" customWidth="1" style="112" min="14092" max="14336"/>
    <col width="12.88671875" bestFit="1" customWidth="1" style="112" min="14337" max="14337"/>
    <col width="70" bestFit="1" customWidth="1" style="112" min="14338" max="14338"/>
    <col width="26" bestFit="1" customWidth="1" style="112" min="14339" max="14339"/>
    <col width="17.5546875" customWidth="1" style="112" min="14340" max="14343"/>
    <col width="20.44140625" bestFit="1" customWidth="1" style="112" min="14344" max="14344"/>
    <col width="11.33203125" bestFit="1" customWidth="1" style="112" min="14345" max="14345"/>
    <col width="8.88671875" customWidth="1" style="112" min="14346" max="14346"/>
    <col width="10.88671875" bestFit="1" customWidth="1" style="112" min="14347" max="14347"/>
    <col width="8.88671875" customWidth="1" style="112" min="14348" max="14592"/>
    <col width="12.88671875" bestFit="1" customWidth="1" style="112" min="14593" max="14593"/>
    <col width="70" bestFit="1" customWidth="1" style="112" min="14594" max="14594"/>
    <col width="26" bestFit="1" customWidth="1" style="112" min="14595" max="14595"/>
    <col width="17.5546875" customWidth="1" style="112" min="14596" max="14599"/>
    <col width="20.44140625" bestFit="1" customWidth="1" style="112" min="14600" max="14600"/>
    <col width="11.33203125" bestFit="1" customWidth="1" style="112" min="14601" max="14601"/>
    <col width="8.88671875" customWidth="1" style="112" min="14602" max="14602"/>
    <col width="10.88671875" bestFit="1" customWidth="1" style="112" min="14603" max="14603"/>
    <col width="8.88671875" customWidth="1" style="112" min="14604" max="14848"/>
    <col width="12.88671875" bestFit="1" customWidth="1" style="112" min="14849" max="14849"/>
    <col width="70" bestFit="1" customWidth="1" style="112" min="14850" max="14850"/>
    <col width="26" bestFit="1" customWidth="1" style="112" min="14851" max="14851"/>
    <col width="17.5546875" customWidth="1" style="112" min="14852" max="14855"/>
    <col width="20.44140625" bestFit="1" customWidth="1" style="112" min="14856" max="14856"/>
    <col width="11.33203125" bestFit="1" customWidth="1" style="112" min="14857" max="14857"/>
    <col width="8.88671875" customWidth="1" style="112" min="14858" max="14858"/>
    <col width="10.88671875" bestFit="1" customWidth="1" style="112" min="14859" max="14859"/>
    <col width="8.88671875" customWidth="1" style="112" min="14860" max="15104"/>
    <col width="12.88671875" bestFit="1" customWidth="1" style="112" min="15105" max="15105"/>
    <col width="70" bestFit="1" customWidth="1" style="112" min="15106" max="15106"/>
    <col width="26" bestFit="1" customWidth="1" style="112" min="15107" max="15107"/>
    <col width="17.5546875" customWidth="1" style="112" min="15108" max="15111"/>
    <col width="20.44140625" bestFit="1" customWidth="1" style="112" min="15112" max="15112"/>
    <col width="11.33203125" bestFit="1" customWidth="1" style="112" min="15113" max="15113"/>
    <col width="8.88671875" customWidth="1" style="112" min="15114" max="15114"/>
    <col width="10.88671875" bestFit="1" customWidth="1" style="112" min="15115" max="15115"/>
    <col width="8.88671875" customWidth="1" style="112" min="15116" max="15360"/>
    <col width="12.88671875" bestFit="1" customWidth="1" style="112" min="15361" max="15361"/>
    <col width="70" bestFit="1" customWidth="1" style="112" min="15362" max="15362"/>
    <col width="26" bestFit="1" customWidth="1" style="112" min="15363" max="15363"/>
    <col width="17.5546875" customWidth="1" style="112" min="15364" max="15367"/>
    <col width="20.44140625" bestFit="1" customWidth="1" style="112" min="15368" max="15368"/>
    <col width="11.33203125" bestFit="1" customWidth="1" style="112" min="15369" max="15369"/>
    <col width="8.88671875" customWidth="1" style="112" min="15370" max="15370"/>
    <col width="10.88671875" bestFit="1" customWidth="1" style="112" min="15371" max="15371"/>
    <col width="8.88671875" customWidth="1" style="112" min="15372" max="15616"/>
    <col width="12.88671875" bestFit="1" customWidth="1" style="112" min="15617" max="15617"/>
    <col width="70" bestFit="1" customWidth="1" style="112" min="15618" max="15618"/>
    <col width="26" bestFit="1" customWidth="1" style="112" min="15619" max="15619"/>
    <col width="17.5546875" customWidth="1" style="112" min="15620" max="15623"/>
    <col width="20.44140625" bestFit="1" customWidth="1" style="112" min="15624" max="15624"/>
    <col width="11.33203125" bestFit="1" customWidth="1" style="112" min="15625" max="15625"/>
    <col width="8.88671875" customWidth="1" style="112" min="15626" max="15626"/>
    <col width="10.88671875" bestFit="1" customWidth="1" style="112" min="15627" max="15627"/>
    <col width="8.88671875" customWidth="1" style="112" min="15628" max="15872"/>
    <col width="12.88671875" bestFit="1" customWidth="1" style="112" min="15873" max="15873"/>
    <col width="70" bestFit="1" customWidth="1" style="112" min="15874" max="15874"/>
    <col width="26" bestFit="1" customWidth="1" style="112" min="15875" max="15875"/>
    <col width="17.5546875" customWidth="1" style="112" min="15876" max="15879"/>
    <col width="20.44140625" bestFit="1" customWidth="1" style="112" min="15880" max="15880"/>
    <col width="11.33203125" bestFit="1" customWidth="1" style="112" min="15881" max="15881"/>
    <col width="8.88671875" customWidth="1" style="112" min="15882" max="15882"/>
    <col width="10.88671875" bestFit="1" customWidth="1" style="112" min="15883" max="15883"/>
    <col width="8.88671875" customWidth="1" style="112" min="15884" max="16128"/>
    <col width="12.88671875" bestFit="1" customWidth="1" style="112" min="16129" max="16129"/>
    <col width="70" bestFit="1" customWidth="1" style="112" min="16130" max="16130"/>
    <col width="26" bestFit="1" customWidth="1" style="112" min="16131" max="16131"/>
    <col width="17.5546875" customWidth="1" style="112" min="16132" max="16135"/>
    <col width="20.44140625" bestFit="1" customWidth="1" style="112" min="16136" max="16136"/>
    <col width="11.33203125" bestFit="1" customWidth="1" style="112" min="16137" max="16137"/>
    <col width="8.88671875" customWidth="1" style="112" min="16138" max="16138"/>
    <col width="10.88671875" bestFit="1" customWidth="1" style="112" min="16139" max="16139"/>
    <col width="8.88671875" customWidth="1" style="112" min="16140" max="16384"/>
  </cols>
  <sheetData>
    <row r="1" ht="12.75" customHeight="1">
      <c r="C1" s="354" t="inlineStr">
        <is>
          <t>Eindbalans per 30-09-2024</t>
        </is>
      </c>
      <c r="D1" s="354" t="inlineStr">
        <is>
          <t>Mutaties Q4 2024</t>
        </is>
      </c>
      <c r="E1" s="354" t="inlineStr">
        <is>
          <t>Mutaties Q1 2025</t>
        </is>
      </c>
      <c r="F1" s="354" t="inlineStr">
        <is>
          <t>Mutaties Q2 2025</t>
        </is>
      </c>
      <c r="G1" s="354" t="inlineStr">
        <is>
          <t>Mutaties Q3 2025</t>
        </is>
      </c>
      <c r="H1" s="354" t="inlineStr">
        <is>
          <t>Saldi per 30-09-2025</t>
        </is>
      </c>
    </row>
    <row r="2" ht="12.75" customHeight="1"/>
    <row r="3" ht="12.75" customHeight="1">
      <c r="A3" s="113" t="inlineStr">
        <is>
          <t>Balans</t>
        </is>
      </c>
    </row>
    <row r="4" ht="12.75" customHeight="1">
      <c r="A4" s="113" t="n"/>
    </row>
    <row r="5" ht="12.75" customHeight="1">
      <c r="A5" s="113" t="inlineStr">
        <is>
          <t>Materiële vaste activa</t>
        </is>
      </c>
    </row>
    <row r="6" ht="12.75" customHeight="1">
      <c r="A6" s="112" t="inlineStr">
        <is>
          <t>1600000</t>
        </is>
      </c>
      <c r="B6" s="112" t="inlineStr">
        <is>
          <t>VG Vastgoedbeleggingen Verkrijgings- of vervaardigingsprijs -</t>
        </is>
      </c>
      <c r="C6" s="346" t="n">
        <v>126105246</v>
      </c>
      <c r="D6" s="346" t="n">
        <v>1811633.16</v>
      </c>
      <c r="E6" s="293" t="n">
        <v>758835</v>
      </c>
      <c r="F6" s="293" t="n">
        <v>400388</v>
      </c>
      <c r="G6" s="293" t="n">
        <v>115411</v>
      </c>
      <c r="H6" s="296">
        <f>SUM(C6:G6)</f>
        <v/>
      </c>
      <c r="I6" s="270" t="n"/>
    </row>
    <row r="7" ht="12.75" customHeight="1">
      <c r="A7" s="112" t="inlineStr">
        <is>
          <t>1600200</t>
        </is>
      </c>
      <c r="B7" s="112" t="inlineStr">
        <is>
          <t>VG Vastgoedbeleggingen Cum afschrijvingen en waardeverm -</t>
        </is>
      </c>
      <c r="C7" s="293" t="n">
        <v>-22331463</v>
      </c>
      <c r="D7" s="293" t="n">
        <v>-793542</v>
      </c>
      <c r="E7" s="293" t="n">
        <v>-811996</v>
      </c>
      <c r="F7" s="293" t="n">
        <v>-822632</v>
      </c>
      <c r="G7" s="293" t="n">
        <v>-839833</v>
      </c>
      <c r="H7" s="296">
        <f>SUM(C7:G7)</f>
        <v/>
      </c>
    </row>
    <row r="8" ht="12.75" customHeight="1">
      <c r="A8" s="302" t="inlineStr">
        <is>
          <t>1601000</t>
        </is>
      </c>
      <c r="B8" s="302" t="inlineStr">
        <is>
          <t>VG Vastgoedbeleggingen Buitengebruikstellingen CA en waardeverm. -</t>
        </is>
      </c>
      <c r="C8" s="293" t="n">
        <v>-1900847</v>
      </c>
      <c r="D8" s="293" t="n">
        <v>0</v>
      </c>
      <c r="E8" s="293" t="n">
        <v>-677990</v>
      </c>
      <c r="F8" s="293" t="n">
        <v>-237202</v>
      </c>
      <c r="G8" s="293" t="n">
        <v>-41440</v>
      </c>
      <c r="H8" s="296">
        <f>SUM(C8:G8)</f>
        <v/>
      </c>
    </row>
    <row r="9" ht="12.75" customHeight="1">
      <c r="A9" s="112" t="inlineStr">
        <is>
          <t>1611003</t>
        </is>
      </c>
      <c r="B9" s="112" t="inlineStr">
        <is>
          <t>VG Comm VG in exploitatie Buitengebruikstellingen cum. afschr. en waardeverm.</t>
        </is>
      </c>
      <c r="C9" s="293" t="n">
        <v>324847</v>
      </c>
      <c r="E9" s="293" t="n">
        <v>126494</v>
      </c>
      <c r="F9" s="293" t="n">
        <v>41678</v>
      </c>
      <c r="G9" s="293" t="n">
        <v>7880</v>
      </c>
      <c r="H9" s="296">
        <f>SUM(C9:G9)</f>
        <v/>
      </c>
    </row>
    <row r="10" ht="12.75" customHeight="1">
      <c r="A10" s="112" t="inlineStr">
        <is>
          <t>1610803</t>
        </is>
      </c>
      <c r="B10" s="112" t="inlineStr">
        <is>
          <t>VG Comm VG in exploitatie Buitengebruikstellingen aanschaffingswaarde</t>
        </is>
      </c>
      <c r="D10" s="293" t="n">
        <v>0</v>
      </c>
      <c r="H10" s="296">
        <f>SUM(C10:G10)</f>
        <v/>
      </c>
    </row>
    <row r="11" ht="12.75" customHeight="1">
      <c r="H11" s="296" t="n"/>
    </row>
    <row r="12" ht="12.75" customHeight="1">
      <c r="A12" s="254" t="inlineStr">
        <is>
          <t>Financiële Vaste Lasten</t>
        </is>
      </c>
      <c r="H12" s="296" t="n"/>
    </row>
    <row r="13" ht="12.75" customHeight="1">
      <c r="A13" s="112" t="inlineStr">
        <is>
          <t>1760000</t>
        </is>
      </c>
      <c r="B13" s="112" t="inlineStr">
        <is>
          <t>FVA Vord op DMRRP INV - I BV  saldo</t>
        </is>
      </c>
      <c r="C13" s="293" t="n">
        <v>38320325</v>
      </c>
      <c r="H13" s="296">
        <f>SUM(C13:G13)</f>
        <v/>
      </c>
      <c r="I13" s="296" t="n"/>
    </row>
    <row r="14" ht="12.75" customHeight="1">
      <c r="A14" s="112" t="inlineStr">
        <is>
          <t>1760300</t>
        </is>
      </c>
      <c r="B14" s="112" t="inlineStr">
        <is>
          <t>FVA Vord op DMRRP INV - I BV  aflossingen</t>
        </is>
      </c>
      <c r="C14" s="293" t="n">
        <v>-2359318</v>
      </c>
      <c r="D14" s="293" t="n">
        <v>-95800</v>
      </c>
      <c r="E14" s="346" t="n">
        <v>-242786</v>
      </c>
      <c r="F14" s="293" t="n">
        <v>-243993</v>
      </c>
      <c r="G14" s="293" t="n">
        <v>-114687</v>
      </c>
      <c r="H14" s="296">
        <f>SUM(C14:G14)</f>
        <v/>
      </c>
      <c r="I14" s="270" t="n"/>
    </row>
    <row r="15" ht="12.75" customHeight="1">
      <c r="A15" s="112" t="inlineStr">
        <is>
          <t>1790000</t>
        </is>
      </c>
      <c r="B15" s="112" t="inlineStr">
        <is>
          <t>FVA Swap fee</t>
        </is>
      </c>
      <c r="C15" s="293" t="n">
        <v>1327805</v>
      </c>
      <c r="D15" s="293" t="n">
        <v>-110650</v>
      </c>
      <c r="E15" s="293">
        <f>-110650-5</f>
        <v/>
      </c>
      <c r="F15" s="293" t="n">
        <v>-110650</v>
      </c>
      <c r="G15" s="293" t="n">
        <v>-110650</v>
      </c>
      <c r="H15" s="296">
        <f>SUM(C15:G15)</f>
        <v/>
      </c>
    </row>
    <row r="16" ht="12.75" customHeight="1">
      <c r="A16" s="112" t="inlineStr">
        <is>
          <t>1790002</t>
        </is>
      </c>
      <c r="B16" s="112" t="inlineStr">
        <is>
          <t>FVA Latente belastingvordering langlopend</t>
        </is>
      </c>
      <c r="C16" s="293" t="n">
        <v>6873869</v>
      </c>
      <c r="D16" s="346" t="n">
        <v>920937</v>
      </c>
      <c r="E16" s="293" t="n">
        <v>173840</v>
      </c>
      <c r="F16" s="293" t="n">
        <v>200714</v>
      </c>
      <c r="G16" s="293" t="n">
        <v>214644</v>
      </c>
      <c r="H16" s="296">
        <f>SUM(C16:G16)</f>
        <v/>
      </c>
      <c r="I16" s="270" t="n"/>
    </row>
    <row r="17" ht="12.75" customHeight="1">
      <c r="H17" s="296" t="n"/>
    </row>
    <row r="18" ht="12.75" customHeight="1">
      <c r="A18" s="254" t="inlineStr">
        <is>
          <t>Vorderingen</t>
        </is>
      </c>
      <c r="H18" s="296" t="n"/>
    </row>
    <row r="19" ht="12.75" customHeight="1">
      <c r="A19" s="112" t="inlineStr">
        <is>
          <t>2000000</t>
        </is>
      </c>
      <c r="B19" s="112" t="inlineStr">
        <is>
          <t>VOR Debiteuren</t>
        </is>
      </c>
      <c r="C19" s="293" t="n">
        <v>6274193</v>
      </c>
      <c r="D19" s="293" t="n">
        <v>-6054041</v>
      </c>
      <c r="E19" s="293" t="n">
        <v>334826</v>
      </c>
      <c r="F19" s="293" t="n">
        <v>-339181</v>
      </c>
      <c r="G19" s="293" t="n">
        <v>-67350</v>
      </c>
      <c r="H19" s="296">
        <f>SUM(C19:G19)</f>
        <v/>
      </c>
      <c r="I19" s="363" t="n"/>
    </row>
    <row r="20" ht="12.75" customHeight="1">
      <c r="A20" s="112" t="inlineStr">
        <is>
          <t>2000100</t>
        </is>
      </c>
      <c r="B20" s="112" t="inlineStr">
        <is>
          <t>VOR Debiteuren intercompany</t>
        </is>
      </c>
      <c r="D20" s="293" t="n">
        <v>6675101</v>
      </c>
      <c r="E20" s="293" t="n">
        <v>493276</v>
      </c>
      <c r="F20" s="293" t="n">
        <v>-5914486</v>
      </c>
      <c r="G20" s="293" t="n">
        <v>451922</v>
      </c>
      <c r="H20" s="296">
        <f>SUM(C20:G20)</f>
        <v/>
      </c>
    </row>
    <row r="21" ht="12.75" customHeight="1">
      <c r="A21" s="112" t="inlineStr">
        <is>
          <t>2000300</t>
        </is>
      </c>
      <c r="B21" s="112" t="inlineStr">
        <is>
          <t>VOR Voorziening dubieuze debiteuren</t>
        </is>
      </c>
      <c r="C21" s="293" t="n">
        <v>-8374</v>
      </c>
      <c r="D21" s="346" t="n">
        <v>-81794.69</v>
      </c>
      <c r="E21" s="293" t="n">
        <v>0</v>
      </c>
      <c r="H21" s="296">
        <f>SUM(C21:G21)</f>
        <v/>
      </c>
      <c r="I21" s="270" t="n"/>
    </row>
    <row r="22" ht="12.75" customHeight="1">
      <c r="A22" s="112" t="inlineStr">
        <is>
          <t>2040100</t>
        </is>
      </c>
      <c r="B22" s="112" t="inlineStr">
        <is>
          <t>VOR Nog te factureren bedragen</t>
        </is>
      </c>
      <c r="E22" s="293" t="n">
        <v>146986</v>
      </c>
      <c r="F22" s="293" t="n">
        <v>-146986</v>
      </c>
      <c r="H22" s="296">
        <f>SUM(C22:G22)</f>
        <v/>
      </c>
    </row>
    <row r="23" ht="12.75" customHeight="1">
      <c r="A23" s="112" t="inlineStr">
        <is>
          <t>2040200</t>
        </is>
      </c>
      <c r="B23" s="112" t="inlineStr">
        <is>
          <t>VOR Te vorderen waarborgsommen kortlopend</t>
        </is>
      </c>
      <c r="C23" s="293" t="n">
        <v>5000</v>
      </c>
      <c r="H23" s="296">
        <f>SUM(C23:G23)</f>
        <v/>
      </c>
    </row>
    <row r="24" ht="12.75" customHeight="1">
      <c r="A24" s="112" t="inlineStr">
        <is>
          <t>2040500</t>
        </is>
      </c>
      <c r="B24" s="112" t="inlineStr">
        <is>
          <t>VOR Vooruitbetaalde verzekeringen</t>
        </is>
      </c>
      <c r="C24" s="293" t="n">
        <v>21432</v>
      </c>
      <c r="D24" s="293" t="n">
        <v>-21435</v>
      </c>
      <c r="E24" s="293" t="n">
        <v>89982.3</v>
      </c>
      <c r="F24" s="293" t="n">
        <v>-29994</v>
      </c>
      <c r="G24" s="293" t="n">
        <v>-29994</v>
      </c>
      <c r="H24" s="296">
        <f>SUM(C24:G24)</f>
        <v/>
      </c>
    </row>
    <row r="25" ht="12.75" customHeight="1">
      <c r="A25" s="112" t="inlineStr">
        <is>
          <t>2040900</t>
        </is>
      </c>
      <c r="B25" s="112" t="inlineStr">
        <is>
          <t>VOR Vooruitbetaalde overige kosten</t>
        </is>
      </c>
      <c r="C25" s="293" t="n">
        <v>89378</v>
      </c>
      <c r="D25" s="293" t="n">
        <v>-89378</v>
      </c>
      <c r="E25" s="346" t="n">
        <v>334004</v>
      </c>
      <c r="F25" s="346" t="n">
        <v>-111335</v>
      </c>
      <c r="G25" s="293" t="n">
        <v>-111334</v>
      </c>
      <c r="H25" s="296">
        <f>SUM(C25:G25)</f>
        <v/>
      </c>
      <c r="I25" s="296" t="n"/>
    </row>
    <row r="26" ht="12.75" customHeight="1">
      <c r="A26" s="114" t="n">
        <v>2040601</v>
      </c>
      <c r="B26" s="112" t="inlineStr">
        <is>
          <t>VOR Doorbelastingen huurder en overig</t>
        </is>
      </c>
      <c r="E26" s="364" t="n"/>
      <c r="F26" s="364" t="n"/>
      <c r="G26" s="293" t="n">
        <v>2169</v>
      </c>
      <c r="H26" s="296">
        <f>SUM(C26:G26)</f>
        <v/>
      </c>
    </row>
    <row r="27" ht="12.75" customHeight="1">
      <c r="H27" s="296" t="n"/>
    </row>
    <row r="28" ht="12.75" customHeight="1">
      <c r="A28" s="254" t="inlineStr">
        <is>
          <t>Liquide middelen</t>
        </is>
      </c>
      <c r="H28" s="296" t="n"/>
    </row>
    <row r="29" ht="12.75" customHeight="1">
      <c r="A29" s="112" t="inlineStr">
        <is>
          <t>2300000</t>
        </is>
      </c>
      <c r="B29" s="112" t="inlineStr">
        <is>
          <t>LM Kruisposten</t>
        </is>
      </c>
      <c r="D29" s="346" t="n">
        <v>-0.48</v>
      </c>
      <c r="H29" s="296">
        <f>SUM(C29:G29)</f>
        <v/>
      </c>
      <c r="I29" s="270" t="n"/>
    </row>
    <row r="30" ht="12.75" customHeight="1">
      <c r="A30" s="112" t="inlineStr">
        <is>
          <t>2300001</t>
        </is>
      </c>
      <c r="B30" s="112" t="inlineStr">
        <is>
          <t>LM Kruisposten pin</t>
        </is>
      </c>
      <c r="C30" s="293" t="n">
        <v>-4951</v>
      </c>
      <c r="D30" s="293" t="n">
        <v>4950</v>
      </c>
      <c r="E30" s="293" t="n">
        <v>4485</v>
      </c>
      <c r="F30" s="293" t="n">
        <v>3544</v>
      </c>
      <c r="G30" s="293" t="n">
        <v>3890</v>
      </c>
      <c r="H30" s="296">
        <f>SUM(C30:G30)</f>
        <v/>
      </c>
    </row>
    <row r="31" ht="12.75" customHeight="1">
      <c r="A31" s="112" t="inlineStr">
        <is>
          <t>2400200</t>
        </is>
      </c>
      <c r="B31" s="112" t="inlineStr">
        <is>
          <t>LM ABN AMRO Bank Disposal NL58 ABNA 0818 9180 39</t>
        </is>
      </c>
      <c r="D31" s="293" t="n">
        <v>0</v>
      </c>
      <c r="E31" s="293" t="n">
        <v>194000</v>
      </c>
      <c r="F31" s="293" t="n">
        <v>-194000</v>
      </c>
      <c r="G31" s="293" t="n">
        <v>0</v>
      </c>
      <c r="H31" s="296">
        <f>SUM(C31:G31)</f>
        <v/>
      </c>
    </row>
    <row r="32" ht="12.75" customHeight="1">
      <c r="A32" s="112" t="inlineStr">
        <is>
          <t>2400201</t>
        </is>
      </c>
      <c r="B32" s="112" t="inlineStr">
        <is>
          <t>LM ABN AMRO Bank Deposit NL57 ABNA 0541 6205 68</t>
        </is>
      </c>
      <c r="C32" s="293" t="n">
        <v>-2439</v>
      </c>
      <c r="D32" s="293" t="n">
        <v>-6577.5</v>
      </c>
      <c r="E32" s="293" t="n">
        <v>9940.5</v>
      </c>
      <c r="F32" s="293" t="n">
        <v>-118</v>
      </c>
      <c r="G32" s="293" t="n">
        <v>1</v>
      </c>
      <c r="H32" s="296">
        <f>SUM(C32:G32)</f>
        <v/>
      </c>
    </row>
    <row r="33" ht="12.75" customHeight="1">
      <c r="A33" s="112" t="inlineStr">
        <is>
          <t>2400202</t>
        </is>
      </c>
      <c r="B33" s="112" t="inlineStr">
        <is>
          <t>LM ABN AMRO Bank General NL93 ABNA 0541 6132 27</t>
        </is>
      </c>
      <c r="C33" s="293" t="n">
        <v>27</v>
      </c>
      <c r="G33" s="293" t="n">
        <v>0</v>
      </c>
      <c r="H33" s="296">
        <f>SUM(C33:G33)</f>
        <v/>
      </c>
    </row>
    <row r="34" ht="12.75" customHeight="1">
      <c r="A34" s="112" t="inlineStr">
        <is>
          <t>2400203</t>
        </is>
      </c>
      <c r="B34" s="112" t="inlineStr">
        <is>
          <t>LM ABN AMRO Bank Maintres NL04 ABNA 0541 6188 06</t>
        </is>
      </c>
      <c r="C34" s="293" t="n">
        <v>1693</v>
      </c>
      <c r="D34" s="293" t="n">
        <v>276826.61</v>
      </c>
      <c r="E34" s="293" t="n">
        <v>-271247.9</v>
      </c>
      <c r="F34" s="293" t="n">
        <v>6686</v>
      </c>
      <c r="G34" s="293" t="n">
        <v>-8069</v>
      </c>
      <c r="H34" s="296">
        <f>SUM(C34:G34)</f>
        <v/>
      </c>
    </row>
    <row r="35" ht="12.75" customHeight="1">
      <c r="A35" s="112" t="inlineStr">
        <is>
          <t>2400204</t>
        </is>
      </c>
      <c r="B35" s="112" t="inlineStr">
        <is>
          <t>LM ABN AMRO Bank Rent NL46 ABNA 0541 6088 35</t>
        </is>
      </c>
      <c r="C35" s="293" t="n">
        <v>232944</v>
      </c>
      <c r="D35" s="293" t="n">
        <v>22169.18</v>
      </c>
      <c r="E35" s="293">
        <f>92619.86+1</f>
        <v/>
      </c>
      <c r="F35" s="293" t="n">
        <v>-282612</v>
      </c>
      <c r="G35" s="293" t="n">
        <v>235206</v>
      </c>
      <c r="H35" s="296">
        <f>SUM(C35:G35)</f>
        <v/>
      </c>
    </row>
    <row r="36" ht="12.75" customHeight="1">
      <c r="A36" s="112" t="inlineStr">
        <is>
          <t>2400205</t>
        </is>
      </c>
      <c r="B36" s="112" t="inlineStr">
        <is>
          <t>LM ABN AMRO Bank SR EXP NL88 ABNA 0541 6205 92</t>
        </is>
      </c>
      <c r="C36" s="293" t="n">
        <v>3055</v>
      </c>
      <c r="D36" s="293" t="n">
        <v>-2980</v>
      </c>
      <c r="E36" s="293">
        <f>5966+1</f>
        <v/>
      </c>
      <c r="F36" s="293" t="n">
        <v>1207</v>
      </c>
      <c r="G36" s="293" t="n">
        <v>-1114</v>
      </c>
      <c r="H36" s="296">
        <f>SUM(C36:G36)</f>
        <v/>
      </c>
    </row>
    <row r="37" ht="12.75" customHeight="1">
      <c r="A37" s="112" t="inlineStr">
        <is>
          <t>2400206</t>
        </is>
      </c>
      <c r="B37" s="112" t="inlineStr">
        <is>
          <t>LM ABN AMRO Bank Capex NL11 ABNA 0114 3362 02</t>
        </is>
      </c>
      <c r="C37" s="293" t="n">
        <v>-16</v>
      </c>
      <c r="E37" s="293" t="n">
        <v>0</v>
      </c>
      <c r="F37" s="293" t="n">
        <v>0</v>
      </c>
      <c r="G37" s="293" t="n">
        <v>0</v>
      </c>
      <c r="H37" s="296">
        <f>SUM(C37:G37)</f>
        <v/>
      </c>
    </row>
    <row r="38" ht="12.75" customHeight="1">
      <c r="H38" s="296" t="n"/>
    </row>
    <row r="39" ht="12.75" customHeight="1">
      <c r="A39" s="254" t="inlineStr">
        <is>
          <t>Eigen vermogen</t>
        </is>
      </c>
      <c r="H39" s="296" t="n"/>
    </row>
    <row r="40" ht="12.75" customHeight="1">
      <c r="A40" s="112" t="inlineStr">
        <is>
          <t>1000002</t>
        </is>
      </c>
      <c r="B40" s="112" t="inlineStr">
        <is>
          <t>EV Normale aandelen  Saldo</t>
        </is>
      </c>
      <c r="C40" s="293" t="n">
        <v>-1</v>
      </c>
      <c r="H40" s="296">
        <f>SUM(C40:G40)</f>
        <v/>
      </c>
    </row>
    <row r="41" ht="12.75" customHeight="1">
      <c r="A41" s="112" t="inlineStr">
        <is>
          <t>1100000</t>
        </is>
      </c>
      <c r="B41" s="112" t="inlineStr">
        <is>
          <t>EV Agioreserve Agio aandelen</t>
        </is>
      </c>
      <c r="C41" s="293" t="n">
        <v>-18931219</v>
      </c>
      <c r="F41" s="293" t="n">
        <v>4670958</v>
      </c>
      <c r="H41" s="296">
        <f>SUM(C41:G41)</f>
        <v/>
      </c>
    </row>
    <row r="42" ht="12.75" customHeight="1">
      <c r="A42" s="112" t="inlineStr">
        <is>
          <t>1160000</t>
        </is>
      </c>
      <c r="B42" s="112" t="inlineStr">
        <is>
          <t>EV Overige reserve Reserve aandelen</t>
        </is>
      </c>
      <c r="C42" s="293">
        <f>2816797-1312124</f>
        <v/>
      </c>
      <c r="H42" s="296">
        <f>SUM(C42:G42)</f>
        <v/>
      </c>
    </row>
    <row r="43" ht="12.75" customHeight="1">
      <c r="H43" s="296" t="n"/>
    </row>
    <row r="44" ht="12.75" customHeight="1">
      <c r="A44" s="254" t="inlineStr">
        <is>
          <t>Langlopende schulden</t>
        </is>
      </c>
      <c r="H44" s="296" t="n"/>
    </row>
    <row r="45" ht="12.75" customHeight="1">
      <c r="A45" s="112" t="inlineStr">
        <is>
          <t>1930001</t>
        </is>
      </c>
      <c r="B45" s="112" t="inlineStr">
        <is>
          <t>LLS Hoofdsom ABN AMRO Bank NV Senior Facility Agreement</t>
        </is>
      </c>
      <c r="C45" s="293" t="n">
        <v>-169535973</v>
      </c>
      <c r="D45" s="293" t="n">
        <v>-875164.8</v>
      </c>
      <c r="E45" s="293" t="n">
        <v>-670610.59</v>
      </c>
      <c r="H45" s="296">
        <f>SUM(C45:G45)</f>
        <v/>
      </c>
    </row>
    <row r="46" ht="12.75" customHeight="1">
      <c r="A46" s="112" t="inlineStr">
        <is>
          <t>1930101</t>
        </is>
      </c>
      <c r="B46" s="112" t="inlineStr">
        <is>
          <t>LLS Cum aflossingen ABN AMRO Bank NV Senior Facility Agreement</t>
        </is>
      </c>
      <c r="C46" s="346" t="n">
        <v>36939891</v>
      </c>
      <c r="D46" s="293" t="n">
        <v>350000</v>
      </c>
      <c r="E46" s="293" t="n">
        <v>887000</v>
      </c>
      <c r="F46" s="293" t="n">
        <v>828967</v>
      </c>
      <c r="G46" s="293" t="n">
        <v>386788</v>
      </c>
      <c r="H46" s="296">
        <f>SUM(C46:G46)</f>
        <v/>
      </c>
      <c r="I46" s="270" t="n"/>
    </row>
    <row r="47" ht="12.75" customHeight="1">
      <c r="A47" s="112" t="inlineStr">
        <is>
          <t>1930200</t>
        </is>
      </c>
      <c r="B47" s="112" t="inlineStr">
        <is>
          <t>LLS Extension fee&amp; professional fees</t>
        </is>
      </c>
      <c r="C47" s="293" t="n">
        <v>348825</v>
      </c>
      <c r="D47" s="293" t="n">
        <v>-29069.06</v>
      </c>
      <c r="E47" s="293">
        <f>-29069.05+4</f>
        <v/>
      </c>
      <c r="F47" s="293" t="n">
        <v>-29069</v>
      </c>
      <c r="G47" s="293" t="n">
        <v>-29069</v>
      </c>
      <c r="H47" s="296">
        <f>SUM(C47:G47)</f>
        <v/>
      </c>
    </row>
    <row r="48" ht="12.75" customHeight="1">
      <c r="H48" s="296" t="n"/>
    </row>
    <row r="49" ht="12.75" customHeight="1">
      <c r="A49" s="254" t="inlineStr">
        <is>
          <t>Kortlopende schulden</t>
        </is>
      </c>
      <c r="H49" s="296" t="n"/>
    </row>
    <row r="50" ht="12.75" customHeight="1">
      <c r="A50" s="112" t="inlineStr">
        <is>
          <t>2730000</t>
        </is>
      </c>
      <c r="B50" s="112" t="inlineStr">
        <is>
          <t>KLS Crediteuren</t>
        </is>
      </c>
      <c r="C50" s="293" t="n">
        <v>-5448</v>
      </c>
      <c r="D50" s="293" t="n">
        <v>-319583.96</v>
      </c>
      <c r="E50" s="293" t="n">
        <v>-521059</v>
      </c>
      <c r="F50" s="293" t="n">
        <v>548173</v>
      </c>
      <c r="G50" s="293" t="n">
        <v>354718</v>
      </c>
      <c r="H50" s="296">
        <f>SUM(C50:G50)</f>
        <v/>
      </c>
      <c r="I50" s="296" t="n"/>
    </row>
    <row r="51" ht="12.75" customHeight="1">
      <c r="A51" s="112" t="inlineStr">
        <is>
          <t>2730001</t>
        </is>
      </c>
      <c r="B51" s="112" t="inlineStr">
        <is>
          <t>KLS Crediteuren intercompany</t>
        </is>
      </c>
      <c r="C51" s="293" t="n">
        <v>-942580</v>
      </c>
      <c r="D51" s="293" t="n">
        <v>0</v>
      </c>
      <c r="E51" s="293" t="n">
        <v>-12500</v>
      </c>
      <c r="F51" s="293" t="n">
        <v>942580</v>
      </c>
      <c r="G51" s="293" t="n">
        <v>0</v>
      </c>
      <c r="H51" s="296">
        <f>SUM(C51:G51)</f>
        <v/>
      </c>
    </row>
    <row r="52" ht="12.75" customHeight="1">
      <c r="A52" s="112" t="inlineStr">
        <is>
          <t>2620000</t>
        </is>
      </c>
      <c r="B52" s="112" t="inlineStr">
        <is>
          <t>RC Kortlopend D.M. Equity Partners C.V.</t>
        </is>
      </c>
      <c r="C52" s="293" t="n">
        <v>-551205</v>
      </c>
      <c r="D52" s="346" t="n">
        <v>-9557</v>
      </c>
      <c r="G52" s="293" t="n">
        <v>-433706</v>
      </c>
      <c r="H52" s="296">
        <f>SUM(C52:G52)</f>
        <v/>
      </c>
      <c r="I52" s="270" t="n"/>
    </row>
    <row r="53" ht="12.75" customHeight="1">
      <c r="A53" s="114" t="n">
        <v>2630000</v>
      </c>
      <c r="B53" s="112" t="inlineStr">
        <is>
          <t>RC Kortlopend dir. DMEP INV - IX BV</t>
        </is>
      </c>
      <c r="D53" s="346" t="n"/>
      <c r="G53" s="293" t="n">
        <v>453706</v>
      </c>
      <c r="H53" s="296">
        <f>SUM(C53:G53)</f>
        <v/>
      </c>
      <c r="I53" s="270" t="n"/>
    </row>
    <row r="54" ht="12.75" customHeight="1">
      <c r="A54" s="112" t="inlineStr">
        <is>
          <t>2640000</t>
        </is>
      </c>
      <c r="B54" s="112" t="inlineStr">
        <is>
          <t>RC Kortlopend DMRRP INV - I BV</t>
        </is>
      </c>
      <c r="C54" s="293" t="n">
        <v>680904</v>
      </c>
      <c r="D54" s="346" t="n">
        <v>-1742467</v>
      </c>
      <c r="E54" s="346" t="n">
        <v>365128</v>
      </c>
      <c r="F54" s="293" t="n">
        <v>1609255</v>
      </c>
      <c r="G54" s="293" t="n">
        <v>547692</v>
      </c>
      <c r="H54" s="296">
        <f>SUM(C54:G54)</f>
        <v/>
      </c>
      <c r="I54" s="270" t="n"/>
      <c r="L54" s="296" t="n"/>
    </row>
    <row r="55" ht="12.75" customHeight="1">
      <c r="A55" s="114" t="n">
        <v>2650000</v>
      </c>
      <c r="B55" s="112" t="inlineStr">
        <is>
          <t>RC Kortlopend WPNL- V B.V.</t>
        </is>
      </c>
      <c r="C55" s="293" t="n">
        <v>-500000</v>
      </c>
      <c r="D55" s="346" t="n">
        <v>-5000</v>
      </c>
      <c r="H55" s="296">
        <f>SUM(C55:G55)</f>
        <v/>
      </c>
      <c r="I55" s="270" t="n"/>
    </row>
    <row r="56" ht="12.75" customHeight="1">
      <c r="A56" s="114" t="n">
        <v>2650001</v>
      </c>
      <c r="B56" s="112" t="inlineStr">
        <is>
          <t>RC Kortlopend D.M. Equity Management Company BV</t>
        </is>
      </c>
      <c r="D56" s="346" t="n"/>
      <c r="G56" s="293" t="n">
        <v>-275000</v>
      </c>
      <c r="H56" s="296">
        <f>SUM(C56:G56)</f>
        <v/>
      </c>
      <c r="I56" s="270" t="n"/>
    </row>
    <row r="57" ht="12.75" customHeight="1">
      <c r="A57" s="112" t="inlineStr">
        <is>
          <t>2512100</t>
        </is>
      </c>
      <c r="B57" s="112" t="inlineStr">
        <is>
          <t>BEL Afgedragen/ontvangen BTW</t>
        </is>
      </c>
      <c r="C57" s="293" t="n">
        <v>-5628</v>
      </c>
      <c r="D57" s="293" t="n">
        <v>-2177</v>
      </c>
      <c r="E57" s="357" t="n">
        <v>3078</v>
      </c>
      <c r="F57" s="293" t="n">
        <v>-7316</v>
      </c>
      <c r="G57" s="293" t="n">
        <v>7261</v>
      </c>
      <c r="H57" s="296">
        <f>SUM(C57:G57)</f>
        <v/>
      </c>
      <c r="I57" s="270" t="inlineStr">
        <is>
          <t>100 eu correctie op aansl btw vanuit Hoen</t>
        </is>
      </c>
    </row>
    <row r="58" ht="12.75" customHeight="1">
      <c r="A58" s="112" t="inlineStr">
        <is>
          <t>2740100</t>
        </is>
      </c>
      <c r="B58" s="112" t="inlineStr">
        <is>
          <t>KLS Vooruitgefactureerde bedragen</t>
        </is>
      </c>
      <c r="C58" s="293" t="n">
        <v>-946590</v>
      </c>
      <c r="D58" s="293" t="n">
        <v>1511.29</v>
      </c>
      <c r="E58" s="293" t="n">
        <v>-127085</v>
      </c>
      <c r="F58" s="293" t="n">
        <v>-3870</v>
      </c>
      <c r="G58" s="293" t="n">
        <v>40978</v>
      </c>
      <c r="H58" s="296">
        <f>SUM(C58:G58)</f>
        <v/>
      </c>
      <c r="I58" s="270" t="n"/>
    </row>
    <row r="59" ht="12.75" customHeight="1">
      <c r="A59" s="112" t="inlineStr">
        <is>
          <t>2740300</t>
        </is>
      </c>
      <c r="B59" s="112" t="inlineStr">
        <is>
          <t>KLS Te betalen waarborgsommen kortlopend</t>
        </is>
      </c>
      <c r="C59" s="293" t="n">
        <v>-953829</v>
      </c>
      <c r="D59" s="293" t="n">
        <v>3736</v>
      </c>
      <c r="E59" s="293">
        <f>10637.04+1</f>
        <v/>
      </c>
      <c r="F59" s="293" t="n">
        <v>8876</v>
      </c>
      <c r="G59" s="293" t="n">
        <v>-3141</v>
      </c>
      <c r="H59" s="296">
        <f>SUM(C59:G59)</f>
        <v/>
      </c>
    </row>
    <row r="60" ht="12.75" customHeight="1">
      <c r="A60" s="112" t="inlineStr">
        <is>
          <t>2740500</t>
        </is>
      </c>
      <c r="B60" s="112" t="inlineStr">
        <is>
          <t>KLS Te betalen accountants- en administratiekosten</t>
        </is>
      </c>
      <c r="C60" s="293" t="n">
        <v>-45000</v>
      </c>
      <c r="H60" s="296">
        <f>SUM(C60:G60)</f>
        <v/>
      </c>
    </row>
    <row r="61" ht="12.75" customHeight="1">
      <c r="A61" s="112" t="inlineStr">
        <is>
          <t>2741000</t>
        </is>
      </c>
      <c r="B61" s="112" t="inlineStr">
        <is>
          <t>KLS Te betalen servicekosten</t>
        </is>
      </c>
      <c r="H61" s="296">
        <f>SUM(C61:G61)</f>
        <v/>
      </c>
      <c r="I61" s="296" t="n"/>
    </row>
    <row r="62" ht="12.75" customHeight="1">
      <c r="A62" s="112" t="inlineStr">
        <is>
          <t>2741001</t>
        </is>
      </c>
      <c r="B62" s="112" t="inlineStr">
        <is>
          <t>KLS Te betalen servicekosten -</t>
        </is>
      </c>
      <c r="H62" s="296">
        <f>SUM(C62:G62)</f>
        <v/>
      </c>
    </row>
    <row r="63" ht="12.75" customHeight="1">
      <c r="A63" s="112" t="inlineStr">
        <is>
          <t>2741004</t>
        </is>
      </c>
      <c r="B63" s="112" t="inlineStr">
        <is>
          <t>KLS Te betalen Hoen</t>
        </is>
      </c>
      <c r="C63" s="293" t="n">
        <v>-45388</v>
      </c>
      <c r="D63" s="293" t="n">
        <v>-45993.21</v>
      </c>
      <c r="E63" s="293">
        <f>-140627-1</f>
        <v/>
      </c>
      <c r="F63" s="293" t="n">
        <v>96028</v>
      </c>
      <c r="G63" s="293" t="n">
        <v>-139507</v>
      </c>
      <c r="H63" s="296">
        <f>SUM(C63:G63)</f>
        <v/>
      </c>
    </row>
    <row r="64" ht="12.75" customHeight="1">
      <c r="A64" s="112" t="inlineStr">
        <is>
          <t>2741200</t>
        </is>
      </c>
      <c r="B64" s="112" t="inlineStr">
        <is>
          <t>KLS Te betalen overige kosten</t>
        </is>
      </c>
      <c r="C64" s="293" t="n">
        <v>30002</v>
      </c>
      <c r="D64" s="346" t="n">
        <v>-783782.38</v>
      </c>
      <c r="E64" s="293" t="n">
        <v>783782.38</v>
      </c>
      <c r="H64" s="296">
        <f>SUM(C64:G64)</f>
        <v/>
      </c>
      <c r="I64" s="270" t="n"/>
    </row>
    <row r="65" ht="12.75" customHeight="1">
      <c r="A65" s="112" t="inlineStr">
        <is>
          <t>2742000</t>
        </is>
      </c>
      <c r="B65" s="112" t="inlineStr">
        <is>
          <t>KLS Vraagposten</t>
        </is>
      </c>
      <c r="H65" s="296">
        <f>SUM(C65:G65)</f>
        <v/>
      </c>
    </row>
    <row r="66" ht="12.75" customHeight="1">
      <c r="A66" s="114" t="inlineStr">
        <is>
          <t>2760000</t>
        </is>
      </c>
      <c r="B66" s="112" t="inlineStr">
        <is>
          <t>KLS Saldo lening DMRRP INV - I BV</t>
        </is>
      </c>
      <c r="H66" s="296">
        <f>SUM(C66:G66)</f>
        <v/>
      </c>
    </row>
    <row r="67" ht="12.75" customHeight="1">
      <c r="A67" s="114" t="n">
        <v>2502020</v>
      </c>
      <c r="B67" s="112" t="inlineStr">
        <is>
          <t>Servicekosten 2020</t>
        </is>
      </c>
      <c r="C67" s="293" t="n">
        <v>789</v>
      </c>
      <c r="D67" s="293" t="n">
        <v>-788.66</v>
      </c>
      <c r="H67" s="296">
        <f>SUM(C67:G67)</f>
        <v/>
      </c>
      <c r="I67" s="296" t="n"/>
    </row>
    <row r="68" ht="12.75" customHeight="1">
      <c r="A68" s="112" t="inlineStr">
        <is>
          <t>2502021</t>
        </is>
      </c>
      <c r="B68" s="112" t="inlineStr">
        <is>
          <t>Servicekosten 2021</t>
        </is>
      </c>
      <c r="C68" s="293" t="n">
        <v>-4516</v>
      </c>
      <c r="D68" s="346" t="n">
        <v>11164.33</v>
      </c>
      <c r="E68" s="293" t="n">
        <v>-5932.67</v>
      </c>
      <c r="H68" s="296">
        <f>SUM(C68:G68)</f>
        <v/>
      </c>
      <c r="I68" s="363" t="n"/>
    </row>
    <row r="69" ht="12.75" customHeight="1">
      <c r="A69" s="112" t="inlineStr">
        <is>
          <t>2502022</t>
        </is>
      </c>
      <c r="B69" s="112" t="inlineStr">
        <is>
          <t>Servicekosten 2022</t>
        </is>
      </c>
      <c r="C69" s="293" t="n">
        <v>-82428</v>
      </c>
      <c r="D69" s="346" t="n">
        <v>85939.7</v>
      </c>
      <c r="E69" s="293" t="n">
        <v>679.9299999999999</v>
      </c>
      <c r="H69" s="296">
        <f>SUM(C69:G69)</f>
        <v/>
      </c>
      <c r="I69" s="363" t="n"/>
    </row>
    <row r="70" ht="12.75" customHeight="1">
      <c r="A70" s="112" t="inlineStr">
        <is>
          <t>2502023</t>
        </is>
      </c>
      <c r="B70" s="112" t="inlineStr">
        <is>
          <t>Servicekosten 2023</t>
        </is>
      </c>
      <c r="C70" s="293" t="n">
        <v>-195435</v>
      </c>
      <c r="D70" s="346" t="n">
        <v>174386.43</v>
      </c>
      <c r="E70" s="293" t="n">
        <v>-5964</v>
      </c>
      <c r="F70" s="293" t="n">
        <v>-3879</v>
      </c>
      <c r="H70" s="296">
        <f>SUM(C70:G70)</f>
        <v/>
      </c>
      <c r="I70" s="363" t="n"/>
    </row>
    <row r="71" ht="12.75" customHeight="1">
      <c r="A71" s="302" t="inlineStr">
        <is>
          <t>2502024</t>
        </is>
      </c>
      <c r="B71" s="302" t="inlineStr">
        <is>
          <t>Servicekosten 2024</t>
        </is>
      </c>
      <c r="C71" s="293" t="n">
        <v>267750</v>
      </c>
      <c r="D71" s="293">
        <f>-187446.25-1</f>
        <v/>
      </c>
      <c r="E71" s="293" t="n">
        <v>63895</v>
      </c>
      <c r="F71" s="293" t="n">
        <v>-288810</v>
      </c>
      <c r="G71" s="293" t="n">
        <v>-13237</v>
      </c>
      <c r="H71" s="296">
        <f>SUM(C71:G71)</f>
        <v/>
      </c>
    </row>
    <row r="72" ht="12.75" customHeight="1">
      <c r="A72" s="302" t="inlineStr">
        <is>
          <t>2502024</t>
        </is>
      </c>
      <c r="B72" s="302" t="inlineStr">
        <is>
          <t>Servicekosten 2025</t>
        </is>
      </c>
      <c r="E72" s="293">
        <f>23666+2</f>
        <v/>
      </c>
      <c r="F72" s="293" t="n">
        <v>-3049</v>
      </c>
      <c r="G72" s="293" t="n">
        <v>-9197</v>
      </c>
      <c r="H72" s="296">
        <f>SUM(C72:G72)</f>
        <v/>
      </c>
    </row>
    <row r="73" ht="12.75" customHeight="1">
      <c r="H73" s="296" t="n"/>
    </row>
    <row r="74" ht="12.75" customHeight="1">
      <c r="A74" s="113" t="inlineStr">
        <is>
          <t>Winst- en verliesrekening (baten zijn negatief, kosten positief)</t>
        </is>
      </c>
      <c r="H74" s="296" t="n"/>
    </row>
    <row r="75" ht="12.75" customHeight="1">
      <c r="H75" s="296" t="n"/>
    </row>
    <row r="76" ht="12.75" customHeight="1">
      <c r="A76" s="112" t="inlineStr">
        <is>
          <t>8000003</t>
        </is>
      </c>
      <c r="B76" s="112" t="inlineStr">
        <is>
          <t>OPB Netto-omzet Theoretische huuropbrengsten</t>
        </is>
      </c>
      <c r="D76" s="293" t="n">
        <v>-3186800.49</v>
      </c>
      <c r="E76" s="293" t="n">
        <v>-3209085.09</v>
      </c>
      <c r="F76" s="293" t="n">
        <v>-3200539.89</v>
      </c>
      <c r="G76" s="293" t="n">
        <v>-3273560</v>
      </c>
      <c r="H76" s="296">
        <f>SUM(C76:G76)</f>
        <v/>
      </c>
      <c r="I76" s="296" t="n"/>
    </row>
    <row r="77" ht="12.75" customHeight="1">
      <c r="A77" s="112" t="inlineStr">
        <is>
          <t>8000004</t>
        </is>
      </c>
      <c r="B77" s="112" t="inlineStr">
        <is>
          <t>OPB Netto-omzet Leegstand huuropbrengsten</t>
        </is>
      </c>
      <c r="D77" s="293" t="n">
        <v>106874.37</v>
      </c>
      <c r="E77" s="293" t="n">
        <v>143610.3</v>
      </c>
      <c r="F77" s="293" t="n">
        <v>133088.46</v>
      </c>
      <c r="G77" s="293" t="n">
        <v>177621</v>
      </c>
      <c r="H77" s="296">
        <f>SUM(C77:G77)</f>
        <v/>
      </c>
      <c r="I77" s="296" t="n"/>
    </row>
    <row r="78" ht="12.75" customHeight="1">
      <c r="H78" s="296" t="n"/>
      <c r="I78" s="296" t="n"/>
    </row>
    <row r="79" ht="12.75" customHeight="1">
      <c r="A79" s="112" t="inlineStr">
        <is>
          <t>8400600</t>
        </is>
      </c>
      <c r="B79" s="112" t="inlineStr">
        <is>
          <t>OPB Overige bedrijfsopbrengsten Totale servicekosten</t>
        </is>
      </c>
      <c r="D79" s="293" t="n">
        <v>76472.45</v>
      </c>
      <c r="E79" s="293" t="n">
        <v>-294</v>
      </c>
      <c r="F79" s="293" t="n">
        <v>-301.7</v>
      </c>
      <c r="G79" s="293" t="n">
        <v>-4638</v>
      </c>
      <c r="H79" s="296">
        <f>SUM(C79:G79)</f>
        <v/>
      </c>
      <c r="I79" s="296" t="n"/>
    </row>
    <row r="80" ht="12.75" customHeight="1">
      <c r="A80" s="112" t="inlineStr">
        <is>
          <t>8400700</t>
        </is>
      </c>
      <c r="B80" s="112" t="inlineStr">
        <is>
          <t>OPB Overige bedrijfsopbrengsten Servicekosten leegstand</t>
        </is>
      </c>
      <c r="D80" s="293" t="n">
        <v>-167419.98</v>
      </c>
      <c r="E80" s="293" t="n">
        <v>8776</v>
      </c>
      <c r="F80" s="293" t="n">
        <v>6470.43</v>
      </c>
      <c r="G80" s="293" t="n">
        <v>14113</v>
      </c>
      <c r="H80" s="296">
        <f>SUM(C80:G80)</f>
        <v/>
      </c>
      <c r="I80" s="296" t="n"/>
    </row>
    <row r="81" ht="12.75" customHeight="1">
      <c r="A81" s="112" t="inlineStr">
        <is>
          <t>8400800</t>
        </is>
      </c>
      <c r="B81" s="112" t="inlineStr">
        <is>
          <t>OPB Overige bedrijfsopbrengsten Gerealiseerde servicekosten</t>
        </is>
      </c>
      <c r="D81" s="346" t="n">
        <v>-279511.1</v>
      </c>
      <c r="E81" s="293" t="n">
        <v>131053</v>
      </c>
      <c r="F81" s="293" t="n">
        <v>164115.12</v>
      </c>
      <c r="G81" s="293" t="n">
        <v>3697</v>
      </c>
      <c r="H81" s="296">
        <f>SUM(C81:G81)</f>
        <v/>
      </c>
      <c r="I81" s="363" t="n"/>
    </row>
    <row r="82" ht="12.75" customHeight="1">
      <c r="H82" s="296" t="n"/>
      <c r="I82" s="296" t="n"/>
    </row>
    <row r="83" ht="12.75" customHeight="1">
      <c r="A83" s="112" t="inlineStr">
        <is>
          <t>4051400</t>
        </is>
      </c>
      <c r="B83" s="112" t="inlineStr">
        <is>
          <t>KN Diensten door derden</t>
        </is>
      </c>
      <c r="D83" s="293" t="n">
        <v>135444.14</v>
      </c>
      <c r="E83" s="293" t="n">
        <v>137751</v>
      </c>
      <c r="F83" s="293" t="n">
        <v>135540.07</v>
      </c>
      <c r="G83" s="293" t="n">
        <v>138487</v>
      </c>
      <c r="H83" s="296">
        <f>SUM(C83:G83)</f>
        <v/>
      </c>
      <c r="I83" s="296" t="n"/>
    </row>
    <row r="84" ht="12.75" customHeight="1">
      <c r="H84" s="296" t="n"/>
      <c r="I84" s="296" t="n"/>
    </row>
    <row r="85" ht="12.75" customHeight="1">
      <c r="A85" s="112" t="inlineStr">
        <is>
          <t>4730000</t>
        </is>
      </c>
      <c r="B85" s="112" t="inlineStr">
        <is>
          <t>AFKN Afschrijvingskosten -</t>
        </is>
      </c>
      <c r="D85" s="293" t="n">
        <v>793542</v>
      </c>
      <c r="E85" s="293" t="n">
        <v>811996</v>
      </c>
      <c r="F85" s="293" t="n">
        <v>822632</v>
      </c>
      <c r="G85" s="293" t="n">
        <v>839833</v>
      </c>
      <c r="H85" s="296">
        <f>SUM(C85:G85)</f>
        <v/>
      </c>
      <c r="I85" s="296" t="n"/>
    </row>
    <row r="86" ht="12.75" customHeight="1">
      <c r="A86" s="112" t="inlineStr">
        <is>
          <t>4730200</t>
        </is>
      </c>
      <c r="B86" s="112" t="inlineStr">
        <is>
          <t>AFKN Boekresultaat -</t>
        </is>
      </c>
      <c r="D86" s="293" t="n">
        <v>0</v>
      </c>
      <c r="E86" s="293" t="n">
        <v>-1202123</v>
      </c>
      <c r="F86" s="293" t="n">
        <v>-566976</v>
      </c>
      <c r="G86" s="293" t="n">
        <v>-169995</v>
      </c>
      <c r="H86" s="296">
        <f>SUM(C86:G86)</f>
        <v/>
      </c>
      <c r="I86" s="296" t="n"/>
    </row>
    <row r="87" ht="12.75" customHeight="1">
      <c r="H87" s="296" t="n"/>
      <c r="I87" s="296" t="n"/>
    </row>
    <row r="88" ht="12.75" customHeight="1">
      <c r="A88" s="112" t="inlineStr">
        <is>
          <t>4100400</t>
        </is>
      </c>
      <c r="B88" s="112" t="inlineStr">
        <is>
          <t>KN Onderhoud gebouwen</t>
        </is>
      </c>
      <c r="C88" s="346" t="n"/>
      <c r="D88" s="346" t="n">
        <v>320115.76</v>
      </c>
      <c r="E88" s="293" t="n">
        <v>335314</v>
      </c>
      <c r="F88" s="293" t="n">
        <v>297751.92</v>
      </c>
      <c r="G88" s="293" t="n">
        <v>244270</v>
      </c>
      <c r="H88" s="296">
        <f>SUM(C88:G88)</f>
        <v/>
      </c>
      <c r="I88" s="270" t="n"/>
    </row>
    <row r="89" ht="12.75" customHeight="1">
      <c r="A89" s="112" t="inlineStr">
        <is>
          <t>4100900</t>
        </is>
      </c>
      <c r="B89" s="112" t="inlineStr">
        <is>
          <t>KN Onroerende zaakbelasting</t>
        </is>
      </c>
      <c r="D89" s="293" t="n">
        <v>69696.85000000001</v>
      </c>
      <c r="E89" s="293" t="n">
        <v>80016</v>
      </c>
      <c r="F89" s="346" t="n">
        <v>39003.59</v>
      </c>
      <c r="G89" s="293" t="n">
        <v>94434</v>
      </c>
      <c r="H89" s="296">
        <f>SUM(C89:G89)</f>
        <v/>
      </c>
      <c r="I89" s="296" t="n"/>
      <c r="J89" s="296" t="n"/>
    </row>
    <row r="90" ht="12.75" customHeight="1">
      <c r="A90" s="112" t="inlineStr">
        <is>
          <t>4101000</t>
        </is>
      </c>
      <c r="B90" s="112" t="inlineStr">
        <is>
          <t>KN Vaste lasten</t>
        </is>
      </c>
      <c r="D90" s="346" t="n">
        <v>180464.32</v>
      </c>
      <c r="E90" s="293" t="n">
        <v>199784</v>
      </c>
      <c r="F90" s="293" t="n">
        <v>182457.86</v>
      </c>
      <c r="G90" s="293" t="n">
        <v>125286</v>
      </c>
      <c r="H90" s="296">
        <f>SUM(C90:G90)</f>
        <v/>
      </c>
      <c r="I90" s="270" t="n"/>
    </row>
    <row r="91" ht="12.75" customHeight="1">
      <c r="A91" s="112" t="inlineStr">
        <is>
          <t>4100410</t>
        </is>
      </c>
      <c r="B91" s="112" t="inlineStr">
        <is>
          <t>Verhuurdersheffing</t>
        </is>
      </c>
      <c r="E91" s="346" t="n">
        <v>63619</v>
      </c>
      <c r="F91" s="346" t="n">
        <v>63619.5</v>
      </c>
      <c r="G91" s="293" t="n">
        <v>0</v>
      </c>
      <c r="H91" s="296">
        <f>SUM(C91:G91)</f>
        <v/>
      </c>
      <c r="I91" s="296" t="n"/>
    </row>
    <row r="92" ht="12.75" customHeight="1">
      <c r="A92" s="112" t="inlineStr">
        <is>
          <t>4101010</t>
        </is>
      </c>
      <c r="B92" s="112" t="inlineStr">
        <is>
          <t>Gemeentelijke belastingen</t>
        </is>
      </c>
      <c r="D92" s="346" t="n">
        <v>27115.88</v>
      </c>
      <c r="E92" s="293" t="n">
        <v>26493</v>
      </c>
      <c r="F92" s="293" t="n">
        <v>19625.9</v>
      </c>
      <c r="G92" s="293" t="n">
        <v>17307</v>
      </c>
      <c r="H92" s="296">
        <f>SUM(C92:G92)</f>
        <v/>
      </c>
      <c r="I92" s="270" t="n"/>
      <c r="J92" s="296" t="n"/>
    </row>
    <row r="93" ht="12.75" customHeight="1">
      <c r="A93" s="112" t="inlineStr">
        <is>
          <t>4101020</t>
        </is>
      </c>
      <c r="B93" s="112" t="inlineStr">
        <is>
          <t>Waterschapsbelasting</t>
        </is>
      </c>
      <c r="D93" s="346" t="n">
        <v>13307.02</v>
      </c>
      <c r="E93" s="293" t="n">
        <v>10678.06</v>
      </c>
      <c r="F93" s="293" t="n">
        <v>82958.5</v>
      </c>
      <c r="G93" s="293" t="n">
        <v>11876</v>
      </c>
      <c r="H93" s="296">
        <f>SUM(C93:G93)</f>
        <v/>
      </c>
      <c r="I93" s="270" t="n"/>
    </row>
    <row r="94" ht="12.75" customHeight="1">
      <c r="A94" s="112" t="inlineStr">
        <is>
          <t>4101300</t>
        </is>
      </c>
      <c r="B94" s="112" t="inlineStr">
        <is>
          <t>KN Servicekosten leegstand</t>
        </is>
      </c>
      <c r="E94" s="293" t="n">
        <v>-765.02</v>
      </c>
      <c r="F94" s="293" t="n">
        <v>-300.34</v>
      </c>
      <c r="G94" s="293" t="n">
        <v>-33</v>
      </c>
      <c r="H94" s="296">
        <f>SUM(C94:G94)</f>
        <v/>
      </c>
      <c r="I94" s="296" t="n"/>
    </row>
    <row r="95" ht="12.75" customHeight="1">
      <c r="H95" s="296" t="n"/>
      <c r="I95" s="296" t="n"/>
    </row>
    <row r="96" ht="12.75" customHeight="1">
      <c r="A96" s="112" t="inlineStr">
        <is>
          <t>4501200</t>
        </is>
      </c>
      <c r="B96" s="112" t="inlineStr">
        <is>
          <t>KN Mutatie voorziening dubieuze debiteuren</t>
        </is>
      </c>
      <c r="D96" s="346" t="n">
        <v>81794.69</v>
      </c>
      <c r="E96" s="293" t="n">
        <v>0</v>
      </c>
      <c r="F96" s="293" t="n">
        <v>0</v>
      </c>
      <c r="G96" s="293" t="n">
        <v>0</v>
      </c>
      <c r="H96" s="296">
        <f>SUM(C96:G96)</f>
        <v/>
      </c>
      <c r="I96" s="270" t="n"/>
    </row>
    <row r="97" ht="12.75" customHeight="1">
      <c r="A97" s="112" t="inlineStr">
        <is>
          <t>4501300</t>
        </is>
      </c>
      <c r="B97" s="112" t="inlineStr">
        <is>
          <t>KN Afboeking dubieuze debiteuren</t>
        </is>
      </c>
      <c r="D97" s="293" t="n">
        <v>10216.44</v>
      </c>
      <c r="E97" s="293" t="n">
        <v>311.29</v>
      </c>
      <c r="F97" s="293" t="n">
        <v>5045.3</v>
      </c>
      <c r="G97" s="293" t="n">
        <v>4441</v>
      </c>
      <c r="H97" s="296">
        <f>SUM(C97:G97)</f>
        <v/>
      </c>
      <c r="I97" s="296" t="n"/>
    </row>
    <row r="98" ht="12.75" customHeight="1">
      <c r="H98" s="296" t="n"/>
      <c r="I98" s="296" t="n"/>
    </row>
    <row r="99" ht="12.75" customHeight="1">
      <c r="A99" s="112" t="inlineStr">
        <is>
          <t>4300200</t>
        </is>
      </c>
      <c r="B99" s="112" t="inlineStr">
        <is>
          <t>KN Communicatiekosten</t>
        </is>
      </c>
      <c r="D99" s="293" t="n">
        <v>36.63</v>
      </c>
      <c r="H99" s="296">
        <f>SUM(C99:G99)</f>
        <v/>
      </c>
      <c r="I99" s="296" t="n"/>
    </row>
    <row r="100" ht="12.75" customHeight="1">
      <c r="A100" s="112" t="inlineStr">
        <is>
          <t>4300500</t>
        </is>
      </c>
      <c r="B100" s="112" t="inlineStr">
        <is>
          <t>KN Incassokosten</t>
        </is>
      </c>
      <c r="D100" s="293" t="n">
        <v>500</v>
      </c>
      <c r="E100" s="293" t="n">
        <v>740</v>
      </c>
      <c r="F100" s="293" t="n">
        <v>500</v>
      </c>
      <c r="G100" s="293" t="n">
        <v>3850</v>
      </c>
      <c r="H100" s="296">
        <f>SUM(C100:G100)</f>
        <v/>
      </c>
      <c r="I100" s="296" t="n"/>
    </row>
    <row r="101" ht="12.75" customHeight="1">
      <c r="H101" s="296" t="n"/>
      <c r="I101" s="296" t="n"/>
    </row>
    <row r="102" ht="12.75" customHeight="1">
      <c r="A102" s="112" t="inlineStr">
        <is>
          <t>4310400</t>
        </is>
      </c>
      <c r="B102" s="112" t="inlineStr">
        <is>
          <t>KN Assurantiepremie algemeen</t>
        </is>
      </c>
      <c r="D102" s="293" t="n">
        <v>18609.21</v>
      </c>
      <c r="E102" s="293" t="n">
        <v>29994.09</v>
      </c>
      <c r="F102" s="293" t="n">
        <v>47533.15</v>
      </c>
      <c r="G102" s="293" t="n">
        <v>28916</v>
      </c>
      <c r="H102" s="296">
        <f>SUM(C102:G102)</f>
        <v/>
      </c>
      <c r="I102" s="296" t="n"/>
      <c r="J102" s="296" t="n"/>
    </row>
    <row r="103" ht="12.75" customHeight="1">
      <c r="A103" s="112" t="inlineStr">
        <is>
          <t>4310500</t>
        </is>
      </c>
      <c r="B103" s="112" t="inlineStr">
        <is>
          <t>KN Managementvergoeding</t>
        </is>
      </c>
      <c r="D103" s="293" t="n">
        <v>1500</v>
      </c>
      <c r="E103" s="293" t="n">
        <v>1500</v>
      </c>
      <c r="F103" s="293" t="n">
        <v>1500</v>
      </c>
      <c r="G103" s="293" t="n">
        <v>1500</v>
      </c>
      <c r="H103" s="296">
        <f>SUM(C103:G103)</f>
        <v/>
      </c>
      <c r="I103" s="296" t="n"/>
    </row>
    <row r="104" ht="12.75" customHeight="1">
      <c r="A104" s="112" t="inlineStr">
        <is>
          <t>4310600</t>
        </is>
      </c>
      <c r="B104" s="112" t="inlineStr">
        <is>
          <t>KN Accountantskosten</t>
        </is>
      </c>
      <c r="D104" s="346" t="n">
        <v>28685.98</v>
      </c>
      <c r="E104" s="346" t="n">
        <v>33105</v>
      </c>
      <c r="F104" s="293" t="n">
        <v>42192.41</v>
      </c>
      <c r="G104" s="293" t="n">
        <v>1065</v>
      </c>
      <c r="H104" s="296">
        <f>SUM(C104:G104)</f>
        <v/>
      </c>
      <c r="I104" s="270" t="n"/>
    </row>
    <row r="105" ht="12.75" customHeight="1">
      <c r="A105" s="112" t="inlineStr">
        <is>
          <t>4310700</t>
        </is>
      </c>
      <c r="B105" s="112" t="inlineStr">
        <is>
          <t>KN Administratiekosten</t>
        </is>
      </c>
      <c r="D105" s="293" t="n">
        <v>1397.55</v>
      </c>
      <c r="F105" s="293" t="n">
        <v>2934.86</v>
      </c>
      <c r="G105" s="293" t="n">
        <v>3712</v>
      </c>
      <c r="H105" s="296">
        <f>SUM(C105:G105)</f>
        <v/>
      </c>
      <c r="I105" s="296" t="n"/>
    </row>
    <row r="106" ht="12.75" customHeight="1">
      <c r="A106" s="112" t="inlineStr">
        <is>
          <t>4310800</t>
        </is>
      </c>
      <c r="B106" s="112" t="inlineStr">
        <is>
          <t>KN Notariskosten</t>
        </is>
      </c>
      <c r="D106" s="346" t="n">
        <v>40046.62</v>
      </c>
      <c r="E106" s="293" t="n">
        <v>62948.91</v>
      </c>
      <c r="F106" s="293" t="n">
        <v>33708.66</v>
      </c>
      <c r="G106" s="293" t="n">
        <v>15169</v>
      </c>
      <c r="H106" s="296">
        <f>SUM(C106:G106)</f>
        <v/>
      </c>
      <c r="I106" s="270" t="n"/>
    </row>
    <row r="107" ht="12.75" customHeight="1">
      <c r="A107" s="112" t="inlineStr">
        <is>
          <t>4311000</t>
        </is>
      </c>
      <c r="B107" s="112" t="inlineStr">
        <is>
          <t>KN Juridische kosten</t>
        </is>
      </c>
      <c r="D107" s="346" t="n">
        <v>21661.23</v>
      </c>
      <c r="E107" s="293" t="n">
        <v>23359.27</v>
      </c>
      <c r="F107" s="293" t="n">
        <v>26403.76</v>
      </c>
      <c r="G107" s="293" t="n">
        <v>21247</v>
      </c>
      <c r="H107" s="296">
        <f>SUM(C107:G107)</f>
        <v/>
      </c>
      <c r="I107" s="270" t="n"/>
    </row>
    <row r="108" ht="12.75" customHeight="1">
      <c r="A108" s="112" t="inlineStr">
        <is>
          <t>4311800</t>
        </is>
      </c>
      <c r="B108" s="112" t="inlineStr">
        <is>
          <t>KN Advieskosten</t>
        </is>
      </c>
      <c r="D108" s="346" t="n">
        <v>35200</v>
      </c>
      <c r="E108" s="346" t="n">
        <v>11000</v>
      </c>
      <c r="F108" s="293" t="n">
        <v>66841.5</v>
      </c>
      <c r="G108" s="293" t="n">
        <v>89742</v>
      </c>
      <c r="H108" s="296">
        <f>SUM(C108:G108)</f>
        <v/>
      </c>
      <c r="I108" s="270" t="n"/>
    </row>
    <row r="109" ht="12.75" customHeight="1">
      <c r="A109" s="112" t="inlineStr">
        <is>
          <t>4311900</t>
        </is>
      </c>
      <c r="B109" s="112" t="inlineStr">
        <is>
          <t>KN Bankkosten</t>
        </is>
      </c>
      <c r="C109" s="346" t="n"/>
      <c r="D109" s="293" t="n">
        <v>30061.71</v>
      </c>
      <c r="E109" s="293" t="n">
        <v>30747</v>
      </c>
      <c r="F109" s="293" t="n">
        <v>30189.5</v>
      </c>
      <c r="G109" s="293" t="n">
        <v>30173</v>
      </c>
      <c r="H109" s="296">
        <f>SUM(C109:G109)</f>
        <v/>
      </c>
      <c r="I109" s="363" t="n"/>
    </row>
    <row r="110" ht="12.75" customHeight="1">
      <c r="A110" s="112" t="inlineStr">
        <is>
          <t>4312600</t>
        </is>
      </c>
      <c r="B110" s="112" t="inlineStr">
        <is>
          <t>KN Diverse lasten</t>
        </is>
      </c>
      <c r="D110" s="293" t="n">
        <v>40000</v>
      </c>
      <c r="G110" s="293" t="n">
        <v>0</v>
      </c>
      <c r="H110" s="296">
        <f>SUM(C110:G110)</f>
        <v/>
      </c>
      <c r="I110" s="296" t="n"/>
    </row>
    <row r="111" ht="12.75" customHeight="1">
      <c r="A111" s="112" t="inlineStr">
        <is>
          <t>4319800</t>
        </is>
      </c>
      <c r="B111" s="112" t="inlineStr">
        <is>
          <t>KN Overige algemene kosten</t>
        </is>
      </c>
      <c r="D111" s="346" t="n">
        <v>4048.3</v>
      </c>
      <c r="E111" s="357" t="n">
        <v>-716</v>
      </c>
      <c r="F111" s="293" t="n">
        <v>-12426</v>
      </c>
      <c r="G111" s="293" t="n">
        <v>6643</v>
      </c>
      <c r="H111" s="296">
        <f>SUM(C111:G111)</f>
        <v/>
      </c>
      <c r="I111" s="270" t="inlineStr">
        <is>
          <t>100 eu correctie op aansl btw vanuit Hoen</t>
        </is>
      </c>
      <c r="M111" s="296" t="n"/>
    </row>
    <row r="112" ht="12.75" customHeight="1">
      <c r="H112" s="296" t="n"/>
      <c r="I112" s="296" t="n"/>
    </row>
    <row r="113" ht="12.75" customHeight="1">
      <c r="A113" s="112" t="inlineStr">
        <is>
          <t>4601000</t>
        </is>
      </c>
      <c r="B113" s="112" t="inlineStr">
        <is>
          <t>FINBL Rente RC D.M. Equity Partners C.V.</t>
        </is>
      </c>
      <c r="G113" s="293" t="n">
        <v>0</v>
      </c>
      <c r="H113" s="296">
        <f>SUM(C113:G113)</f>
        <v/>
      </c>
      <c r="I113" s="296" t="n"/>
    </row>
    <row r="114" ht="12.75" customHeight="1">
      <c r="A114" s="112" t="inlineStr">
        <is>
          <t>4611000</t>
        </is>
      </c>
      <c r="B114" s="112" t="inlineStr">
        <is>
          <t>FINBL Rente RC DMRRP INV - I BV</t>
        </is>
      </c>
      <c r="D114" s="346" t="n">
        <v>9557</v>
      </c>
      <c r="G114" s="293" t="n">
        <v>0</v>
      </c>
      <c r="H114" s="296">
        <f>SUM(C114:G114)</f>
        <v/>
      </c>
      <c r="I114" s="270" t="n"/>
    </row>
    <row r="115" ht="12.75" customHeight="1">
      <c r="A115" s="114" t="n">
        <v>4613000</v>
      </c>
      <c r="B115" s="112" t="inlineStr">
        <is>
          <t>FINBL Rente WPNL - V B.V.</t>
        </is>
      </c>
      <c r="D115" s="346" t="n">
        <v>5000</v>
      </c>
      <c r="G115" s="293" t="n">
        <v>0</v>
      </c>
      <c r="H115" s="296">
        <f>SUM(C115:G115)</f>
        <v/>
      </c>
      <c r="I115" s="270" t="n"/>
    </row>
    <row r="116" ht="12.75" customHeight="1">
      <c r="A116" s="112" t="inlineStr">
        <is>
          <t>4620200</t>
        </is>
      </c>
      <c r="B116" s="112" t="inlineStr">
        <is>
          <t>FINBL Rente ABN AMRO Bank Disposal NL58 ABNA 0818 9180 39</t>
        </is>
      </c>
      <c r="D116" s="293" t="n">
        <v>-10316</v>
      </c>
      <c r="E116" s="293" t="n">
        <v>88.36</v>
      </c>
      <c r="F116" s="293" t="n">
        <v>8.380000000000001</v>
      </c>
      <c r="G116" s="293" t="n">
        <v>0</v>
      </c>
      <c r="H116" s="296">
        <f>SUM(C116:G116)</f>
        <v/>
      </c>
      <c r="I116" s="296" t="n"/>
    </row>
    <row r="117" ht="12.75" customHeight="1">
      <c r="A117" s="112" t="inlineStr">
        <is>
          <t>4623001</t>
        </is>
      </c>
      <c r="B117" s="112" t="inlineStr">
        <is>
          <t>FINBL Rente ABN AMRO Bank NV Senior Facility Agreement</t>
        </is>
      </c>
      <c r="C117" s="346" t="n"/>
      <c r="D117" s="293" t="n">
        <v>1738638.91</v>
      </c>
      <c r="E117" s="293" t="n">
        <v>1484000.59</v>
      </c>
      <c r="F117" s="293" t="n">
        <v>1384964.21</v>
      </c>
      <c r="G117" s="293" t="n">
        <v>1264736</v>
      </c>
      <c r="H117" s="296">
        <f>SUM(C117:G117)</f>
        <v/>
      </c>
      <c r="I117" s="270" t="n"/>
    </row>
    <row r="118" ht="12.75" customHeight="1">
      <c r="A118" s="112" t="inlineStr">
        <is>
          <t>4643000</t>
        </is>
      </c>
      <c r="B118" s="112" t="inlineStr">
        <is>
          <t>FINBL Overige rentelasten</t>
        </is>
      </c>
      <c r="C118" s="346" t="n"/>
      <c r="D118" s="293" t="n">
        <v>-76671.34</v>
      </c>
      <c r="E118" s="293" t="n">
        <v>81808</v>
      </c>
      <c r="F118" s="293" t="n">
        <v>171938.04</v>
      </c>
      <c r="G118" s="293" t="n">
        <v>267049</v>
      </c>
      <c r="H118" s="296">
        <f>SUM(C118:G118)</f>
        <v/>
      </c>
      <c r="I118" s="363" t="n"/>
    </row>
    <row r="119" ht="12.75" customHeight="1">
      <c r="A119" s="112" t="inlineStr">
        <is>
          <t>4642000</t>
        </is>
      </c>
      <c r="B119" s="112" t="inlineStr">
        <is>
          <t>FINBL Overige rentebaten</t>
        </is>
      </c>
      <c r="D119" s="346" t="n">
        <v>0</v>
      </c>
      <c r="G119" s="293" t="n">
        <v>0</v>
      </c>
      <c r="H119" s="296">
        <f>SUM(C119:G119)</f>
        <v/>
      </c>
      <c r="I119" s="363" t="n"/>
    </row>
    <row r="120" ht="12.75" customHeight="1">
      <c r="A120" s="112" t="inlineStr">
        <is>
          <t>4663000</t>
        </is>
      </c>
      <c r="B120" s="112" t="inlineStr">
        <is>
          <t>FINBL Rente vord DMRRP INV - I BV</t>
        </is>
      </c>
      <c r="D120" s="346" t="n">
        <v>-468232.28</v>
      </c>
      <c r="E120" s="293" t="n">
        <v>-397476.14</v>
      </c>
      <c r="F120" s="293" t="n">
        <v>-369637.02</v>
      </c>
      <c r="G120" s="293" t="n">
        <v>-337235</v>
      </c>
      <c r="H120" s="296">
        <f>SUM(C120:G120)</f>
        <v/>
      </c>
      <c r="I120" s="363" t="n"/>
    </row>
    <row r="121" ht="12.75" customHeight="1">
      <c r="H121" s="296" t="n"/>
      <c r="I121" s="296" t="n"/>
    </row>
    <row r="122" ht="12.75" customHeight="1">
      <c r="A122" s="112" t="inlineStr">
        <is>
          <t>9500000</t>
        </is>
      </c>
      <c r="B122" s="112" t="inlineStr">
        <is>
          <t>VPB Vennootschapsbelasting VPB huidig jaar</t>
        </is>
      </c>
      <c r="D122" s="346" t="n">
        <v>2238775</v>
      </c>
      <c r="H122" s="296">
        <f>SUM(C122:G122)</f>
        <v/>
      </c>
      <c r="I122" s="363" t="n"/>
    </row>
    <row r="123" ht="12.75" customHeight="1">
      <c r="A123" s="112" t="inlineStr">
        <is>
          <t>9510000</t>
        </is>
      </c>
      <c r="B123" s="112" t="inlineStr">
        <is>
          <t>VPB Mutatie belastinglatentie Mutatie actieve latentie</t>
        </is>
      </c>
      <c r="D123" s="346" t="n">
        <v>-920937</v>
      </c>
      <c r="E123" s="293" t="n">
        <v>-173840</v>
      </c>
      <c r="F123" s="293" t="n">
        <v>-200714</v>
      </c>
      <c r="G123" s="293" t="n">
        <v>-214644</v>
      </c>
      <c r="H123" s="296">
        <f>SUM(C123:G123)</f>
        <v/>
      </c>
      <c r="I123" s="363" t="n"/>
    </row>
    <row r="124" ht="12.75" customHeight="1">
      <c r="H124" s="296" t="n"/>
      <c r="I124" s="296" t="n"/>
    </row>
    <row r="125" ht="12.75" customHeight="1">
      <c r="A125" s="112" t="inlineStr">
        <is>
          <t>Resultaat na belasting</t>
        </is>
      </c>
      <c r="D125" s="293">
        <f>SUM(D76:D123)</f>
        <v/>
      </c>
      <c r="E125" s="293">
        <f>SUM(E76:E123)</f>
        <v/>
      </c>
      <c r="F125" s="293">
        <f>SUM(F76:F123)</f>
        <v/>
      </c>
      <c r="G125" s="293">
        <f>SUM(G76:G123)</f>
        <v/>
      </c>
      <c r="H125" s="296">
        <f>SUM(C125:G125)</f>
        <v/>
      </c>
      <c r="I125" s="296" t="n"/>
    </row>
    <row r="126" ht="12.75" customHeight="1"/>
    <row r="127" ht="12.75" customHeight="1">
      <c r="A127" s="112" t="inlineStr">
        <is>
          <t>Verschil balans en winst-en-verlies</t>
        </is>
      </c>
      <c r="C127" s="293">
        <f>SUM(C5:C123)</f>
        <v/>
      </c>
      <c r="D127" s="293">
        <f>SUM(D5:D123)</f>
        <v/>
      </c>
      <c r="E127" s="293">
        <f>SUM(E5:E123)</f>
        <v/>
      </c>
      <c r="F127" s="293">
        <f>SUM(F5:F123)</f>
        <v/>
      </c>
      <c r="G127" s="293">
        <f>SUM(G5:G123)</f>
        <v/>
      </c>
      <c r="H127" s="293">
        <f>SUM(H5:H123)</f>
        <v/>
      </c>
    </row>
    <row r="129">
      <c r="A129" s="130" t="inlineStr">
        <is>
          <t>afschrijving SWAP</t>
        </is>
      </c>
      <c r="B129" s="1" t="n"/>
      <c r="C129" s="341" t="n"/>
      <c r="D129" s="289">
        <f>36883.33*3</f>
        <v/>
      </c>
      <c r="E129" s="289">
        <f>36883.33*3</f>
        <v/>
      </c>
      <c r="F129" s="289">
        <f>36883.33*3</f>
        <v/>
      </c>
      <c r="G129" s="289">
        <f>36883.33*3</f>
        <v/>
      </c>
      <c r="H129" s="290" t="n"/>
    </row>
    <row r="130">
      <c r="A130" s="130" t="inlineStr">
        <is>
          <t>Inkomsten SWAP</t>
        </is>
      </c>
      <c r="B130" s="1" t="n"/>
      <c r="C130" s="341" t="n"/>
      <c r="D130" s="359" t="n">
        <v>-187321.85</v>
      </c>
      <c r="E130" s="359" t="n">
        <v>-28841.62</v>
      </c>
      <c r="F130" s="365" t="n">
        <v>61288.02</v>
      </c>
      <c r="G130" s="365" t="n"/>
      <c r="H130" s="290" t="n"/>
    </row>
    <row r="131">
      <c r="A131" s="130" t="n"/>
      <c r="B131" s="1" t="n"/>
      <c r="C131" s="341" t="n"/>
      <c r="D131" s="341" t="n"/>
      <c r="E131" s="341" t="n"/>
      <c r="F131" s="341" t="n"/>
      <c r="H131" s="290" t="n"/>
    </row>
    <row r="132">
      <c r="A132" s="130" t="inlineStr">
        <is>
          <t>Rente</t>
        </is>
      </c>
      <c r="B132" s="1" t="n"/>
      <c r="C132" s="341" t="n"/>
      <c r="D132" s="341">
        <f>D117</f>
        <v/>
      </c>
      <c r="E132" s="341">
        <f>E117</f>
        <v/>
      </c>
      <c r="F132" s="341">
        <f>F117</f>
        <v/>
      </c>
      <c r="G132" s="341">
        <f>G117</f>
        <v/>
      </c>
      <c r="H132" s="341">
        <f>H117+H114+H116+H115</f>
        <v/>
      </c>
      <c r="I132" s="338" t="n"/>
      <c r="J132" s="338" t="n"/>
    </row>
    <row r="133">
      <c r="A133" s="130" t="inlineStr">
        <is>
          <t>SWAP</t>
        </is>
      </c>
      <c r="B133" s="1" t="n"/>
      <c r="C133" s="341" t="n"/>
      <c r="D133" s="360">
        <f>D130</f>
        <v/>
      </c>
      <c r="E133" s="360">
        <f>E130</f>
        <v/>
      </c>
      <c r="F133" s="360">
        <f>F130</f>
        <v/>
      </c>
      <c r="G133" s="360" t="n">
        <v>156398.53</v>
      </c>
      <c r="H133" s="351">
        <f>SUM(D133:G133)</f>
        <v/>
      </c>
    </row>
    <row r="134">
      <c r="A134" s="130" t="inlineStr">
        <is>
          <t>Afschrijving prepaid derivatives transaction</t>
        </is>
      </c>
      <c r="B134" s="1" t="n"/>
      <c r="C134" s="341" t="n"/>
      <c r="D134" s="360">
        <f>D129</f>
        <v/>
      </c>
      <c r="E134" s="360">
        <f>E129</f>
        <v/>
      </c>
      <c r="F134" s="360">
        <f>F129</f>
        <v/>
      </c>
      <c r="G134" s="360">
        <f>G129</f>
        <v/>
      </c>
      <c r="H134" s="351">
        <f>SUM(D134:G134)</f>
        <v/>
      </c>
    </row>
    <row r="135">
      <c r="A135" s="130" t="inlineStr">
        <is>
          <t>IC interest</t>
        </is>
      </c>
      <c r="B135" s="1" t="n"/>
      <c r="C135" s="341" t="n"/>
      <c r="D135" s="341">
        <f>D115+D120</f>
        <v/>
      </c>
      <c r="E135" s="341">
        <f>E115+E120</f>
        <v/>
      </c>
      <c r="F135" s="341">
        <f>F115+F120</f>
        <v/>
      </c>
      <c r="G135" s="341">
        <f>G115+G120</f>
        <v/>
      </c>
      <c r="H135" s="290">
        <f>SUM(D135:G135)</f>
        <v/>
      </c>
    </row>
    <row r="136">
      <c r="A136" s="1" t="n"/>
      <c r="B136" s="1" t="n"/>
      <c r="C136" s="293" t="n"/>
      <c r="D136" s="341">
        <f>SUM(D132:D135)</f>
        <v/>
      </c>
      <c r="E136" s="341">
        <f>SUM(E132:E135)</f>
        <v/>
      </c>
      <c r="F136" s="341">
        <f>SUM(F132:F135)</f>
        <v/>
      </c>
      <c r="G136" s="341">
        <f>SUM(G132:G135)</f>
        <v/>
      </c>
      <c r="H136" s="290">
        <f>SUM(D136:G136)</f>
        <v/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33"/>
  <sheetViews>
    <sheetView zoomScaleNormal="100" workbookViewId="0">
      <pane ySplit="1" topLeftCell="A80" activePane="bottomLeft" state="frozen"/>
      <selection pane="bottomLeft" activeCell="B117" sqref="B117"/>
    </sheetView>
  </sheetViews>
  <sheetFormatPr baseColWidth="8" defaultRowHeight="12.75" customHeight="1"/>
  <cols>
    <col width="12.88671875" bestFit="1" customWidth="1" style="1" min="1" max="1"/>
    <col width="70" bestFit="1" customWidth="1" style="1" min="2" max="2"/>
    <col width="25.44140625" bestFit="1" customWidth="1" style="267" min="3" max="3"/>
    <col width="17.33203125" bestFit="1" customWidth="1" style="293" min="4" max="7"/>
    <col width="19.88671875" bestFit="1" customWidth="1" style="1" min="8" max="8"/>
    <col width="12.6640625" bestFit="1" customWidth="1" style="1" min="9" max="9"/>
    <col width="9.109375" customWidth="1" style="1" min="10" max="10"/>
    <col width="10.88671875" bestFit="1" customWidth="1" style="1" min="11" max="11"/>
    <col width="9.109375" customWidth="1" style="1" min="12" max="256"/>
    <col width="12.88671875" bestFit="1" customWidth="1" style="1" min="257" max="257"/>
    <col width="70" bestFit="1" customWidth="1" style="1" min="258" max="258"/>
    <col width="26" bestFit="1" customWidth="1" style="1" min="259" max="259"/>
    <col width="17.5546875" customWidth="1" style="1" min="260" max="263"/>
    <col width="20.44140625" bestFit="1" customWidth="1" style="1" min="264" max="264"/>
    <col width="11.33203125" bestFit="1" customWidth="1" style="1" min="265" max="265"/>
    <col width="9.109375" customWidth="1" style="1" min="266" max="266"/>
    <col width="10.88671875" bestFit="1" customWidth="1" style="1" min="267" max="267"/>
    <col width="9.109375" customWidth="1" style="1" min="268" max="512"/>
    <col width="12.88671875" bestFit="1" customWidth="1" style="1" min="513" max="513"/>
    <col width="70" bestFit="1" customWidth="1" style="1" min="514" max="514"/>
    <col width="26" bestFit="1" customWidth="1" style="1" min="515" max="515"/>
    <col width="17.5546875" customWidth="1" style="1" min="516" max="519"/>
    <col width="20.44140625" bestFit="1" customWidth="1" style="1" min="520" max="520"/>
    <col width="11.33203125" bestFit="1" customWidth="1" style="1" min="521" max="521"/>
    <col width="9.109375" customWidth="1" style="1" min="522" max="522"/>
    <col width="10.88671875" bestFit="1" customWidth="1" style="1" min="523" max="523"/>
    <col width="9.109375" customWidth="1" style="1" min="524" max="768"/>
    <col width="12.88671875" bestFit="1" customWidth="1" style="1" min="769" max="769"/>
    <col width="70" bestFit="1" customWidth="1" style="1" min="770" max="770"/>
    <col width="26" bestFit="1" customWidth="1" style="1" min="771" max="771"/>
    <col width="17.5546875" customWidth="1" style="1" min="772" max="775"/>
    <col width="20.44140625" bestFit="1" customWidth="1" style="1" min="776" max="776"/>
    <col width="11.33203125" bestFit="1" customWidth="1" style="1" min="777" max="777"/>
    <col width="9.109375" customWidth="1" style="1" min="778" max="778"/>
    <col width="10.88671875" bestFit="1" customWidth="1" style="1" min="779" max="779"/>
    <col width="9.109375" customWidth="1" style="1" min="780" max="1024"/>
    <col width="12.88671875" bestFit="1" customWidth="1" style="1" min="1025" max="1025"/>
    <col width="70" bestFit="1" customWidth="1" style="1" min="1026" max="1026"/>
    <col width="26" bestFit="1" customWidth="1" style="1" min="1027" max="1027"/>
    <col width="17.5546875" customWidth="1" style="1" min="1028" max="1031"/>
    <col width="20.44140625" bestFit="1" customWidth="1" style="1" min="1032" max="1032"/>
    <col width="11.33203125" bestFit="1" customWidth="1" style="1" min="1033" max="1033"/>
    <col width="9.109375" customWidth="1" style="1" min="1034" max="1034"/>
    <col width="10.88671875" bestFit="1" customWidth="1" style="1" min="1035" max="1035"/>
    <col width="9.109375" customWidth="1" style="1" min="1036" max="1280"/>
    <col width="12.88671875" bestFit="1" customWidth="1" style="1" min="1281" max="1281"/>
    <col width="70" bestFit="1" customWidth="1" style="1" min="1282" max="1282"/>
    <col width="26" bestFit="1" customWidth="1" style="1" min="1283" max="1283"/>
    <col width="17.5546875" customWidth="1" style="1" min="1284" max="1287"/>
    <col width="20.44140625" bestFit="1" customWidth="1" style="1" min="1288" max="1288"/>
    <col width="11.33203125" bestFit="1" customWidth="1" style="1" min="1289" max="1289"/>
    <col width="9.109375" customWidth="1" style="1" min="1290" max="1290"/>
    <col width="10.88671875" bestFit="1" customWidth="1" style="1" min="1291" max="1291"/>
    <col width="9.109375" customWidth="1" style="1" min="1292" max="1536"/>
    <col width="12.88671875" bestFit="1" customWidth="1" style="1" min="1537" max="1537"/>
    <col width="70" bestFit="1" customWidth="1" style="1" min="1538" max="1538"/>
    <col width="26" bestFit="1" customWidth="1" style="1" min="1539" max="1539"/>
    <col width="17.5546875" customWidth="1" style="1" min="1540" max="1543"/>
    <col width="20.44140625" bestFit="1" customWidth="1" style="1" min="1544" max="1544"/>
    <col width="11.33203125" bestFit="1" customWidth="1" style="1" min="1545" max="1545"/>
    <col width="9.109375" customWidth="1" style="1" min="1546" max="1546"/>
    <col width="10.88671875" bestFit="1" customWidth="1" style="1" min="1547" max="1547"/>
    <col width="9.109375" customWidth="1" style="1" min="1548" max="1792"/>
    <col width="12.88671875" bestFit="1" customWidth="1" style="1" min="1793" max="1793"/>
    <col width="70" bestFit="1" customWidth="1" style="1" min="1794" max="1794"/>
    <col width="26" bestFit="1" customWidth="1" style="1" min="1795" max="1795"/>
    <col width="17.5546875" customWidth="1" style="1" min="1796" max="1799"/>
    <col width="20.44140625" bestFit="1" customWidth="1" style="1" min="1800" max="1800"/>
    <col width="11.33203125" bestFit="1" customWidth="1" style="1" min="1801" max="1801"/>
    <col width="9.109375" customWidth="1" style="1" min="1802" max="1802"/>
    <col width="10.88671875" bestFit="1" customWidth="1" style="1" min="1803" max="1803"/>
    <col width="9.109375" customWidth="1" style="1" min="1804" max="2048"/>
    <col width="12.88671875" bestFit="1" customWidth="1" style="1" min="2049" max="2049"/>
    <col width="70" bestFit="1" customWidth="1" style="1" min="2050" max="2050"/>
    <col width="26" bestFit="1" customWidth="1" style="1" min="2051" max="2051"/>
    <col width="17.5546875" customWidth="1" style="1" min="2052" max="2055"/>
    <col width="20.44140625" bestFit="1" customWidth="1" style="1" min="2056" max="2056"/>
    <col width="11.33203125" bestFit="1" customWidth="1" style="1" min="2057" max="2057"/>
    <col width="9.109375" customWidth="1" style="1" min="2058" max="2058"/>
    <col width="10.88671875" bestFit="1" customWidth="1" style="1" min="2059" max="2059"/>
    <col width="9.109375" customWidth="1" style="1" min="2060" max="2304"/>
    <col width="12.88671875" bestFit="1" customWidth="1" style="1" min="2305" max="2305"/>
    <col width="70" bestFit="1" customWidth="1" style="1" min="2306" max="2306"/>
    <col width="26" bestFit="1" customWidth="1" style="1" min="2307" max="2307"/>
    <col width="17.5546875" customWidth="1" style="1" min="2308" max="2311"/>
    <col width="20.44140625" bestFit="1" customWidth="1" style="1" min="2312" max="2312"/>
    <col width="11.33203125" bestFit="1" customWidth="1" style="1" min="2313" max="2313"/>
    <col width="9.109375" customWidth="1" style="1" min="2314" max="2314"/>
    <col width="10.88671875" bestFit="1" customWidth="1" style="1" min="2315" max="2315"/>
    <col width="9.109375" customWidth="1" style="1" min="2316" max="2560"/>
    <col width="12.88671875" bestFit="1" customWidth="1" style="1" min="2561" max="2561"/>
    <col width="70" bestFit="1" customWidth="1" style="1" min="2562" max="2562"/>
    <col width="26" bestFit="1" customWidth="1" style="1" min="2563" max="2563"/>
    <col width="17.5546875" customWidth="1" style="1" min="2564" max="2567"/>
    <col width="20.44140625" bestFit="1" customWidth="1" style="1" min="2568" max="2568"/>
    <col width="11.33203125" bestFit="1" customWidth="1" style="1" min="2569" max="2569"/>
    <col width="9.109375" customWidth="1" style="1" min="2570" max="2570"/>
    <col width="10.88671875" bestFit="1" customWidth="1" style="1" min="2571" max="2571"/>
    <col width="9.109375" customWidth="1" style="1" min="2572" max="2816"/>
    <col width="12.88671875" bestFit="1" customWidth="1" style="1" min="2817" max="2817"/>
    <col width="70" bestFit="1" customWidth="1" style="1" min="2818" max="2818"/>
    <col width="26" bestFit="1" customWidth="1" style="1" min="2819" max="2819"/>
    <col width="17.5546875" customWidth="1" style="1" min="2820" max="2823"/>
    <col width="20.44140625" bestFit="1" customWidth="1" style="1" min="2824" max="2824"/>
    <col width="11.33203125" bestFit="1" customWidth="1" style="1" min="2825" max="2825"/>
    <col width="9.109375" customWidth="1" style="1" min="2826" max="2826"/>
    <col width="10.88671875" bestFit="1" customWidth="1" style="1" min="2827" max="2827"/>
    <col width="9.109375" customWidth="1" style="1" min="2828" max="3072"/>
    <col width="12.88671875" bestFit="1" customWidth="1" style="1" min="3073" max="3073"/>
    <col width="70" bestFit="1" customWidth="1" style="1" min="3074" max="3074"/>
    <col width="26" bestFit="1" customWidth="1" style="1" min="3075" max="3075"/>
    <col width="17.5546875" customWidth="1" style="1" min="3076" max="3079"/>
    <col width="20.44140625" bestFit="1" customWidth="1" style="1" min="3080" max="3080"/>
    <col width="11.33203125" bestFit="1" customWidth="1" style="1" min="3081" max="3081"/>
    <col width="9.109375" customWidth="1" style="1" min="3082" max="3082"/>
    <col width="10.88671875" bestFit="1" customWidth="1" style="1" min="3083" max="3083"/>
    <col width="9.109375" customWidth="1" style="1" min="3084" max="3328"/>
    <col width="12.88671875" bestFit="1" customWidth="1" style="1" min="3329" max="3329"/>
    <col width="70" bestFit="1" customWidth="1" style="1" min="3330" max="3330"/>
    <col width="26" bestFit="1" customWidth="1" style="1" min="3331" max="3331"/>
    <col width="17.5546875" customWidth="1" style="1" min="3332" max="3335"/>
    <col width="20.44140625" bestFit="1" customWidth="1" style="1" min="3336" max="3336"/>
    <col width="11.33203125" bestFit="1" customWidth="1" style="1" min="3337" max="3337"/>
    <col width="9.109375" customWidth="1" style="1" min="3338" max="3338"/>
    <col width="10.88671875" bestFit="1" customWidth="1" style="1" min="3339" max="3339"/>
    <col width="9.109375" customWidth="1" style="1" min="3340" max="3584"/>
    <col width="12.88671875" bestFit="1" customWidth="1" style="1" min="3585" max="3585"/>
    <col width="70" bestFit="1" customWidth="1" style="1" min="3586" max="3586"/>
    <col width="26" bestFit="1" customWidth="1" style="1" min="3587" max="3587"/>
    <col width="17.5546875" customWidth="1" style="1" min="3588" max="3591"/>
    <col width="20.44140625" bestFit="1" customWidth="1" style="1" min="3592" max="3592"/>
    <col width="11.33203125" bestFit="1" customWidth="1" style="1" min="3593" max="3593"/>
    <col width="9.109375" customWidth="1" style="1" min="3594" max="3594"/>
    <col width="10.88671875" bestFit="1" customWidth="1" style="1" min="3595" max="3595"/>
    <col width="9.109375" customWidth="1" style="1" min="3596" max="3840"/>
    <col width="12.88671875" bestFit="1" customWidth="1" style="1" min="3841" max="3841"/>
    <col width="70" bestFit="1" customWidth="1" style="1" min="3842" max="3842"/>
    <col width="26" bestFit="1" customWidth="1" style="1" min="3843" max="3843"/>
    <col width="17.5546875" customWidth="1" style="1" min="3844" max="3847"/>
    <col width="20.44140625" bestFit="1" customWidth="1" style="1" min="3848" max="3848"/>
    <col width="11.33203125" bestFit="1" customWidth="1" style="1" min="3849" max="3849"/>
    <col width="9.109375" customWidth="1" style="1" min="3850" max="3850"/>
    <col width="10.88671875" bestFit="1" customWidth="1" style="1" min="3851" max="3851"/>
    <col width="9.109375" customWidth="1" style="1" min="3852" max="4096"/>
    <col width="12.88671875" bestFit="1" customWidth="1" style="1" min="4097" max="4097"/>
    <col width="70" bestFit="1" customWidth="1" style="1" min="4098" max="4098"/>
    <col width="26" bestFit="1" customWidth="1" style="1" min="4099" max="4099"/>
    <col width="17.5546875" customWidth="1" style="1" min="4100" max="4103"/>
    <col width="20.44140625" bestFit="1" customWidth="1" style="1" min="4104" max="4104"/>
    <col width="11.33203125" bestFit="1" customWidth="1" style="1" min="4105" max="4105"/>
    <col width="9.109375" customWidth="1" style="1" min="4106" max="4106"/>
    <col width="10.88671875" bestFit="1" customWidth="1" style="1" min="4107" max="4107"/>
    <col width="9.109375" customWidth="1" style="1" min="4108" max="4352"/>
    <col width="12.88671875" bestFit="1" customWidth="1" style="1" min="4353" max="4353"/>
    <col width="70" bestFit="1" customWidth="1" style="1" min="4354" max="4354"/>
    <col width="26" bestFit="1" customWidth="1" style="1" min="4355" max="4355"/>
    <col width="17.5546875" customWidth="1" style="1" min="4356" max="4359"/>
    <col width="20.44140625" bestFit="1" customWidth="1" style="1" min="4360" max="4360"/>
    <col width="11.33203125" bestFit="1" customWidth="1" style="1" min="4361" max="4361"/>
    <col width="9.109375" customWidth="1" style="1" min="4362" max="4362"/>
    <col width="10.88671875" bestFit="1" customWidth="1" style="1" min="4363" max="4363"/>
    <col width="9.109375" customWidth="1" style="1" min="4364" max="4608"/>
    <col width="12.88671875" bestFit="1" customWidth="1" style="1" min="4609" max="4609"/>
    <col width="70" bestFit="1" customWidth="1" style="1" min="4610" max="4610"/>
    <col width="26" bestFit="1" customWidth="1" style="1" min="4611" max="4611"/>
    <col width="17.5546875" customWidth="1" style="1" min="4612" max="4615"/>
    <col width="20.44140625" bestFit="1" customWidth="1" style="1" min="4616" max="4616"/>
    <col width="11.33203125" bestFit="1" customWidth="1" style="1" min="4617" max="4617"/>
    <col width="9.109375" customWidth="1" style="1" min="4618" max="4618"/>
    <col width="10.88671875" bestFit="1" customWidth="1" style="1" min="4619" max="4619"/>
    <col width="9.109375" customWidth="1" style="1" min="4620" max="4864"/>
    <col width="12.88671875" bestFit="1" customWidth="1" style="1" min="4865" max="4865"/>
    <col width="70" bestFit="1" customWidth="1" style="1" min="4866" max="4866"/>
    <col width="26" bestFit="1" customWidth="1" style="1" min="4867" max="4867"/>
    <col width="17.5546875" customWidth="1" style="1" min="4868" max="4871"/>
    <col width="20.44140625" bestFit="1" customWidth="1" style="1" min="4872" max="4872"/>
    <col width="11.33203125" bestFit="1" customWidth="1" style="1" min="4873" max="4873"/>
    <col width="9.109375" customWidth="1" style="1" min="4874" max="4874"/>
    <col width="10.88671875" bestFit="1" customWidth="1" style="1" min="4875" max="4875"/>
    <col width="9.109375" customWidth="1" style="1" min="4876" max="5120"/>
    <col width="12.88671875" bestFit="1" customWidth="1" style="1" min="5121" max="5121"/>
    <col width="70" bestFit="1" customWidth="1" style="1" min="5122" max="5122"/>
    <col width="26" bestFit="1" customWidth="1" style="1" min="5123" max="5123"/>
    <col width="17.5546875" customWidth="1" style="1" min="5124" max="5127"/>
    <col width="20.44140625" bestFit="1" customWidth="1" style="1" min="5128" max="5128"/>
    <col width="11.33203125" bestFit="1" customWidth="1" style="1" min="5129" max="5129"/>
    <col width="9.109375" customWidth="1" style="1" min="5130" max="5130"/>
    <col width="10.88671875" bestFit="1" customWidth="1" style="1" min="5131" max="5131"/>
    <col width="9.109375" customWidth="1" style="1" min="5132" max="5376"/>
    <col width="12.88671875" bestFit="1" customWidth="1" style="1" min="5377" max="5377"/>
    <col width="70" bestFit="1" customWidth="1" style="1" min="5378" max="5378"/>
    <col width="26" bestFit="1" customWidth="1" style="1" min="5379" max="5379"/>
    <col width="17.5546875" customWidth="1" style="1" min="5380" max="5383"/>
    <col width="20.44140625" bestFit="1" customWidth="1" style="1" min="5384" max="5384"/>
    <col width="11.33203125" bestFit="1" customWidth="1" style="1" min="5385" max="5385"/>
    <col width="9.109375" customWidth="1" style="1" min="5386" max="5386"/>
    <col width="10.88671875" bestFit="1" customWidth="1" style="1" min="5387" max="5387"/>
    <col width="9.109375" customWidth="1" style="1" min="5388" max="5632"/>
    <col width="12.88671875" bestFit="1" customWidth="1" style="1" min="5633" max="5633"/>
    <col width="70" bestFit="1" customWidth="1" style="1" min="5634" max="5634"/>
    <col width="26" bestFit="1" customWidth="1" style="1" min="5635" max="5635"/>
    <col width="17.5546875" customWidth="1" style="1" min="5636" max="5639"/>
    <col width="20.44140625" bestFit="1" customWidth="1" style="1" min="5640" max="5640"/>
    <col width="11.33203125" bestFit="1" customWidth="1" style="1" min="5641" max="5641"/>
    <col width="9.109375" customWidth="1" style="1" min="5642" max="5642"/>
    <col width="10.88671875" bestFit="1" customWidth="1" style="1" min="5643" max="5643"/>
    <col width="9.109375" customWidth="1" style="1" min="5644" max="5888"/>
    <col width="12.88671875" bestFit="1" customWidth="1" style="1" min="5889" max="5889"/>
    <col width="70" bestFit="1" customWidth="1" style="1" min="5890" max="5890"/>
    <col width="26" bestFit="1" customWidth="1" style="1" min="5891" max="5891"/>
    <col width="17.5546875" customWidth="1" style="1" min="5892" max="5895"/>
    <col width="20.44140625" bestFit="1" customWidth="1" style="1" min="5896" max="5896"/>
    <col width="11.33203125" bestFit="1" customWidth="1" style="1" min="5897" max="5897"/>
    <col width="9.109375" customWidth="1" style="1" min="5898" max="5898"/>
    <col width="10.88671875" bestFit="1" customWidth="1" style="1" min="5899" max="5899"/>
    <col width="9.109375" customWidth="1" style="1" min="5900" max="6144"/>
    <col width="12.88671875" bestFit="1" customWidth="1" style="1" min="6145" max="6145"/>
    <col width="70" bestFit="1" customWidth="1" style="1" min="6146" max="6146"/>
    <col width="26" bestFit="1" customWidth="1" style="1" min="6147" max="6147"/>
    <col width="17.5546875" customWidth="1" style="1" min="6148" max="6151"/>
    <col width="20.44140625" bestFit="1" customWidth="1" style="1" min="6152" max="6152"/>
    <col width="11.33203125" bestFit="1" customWidth="1" style="1" min="6153" max="6153"/>
    <col width="9.109375" customWidth="1" style="1" min="6154" max="6154"/>
    <col width="10.88671875" bestFit="1" customWidth="1" style="1" min="6155" max="6155"/>
    <col width="9.109375" customWidth="1" style="1" min="6156" max="6400"/>
    <col width="12.88671875" bestFit="1" customWidth="1" style="1" min="6401" max="6401"/>
    <col width="70" bestFit="1" customWidth="1" style="1" min="6402" max="6402"/>
    <col width="26" bestFit="1" customWidth="1" style="1" min="6403" max="6403"/>
    <col width="17.5546875" customWidth="1" style="1" min="6404" max="6407"/>
    <col width="20.44140625" bestFit="1" customWidth="1" style="1" min="6408" max="6408"/>
    <col width="11.33203125" bestFit="1" customWidth="1" style="1" min="6409" max="6409"/>
    <col width="9.109375" customWidth="1" style="1" min="6410" max="6410"/>
    <col width="10.88671875" bestFit="1" customWidth="1" style="1" min="6411" max="6411"/>
    <col width="9.109375" customWidth="1" style="1" min="6412" max="6656"/>
    <col width="12.88671875" bestFit="1" customWidth="1" style="1" min="6657" max="6657"/>
    <col width="70" bestFit="1" customWidth="1" style="1" min="6658" max="6658"/>
    <col width="26" bestFit="1" customWidth="1" style="1" min="6659" max="6659"/>
    <col width="17.5546875" customWidth="1" style="1" min="6660" max="6663"/>
    <col width="20.44140625" bestFit="1" customWidth="1" style="1" min="6664" max="6664"/>
    <col width="11.33203125" bestFit="1" customWidth="1" style="1" min="6665" max="6665"/>
    <col width="9.109375" customWidth="1" style="1" min="6666" max="6666"/>
    <col width="10.88671875" bestFit="1" customWidth="1" style="1" min="6667" max="6667"/>
    <col width="9.109375" customWidth="1" style="1" min="6668" max="6912"/>
    <col width="12.88671875" bestFit="1" customWidth="1" style="1" min="6913" max="6913"/>
    <col width="70" bestFit="1" customWidth="1" style="1" min="6914" max="6914"/>
    <col width="26" bestFit="1" customWidth="1" style="1" min="6915" max="6915"/>
    <col width="17.5546875" customWidth="1" style="1" min="6916" max="6919"/>
    <col width="20.44140625" bestFit="1" customWidth="1" style="1" min="6920" max="6920"/>
    <col width="11.33203125" bestFit="1" customWidth="1" style="1" min="6921" max="6921"/>
    <col width="9.109375" customWidth="1" style="1" min="6922" max="6922"/>
    <col width="10.88671875" bestFit="1" customWidth="1" style="1" min="6923" max="6923"/>
    <col width="9.109375" customWidth="1" style="1" min="6924" max="7168"/>
    <col width="12.88671875" bestFit="1" customWidth="1" style="1" min="7169" max="7169"/>
    <col width="70" bestFit="1" customWidth="1" style="1" min="7170" max="7170"/>
    <col width="26" bestFit="1" customWidth="1" style="1" min="7171" max="7171"/>
    <col width="17.5546875" customWidth="1" style="1" min="7172" max="7175"/>
    <col width="20.44140625" bestFit="1" customWidth="1" style="1" min="7176" max="7176"/>
    <col width="11.33203125" bestFit="1" customWidth="1" style="1" min="7177" max="7177"/>
    <col width="9.109375" customWidth="1" style="1" min="7178" max="7178"/>
    <col width="10.88671875" bestFit="1" customWidth="1" style="1" min="7179" max="7179"/>
    <col width="9.109375" customWidth="1" style="1" min="7180" max="7424"/>
    <col width="12.88671875" bestFit="1" customWidth="1" style="1" min="7425" max="7425"/>
    <col width="70" bestFit="1" customWidth="1" style="1" min="7426" max="7426"/>
    <col width="26" bestFit="1" customWidth="1" style="1" min="7427" max="7427"/>
    <col width="17.5546875" customWidth="1" style="1" min="7428" max="7431"/>
    <col width="20.44140625" bestFit="1" customWidth="1" style="1" min="7432" max="7432"/>
    <col width="11.33203125" bestFit="1" customWidth="1" style="1" min="7433" max="7433"/>
    <col width="9.109375" customWidth="1" style="1" min="7434" max="7434"/>
    <col width="10.88671875" bestFit="1" customWidth="1" style="1" min="7435" max="7435"/>
    <col width="9.109375" customWidth="1" style="1" min="7436" max="7680"/>
    <col width="12.88671875" bestFit="1" customWidth="1" style="1" min="7681" max="7681"/>
    <col width="70" bestFit="1" customWidth="1" style="1" min="7682" max="7682"/>
    <col width="26" bestFit="1" customWidth="1" style="1" min="7683" max="7683"/>
    <col width="17.5546875" customWidth="1" style="1" min="7684" max="7687"/>
    <col width="20.44140625" bestFit="1" customWidth="1" style="1" min="7688" max="7688"/>
    <col width="11.33203125" bestFit="1" customWidth="1" style="1" min="7689" max="7689"/>
    <col width="9.109375" customWidth="1" style="1" min="7690" max="7690"/>
    <col width="10.88671875" bestFit="1" customWidth="1" style="1" min="7691" max="7691"/>
    <col width="9.109375" customWidth="1" style="1" min="7692" max="7936"/>
    <col width="12.88671875" bestFit="1" customWidth="1" style="1" min="7937" max="7937"/>
    <col width="70" bestFit="1" customWidth="1" style="1" min="7938" max="7938"/>
    <col width="26" bestFit="1" customWidth="1" style="1" min="7939" max="7939"/>
    <col width="17.5546875" customWidth="1" style="1" min="7940" max="7943"/>
    <col width="20.44140625" bestFit="1" customWidth="1" style="1" min="7944" max="7944"/>
    <col width="11.33203125" bestFit="1" customWidth="1" style="1" min="7945" max="7945"/>
    <col width="9.109375" customWidth="1" style="1" min="7946" max="7946"/>
    <col width="10.88671875" bestFit="1" customWidth="1" style="1" min="7947" max="7947"/>
    <col width="9.109375" customWidth="1" style="1" min="7948" max="8192"/>
    <col width="12.88671875" bestFit="1" customWidth="1" style="1" min="8193" max="8193"/>
    <col width="70" bestFit="1" customWidth="1" style="1" min="8194" max="8194"/>
    <col width="26" bestFit="1" customWidth="1" style="1" min="8195" max="8195"/>
    <col width="17.5546875" customWidth="1" style="1" min="8196" max="8199"/>
    <col width="20.44140625" bestFit="1" customWidth="1" style="1" min="8200" max="8200"/>
    <col width="11.33203125" bestFit="1" customWidth="1" style="1" min="8201" max="8201"/>
    <col width="9.109375" customWidth="1" style="1" min="8202" max="8202"/>
    <col width="10.88671875" bestFit="1" customWidth="1" style="1" min="8203" max="8203"/>
    <col width="9.109375" customWidth="1" style="1" min="8204" max="8448"/>
    <col width="12.88671875" bestFit="1" customWidth="1" style="1" min="8449" max="8449"/>
    <col width="70" bestFit="1" customWidth="1" style="1" min="8450" max="8450"/>
    <col width="26" bestFit="1" customWidth="1" style="1" min="8451" max="8451"/>
    <col width="17.5546875" customWidth="1" style="1" min="8452" max="8455"/>
    <col width="20.44140625" bestFit="1" customWidth="1" style="1" min="8456" max="8456"/>
    <col width="11.33203125" bestFit="1" customWidth="1" style="1" min="8457" max="8457"/>
    <col width="9.109375" customWidth="1" style="1" min="8458" max="8458"/>
    <col width="10.88671875" bestFit="1" customWidth="1" style="1" min="8459" max="8459"/>
    <col width="9.109375" customWidth="1" style="1" min="8460" max="8704"/>
    <col width="12.88671875" bestFit="1" customWidth="1" style="1" min="8705" max="8705"/>
    <col width="70" bestFit="1" customWidth="1" style="1" min="8706" max="8706"/>
    <col width="26" bestFit="1" customWidth="1" style="1" min="8707" max="8707"/>
    <col width="17.5546875" customWidth="1" style="1" min="8708" max="8711"/>
    <col width="20.44140625" bestFit="1" customWidth="1" style="1" min="8712" max="8712"/>
    <col width="11.33203125" bestFit="1" customWidth="1" style="1" min="8713" max="8713"/>
    <col width="9.109375" customWidth="1" style="1" min="8714" max="8714"/>
    <col width="10.88671875" bestFit="1" customWidth="1" style="1" min="8715" max="8715"/>
    <col width="9.109375" customWidth="1" style="1" min="8716" max="8960"/>
    <col width="12.88671875" bestFit="1" customWidth="1" style="1" min="8961" max="8961"/>
    <col width="70" bestFit="1" customWidth="1" style="1" min="8962" max="8962"/>
    <col width="26" bestFit="1" customWidth="1" style="1" min="8963" max="8963"/>
    <col width="17.5546875" customWidth="1" style="1" min="8964" max="8967"/>
    <col width="20.44140625" bestFit="1" customWidth="1" style="1" min="8968" max="8968"/>
    <col width="11.33203125" bestFit="1" customWidth="1" style="1" min="8969" max="8969"/>
    <col width="9.109375" customWidth="1" style="1" min="8970" max="8970"/>
    <col width="10.88671875" bestFit="1" customWidth="1" style="1" min="8971" max="8971"/>
    <col width="9.109375" customWidth="1" style="1" min="8972" max="9216"/>
    <col width="12.88671875" bestFit="1" customWidth="1" style="1" min="9217" max="9217"/>
    <col width="70" bestFit="1" customWidth="1" style="1" min="9218" max="9218"/>
    <col width="26" bestFit="1" customWidth="1" style="1" min="9219" max="9219"/>
    <col width="17.5546875" customWidth="1" style="1" min="9220" max="9223"/>
    <col width="20.44140625" bestFit="1" customWidth="1" style="1" min="9224" max="9224"/>
    <col width="11.33203125" bestFit="1" customWidth="1" style="1" min="9225" max="9225"/>
    <col width="9.109375" customWidth="1" style="1" min="9226" max="9226"/>
    <col width="10.88671875" bestFit="1" customWidth="1" style="1" min="9227" max="9227"/>
    <col width="9.109375" customWidth="1" style="1" min="9228" max="9472"/>
    <col width="12.88671875" bestFit="1" customWidth="1" style="1" min="9473" max="9473"/>
    <col width="70" bestFit="1" customWidth="1" style="1" min="9474" max="9474"/>
    <col width="26" bestFit="1" customWidth="1" style="1" min="9475" max="9475"/>
    <col width="17.5546875" customWidth="1" style="1" min="9476" max="9479"/>
    <col width="20.44140625" bestFit="1" customWidth="1" style="1" min="9480" max="9480"/>
    <col width="11.33203125" bestFit="1" customWidth="1" style="1" min="9481" max="9481"/>
    <col width="9.109375" customWidth="1" style="1" min="9482" max="9482"/>
    <col width="10.88671875" bestFit="1" customWidth="1" style="1" min="9483" max="9483"/>
    <col width="9.109375" customWidth="1" style="1" min="9484" max="9728"/>
    <col width="12.88671875" bestFit="1" customWidth="1" style="1" min="9729" max="9729"/>
    <col width="70" bestFit="1" customWidth="1" style="1" min="9730" max="9730"/>
    <col width="26" bestFit="1" customWidth="1" style="1" min="9731" max="9731"/>
    <col width="17.5546875" customWidth="1" style="1" min="9732" max="9735"/>
    <col width="20.44140625" bestFit="1" customWidth="1" style="1" min="9736" max="9736"/>
    <col width="11.33203125" bestFit="1" customWidth="1" style="1" min="9737" max="9737"/>
    <col width="9.109375" customWidth="1" style="1" min="9738" max="9738"/>
    <col width="10.88671875" bestFit="1" customWidth="1" style="1" min="9739" max="9739"/>
    <col width="9.109375" customWidth="1" style="1" min="9740" max="9984"/>
    <col width="12.88671875" bestFit="1" customWidth="1" style="1" min="9985" max="9985"/>
    <col width="70" bestFit="1" customWidth="1" style="1" min="9986" max="9986"/>
    <col width="26" bestFit="1" customWidth="1" style="1" min="9987" max="9987"/>
    <col width="17.5546875" customWidth="1" style="1" min="9988" max="9991"/>
    <col width="20.44140625" bestFit="1" customWidth="1" style="1" min="9992" max="9992"/>
    <col width="11.33203125" bestFit="1" customWidth="1" style="1" min="9993" max="9993"/>
    <col width="9.109375" customWidth="1" style="1" min="9994" max="9994"/>
    <col width="10.88671875" bestFit="1" customWidth="1" style="1" min="9995" max="9995"/>
    <col width="9.109375" customWidth="1" style="1" min="9996" max="10240"/>
    <col width="12.88671875" bestFit="1" customWidth="1" style="1" min="10241" max="10241"/>
    <col width="70" bestFit="1" customWidth="1" style="1" min="10242" max="10242"/>
    <col width="26" bestFit="1" customWidth="1" style="1" min="10243" max="10243"/>
    <col width="17.5546875" customWidth="1" style="1" min="10244" max="10247"/>
    <col width="20.44140625" bestFit="1" customWidth="1" style="1" min="10248" max="10248"/>
    <col width="11.33203125" bestFit="1" customWidth="1" style="1" min="10249" max="10249"/>
    <col width="9.109375" customWidth="1" style="1" min="10250" max="10250"/>
    <col width="10.88671875" bestFit="1" customWidth="1" style="1" min="10251" max="10251"/>
    <col width="9.109375" customWidth="1" style="1" min="10252" max="10496"/>
    <col width="12.88671875" bestFit="1" customWidth="1" style="1" min="10497" max="10497"/>
    <col width="70" bestFit="1" customWidth="1" style="1" min="10498" max="10498"/>
    <col width="26" bestFit="1" customWidth="1" style="1" min="10499" max="10499"/>
    <col width="17.5546875" customWidth="1" style="1" min="10500" max="10503"/>
    <col width="20.44140625" bestFit="1" customWidth="1" style="1" min="10504" max="10504"/>
    <col width="11.33203125" bestFit="1" customWidth="1" style="1" min="10505" max="10505"/>
    <col width="9.109375" customWidth="1" style="1" min="10506" max="10506"/>
    <col width="10.88671875" bestFit="1" customWidth="1" style="1" min="10507" max="10507"/>
    <col width="9.109375" customWidth="1" style="1" min="10508" max="10752"/>
    <col width="12.88671875" bestFit="1" customWidth="1" style="1" min="10753" max="10753"/>
    <col width="70" bestFit="1" customWidth="1" style="1" min="10754" max="10754"/>
    <col width="26" bestFit="1" customWidth="1" style="1" min="10755" max="10755"/>
    <col width="17.5546875" customWidth="1" style="1" min="10756" max="10759"/>
    <col width="20.44140625" bestFit="1" customWidth="1" style="1" min="10760" max="10760"/>
    <col width="11.33203125" bestFit="1" customWidth="1" style="1" min="10761" max="10761"/>
    <col width="9.109375" customWidth="1" style="1" min="10762" max="10762"/>
    <col width="10.88671875" bestFit="1" customWidth="1" style="1" min="10763" max="10763"/>
    <col width="9.109375" customWidth="1" style="1" min="10764" max="11008"/>
    <col width="12.88671875" bestFit="1" customWidth="1" style="1" min="11009" max="11009"/>
    <col width="70" bestFit="1" customWidth="1" style="1" min="11010" max="11010"/>
    <col width="26" bestFit="1" customWidth="1" style="1" min="11011" max="11011"/>
    <col width="17.5546875" customWidth="1" style="1" min="11012" max="11015"/>
    <col width="20.44140625" bestFit="1" customWidth="1" style="1" min="11016" max="11016"/>
    <col width="11.33203125" bestFit="1" customWidth="1" style="1" min="11017" max="11017"/>
    <col width="9.109375" customWidth="1" style="1" min="11018" max="11018"/>
    <col width="10.88671875" bestFit="1" customWidth="1" style="1" min="11019" max="11019"/>
    <col width="9.109375" customWidth="1" style="1" min="11020" max="11264"/>
    <col width="12.88671875" bestFit="1" customWidth="1" style="1" min="11265" max="11265"/>
    <col width="70" bestFit="1" customWidth="1" style="1" min="11266" max="11266"/>
    <col width="26" bestFit="1" customWidth="1" style="1" min="11267" max="11267"/>
    <col width="17.5546875" customWidth="1" style="1" min="11268" max="11271"/>
    <col width="20.44140625" bestFit="1" customWidth="1" style="1" min="11272" max="11272"/>
    <col width="11.33203125" bestFit="1" customWidth="1" style="1" min="11273" max="11273"/>
    <col width="9.109375" customWidth="1" style="1" min="11274" max="11274"/>
    <col width="10.88671875" bestFit="1" customWidth="1" style="1" min="11275" max="11275"/>
    <col width="9.109375" customWidth="1" style="1" min="11276" max="11520"/>
    <col width="12.88671875" bestFit="1" customWidth="1" style="1" min="11521" max="11521"/>
    <col width="70" bestFit="1" customWidth="1" style="1" min="11522" max="11522"/>
    <col width="26" bestFit="1" customWidth="1" style="1" min="11523" max="11523"/>
    <col width="17.5546875" customWidth="1" style="1" min="11524" max="11527"/>
    <col width="20.44140625" bestFit="1" customWidth="1" style="1" min="11528" max="11528"/>
    <col width="11.33203125" bestFit="1" customWidth="1" style="1" min="11529" max="11529"/>
    <col width="9.109375" customWidth="1" style="1" min="11530" max="11530"/>
    <col width="10.88671875" bestFit="1" customWidth="1" style="1" min="11531" max="11531"/>
    <col width="9.109375" customWidth="1" style="1" min="11532" max="11776"/>
    <col width="12.88671875" bestFit="1" customWidth="1" style="1" min="11777" max="11777"/>
    <col width="70" bestFit="1" customWidth="1" style="1" min="11778" max="11778"/>
    <col width="26" bestFit="1" customWidth="1" style="1" min="11779" max="11779"/>
    <col width="17.5546875" customWidth="1" style="1" min="11780" max="11783"/>
    <col width="20.44140625" bestFit="1" customWidth="1" style="1" min="11784" max="11784"/>
    <col width="11.33203125" bestFit="1" customWidth="1" style="1" min="11785" max="11785"/>
    <col width="9.109375" customWidth="1" style="1" min="11786" max="11786"/>
    <col width="10.88671875" bestFit="1" customWidth="1" style="1" min="11787" max="11787"/>
    <col width="9.109375" customWidth="1" style="1" min="11788" max="12032"/>
    <col width="12.88671875" bestFit="1" customWidth="1" style="1" min="12033" max="12033"/>
    <col width="70" bestFit="1" customWidth="1" style="1" min="12034" max="12034"/>
    <col width="26" bestFit="1" customWidth="1" style="1" min="12035" max="12035"/>
    <col width="17.5546875" customWidth="1" style="1" min="12036" max="12039"/>
    <col width="20.44140625" bestFit="1" customWidth="1" style="1" min="12040" max="12040"/>
    <col width="11.33203125" bestFit="1" customWidth="1" style="1" min="12041" max="12041"/>
    <col width="9.109375" customWidth="1" style="1" min="12042" max="12042"/>
    <col width="10.88671875" bestFit="1" customWidth="1" style="1" min="12043" max="12043"/>
    <col width="9.109375" customWidth="1" style="1" min="12044" max="12288"/>
    <col width="12.88671875" bestFit="1" customWidth="1" style="1" min="12289" max="12289"/>
    <col width="70" bestFit="1" customWidth="1" style="1" min="12290" max="12290"/>
    <col width="26" bestFit="1" customWidth="1" style="1" min="12291" max="12291"/>
    <col width="17.5546875" customWidth="1" style="1" min="12292" max="12295"/>
    <col width="20.44140625" bestFit="1" customWidth="1" style="1" min="12296" max="12296"/>
    <col width="11.33203125" bestFit="1" customWidth="1" style="1" min="12297" max="12297"/>
    <col width="9.109375" customWidth="1" style="1" min="12298" max="12298"/>
    <col width="10.88671875" bestFit="1" customWidth="1" style="1" min="12299" max="12299"/>
    <col width="9.109375" customWidth="1" style="1" min="12300" max="12544"/>
    <col width="12.88671875" bestFit="1" customWidth="1" style="1" min="12545" max="12545"/>
    <col width="70" bestFit="1" customWidth="1" style="1" min="12546" max="12546"/>
    <col width="26" bestFit="1" customWidth="1" style="1" min="12547" max="12547"/>
    <col width="17.5546875" customWidth="1" style="1" min="12548" max="12551"/>
    <col width="20.44140625" bestFit="1" customWidth="1" style="1" min="12552" max="12552"/>
    <col width="11.33203125" bestFit="1" customWidth="1" style="1" min="12553" max="12553"/>
    <col width="9.109375" customWidth="1" style="1" min="12554" max="12554"/>
    <col width="10.88671875" bestFit="1" customWidth="1" style="1" min="12555" max="12555"/>
    <col width="9.109375" customWidth="1" style="1" min="12556" max="12800"/>
    <col width="12.88671875" bestFit="1" customWidth="1" style="1" min="12801" max="12801"/>
    <col width="70" bestFit="1" customWidth="1" style="1" min="12802" max="12802"/>
    <col width="26" bestFit="1" customWidth="1" style="1" min="12803" max="12803"/>
    <col width="17.5546875" customWidth="1" style="1" min="12804" max="12807"/>
    <col width="20.44140625" bestFit="1" customWidth="1" style="1" min="12808" max="12808"/>
    <col width="11.33203125" bestFit="1" customWidth="1" style="1" min="12809" max="12809"/>
    <col width="9.109375" customWidth="1" style="1" min="12810" max="12810"/>
    <col width="10.88671875" bestFit="1" customWidth="1" style="1" min="12811" max="12811"/>
    <col width="9.109375" customWidth="1" style="1" min="12812" max="13056"/>
    <col width="12.88671875" bestFit="1" customWidth="1" style="1" min="13057" max="13057"/>
    <col width="70" bestFit="1" customWidth="1" style="1" min="13058" max="13058"/>
    <col width="26" bestFit="1" customWidth="1" style="1" min="13059" max="13059"/>
    <col width="17.5546875" customWidth="1" style="1" min="13060" max="13063"/>
    <col width="20.44140625" bestFit="1" customWidth="1" style="1" min="13064" max="13064"/>
    <col width="11.33203125" bestFit="1" customWidth="1" style="1" min="13065" max="13065"/>
    <col width="9.109375" customWidth="1" style="1" min="13066" max="13066"/>
    <col width="10.88671875" bestFit="1" customWidth="1" style="1" min="13067" max="13067"/>
    <col width="9.109375" customWidth="1" style="1" min="13068" max="13312"/>
    <col width="12.88671875" bestFit="1" customWidth="1" style="1" min="13313" max="13313"/>
    <col width="70" bestFit="1" customWidth="1" style="1" min="13314" max="13314"/>
    <col width="26" bestFit="1" customWidth="1" style="1" min="13315" max="13315"/>
    <col width="17.5546875" customWidth="1" style="1" min="13316" max="13319"/>
    <col width="20.44140625" bestFit="1" customWidth="1" style="1" min="13320" max="13320"/>
    <col width="11.33203125" bestFit="1" customWidth="1" style="1" min="13321" max="13321"/>
    <col width="9.109375" customWidth="1" style="1" min="13322" max="13322"/>
    <col width="10.88671875" bestFit="1" customWidth="1" style="1" min="13323" max="13323"/>
    <col width="9.109375" customWidth="1" style="1" min="13324" max="13568"/>
    <col width="12.88671875" bestFit="1" customWidth="1" style="1" min="13569" max="13569"/>
    <col width="70" bestFit="1" customWidth="1" style="1" min="13570" max="13570"/>
    <col width="26" bestFit="1" customWidth="1" style="1" min="13571" max="13571"/>
    <col width="17.5546875" customWidth="1" style="1" min="13572" max="13575"/>
    <col width="20.44140625" bestFit="1" customWidth="1" style="1" min="13576" max="13576"/>
    <col width="11.33203125" bestFit="1" customWidth="1" style="1" min="13577" max="13577"/>
    <col width="9.109375" customWidth="1" style="1" min="13578" max="13578"/>
    <col width="10.88671875" bestFit="1" customWidth="1" style="1" min="13579" max="13579"/>
    <col width="9.109375" customWidth="1" style="1" min="13580" max="13824"/>
    <col width="12.88671875" bestFit="1" customWidth="1" style="1" min="13825" max="13825"/>
    <col width="70" bestFit="1" customWidth="1" style="1" min="13826" max="13826"/>
    <col width="26" bestFit="1" customWidth="1" style="1" min="13827" max="13827"/>
    <col width="17.5546875" customWidth="1" style="1" min="13828" max="13831"/>
    <col width="20.44140625" bestFit="1" customWidth="1" style="1" min="13832" max="13832"/>
    <col width="11.33203125" bestFit="1" customWidth="1" style="1" min="13833" max="13833"/>
    <col width="9.109375" customWidth="1" style="1" min="13834" max="13834"/>
    <col width="10.88671875" bestFit="1" customWidth="1" style="1" min="13835" max="13835"/>
    <col width="9.109375" customWidth="1" style="1" min="13836" max="14080"/>
    <col width="12.88671875" bestFit="1" customWidth="1" style="1" min="14081" max="14081"/>
    <col width="70" bestFit="1" customWidth="1" style="1" min="14082" max="14082"/>
    <col width="26" bestFit="1" customWidth="1" style="1" min="14083" max="14083"/>
    <col width="17.5546875" customWidth="1" style="1" min="14084" max="14087"/>
    <col width="20.44140625" bestFit="1" customWidth="1" style="1" min="14088" max="14088"/>
    <col width="11.33203125" bestFit="1" customWidth="1" style="1" min="14089" max="14089"/>
    <col width="9.109375" customWidth="1" style="1" min="14090" max="14090"/>
    <col width="10.88671875" bestFit="1" customWidth="1" style="1" min="14091" max="14091"/>
    <col width="9.109375" customWidth="1" style="1" min="14092" max="14336"/>
    <col width="12.88671875" bestFit="1" customWidth="1" style="1" min="14337" max="14337"/>
    <col width="70" bestFit="1" customWidth="1" style="1" min="14338" max="14338"/>
    <col width="26" bestFit="1" customWidth="1" style="1" min="14339" max="14339"/>
    <col width="17.5546875" customWidth="1" style="1" min="14340" max="14343"/>
    <col width="20.44140625" bestFit="1" customWidth="1" style="1" min="14344" max="14344"/>
    <col width="11.33203125" bestFit="1" customWidth="1" style="1" min="14345" max="14345"/>
    <col width="9.109375" customWidth="1" style="1" min="14346" max="14346"/>
    <col width="10.88671875" bestFit="1" customWidth="1" style="1" min="14347" max="14347"/>
    <col width="9.109375" customWidth="1" style="1" min="14348" max="14592"/>
    <col width="12.88671875" bestFit="1" customWidth="1" style="1" min="14593" max="14593"/>
    <col width="70" bestFit="1" customWidth="1" style="1" min="14594" max="14594"/>
    <col width="26" bestFit="1" customWidth="1" style="1" min="14595" max="14595"/>
    <col width="17.5546875" customWidth="1" style="1" min="14596" max="14599"/>
    <col width="20.44140625" bestFit="1" customWidth="1" style="1" min="14600" max="14600"/>
    <col width="11.33203125" bestFit="1" customWidth="1" style="1" min="14601" max="14601"/>
    <col width="9.109375" customWidth="1" style="1" min="14602" max="14602"/>
    <col width="10.88671875" bestFit="1" customWidth="1" style="1" min="14603" max="14603"/>
    <col width="9.109375" customWidth="1" style="1" min="14604" max="14848"/>
    <col width="12.88671875" bestFit="1" customWidth="1" style="1" min="14849" max="14849"/>
    <col width="70" bestFit="1" customWidth="1" style="1" min="14850" max="14850"/>
    <col width="26" bestFit="1" customWidth="1" style="1" min="14851" max="14851"/>
    <col width="17.5546875" customWidth="1" style="1" min="14852" max="14855"/>
    <col width="20.44140625" bestFit="1" customWidth="1" style="1" min="14856" max="14856"/>
    <col width="11.33203125" bestFit="1" customWidth="1" style="1" min="14857" max="14857"/>
    <col width="9.109375" customWidth="1" style="1" min="14858" max="14858"/>
    <col width="10.88671875" bestFit="1" customWidth="1" style="1" min="14859" max="14859"/>
    <col width="9.109375" customWidth="1" style="1" min="14860" max="15104"/>
    <col width="12.88671875" bestFit="1" customWidth="1" style="1" min="15105" max="15105"/>
    <col width="70" bestFit="1" customWidth="1" style="1" min="15106" max="15106"/>
    <col width="26" bestFit="1" customWidth="1" style="1" min="15107" max="15107"/>
    <col width="17.5546875" customWidth="1" style="1" min="15108" max="15111"/>
    <col width="20.44140625" bestFit="1" customWidth="1" style="1" min="15112" max="15112"/>
    <col width="11.33203125" bestFit="1" customWidth="1" style="1" min="15113" max="15113"/>
    <col width="9.109375" customWidth="1" style="1" min="15114" max="15114"/>
    <col width="10.88671875" bestFit="1" customWidth="1" style="1" min="15115" max="15115"/>
    <col width="9.109375" customWidth="1" style="1" min="15116" max="15360"/>
    <col width="12.88671875" bestFit="1" customWidth="1" style="1" min="15361" max="15361"/>
    <col width="70" bestFit="1" customWidth="1" style="1" min="15362" max="15362"/>
    <col width="26" bestFit="1" customWidth="1" style="1" min="15363" max="15363"/>
    <col width="17.5546875" customWidth="1" style="1" min="15364" max="15367"/>
    <col width="20.44140625" bestFit="1" customWidth="1" style="1" min="15368" max="15368"/>
    <col width="11.33203125" bestFit="1" customWidth="1" style="1" min="15369" max="15369"/>
    <col width="9.109375" customWidth="1" style="1" min="15370" max="15370"/>
    <col width="10.88671875" bestFit="1" customWidth="1" style="1" min="15371" max="15371"/>
    <col width="9.109375" customWidth="1" style="1" min="15372" max="15616"/>
    <col width="12.88671875" bestFit="1" customWidth="1" style="1" min="15617" max="15617"/>
    <col width="70" bestFit="1" customWidth="1" style="1" min="15618" max="15618"/>
    <col width="26" bestFit="1" customWidth="1" style="1" min="15619" max="15619"/>
    <col width="17.5546875" customWidth="1" style="1" min="15620" max="15623"/>
    <col width="20.44140625" bestFit="1" customWidth="1" style="1" min="15624" max="15624"/>
    <col width="11.33203125" bestFit="1" customWidth="1" style="1" min="15625" max="15625"/>
    <col width="9.109375" customWidth="1" style="1" min="15626" max="15626"/>
    <col width="10.88671875" bestFit="1" customWidth="1" style="1" min="15627" max="15627"/>
    <col width="9.109375" customWidth="1" style="1" min="15628" max="15872"/>
    <col width="12.88671875" bestFit="1" customWidth="1" style="1" min="15873" max="15873"/>
    <col width="70" bestFit="1" customWidth="1" style="1" min="15874" max="15874"/>
    <col width="26" bestFit="1" customWidth="1" style="1" min="15875" max="15875"/>
    <col width="17.5546875" customWidth="1" style="1" min="15876" max="15879"/>
    <col width="20.44140625" bestFit="1" customWidth="1" style="1" min="15880" max="15880"/>
    <col width="11.33203125" bestFit="1" customWidth="1" style="1" min="15881" max="15881"/>
    <col width="9.109375" customWidth="1" style="1" min="15882" max="15882"/>
    <col width="10.88671875" bestFit="1" customWidth="1" style="1" min="15883" max="15883"/>
    <col width="9.109375" customWidth="1" style="1" min="15884" max="16128"/>
    <col width="12.88671875" bestFit="1" customWidth="1" style="1" min="16129" max="16129"/>
    <col width="70" bestFit="1" customWidth="1" style="1" min="16130" max="16130"/>
    <col width="26" bestFit="1" customWidth="1" style="1" min="16131" max="16131"/>
    <col width="17.5546875" customWidth="1" style="1" min="16132" max="16135"/>
    <col width="20.44140625" bestFit="1" customWidth="1" style="1" min="16136" max="16136"/>
    <col width="11.33203125" bestFit="1" customWidth="1" style="1" min="16137" max="16137"/>
    <col width="9.109375" customWidth="1" style="1" min="16138" max="16138"/>
    <col width="10.88671875" bestFit="1" customWidth="1" style="1" min="16139" max="16139"/>
    <col width="9.109375" customWidth="1" style="1" min="16140" max="16384"/>
  </cols>
  <sheetData>
    <row r="1" ht="12.75" customHeight="1">
      <c r="C1" s="354" t="inlineStr">
        <is>
          <t>Eindbalans per 30-06-2024</t>
        </is>
      </c>
      <c r="D1" s="354" t="inlineStr">
        <is>
          <t>Mutaties Q3 2024</t>
        </is>
      </c>
      <c r="E1" s="354" t="inlineStr">
        <is>
          <t>Mutaties Q4 2024</t>
        </is>
      </c>
      <c r="F1" s="354" t="inlineStr">
        <is>
          <t>Mutaties Q1 2025</t>
        </is>
      </c>
      <c r="G1" s="354" t="inlineStr">
        <is>
          <t>Mutaties Q2 2025</t>
        </is>
      </c>
      <c r="H1" s="354" t="inlineStr">
        <is>
          <t>Saldi per 30-06-2025</t>
        </is>
      </c>
    </row>
    <row r="3" ht="12.75" customHeight="1">
      <c r="A3" s="132" t="inlineStr">
        <is>
          <t>Balans</t>
        </is>
      </c>
    </row>
    <row r="4" ht="12.75" customHeight="1">
      <c r="A4" s="132" t="n"/>
    </row>
    <row r="5" ht="12.75" customHeight="1">
      <c r="A5" s="132" t="inlineStr">
        <is>
          <t>Materiële vaste activa</t>
        </is>
      </c>
    </row>
    <row r="6" ht="12.75" customHeight="1">
      <c r="A6" s="1" t="inlineStr">
        <is>
          <t>1600000</t>
        </is>
      </c>
      <c r="B6" s="1" t="inlineStr">
        <is>
          <t>VG Vastgoedbeleggingen Verkrijgings- of vervaardigingsprijs -</t>
        </is>
      </c>
      <c r="C6" s="267" t="n">
        <v>125783606</v>
      </c>
      <c r="D6" s="346" t="n">
        <v>321640</v>
      </c>
      <c r="E6" s="346" t="n">
        <v>1811633.16</v>
      </c>
      <c r="F6" s="293" t="n">
        <v>758835</v>
      </c>
      <c r="G6" s="293" t="n">
        <v>400388</v>
      </c>
      <c r="H6" s="290">
        <f>SUM(C6:G6)</f>
        <v/>
      </c>
      <c r="I6" s="264" t="n"/>
    </row>
    <row r="7" ht="12.75" customHeight="1">
      <c r="A7" s="1" t="inlineStr">
        <is>
          <t>1600200</t>
        </is>
      </c>
      <c r="B7" s="1" t="inlineStr">
        <is>
          <t>VG Vastgoedbeleggingen Cum afschrijvingen en waardeverm -</t>
        </is>
      </c>
      <c r="C7" s="267" t="n">
        <v>-21569238</v>
      </c>
      <c r="D7" s="293">
        <f>VLOOKUP(A7,[3]Kolommenbalans!B$1:D$65536,3,FALSE)</f>
        <v/>
      </c>
      <c r="E7" s="293" t="n">
        <v>-793542</v>
      </c>
      <c r="F7" s="293" t="n">
        <v>-811996</v>
      </c>
      <c r="G7" s="293" t="n">
        <v>-822632</v>
      </c>
      <c r="H7" s="290">
        <f>SUM(C7:G7)</f>
        <v/>
      </c>
    </row>
    <row r="8" ht="12.75" customHeight="1">
      <c r="A8" s="302" t="inlineStr">
        <is>
          <t>1601000</t>
        </is>
      </c>
      <c r="B8" s="302" t="inlineStr">
        <is>
          <t>VG Vastgoedbeleggingen Buitengebruikstellingen CA en waardeverm. -</t>
        </is>
      </c>
      <c r="C8" s="268" t="n">
        <v>-1344521</v>
      </c>
      <c r="D8" s="293">
        <f>VLOOKUP(A8,[3]Kolommenbalans!B$1:D$65536,3,FALSE)</f>
        <v/>
      </c>
      <c r="E8" s="293" t="n">
        <v>0</v>
      </c>
      <c r="F8" s="293" t="n">
        <v>-677990</v>
      </c>
      <c r="G8" s="293" t="n">
        <v>-237202</v>
      </c>
      <c r="H8" s="290">
        <f>SUM(C8:G8)</f>
        <v/>
      </c>
    </row>
    <row r="9" ht="12.75" customHeight="1">
      <c r="A9" s="1" t="inlineStr">
        <is>
          <t>1611003</t>
        </is>
      </c>
      <c r="B9" s="1" t="inlineStr">
        <is>
          <t>VG Comm VG in exploitatie Buitengebruikstellingen cum. afschr. en waardeverm.</t>
        </is>
      </c>
      <c r="C9" s="267" t="n">
        <v>226673</v>
      </c>
      <c r="D9" s="293">
        <f>VLOOKUP(A9,[3]Kolommenbalans!B$1:D$65536,3,FALSE)</f>
        <v/>
      </c>
      <c r="F9" s="293" t="n">
        <v>126494</v>
      </c>
      <c r="G9" s="293" t="n">
        <v>41678</v>
      </c>
      <c r="H9" s="290">
        <f>SUM(C9:G9)</f>
        <v/>
      </c>
    </row>
    <row r="10" ht="12.75" customHeight="1">
      <c r="A10" s="1" t="inlineStr">
        <is>
          <t>1610803</t>
        </is>
      </c>
      <c r="B10" s="1" t="inlineStr">
        <is>
          <t>VG Comm VG in exploitatie Buitengebruikstellingen aanschaffingswaarde</t>
        </is>
      </c>
      <c r="C10" s="267" t="n">
        <v>0</v>
      </c>
      <c r="E10" s="293" t="n">
        <v>0</v>
      </c>
      <c r="H10" s="290">
        <f>SUM(C10:G10)</f>
        <v/>
      </c>
    </row>
    <row r="11" ht="12.75" customHeight="1">
      <c r="H11" s="290">
        <f>SUM(C11:G11)</f>
        <v/>
      </c>
    </row>
    <row r="12" ht="12.75" customHeight="1">
      <c r="A12" s="256" t="inlineStr">
        <is>
          <t>Financiële Vaste Lasten</t>
        </is>
      </c>
      <c r="H12" s="290">
        <f>SUM(C12:G12)</f>
        <v/>
      </c>
    </row>
    <row r="13" ht="12.75" customHeight="1">
      <c r="A13" s="1" t="inlineStr">
        <is>
          <t>1760000</t>
        </is>
      </c>
      <c r="B13" s="1" t="inlineStr">
        <is>
          <t>FVA Vord op DMRRP INV - I BV  saldo</t>
        </is>
      </c>
      <c r="C13" s="267" t="n">
        <v>38320325</v>
      </c>
      <c r="H13" s="290">
        <f>SUM(C13:G13)</f>
        <v/>
      </c>
      <c r="I13" s="290" t="n"/>
    </row>
    <row r="14" ht="12.75" customHeight="1">
      <c r="A14" s="1" t="inlineStr">
        <is>
          <t>1760300</t>
        </is>
      </c>
      <c r="B14" s="1" t="inlineStr">
        <is>
          <t>FVA Vord op DMRRP INV - I BV  aflossingen</t>
        </is>
      </c>
      <c r="C14" s="267" t="n">
        <v>-2105582</v>
      </c>
      <c r="D14" s="293">
        <f>VLOOKUP(A14,[3]Kolommenbalans!B$1:D$65536,3,FALSE)</f>
        <v/>
      </c>
      <c r="E14" s="293" t="n">
        <v>-95800</v>
      </c>
      <c r="F14" s="357" t="n">
        <v>-242786</v>
      </c>
      <c r="G14" s="293" t="n">
        <v>-243993</v>
      </c>
      <c r="H14" s="290">
        <f>SUM(C14:G14)</f>
        <v/>
      </c>
      <c r="I14" s="264" t="inlineStr">
        <is>
          <t>Correctie aflossing disposal lening</t>
        </is>
      </c>
    </row>
    <row r="15" ht="12.75" customHeight="1">
      <c r="A15" s="1" t="inlineStr">
        <is>
          <t>1790000</t>
        </is>
      </c>
      <c r="B15" s="1" t="inlineStr">
        <is>
          <t>FVA Swap fee</t>
        </is>
      </c>
      <c r="C15" s="267" t="n">
        <v>1438455</v>
      </c>
      <c r="D15" s="293">
        <f>VLOOKUP(A15,[3]Kolommenbalans!B$1:D$65536,3,FALSE)</f>
        <v/>
      </c>
      <c r="E15" s="293" t="n">
        <v>-110650</v>
      </c>
      <c r="F15" s="293">
        <f>-110650-5</f>
        <v/>
      </c>
      <c r="G15" s="293" t="n">
        <v>-110650</v>
      </c>
      <c r="H15" s="290">
        <f>SUM(C15:G15)</f>
        <v/>
      </c>
    </row>
    <row r="16" ht="12.75" customHeight="1">
      <c r="A16" s="1" t="inlineStr">
        <is>
          <t>1790002</t>
        </is>
      </c>
      <c r="B16" s="1" t="inlineStr">
        <is>
          <t>FVA Latente belastingvordering langlopend</t>
        </is>
      </c>
      <c r="C16" s="267" t="n">
        <v>6718380</v>
      </c>
      <c r="D16" s="293">
        <f>VLOOKUP(A16,[3]Kolommenbalans!B$1:D$65536,3,FALSE)</f>
        <v/>
      </c>
      <c r="E16" s="346" t="n">
        <v>920937</v>
      </c>
      <c r="F16" s="293" t="n">
        <v>173840</v>
      </c>
      <c r="G16" s="293" t="n">
        <v>200714</v>
      </c>
      <c r="H16" s="290">
        <f>SUM(C16:G16)</f>
        <v/>
      </c>
      <c r="I16" s="264" t="n"/>
    </row>
    <row r="17" ht="12.75" customHeight="1">
      <c r="H17" s="290">
        <f>SUM(C17:G17)</f>
        <v/>
      </c>
    </row>
    <row r="18" ht="12.75" customHeight="1">
      <c r="A18" s="256" t="inlineStr">
        <is>
          <t>Vorderingen</t>
        </is>
      </c>
      <c r="H18" s="290">
        <f>SUM(C18:G18)</f>
        <v/>
      </c>
    </row>
    <row r="19" ht="12.75" customHeight="1">
      <c r="A19" s="1" t="inlineStr">
        <is>
          <t>2000000</t>
        </is>
      </c>
      <c r="B19" s="1" t="inlineStr">
        <is>
          <t>VOR Debiteuren</t>
        </is>
      </c>
      <c r="C19" s="267" t="n">
        <v>5850977</v>
      </c>
      <c r="D19" s="293">
        <f>VLOOKUP(A19,[3]Kolommenbalans!B$1:D$65536,3,FALSE)</f>
        <v/>
      </c>
      <c r="E19" s="293" t="n">
        <v>-6054041</v>
      </c>
      <c r="F19" s="293" t="n">
        <v>334826</v>
      </c>
      <c r="G19" s="293" t="n">
        <v>-339181</v>
      </c>
      <c r="H19" s="290">
        <f>SUM(C19:G19)</f>
        <v/>
      </c>
      <c r="I19" s="363" t="n"/>
    </row>
    <row r="20" ht="12.75" customHeight="1">
      <c r="A20" s="1" t="inlineStr">
        <is>
          <t>2000100</t>
        </is>
      </c>
      <c r="B20" s="1" t="inlineStr">
        <is>
          <t>VOR Debiteuren intercompany</t>
        </is>
      </c>
      <c r="C20" s="267" t="n">
        <v>0</v>
      </c>
      <c r="E20" s="293" t="n">
        <v>6675101</v>
      </c>
      <c r="F20" s="293" t="n">
        <v>493276</v>
      </c>
      <c r="G20" s="293" t="n">
        <v>-5914486</v>
      </c>
      <c r="H20" s="290">
        <f>SUM(C20:G20)</f>
        <v/>
      </c>
    </row>
    <row r="21" ht="12.75" customHeight="1">
      <c r="A21" s="1" t="inlineStr">
        <is>
          <t>2000300</t>
        </is>
      </c>
      <c r="B21" s="1" t="inlineStr">
        <is>
          <t>VOR Voorziening dubieuze debiteuren</t>
        </is>
      </c>
      <c r="C21" s="267" t="n">
        <v>-8374</v>
      </c>
      <c r="E21" s="346" t="n">
        <v>-81794.69</v>
      </c>
      <c r="F21" s="293" t="n">
        <v>0</v>
      </c>
      <c r="H21" s="290">
        <f>SUM(C21:G21)</f>
        <v/>
      </c>
      <c r="I21" s="362" t="n"/>
    </row>
    <row r="22" ht="12.75" customHeight="1">
      <c r="A22" s="1" t="inlineStr">
        <is>
          <t>2040100</t>
        </is>
      </c>
      <c r="B22" s="1" t="inlineStr">
        <is>
          <t>VOR Nog te factureren bedragen</t>
        </is>
      </c>
      <c r="C22" s="267" t="n">
        <v>0</v>
      </c>
      <c r="D22" s="293">
        <f>VLOOKUP(A22,[3]Kolommenbalans!B$1:D$65536,3,FALSE)</f>
        <v/>
      </c>
      <c r="F22" s="293" t="n">
        <v>146986</v>
      </c>
      <c r="G22" s="293" t="n">
        <v>-146986</v>
      </c>
      <c r="H22" s="290">
        <f>SUM(C22:G22)</f>
        <v/>
      </c>
    </row>
    <row r="23" ht="12.75" customHeight="1">
      <c r="A23" s="1" t="inlineStr">
        <is>
          <t>2040200</t>
        </is>
      </c>
      <c r="B23" s="1" t="inlineStr">
        <is>
          <t>VOR Te vorderen waarborgsommen kortlopend</t>
        </is>
      </c>
      <c r="C23" s="267" t="n">
        <v>5000</v>
      </c>
      <c r="H23" s="290">
        <f>SUM(C23:G23)</f>
        <v/>
      </c>
    </row>
    <row r="24" ht="12.75" customHeight="1">
      <c r="A24" s="1" t="inlineStr">
        <is>
          <t>2040500</t>
        </is>
      </c>
      <c r="B24" s="1" t="inlineStr">
        <is>
          <t>VOR Vooruitbetaalde verzekeringen</t>
        </is>
      </c>
      <c r="C24" s="267" t="n">
        <v>42867</v>
      </c>
      <c r="D24" s="293">
        <f>VLOOKUP(A24,[3]Kolommenbalans!B$1:D$65536,3,FALSE)</f>
        <v/>
      </c>
      <c r="E24" s="293" t="n">
        <v>-21435</v>
      </c>
      <c r="F24" s="293" t="n">
        <v>89982.3</v>
      </c>
      <c r="G24" s="293" t="n">
        <v>-29994</v>
      </c>
      <c r="H24" s="290">
        <f>SUM(C24:G24)</f>
        <v/>
      </c>
      <c r="I24" s="296" t="n"/>
    </row>
    <row r="25" ht="12.75" customHeight="1">
      <c r="A25" s="1" t="inlineStr">
        <is>
          <t>2040900</t>
        </is>
      </c>
      <c r="B25" s="1" t="inlineStr">
        <is>
          <t>VOR Vooruitbetaalde overige kosten</t>
        </is>
      </c>
      <c r="C25" s="267" t="n">
        <v>178756</v>
      </c>
      <c r="D25" s="293">
        <f>VLOOKUP(A25,[3]Kolommenbalans!B$1:D$65536,3,FALSE)</f>
        <v/>
      </c>
      <c r="E25" s="293" t="n">
        <v>-89378</v>
      </c>
      <c r="F25" s="293" t="n">
        <v>334004</v>
      </c>
      <c r="G25" s="293" t="n">
        <v>-111335</v>
      </c>
      <c r="H25" s="290">
        <f>SUM(C25:G25)</f>
        <v/>
      </c>
    </row>
    <row r="26" ht="12.75" customHeight="1">
      <c r="H26" s="290">
        <f>SUM(C26:G26)</f>
        <v/>
      </c>
    </row>
    <row r="27" ht="12.75" customHeight="1">
      <c r="A27" s="256" t="inlineStr">
        <is>
          <t>Liquide middelen</t>
        </is>
      </c>
      <c r="H27" s="290">
        <f>SUM(C27:G27)</f>
        <v/>
      </c>
    </row>
    <row r="28" ht="12.75" customHeight="1">
      <c r="A28" s="1" t="inlineStr">
        <is>
          <t>2300000</t>
        </is>
      </c>
      <c r="B28" s="1" t="inlineStr">
        <is>
          <t>LM Kruisposten</t>
        </is>
      </c>
      <c r="C28" s="267" t="n">
        <v>358000</v>
      </c>
      <c r="D28" s="293">
        <f>VLOOKUP(A28,[3]Kolommenbalans!B$1:D$65536,3,FALSE)</f>
        <v/>
      </c>
      <c r="E28" s="346" t="n">
        <v>-0.48</v>
      </c>
      <c r="H28" s="290">
        <f>SUM(C28:G28)</f>
        <v/>
      </c>
      <c r="I28" s="264" t="n"/>
    </row>
    <row r="29" ht="12.75" customHeight="1">
      <c r="A29" s="1" t="inlineStr">
        <is>
          <t>2300001</t>
        </is>
      </c>
      <c r="B29" s="1" t="inlineStr">
        <is>
          <t>LM Kruisposten pin</t>
        </is>
      </c>
      <c r="C29" s="267" t="n">
        <v>-3426</v>
      </c>
      <c r="D29" s="293">
        <f>VLOOKUP(A29,[3]Kolommenbalans!B$1:D$65536,3,FALSE)</f>
        <v/>
      </c>
      <c r="E29" s="293" t="n">
        <v>4950</v>
      </c>
      <c r="F29" s="293" t="n">
        <v>4485</v>
      </c>
      <c r="G29" s="293" t="n">
        <v>3544</v>
      </c>
      <c r="H29" s="290">
        <f>SUM(C29:G29)</f>
        <v/>
      </c>
    </row>
    <row r="30" ht="12.75" customHeight="1">
      <c r="A30" s="1" t="inlineStr">
        <is>
          <t>2400200</t>
        </is>
      </c>
      <c r="B30" s="1" t="inlineStr">
        <is>
          <t>LM ABN AMRO Bank Disposal NL58 ABNA 0818 9180 39</t>
        </is>
      </c>
      <c r="C30" s="267" t="n">
        <v>0</v>
      </c>
      <c r="D30" s="293">
        <f>VLOOKUP(A30,[3]Kolommenbalans!B$1:D$65536,3,FALSE)</f>
        <v/>
      </c>
      <c r="E30" s="293" t="n">
        <v>0</v>
      </c>
      <c r="F30" s="293" t="n">
        <v>194000</v>
      </c>
      <c r="G30" s="293" t="n">
        <v>-194000</v>
      </c>
      <c r="H30" s="290">
        <f>SUM(C30:G30)</f>
        <v/>
      </c>
    </row>
    <row r="31" ht="12.75" customHeight="1">
      <c r="A31" s="1" t="inlineStr">
        <is>
          <t>2400201</t>
        </is>
      </c>
      <c r="B31" s="1" t="inlineStr">
        <is>
          <t>LM ABN AMRO Bank Deposit NL57 ABNA 0541 6205 68</t>
        </is>
      </c>
      <c r="C31" s="267" t="n">
        <v>7443</v>
      </c>
      <c r="D31" s="293">
        <f>VLOOKUP(A31,[3]Kolommenbalans!B$1:D$65536,3,FALSE)</f>
        <v/>
      </c>
      <c r="E31" s="293" t="n">
        <v>-6577.5</v>
      </c>
      <c r="F31" s="293" t="n">
        <v>9940.5</v>
      </c>
      <c r="G31" s="293" t="n">
        <v>-118</v>
      </c>
      <c r="H31" s="290">
        <f>SUM(C31:G31)</f>
        <v/>
      </c>
    </row>
    <row r="32" ht="12.75" customHeight="1">
      <c r="A32" s="1" t="inlineStr">
        <is>
          <t>2400202</t>
        </is>
      </c>
      <c r="B32" s="1" t="inlineStr">
        <is>
          <t>LM ABN AMRO Bank General NL93 ABNA 0541 6132 27</t>
        </is>
      </c>
      <c r="C32" s="267" t="n">
        <v>27</v>
      </c>
      <c r="D32" s="293">
        <f>VLOOKUP(A32,[3]Kolommenbalans!B$1:D$65536,3,FALSE)</f>
        <v/>
      </c>
      <c r="H32" s="290">
        <f>SUM(C32:G32)</f>
        <v/>
      </c>
    </row>
    <row r="33" ht="12.75" customHeight="1">
      <c r="A33" s="1" t="inlineStr">
        <is>
          <t>2400203</t>
        </is>
      </c>
      <c r="B33" s="1" t="inlineStr">
        <is>
          <t>LM ABN AMRO Bank Maintres NL04 ABNA 0541 6188 06</t>
        </is>
      </c>
      <c r="C33" s="267" t="n">
        <v>743</v>
      </c>
      <c r="D33" s="293">
        <f>VLOOKUP(A33,[3]Kolommenbalans!B$1:D$65536,3,FALSE)</f>
        <v/>
      </c>
      <c r="E33" s="293" t="n">
        <v>276826.61</v>
      </c>
      <c r="F33" s="293" t="n">
        <v>-271247.9</v>
      </c>
      <c r="G33" s="293" t="n">
        <v>6686</v>
      </c>
      <c r="H33" s="290">
        <f>SUM(C33:G33)</f>
        <v/>
      </c>
    </row>
    <row r="34" ht="12.75" customHeight="1">
      <c r="A34" s="1" t="inlineStr">
        <is>
          <t>2400204</t>
        </is>
      </c>
      <c r="B34" s="1" t="inlineStr">
        <is>
          <t>LM ABN AMRO Bank Rent NL46 ABNA 0541 6088 35</t>
        </is>
      </c>
      <c r="C34" s="267" t="n">
        <v>63077</v>
      </c>
      <c r="D34" s="293">
        <f>VLOOKUP(A34,[3]Kolommenbalans!B$1:D$65536,3,FALSE)</f>
        <v/>
      </c>
      <c r="E34" s="293" t="n">
        <v>22169.18</v>
      </c>
      <c r="F34" s="293">
        <f>92619.86+1</f>
        <v/>
      </c>
      <c r="G34" s="293" t="n">
        <v>-282612</v>
      </c>
      <c r="H34" s="290">
        <f>SUM(C34:G34)</f>
        <v/>
      </c>
    </row>
    <row r="35" ht="12.75" customHeight="1">
      <c r="A35" s="1" t="inlineStr">
        <is>
          <t>2400205</t>
        </is>
      </c>
      <c r="B35" s="1" t="inlineStr">
        <is>
          <t>LM ABN AMRO Bank SR EXP NL88 ABNA 0541 6205 92</t>
        </is>
      </c>
      <c r="C35" s="267" t="n">
        <v>311</v>
      </c>
      <c r="D35" s="293">
        <f>VLOOKUP(A35,[3]Kolommenbalans!B$1:D$65536,3,FALSE)</f>
        <v/>
      </c>
      <c r="E35" s="293" t="n">
        <v>-2980</v>
      </c>
      <c r="F35" s="293">
        <f>5966+1</f>
        <v/>
      </c>
      <c r="G35" s="293" t="n">
        <v>1207</v>
      </c>
      <c r="H35" s="290">
        <f>SUM(C35:G35)</f>
        <v/>
      </c>
    </row>
    <row r="36" ht="12.75" customHeight="1">
      <c r="A36" s="1" t="inlineStr">
        <is>
          <t>2400206</t>
        </is>
      </c>
      <c r="B36" s="1" t="inlineStr">
        <is>
          <t>LM ABN AMRO Bank Capex NL11 ABNA 0114 3362 02</t>
        </is>
      </c>
      <c r="C36" s="267" t="n">
        <v>-16</v>
      </c>
      <c r="F36" s="293" t="n">
        <v>0</v>
      </c>
      <c r="G36" s="293" t="n">
        <v>0</v>
      </c>
      <c r="H36" s="290">
        <f>SUM(C36:G36)</f>
        <v/>
      </c>
    </row>
    <row r="37" ht="12.75" customHeight="1">
      <c r="H37" s="290">
        <f>SUM(C37:G37)</f>
        <v/>
      </c>
    </row>
    <row r="38" ht="12.75" customHeight="1">
      <c r="A38" s="256" t="inlineStr">
        <is>
          <t>Eigen vermogen</t>
        </is>
      </c>
      <c r="H38" s="290">
        <f>SUM(C38:G38)</f>
        <v/>
      </c>
    </row>
    <row r="39" ht="12.75" customHeight="1">
      <c r="A39" s="1" t="inlineStr">
        <is>
          <t>1000002</t>
        </is>
      </c>
      <c r="B39" s="1" t="inlineStr">
        <is>
          <t>EV Normale aandelen  Saldo</t>
        </is>
      </c>
      <c r="C39" s="267" t="n">
        <v>-1</v>
      </c>
      <c r="H39" s="290">
        <f>SUM(C39:G39)</f>
        <v/>
      </c>
    </row>
    <row r="40" ht="12.75" customHeight="1">
      <c r="A40" s="1" t="inlineStr">
        <is>
          <t>1100000</t>
        </is>
      </c>
      <c r="B40" s="1" t="inlineStr">
        <is>
          <t>EV Agioreserve Agio aandelen</t>
        </is>
      </c>
      <c r="C40" s="267" t="n">
        <v>-18931219</v>
      </c>
      <c r="G40" s="293" t="n">
        <v>4670958</v>
      </c>
      <c r="H40" s="290">
        <f>SUM(C40:G40)</f>
        <v/>
      </c>
    </row>
    <row r="41" ht="12.75" customHeight="1">
      <c r="A41" s="1" t="inlineStr">
        <is>
          <t>1160000</t>
        </is>
      </c>
      <c r="B41" s="1" t="inlineStr">
        <is>
          <t>EV Overige reserve Reserve aandelen</t>
        </is>
      </c>
      <c r="C41" s="267" t="n">
        <v>2816797</v>
      </c>
      <c r="H41" s="290">
        <f>SUM(C41:G41)</f>
        <v/>
      </c>
    </row>
    <row r="42" ht="12.75" customHeight="1">
      <c r="H42" s="290">
        <f>SUM(C42:G42)</f>
        <v/>
      </c>
    </row>
    <row r="43" ht="12.75" customHeight="1">
      <c r="A43" s="256" t="inlineStr">
        <is>
          <t>Langlopende schulden</t>
        </is>
      </c>
      <c r="H43" s="290">
        <f>SUM(C43:G43)</f>
        <v/>
      </c>
    </row>
    <row r="44" ht="12.75" customHeight="1">
      <c r="A44" s="1" t="inlineStr">
        <is>
          <t>1930001</t>
        </is>
      </c>
      <c r="B44" s="1" t="inlineStr">
        <is>
          <t>LLS Hoofdsom ABN AMRO Bank NV Senior Facility Agreement</t>
        </is>
      </c>
      <c r="C44" s="267" t="n">
        <v>-169535973</v>
      </c>
      <c r="E44" s="293" t="n">
        <v>-875164.8</v>
      </c>
      <c r="F44" s="293" t="n">
        <v>-670610.59</v>
      </c>
      <c r="H44" s="290">
        <f>SUM(C44:G44)</f>
        <v/>
      </c>
    </row>
    <row r="45" ht="12.75" customHeight="1">
      <c r="A45" s="1" t="inlineStr">
        <is>
          <t>1930101</t>
        </is>
      </c>
      <c r="B45" s="1" t="inlineStr">
        <is>
          <t>LLS Cum aflossingen ABN AMRO Bank NV Senior Facility Agreement</t>
        </is>
      </c>
      <c r="C45" s="267" t="n">
        <v>35499891</v>
      </c>
      <c r="D45" s="346" t="n">
        <v>1440000</v>
      </c>
      <c r="E45" s="293" t="n">
        <v>350000</v>
      </c>
      <c r="F45" s="293" t="n">
        <v>887000</v>
      </c>
      <c r="G45" s="293" t="n">
        <v>828967</v>
      </c>
      <c r="H45" s="290">
        <f>SUM(C45:G45)</f>
        <v/>
      </c>
      <c r="I45" s="362" t="n"/>
    </row>
    <row r="46" ht="12.75" customHeight="1">
      <c r="A46" s="1" t="inlineStr">
        <is>
          <t>1930200</t>
        </is>
      </c>
      <c r="B46" s="1" t="inlineStr">
        <is>
          <t>LLS Extension fee&amp; professional fees</t>
        </is>
      </c>
      <c r="C46" s="267" t="n">
        <v>377894</v>
      </c>
      <c r="D46" s="293">
        <f>VLOOKUP(A46,[3]Kolommenbalans!B$1:D$65536,3,FALSE)</f>
        <v/>
      </c>
      <c r="E46" s="293" t="n">
        <v>-29069.06</v>
      </c>
      <c r="F46" s="293">
        <f>-29069.05+4</f>
        <v/>
      </c>
      <c r="G46" s="293" t="n">
        <v>-29069</v>
      </c>
      <c r="H46" s="290">
        <f>SUM(C46:G46)</f>
        <v/>
      </c>
    </row>
    <row r="47" ht="12.75" customHeight="1">
      <c r="H47" s="290">
        <f>SUM(C47:G47)</f>
        <v/>
      </c>
    </row>
    <row r="48" ht="12.75" customHeight="1">
      <c r="A48" s="256" t="inlineStr">
        <is>
          <t>Kortlopende schulden</t>
        </is>
      </c>
      <c r="H48" s="290">
        <f>SUM(C48:G48)</f>
        <v/>
      </c>
    </row>
    <row r="49" ht="12.75" customHeight="1">
      <c r="A49" s="1" t="inlineStr">
        <is>
          <t>2730000</t>
        </is>
      </c>
      <c r="B49" s="1" t="inlineStr">
        <is>
          <t>KLS Crediteuren</t>
        </is>
      </c>
      <c r="C49" s="267" t="n">
        <v>-282763</v>
      </c>
      <c r="D49" s="293">
        <f>VLOOKUP(A49,[3]Kolommenbalans!B$1:D$65536,3,FALSE)</f>
        <v/>
      </c>
      <c r="E49" s="293" t="n">
        <v>-319583.96</v>
      </c>
      <c r="F49" s="293" t="n">
        <v>-521059</v>
      </c>
      <c r="G49" s="293" t="n">
        <v>548173</v>
      </c>
      <c r="H49" s="290">
        <f>SUM(C49:G49)</f>
        <v/>
      </c>
      <c r="I49" s="296" t="n"/>
    </row>
    <row r="50" ht="12.75" customHeight="1">
      <c r="A50" s="1" t="inlineStr">
        <is>
          <t>2730001</t>
        </is>
      </c>
      <c r="B50" s="1" t="inlineStr">
        <is>
          <t>KLS Crediteuren intercompany</t>
        </is>
      </c>
      <c r="C50" s="267" t="n">
        <v>-932680</v>
      </c>
      <c r="D50" s="293">
        <f>VLOOKUP(A50,[3]Kolommenbalans!B$1:D$65536,3,FALSE)</f>
        <v/>
      </c>
      <c r="E50" s="293" t="n">
        <v>0</v>
      </c>
      <c r="F50" s="293" t="n">
        <v>-12500</v>
      </c>
      <c r="G50" s="293" t="n">
        <v>942580</v>
      </c>
      <c r="H50" s="290">
        <f>SUM(C50:G50)</f>
        <v/>
      </c>
    </row>
    <row r="51" ht="12.75" customHeight="1">
      <c r="A51" s="1" t="inlineStr">
        <is>
          <t>2620000</t>
        </is>
      </c>
      <c r="B51" s="1" t="inlineStr">
        <is>
          <t>RC Kortlopend D.M. Equity Partners C.V.</t>
        </is>
      </c>
      <c r="C51" s="267" t="n">
        <v>-551205</v>
      </c>
      <c r="D51" s="293">
        <f>VLOOKUP(A51,[3]Kolommenbalans!B$1:D$65536,3,FALSE)</f>
        <v/>
      </c>
      <c r="E51" s="346" t="n">
        <v>-9557</v>
      </c>
      <c r="H51" s="290">
        <f>SUM(C51:G51)</f>
        <v/>
      </c>
      <c r="I51" s="264" t="n"/>
    </row>
    <row r="52" ht="12.75" customHeight="1">
      <c r="A52" s="1" t="inlineStr">
        <is>
          <t>2640000</t>
        </is>
      </c>
      <c r="B52" s="1" t="inlineStr">
        <is>
          <t>RC Kortlopend DMRRP INV - I BV</t>
        </is>
      </c>
      <c r="C52" s="267" t="n">
        <v>335335</v>
      </c>
      <c r="D52" s="293">
        <f>VLOOKUP(A52,[3]Kolommenbalans!B$1:D$65536,3,FALSE)</f>
        <v/>
      </c>
      <c r="E52" s="346" t="n">
        <v>-1742467</v>
      </c>
      <c r="F52" s="357" t="n">
        <v>365128</v>
      </c>
      <c r="G52" s="293" t="n">
        <v>1609255</v>
      </c>
      <c r="H52" s="290">
        <f>SUM(C52:G52)</f>
        <v/>
      </c>
      <c r="I52" s="264" t="inlineStr">
        <is>
          <t>Doorbelasting VPB</t>
        </is>
      </c>
      <c r="L52" s="290" t="n"/>
    </row>
    <row r="53" ht="12.75" customHeight="1">
      <c r="A53" s="130" t="n">
        <v>2650000</v>
      </c>
      <c r="B53" s="1" t="inlineStr">
        <is>
          <t>RC Kortlopend WPNL- V B.V.</t>
        </is>
      </c>
      <c r="C53" s="267" t="n">
        <v>-500000</v>
      </c>
      <c r="E53" s="346" t="n">
        <v>-5000</v>
      </c>
      <c r="H53" s="290">
        <f>SUM(C53:G53)</f>
        <v/>
      </c>
      <c r="I53" s="264" t="n"/>
    </row>
    <row r="54" ht="12.75" customHeight="1">
      <c r="A54" s="1" t="inlineStr">
        <is>
          <t>2512100</t>
        </is>
      </c>
      <c r="B54" s="1" t="inlineStr">
        <is>
          <t>BEL Afgedragen/ontvangen BTW</t>
        </is>
      </c>
      <c r="C54" s="267" t="n">
        <v>-2451</v>
      </c>
      <c r="D54" s="293">
        <f>VLOOKUP(A54,[3]Kolommenbalans!B$1:D$65536,3,FALSE)</f>
        <v/>
      </c>
      <c r="E54" s="293" t="n">
        <v>-2177</v>
      </c>
      <c r="F54" s="293">
        <f>3176-1</f>
        <v/>
      </c>
      <c r="G54" s="293" t="n">
        <v>-7316</v>
      </c>
      <c r="H54" s="290">
        <f>SUM(C54:G54)</f>
        <v/>
      </c>
    </row>
    <row r="55" ht="12.75" customHeight="1">
      <c r="A55" s="1" t="inlineStr">
        <is>
          <t>2740100</t>
        </is>
      </c>
      <c r="B55" s="1" t="inlineStr">
        <is>
          <t>KLS Vooruitgefactureerde bedragen</t>
        </is>
      </c>
      <c r="C55" s="267" t="n">
        <v>-947735</v>
      </c>
      <c r="D55" s="293">
        <f>VLOOKUP(A55,[3]Kolommenbalans!B$1:D$65536,3,FALSE)</f>
        <v/>
      </c>
      <c r="E55" s="293" t="n">
        <v>1511.29</v>
      </c>
      <c r="F55" s="293" t="n">
        <v>-127085</v>
      </c>
      <c r="G55" s="293" t="n">
        <v>-3870</v>
      </c>
      <c r="H55" s="290">
        <f>SUM(C55:G55)</f>
        <v/>
      </c>
      <c r="I55" s="264" t="n"/>
    </row>
    <row r="56" ht="12.75" customHeight="1">
      <c r="A56" s="1" t="inlineStr">
        <is>
          <t>2740300</t>
        </is>
      </c>
      <c r="B56" s="1" t="inlineStr">
        <is>
          <t>KLS Te betalen waarborgsommen kortlopend</t>
        </is>
      </c>
      <c r="C56" s="267" t="n">
        <v>-962302</v>
      </c>
      <c r="D56" s="293">
        <f>VLOOKUP(A56,[3]Kolommenbalans!B$1:D$65536,3,FALSE)</f>
        <v/>
      </c>
      <c r="E56" s="293" t="n">
        <v>3736</v>
      </c>
      <c r="F56" s="293">
        <f>10637.04+1</f>
        <v/>
      </c>
      <c r="G56" s="293" t="n">
        <v>8876</v>
      </c>
      <c r="H56" s="290">
        <f>SUM(C56:G56)</f>
        <v/>
      </c>
    </row>
    <row r="57" ht="12.75" customHeight="1">
      <c r="A57" s="1" t="inlineStr">
        <is>
          <t>2740500</t>
        </is>
      </c>
      <c r="B57" s="1" t="inlineStr">
        <is>
          <t>KLS Te betalen accountants- en administratiekosten</t>
        </is>
      </c>
      <c r="C57" s="267" t="n">
        <v>-45000</v>
      </c>
      <c r="H57" s="290">
        <f>SUM(C57:G57)</f>
        <v/>
      </c>
    </row>
    <row r="58" ht="12.75" customHeight="1">
      <c r="A58" s="1" t="inlineStr">
        <is>
          <t>2741000</t>
        </is>
      </c>
      <c r="B58" s="1" t="inlineStr">
        <is>
          <t>KLS Te betalen servicekosten</t>
        </is>
      </c>
      <c r="C58" s="267" t="n">
        <v>1</v>
      </c>
      <c r="D58" s="293">
        <f>VLOOKUP(A58,[3]Kolommenbalans!B$1:D$65536,3,FALSE)</f>
        <v/>
      </c>
      <c r="H58" s="290">
        <f>SUM(C58:G58)</f>
        <v/>
      </c>
    </row>
    <row r="59" ht="12.75" customHeight="1">
      <c r="A59" s="1" t="inlineStr">
        <is>
          <t>2741001</t>
        </is>
      </c>
      <c r="B59" s="1" t="inlineStr">
        <is>
          <t>KLS Te betalen servicekosten -</t>
        </is>
      </c>
      <c r="C59" s="267" t="n">
        <v>0</v>
      </c>
      <c r="H59" s="290">
        <f>SUM(C59:G59)</f>
        <v/>
      </c>
    </row>
    <row r="60" ht="12.75" customHeight="1">
      <c r="A60" s="1" t="inlineStr">
        <is>
          <t>2741004</t>
        </is>
      </c>
      <c r="B60" s="1" t="inlineStr">
        <is>
          <t>KLS Te betalen Hoen</t>
        </is>
      </c>
      <c r="C60" s="267" t="n">
        <v>-261801</v>
      </c>
      <c r="D60" s="293">
        <f>VLOOKUP(A60,[3]Kolommenbalans!B$1:D$65536,3,FALSE)</f>
        <v/>
      </c>
      <c r="E60" s="293" t="n">
        <v>-45993.21</v>
      </c>
      <c r="F60" s="293">
        <f>-140627-1</f>
        <v/>
      </c>
      <c r="G60" s="293" t="n">
        <v>96028</v>
      </c>
      <c r="H60" s="290">
        <f>SUM(C60:G60)</f>
        <v/>
      </c>
    </row>
    <row r="61" ht="12.75" customHeight="1">
      <c r="A61" s="1" t="inlineStr">
        <is>
          <t>2741200</t>
        </is>
      </c>
      <c r="B61" s="1" t="inlineStr">
        <is>
          <t>KLS Te betalen overige kosten</t>
        </is>
      </c>
      <c r="C61" s="267" t="n">
        <v>30002</v>
      </c>
      <c r="D61" s="293">
        <f>VLOOKUP(A61,[3]Kolommenbalans!B$1:D$65536,3,FALSE)</f>
        <v/>
      </c>
      <c r="E61" s="346" t="n">
        <v>-783782.38</v>
      </c>
      <c r="F61" s="293" t="n">
        <v>783782.38</v>
      </c>
      <c r="H61" s="290">
        <f>SUM(C61:G61)</f>
        <v/>
      </c>
      <c r="I61" s="296" t="n"/>
    </row>
    <row r="62" ht="12.75" customHeight="1">
      <c r="A62" s="1" t="inlineStr">
        <is>
          <t>2742000</t>
        </is>
      </c>
      <c r="B62" s="1" t="inlineStr">
        <is>
          <t>KLS Vraagposten</t>
        </is>
      </c>
      <c r="C62" s="267" t="n">
        <v>0</v>
      </c>
      <c r="D62" s="293">
        <f>VLOOKUP(A62,[3]Kolommenbalans!B$1:D$65536,3,FALSE)</f>
        <v/>
      </c>
      <c r="H62" s="290">
        <f>SUM(C62:G62)</f>
        <v/>
      </c>
    </row>
    <row r="63" ht="12.75" customHeight="1">
      <c r="A63" s="130" t="inlineStr">
        <is>
          <t>2760000</t>
        </is>
      </c>
      <c r="B63" s="1" t="inlineStr">
        <is>
          <t>KLS Saldo lening DMRRP INV - I BV</t>
        </is>
      </c>
      <c r="C63" s="267" t="n">
        <v>0</v>
      </c>
      <c r="D63" s="293">
        <f>VLOOKUP(A63,[3]Kolommenbalans!B$1:D$65536,3,FALSE)</f>
        <v/>
      </c>
      <c r="H63" s="290">
        <f>SUM(C63:G63)</f>
        <v/>
      </c>
    </row>
    <row r="64" ht="12.75" customHeight="1">
      <c r="A64" s="130" t="n">
        <v>2502020</v>
      </c>
      <c r="B64" s="1" t="inlineStr">
        <is>
          <t>Servicekosten 2020</t>
        </is>
      </c>
      <c r="C64" s="267" t="n">
        <v>789</v>
      </c>
      <c r="E64" s="293" t="n">
        <v>-788.66</v>
      </c>
      <c r="H64" s="290">
        <f>SUM(C64:G64)</f>
        <v/>
      </c>
      <c r="I64" s="290" t="n"/>
    </row>
    <row r="65" ht="12.75" customHeight="1">
      <c r="A65" s="1" t="inlineStr">
        <is>
          <t>2502021</t>
        </is>
      </c>
      <c r="B65" s="1" t="inlineStr">
        <is>
          <t>Servicekosten 2021</t>
        </is>
      </c>
      <c r="C65" s="267" t="n">
        <v>-4520</v>
      </c>
      <c r="D65" s="293">
        <f>VLOOKUP(A65,[3]Kolommenbalans!B$1:D$65536,3,FALSE)</f>
        <v/>
      </c>
      <c r="E65" s="346" t="n">
        <v>11164.33</v>
      </c>
      <c r="F65" s="293" t="n">
        <v>-5932.67</v>
      </c>
      <c r="H65" s="290">
        <f>SUM(C65:G65)</f>
        <v/>
      </c>
      <c r="I65" s="362" t="n"/>
    </row>
    <row r="66" ht="12.75" customHeight="1">
      <c r="A66" s="1" t="inlineStr">
        <is>
          <t>2502022</t>
        </is>
      </c>
      <c r="B66" s="1" t="inlineStr">
        <is>
          <t>Servicekosten 2022</t>
        </is>
      </c>
      <c r="C66" s="267" t="n">
        <v>-81911</v>
      </c>
      <c r="D66" s="293">
        <f>VLOOKUP(A66,[3]Kolommenbalans!B$1:D$65536,3,FALSE)</f>
        <v/>
      </c>
      <c r="E66" s="346" t="n">
        <v>85939.7</v>
      </c>
      <c r="F66" s="293" t="n">
        <v>679.9299999999999</v>
      </c>
      <c r="H66" s="290">
        <f>SUM(C66:G66)</f>
        <v/>
      </c>
      <c r="I66" s="362" t="n"/>
    </row>
    <row r="67" ht="12.75" customHeight="1">
      <c r="A67" s="1" t="inlineStr">
        <is>
          <t>2502023</t>
        </is>
      </c>
      <c r="B67" s="1" t="inlineStr">
        <is>
          <t>Servicekosten 2023</t>
        </is>
      </c>
      <c r="C67" s="267" t="n">
        <v>-203037</v>
      </c>
      <c r="D67" s="293">
        <f>VLOOKUP(A67,[3]Kolommenbalans!B$1:D$65536,3,FALSE)</f>
        <v/>
      </c>
      <c r="E67" s="346" t="n">
        <v>174386.43</v>
      </c>
      <c r="F67" s="293" t="n">
        <v>-5964</v>
      </c>
      <c r="G67" s="293" t="n">
        <v>-3879</v>
      </c>
      <c r="H67" s="290">
        <f>SUM(C67:G67)</f>
        <v/>
      </c>
      <c r="I67" s="362" t="n"/>
    </row>
    <row r="68" ht="12.75" customHeight="1">
      <c r="A68" s="302" t="inlineStr">
        <is>
          <t>2502024</t>
        </is>
      </c>
      <c r="B68" s="302" t="inlineStr">
        <is>
          <t>Servicekosten 2024</t>
        </is>
      </c>
      <c r="C68" s="268" t="n">
        <v>218405</v>
      </c>
      <c r="D68" s="293">
        <f>VLOOKUP(A68,[3]Kolommenbalans!B$1:D$65536,3,FALSE)</f>
        <v/>
      </c>
      <c r="E68" s="293">
        <f>-187446.25-1</f>
        <v/>
      </c>
      <c r="F68" s="293" t="n">
        <v>63895</v>
      </c>
      <c r="G68" s="293" t="n">
        <v>-288810</v>
      </c>
      <c r="H68" s="290">
        <f>SUM(C68:G68)</f>
        <v/>
      </c>
    </row>
    <row r="69" ht="12.75" customHeight="1">
      <c r="A69" s="302" t="inlineStr">
        <is>
          <t>2502024</t>
        </is>
      </c>
      <c r="B69" s="302" t="inlineStr">
        <is>
          <t>Servicekosten 2025</t>
        </is>
      </c>
      <c r="C69" s="268" t="n">
        <v>0</v>
      </c>
      <c r="F69" s="293">
        <f>23666+2</f>
        <v/>
      </c>
      <c r="G69" s="293" t="n">
        <v>-3049</v>
      </c>
      <c r="H69" s="290">
        <f>SUM(C69:G69)</f>
        <v/>
      </c>
    </row>
    <row r="70" ht="12.75" customHeight="1">
      <c r="H70" s="290" t="n"/>
    </row>
    <row r="71" ht="12.75" customHeight="1">
      <c r="A71" s="132" t="inlineStr">
        <is>
          <t>Winst- en verliesrekening (baten zijn negatief, kosten positief)</t>
        </is>
      </c>
      <c r="H71" s="290" t="n"/>
    </row>
    <row r="72" ht="12.75" customHeight="1">
      <c r="H72" s="290" t="n"/>
    </row>
    <row r="73" ht="12.75" customHeight="1">
      <c r="A73" s="1" t="inlineStr">
        <is>
          <t>8000003</t>
        </is>
      </c>
      <c r="B73" s="1" t="inlineStr">
        <is>
          <t>OPB Netto-omzet Theoretische huuropbrengsten</t>
        </is>
      </c>
      <c r="D73" s="293">
        <f>VLOOKUP(A73,[3]Kolommenbalans!B$1:D$65536,3,FALSE)</f>
        <v/>
      </c>
      <c r="E73" s="293" t="n">
        <v>-3186800.49</v>
      </c>
      <c r="F73" s="293" t="n">
        <v>-3209085.09</v>
      </c>
      <c r="G73" s="293" t="n">
        <v>-3200539.89</v>
      </c>
      <c r="H73" s="290">
        <f>SUM(C73:G73)</f>
        <v/>
      </c>
      <c r="I73" s="290" t="n"/>
    </row>
    <row r="74" ht="12.75" customHeight="1">
      <c r="A74" s="1" t="inlineStr">
        <is>
          <t>8000004</t>
        </is>
      </c>
      <c r="B74" s="1" t="inlineStr">
        <is>
          <t>OPB Netto-omzet Leegstand huuropbrengsten</t>
        </is>
      </c>
      <c r="D74" s="293">
        <f>VLOOKUP(A74,[3]Kolommenbalans!B$1:D$65536,3,FALSE)</f>
        <v/>
      </c>
      <c r="E74" s="293" t="n">
        <v>106874.37</v>
      </c>
      <c r="F74" s="293" t="n">
        <v>143610.3</v>
      </c>
      <c r="G74" s="293" t="n">
        <v>133088.46</v>
      </c>
      <c r="H74" s="290">
        <f>SUM(C74:G74)</f>
        <v/>
      </c>
      <c r="I74" s="290" t="n"/>
    </row>
    <row r="75" ht="12.75" customHeight="1">
      <c r="H75" s="290" t="n"/>
      <c r="I75" s="290" t="n"/>
    </row>
    <row r="76" ht="12.75" customHeight="1">
      <c r="A76" s="1" t="inlineStr">
        <is>
          <t>8400600</t>
        </is>
      </c>
      <c r="B76" s="1" t="inlineStr">
        <is>
          <t>OPB Overige bedrijfsopbrengsten Totale servicekosten</t>
        </is>
      </c>
      <c r="D76" s="293">
        <f>VLOOKUP(A76,[3]Kolommenbalans!B$1:D$65536,3,FALSE)</f>
        <v/>
      </c>
      <c r="E76" s="293" t="n">
        <v>76472.45</v>
      </c>
      <c r="F76" s="293" t="n">
        <v>-294</v>
      </c>
      <c r="G76" s="293" t="n">
        <v>-301.7</v>
      </c>
      <c r="H76" s="290">
        <f>SUM(C76:G76)</f>
        <v/>
      </c>
      <c r="I76" s="290" t="n"/>
    </row>
    <row r="77" ht="12.75" customHeight="1">
      <c r="A77" s="1" t="inlineStr">
        <is>
          <t>8400700</t>
        </is>
      </c>
      <c r="B77" s="1" t="inlineStr">
        <is>
          <t>OPB Overige bedrijfsopbrengsten Servicekosten leegstand</t>
        </is>
      </c>
      <c r="D77" s="293">
        <f>VLOOKUP(A77,[3]Kolommenbalans!B$1:D$65536,3,FALSE)</f>
        <v/>
      </c>
      <c r="E77" s="293" t="n">
        <v>-167419.98</v>
      </c>
      <c r="F77" s="293" t="n">
        <v>8776</v>
      </c>
      <c r="G77" s="293" t="n">
        <v>6470.43</v>
      </c>
      <c r="H77" s="290">
        <f>SUM(C77:G77)</f>
        <v/>
      </c>
      <c r="I77" s="290" t="n"/>
    </row>
    <row r="78" ht="12.75" customHeight="1">
      <c r="A78" s="1" t="inlineStr">
        <is>
          <t>8400800</t>
        </is>
      </c>
      <c r="B78" s="1" t="inlineStr">
        <is>
          <t>OPB Overige bedrijfsopbrengsten Gerealiseerde servicekosten</t>
        </is>
      </c>
      <c r="D78" s="293">
        <f>VLOOKUP(A78,[3]Kolommenbalans!B$1:D$65536,3,FALSE)</f>
        <v/>
      </c>
      <c r="E78" s="346" t="n">
        <v>-279511.1</v>
      </c>
      <c r="F78" s="293" t="n">
        <v>131053</v>
      </c>
      <c r="G78" s="293" t="n">
        <v>164115.12</v>
      </c>
      <c r="H78" s="290">
        <f>SUM(C78:G78)</f>
        <v/>
      </c>
      <c r="I78" s="362" t="n"/>
    </row>
    <row r="79" ht="12.75" customHeight="1">
      <c r="H79" s="290" t="n"/>
      <c r="I79" s="290" t="n"/>
    </row>
    <row r="80" ht="12.75" customHeight="1">
      <c r="A80" s="1" t="inlineStr">
        <is>
          <t>4051400</t>
        </is>
      </c>
      <c r="B80" s="1" t="inlineStr">
        <is>
          <t>KN Diensten door derden</t>
        </is>
      </c>
      <c r="D80" s="293">
        <f>VLOOKUP(A80,[3]Kolommenbalans!B$1:D$65536,3,FALSE)</f>
        <v/>
      </c>
      <c r="E80" s="293" t="n">
        <v>135444.14</v>
      </c>
      <c r="F80" s="293" t="n">
        <v>137751</v>
      </c>
      <c r="G80" s="293" t="n">
        <v>135540.07</v>
      </c>
      <c r="H80" s="290">
        <f>SUM(C80:G80)</f>
        <v/>
      </c>
      <c r="I80" s="290" t="n"/>
    </row>
    <row r="81" ht="12.75" customHeight="1">
      <c r="H81" s="290" t="n"/>
      <c r="I81" s="290" t="n"/>
    </row>
    <row r="82" ht="12.75" customHeight="1">
      <c r="A82" s="1" t="inlineStr">
        <is>
          <t>4730000</t>
        </is>
      </c>
      <c r="B82" s="1" t="inlineStr">
        <is>
          <t>AFKN Afschrijvingskosten -</t>
        </is>
      </c>
      <c r="D82" s="293">
        <f>VLOOKUP(A82,[3]Kolommenbalans!B$1:D$65536,3,FALSE)</f>
        <v/>
      </c>
      <c r="E82" s="293" t="n">
        <v>793542</v>
      </c>
      <c r="F82" s="293" t="n">
        <v>811996</v>
      </c>
      <c r="G82" s="293" t="n">
        <v>822632</v>
      </c>
      <c r="H82" s="290">
        <f>SUM(C82:G82)</f>
        <v/>
      </c>
      <c r="I82" s="290" t="n"/>
    </row>
    <row r="83" ht="12.75" customHeight="1">
      <c r="A83" s="1" t="inlineStr">
        <is>
          <t>4730200</t>
        </is>
      </c>
      <c r="B83" s="1" t="inlineStr">
        <is>
          <t>AFKN Boekresultaat -</t>
        </is>
      </c>
      <c r="D83" s="293">
        <f>VLOOKUP(A83,[3]Kolommenbalans!B$1:D$65536,3,FALSE)</f>
        <v/>
      </c>
      <c r="E83" s="293" t="n">
        <v>0</v>
      </c>
      <c r="F83" s="293" t="n">
        <v>-1202123</v>
      </c>
      <c r="G83" s="293" t="n">
        <v>-566976</v>
      </c>
      <c r="H83" s="290">
        <f>SUM(C83:G83)</f>
        <v/>
      </c>
      <c r="I83" s="290" t="n"/>
    </row>
    <row r="84" ht="12.75" customHeight="1">
      <c r="H84" s="290" t="n"/>
      <c r="I84" s="290" t="n"/>
    </row>
    <row r="85" ht="12.75" customHeight="1">
      <c r="A85" s="1" t="inlineStr">
        <is>
          <t>4100400</t>
        </is>
      </c>
      <c r="B85" s="1" t="inlineStr">
        <is>
          <t>KN Onderhoud gebouwen</t>
        </is>
      </c>
      <c r="D85" s="346" t="n">
        <v>216162</v>
      </c>
      <c r="E85" s="346" t="n">
        <v>320115.76</v>
      </c>
      <c r="F85" s="293" t="n">
        <v>335314</v>
      </c>
      <c r="G85" s="293" t="n">
        <v>297751.92</v>
      </c>
      <c r="H85" s="290">
        <f>SUM(C85:G85)</f>
        <v/>
      </c>
      <c r="I85" s="264" t="n"/>
    </row>
    <row r="86" ht="12.75" customHeight="1">
      <c r="A86" s="1" t="inlineStr">
        <is>
          <t>4100900</t>
        </is>
      </c>
      <c r="B86" s="1" t="inlineStr">
        <is>
          <t>KN Onroerende zaakbelasting</t>
        </is>
      </c>
      <c r="D86" s="293">
        <f>VLOOKUP(A86,[3]Kolommenbalans!B$1:D$65536,3,FALSE)</f>
        <v/>
      </c>
      <c r="E86" s="293" t="n">
        <v>69696.85000000001</v>
      </c>
      <c r="F86" s="293" t="n">
        <v>80016</v>
      </c>
      <c r="G86" s="293" t="n">
        <v>39003.59</v>
      </c>
      <c r="H86" s="290">
        <f>SUM(C86:G86)</f>
        <v/>
      </c>
      <c r="I86" s="290" t="n"/>
      <c r="J86" s="290" t="n"/>
    </row>
    <row r="87" ht="12.75" customHeight="1">
      <c r="A87" s="1" t="inlineStr">
        <is>
          <t>4101000</t>
        </is>
      </c>
      <c r="B87" s="1" t="inlineStr">
        <is>
          <t>KN Vaste lasten</t>
        </is>
      </c>
      <c r="D87" s="293">
        <f>VLOOKUP(A87,[3]Kolommenbalans!B$1:D$65536,3,FALSE)</f>
        <v/>
      </c>
      <c r="E87" s="346" t="n">
        <v>180464.32</v>
      </c>
      <c r="F87" s="293" t="n">
        <v>199784</v>
      </c>
      <c r="G87" s="293" t="n">
        <v>182457.86</v>
      </c>
      <c r="H87" s="290">
        <f>SUM(C87:G87)</f>
        <v/>
      </c>
      <c r="I87" s="264" t="n"/>
    </row>
    <row r="88" ht="12.75" customHeight="1">
      <c r="A88" s="1" t="inlineStr">
        <is>
          <t>4100410</t>
        </is>
      </c>
      <c r="B88" s="1" t="inlineStr">
        <is>
          <t>Verhuurdersheffing</t>
        </is>
      </c>
      <c r="F88" s="293" t="n">
        <v>63619</v>
      </c>
      <c r="G88" s="293" t="n">
        <v>63619.5</v>
      </c>
      <c r="H88" s="290">
        <f>SUM(C88:G88)</f>
        <v/>
      </c>
      <c r="I88" s="290" t="n"/>
    </row>
    <row r="89" ht="12.75" customHeight="1">
      <c r="A89" s="1" t="inlineStr">
        <is>
          <t>4101010</t>
        </is>
      </c>
      <c r="B89" s="1" t="inlineStr">
        <is>
          <t>Gemeentelijke belastingen</t>
        </is>
      </c>
      <c r="D89" s="293">
        <f>VLOOKUP(A89,[3]Kolommenbalans!B$1:D$65536,3,FALSE)</f>
        <v/>
      </c>
      <c r="E89" s="346" t="n">
        <v>27115.88</v>
      </c>
      <c r="F89" s="293" t="n">
        <v>26493</v>
      </c>
      <c r="G89" s="293" t="n">
        <v>19625.9</v>
      </c>
      <c r="H89" s="290">
        <f>SUM(C89:G89)</f>
        <v/>
      </c>
      <c r="I89" s="264" t="n"/>
      <c r="J89" s="290" t="n"/>
    </row>
    <row r="90" ht="12.75" customHeight="1">
      <c r="A90" s="1" t="inlineStr">
        <is>
          <t>4101020</t>
        </is>
      </c>
      <c r="B90" s="1" t="inlineStr">
        <is>
          <t>Waterschapsbelasting</t>
        </is>
      </c>
      <c r="D90" s="293">
        <f>VLOOKUP(A90,[3]Kolommenbalans!B$1:D$65536,3,FALSE)</f>
        <v/>
      </c>
      <c r="E90" s="346" t="n">
        <v>13307.02</v>
      </c>
      <c r="F90" s="293" t="n">
        <v>10678.06</v>
      </c>
      <c r="G90" s="293" t="n">
        <v>82958.5</v>
      </c>
      <c r="H90" s="290">
        <f>SUM(C90:G90)</f>
        <v/>
      </c>
      <c r="I90" s="264" t="n"/>
    </row>
    <row r="91" ht="12.75" customHeight="1">
      <c r="A91" s="1" t="inlineStr">
        <is>
          <t>4101300</t>
        </is>
      </c>
      <c r="B91" s="1" t="inlineStr">
        <is>
          <t>KN Servicekosten leegstand</t>
        </is>
      </c>
      <c r="D91" s="293">
        <f>VLOOKUP(A91,[3]Kolommenbalans!B$1:D$65536,3,FALSE)</f>
        <v/>
      </c>
      <c r="F91" s="293" t="n">
        <v>-765.02</v>
      </c>
      <c r="G91" s="293" t="n">
        <v>-300.34</v>
      </c>
      <c r="H91" s="290">
        <f>SUM(C91:G91)</f>
        <v/>
      </c>
      <c r="I91" s="290" t="n"/>
    </row>
    <row r="92" ht="12.75" customHeight="1">
      <c r="H92" s="290" t="n"/>
      <c r="I92" s="290" t="n"/>
    </row>
    <row r="93" ht="12.75" customHeight="1">
      <c r="A93" s="1" t="inlineStr">
        <is>
          <t>4501200</t>
        </is>
      </c>
      <c r="B93" s="1" t="inlineStr">
        <is>
          <t>KN Mutatie voorziening dubieuze debiteuren</t>
        </is>
      </c>
      <c r="E93" s="346" t="n">
        <v>81794.69</v>
      </c>
      <c r="H93" s="290">
        <f>SUM(C93:G93)</f>
        <v/>
      </c>
      <c r="I93" s="264" t="n"/>
    </row>
    <row r="94" ht="12.75" customHeight="1">
      <c r="A94" s="1" t="inlineStr">
        <is>
          <t>4501300</t>
        </is>
      </c>
      <c r="B94" s="1" t="inlineStr">
        <is>
          <t>KN Afboeking dubieuze debiteuren</t>
        </is>
      </c>
      <c r="D94" s="293">
        <f>VLOOKUP(A94,[3]Kolommenbalans!B$1:D$65536,3,FALSE)</f>
        <v/>
      </c>
      <c r="E94" s="293" t="n">
        <v>10216.44</v>
      </c>
      <c r="F94" s="293" t="n">
        <v>311.29</v>
      </c>
      <c r="G94" s="293" t="n">
        <v>5045.3</v>
      </c>
      <c r="H94" s="290">
        <f>SUM(C94:G94)</f>
        <v/>
      </c>
      <c r="I94" s="290" t="n"/>
    </row>
    <row r="95" ht="12.75" customHeight="1">
      <c r="H95" s="290" t="n"/>
      <c r="I95" s="290" t="n"/>
    </row>
    <row r="96" ht="12.75" customHeight="1">
      <c r="A96" s="1" t="inlineStr">
        <is>
          <t>4300200</t>
        </is>
      </c>
      <c r="B96" s="1" t="inlineStr">
        <is>
          <t>KN Communicatiekosten</t>
        </is>
      </c>
      <c r="E96" s="293" t="n">
        <v>36.63</v>
      </c>
      <c r="H96" s="290">
        <f>SUM(D96:G96)</f>
        <v/>
      </c>
      <c r="I96" s="290" t="n"/>
    </row>
    <row r="97" ht="12.75" customHeight="1">
      <c r="A97" s="1" t="inlineStr">
        <is>
          <t>4300500</t>
        </is>
      </c>
      <c r="B97" s="1" t="inlineStr">
        <is>
          <t>KN Incassokosten</t>
        </is>
      </c>
      <c r="D97" s="293">
        <f>VLOOKUP(A97,[3]Kolommenbalans!B$1:D$65536,3,FALSE)</f>
        <v/>
      </c>
      <c r="E97" s="293" t="n">
        <v>500</v>
      </c>
      <c r="F97" s="293" t="n">
        <v>740</v>
      </c>
      <c r="G97" s="293" t="n">
        <v>500</v>
      </c>
      <c r="H97" s="290">
        <f>SUM(D97:G97)</f>
        <v/>
      </c>
      <c r="I97" s="290" t="n"/>
    </row>
    <row r="98" ht="12.75" customHeight="1">
      <c r="H98" s="290" t="n"/>
      <c r="I98" s="290" t="n"/>
    </row>
    <row r="99" ht="12.75" customHeight="1">
      <c r="A99" s="1" t="inlineStr">
        <is>
          <t>4310400</t>
        </is>
      </c>
      <c r="B99" s="1" t="inlineStr">
        <is>
          <t>KN Assurantiepremie algemeen</t>
        </is>
      </c>
      <c r="D99" s="293">
        <f>VLOOKUP(A99,[3]Kolommenbalans!B$1:D$65536,3,FALSE)</f>
        <v/>
      </c>
      <c r="E99" s="293" t="n">
        <v>18609.21</v>
      </c>
      <c r="F99" s="293" t="n">
        <v>29994.09</v>
      </c>
      <c r="G99" s="293" t="n">
        <v>47533.15</v>
      </c>
      <c r="H99" s="290">
        <f>SUM(D99:G99)</f>
        <v/>
      </c>
      <c r="I99" s="290" t="n"/>
      <c r="J99" s="290" t="n"/>
    </row>
    <row r="100" ht="12.75" customHeight="1">
      <c r="A100" s="1" t="inlineStr">
        <is>
          <t>4310500</t>
        </is>
      </c>
      <c r="B100" s="1" t="inlineStr">
        <is>
          <t>KN Managementvergoeding</t>
        </is>
      </c>
      <c r="D100" s="293">
        <f>VLOOKUP(A100,[3]Kolommenbalans!B$1:D$65536,3,FALSE)</f>
        <v/>
      </c>
      <c r="E100" s="293" t="n">
        <v>1500</v>
      </c>
      <c r="F100" s="293" t="n">
        <v>1500</v>
      </c>
      <c r="G100" s="293" t="n">
        <v>1500</v>
      </c>
      <c r="H100" s="290">
        <f>SUM(D100:G100)</f>
        <v/>
      </c>
      <c r="I100" s="290" t="n"/>
    </row>
    <row r="101" ht="12.75" customHeight="1">
      <c r="A101" s="1" t="inlineStr">
        <is>
          <t>4310600</t>
        </is>
      </c>
      <c r="B101" s="1" t="inlineStr">
        <is>
          <t>KN Accountantskosten</t>
        </is>
      </c>
      <c r="D101" s="293">
        <f>VLOOKUP(A101,[3]Kolommenbalans!B$1:D$65536,3,FALSE)</f>
        <v/>
      </c>
      <c r="E101" s="346" t="n">
        <v>28685.98</v>
      </c>
      <c r="F101" s="357" t="n">
        <v>33105</v>
      </c>
      <c r="G101" s="293" t="n">
        <v>42192.41</v>
      </c>
      <c r="H101" s="290">
        <f>SUM(D101:G101)</f>
        <v/>
      </c>
      <c r="I101" s="264" t="inlineStr">
        <is>
          <t xml:space="preserve">Factuur geboekt door zowel Hoen als BDO </t>
        </is>
      </c>
    </row>
    <row r="102" ht="12.75" customHeight="1">
      <c r="A102" s="1" t="inlineStr">
        <is>
          <t>4310700</t>
        </is>
      </c>
      <c r="B102" s="1" t="inlineStr">
        <is>
          <t>KN Administratiekosten</t>
        </is>
      </c>
      <c r="D102" s="293">
        <f>VLOOKUP(A102,[3]Kolommenbalans!B$1:D$65536,3,FALSE)</f>
        <v/>
      </c>
      <c r="E102" s="293" t="n">
        <v>1397.55</v>
      </c>
      <c r="G102" s="293" t="n">
        <v>2934.86</v>
      </c>
      <c r="H102" s="290">
        <f>SUM(D102:G102)</f>
        <v/>
      </c>
      <c r="I102" s="290" t="n"/>
    </row>
    <row r="103" ht="12.75" customHeight="1">
      <c r="A103" s="1" t="inlineStr">
        <is>
          <t>4310800</t>
        </is>
      </c>
      <c r="B103" s="1" t="inlineStr">
        <is>
          <t>KN Notariskosten</t>
        </is>
      </c>
      <c r="D103" s="293">
        <f>VLOOKUP(A103,[3]Kolommenbalans!B$1:D$65536,3,FALSE)</f>
        <v/>
      </c>
      <c r="E103" s="346" t="n">
        <v>40046.62</v>
      </c>
      <c r="F103" s="293" t="n">
        <v>62948.91</v>
      </c>
      <c r="G103" s="293" t="n">
        <v>33708.66</v>
      </c>
      <c r="H103" s="290">
        <f>SUM(D103:G103)</f>
        <v/>
      </c>
      <c r="I103" s="264" t="n"/>
    </row>
    <row r="104" ht="12.75" customHeight="1">
      <c r="A104" s="1" t="inlineStr">
        <is>
          <t>4311000</t>
        </is>
      </c>
      <c r="B104" s="1" t="inlineStr">
        <is>
          <t>KN Juridische kosten</t>
        </is>
      </c>
      <c r="D104" s="293">
        <f>VLOOKUP(A104,[3]Kolommenbalans!B$1:D$65536,3,FALSE)</f>
        <v/>
      </c>
      <c r="E104" s="346" t="n">
        <v>21661.23</v>
      </c>
      <c r="F104" s="293" t="n">
        <v>23359.27</v>
      </c>
      <c r="G104" s="293" t="n">
        <v>26403.76</v>
      </c>
      <c r="H104" s="290">
        <f>SUM(D104:G104)</f>
        <v/>
      </c>
      <c r="I104" s="264" t="n"/>
    </row>
    <row r="105" ht="12.75" customHeight="1">
      <c r="A105" s="1" t="inlineStr">
        <is>
          <t>4311800</t>
        </is>
      </c>
      <c r="B105" s="1" t="inlineStr">
        <is>
          <t>KN Advieskosten</t>
        </is>
      </c>
      <c r="D105" s="293">
        <f>VLOOKUP(A105,[3]Kolommenbalans!B$1:D$65536,3,FALSE)</f>
        <v/>
      </c>
      <c r="E105" s="346" t="n">
        <v>35200</v>
      </c>
      <c r="F105" s="357" t="n">
        <v>11000</v>
      </c>
      <c r="G105" s="293" t="n">
        <v>66841.5</v>
      </c>
      <c r="H105" s="290">
        <f>SUM(D105:G105)</f>
        <v/>
      </c>
      <c r="I105" s="264" t="inlineStr">
        <is>
          <t xml:space="preserve">Herpresentatie </t>
        </is>
      </c>
    </row>
    <row r="106" ht="12.75" customHeight="1">
      <c r="A106" s="1" t="inlineStr">
        <is>
          <t>4311900</t>
        </is>
      </c>
      <c r="B106" s="1" t="inlineStr">
        <is>
          <t>KN Bankkosten</t>
        </is>
      </c>
      <c r="D106" s="346" t="n">
        <v>30223</v>
      </c>
      <c r="E106" s="293" t="n">
        <v>30061.71</v>
      </c>
      <c r="F106" s="293" t="n">
        <v>30747</v>
      </c>
      <c r="G106" s="293" t="n">
        <v>30189.5</v>
      </c>
      <c r="H106" s="290">
        <f>SUM(D106:G106)</f>
        <v/>
      </c>
      <c r="I106" s="362" t="n"/>
    </row>
    <row r="107" ht="12.75" customHeight="1">
      <c r="A107" s="1" t="inlineStr">
        <is>
          <t>4312600</t>
        </is>
      </c>
      <c r="B107" s="1" t="inlineStr">
        <is>
          <t>KN Diverse lasten</t>
        </is>
      </c>
      <c r="D107" s="293">
        <f>VLOOKUP(A107,[3]Kolommenbalans!B$1:D$65536,3,FALSE)</f>
        <v/>
      </c>
      <c r="E107" s="293" t="n">
        <v>40000</v>
      </c>
      <c r="H107" s="290">
        <f>SUM(D107:G107)</f>
        <v/>
      </c>
      <c r="I107" s="290" t="n"/>
    </row>
    <row r="108" ht="12.75" customHeight="1">
      <c r="A108" s="1" t="inlineStr">
        <is>
          <t>4319800</t>
        </is>
      </c>
      <c r="B108" s="1" t="inlineStr">
        <is>
          <t>KN Overige algemene kosten</t>
        </is>
      </c>
      <c r="D108" s="293">
        <f>VLOOKUP(A108,[3]Kolommenbalans!B$1:D$65536,3,FALSE)</f>
        <v/>
      </c>
      <c r="E108" s="346" t="n">
        <v>4048.3</v>
      </c>
      <c r="F108" s="293" t="n">
        <v>-812.48</v>
      </c>
      <c r="G108" s="293" t="n">
        <v>-12427.33</v>
      </c>
      <c r="H108" s="290">
        <f>SUM(D108:G108)</f>
        <v/>
      </c>
      <c r="I108" s="264" t="n"/>
    </row>
    <row r="109" ht="12.75" customHeight="1">
      <c r="H109" s="290" t="n"/>
      <c r="I109" s="290" t="n"/>
    </row>
    <row r="110" ht="12.75" customHeight="1">
      <c r="A110" s="1" t="inlineStr">
        <is>
          <t>4601000</t>
        </is>
      </c>
      <c r="B110" s="1" t="inlineStr">
        <is>
          <t>FINBL Rente RC D.M. Equity Partners C.V.</t>
        </is>
      </c>
      <c r="H110" s="290">
        <f>SUM(D110:G110)</f>
        <v/>
      </c>
      <c r="I110" s="290" t="n"/>
    </row>
    <row r="111" ht="12.75" customHeight="1">
      <c r="A111" s="1" t="inlineStr">
        <is>
          <t>4611000</t>
        </is>
      </c>
      <c r="B111" s="1" t="inlineStr">
        <is>
          <t>FINBL Rente RC DMRRP INV - I BV</t>
        </is>
      </c>
      <c r="E111" s="346" t="n">
        <v>9557</v>
      </c>
      <c r="H111" s="290">
        <f>SUM(D111:G111)</f>
        <v/>
      </c>
      <c r="I111" s="264" t="n"/>
    </row>
    <row r="112" ht="12.75" customHeight="1">
      <c r="A112" s="130" t="n">
        <v>4613000</v>
      </c>
      <c r="B112" s="1" t="inlineStr">
        <is>
          <t>FINBL Rente WPNL - V B.V.</t>
        </is>
      </c>
      <c r="E112" s="346" t="n">
        <v>5000</v>
      </c>
      <c r="H112" s="290">
        <f>SUM(D112:G112)</f>
        <v/>
      </c>
      <c r="I112" s="264" t="n"/>
    </row>
    <row r="113" ht="12.75" customHeight="1">
      <c r="A113" s="1" t="inlineStr">
        <is>
          <t>4620200</t>
        </is>
      </c>
      <c r="B113" s="1" t="inlineStr">
        <is>
          <t>FINBL Rente ABN AMRO Bank Disposal NL58 ABNA 0818 9180 39</t>
        </is>
      </c>
      <c r="E113" s="293" t="n">
        <v>-10316</v>
      </c>
      <c r="F113" s="293" t="n">
        <v>88.36</v>
      </c>
      <c r="G113" s="293" t="n">
        <v>8.380000000000001</v>
      </c>
      <c r="H113" s="290">
        <f>SUM(D113:G113)</f>
        <v/>
      </c>
      <c r="I113" s="290" t="n"/>
    </row>
    <row r="114" ht="12.75" customHeight="1">
      <c r="A114" s="1" t="inlineStr">
        <is>
          <t>4623001</t>
        </is>
      </c>
      <c r="B114" s="1" t="inlineStr">
        <is>
          <t>FINBL Rente ABN AMRO Bank NV Senior Facility Agreement</t>
        </is>
      </c>
      <c r="D114" s="346" t="n">
        <v>1924988.9</v>
      </c>
      <c r="E114" s="293" t="n">
        <v>1738638.91</v>
      </c>
      <c r="F114" s="293" t="n">
        <v>1484000.59</v>
      </c>
      <c r="G114" s="293" t="n">
        <v>1384964.21</v>
      </c>
      <c r="H114" s="290">
        <f>SUM(D114:G114)</f>
        <v/>
      </c>
      <c r="I114" s="264" t="n"/>
    </row>
    <row r="115" ht="12.75" customHeight="1">
      <c r="A115" s="1" t="inlineStr">
        <is>
          <t>4643000</t>
        </is>
      </c>
      <c r="B115" s="1" t="inlineStr">
        <is>
          <t>FINBL Overige rentelasten</t>
        </is>
      </c>
      <c r="D115" s="346" t="n">
        <v>-181507</v>
      </c>
      <c r="E115" s="293" t="n">
        <v>-76671.34</v>
      </c>
      <c r="F115" s="293" t="n">
        <v>81808</v>
      </c>
      <c r="G115" s="293" t="n">
        <v>171938.04</v>
      </c>
      <c r="H115" s="290">
        <f>SUM(D115:G115)</f>
        <v/>
      </c>
      <c r="I115" s="362" t="n"/>
    </row>
    <row r="116" ht="12.75" customHeight="1">
      <c r="A116" s="1" t="inlineStr">
        <is>
          <t>4642000</t>
        </is>
      </c>
      <c r="B116" s="1" t="inlineStr">
        <is>
          <t>FINBL Overige rentebaten</t>
        </is>
      </c>
      <c r="D116" s="293">
        <f>VLOOKUP(A116,[3]Kolommenbalans!B$1:D$65536,3,FALSE)</f>
        <v/>
      </c>
      <c r="E116" s="346" t="n">
        <v>0</v>
      </c>
      <c r="H116" s="290">
        <f>SUM(D116:G116)</f>
        <v/>
      </c>
      <c r="I116" s="362" t="n"/>
    </row>
    <row r="117" ht="12.75" customHeight="1">
      <c r="A117" s="1" t="inlineStr">
        <is>
          <t>4663000</t>
        </is>
      </c>
      <c r="B117" s="1" t="inlineStr">
        <is>
          <t>FINBL Rente vord DMRRP INV - I BV</t>
        </is>
      </c>
      <c r="D117" s="293">
        <f>VLOOKUP(A117,[3]Kolommenbalans!B$1:D$65536,3,FALSE)</f>
        <v/>
      </c>
      <c r="E117" s="346" t="n">
        <v>-468232.28</v>
      </c>
      <c r="F117" s="293" t="n">
        <v>-397476.14</v>
      </c>
      <c r="G117" s="293" t="n">
        <v>-369637.02</v>
      </c>
      <c r="H117" s="290">
        <f>SUM(D117:G117)</f>
        <v/>
      </c>
      <c r="I117" s="362" t="n"/>
    </row>
    <row r="118" ht="12.75" customHeight="1">
      <c r="H118" s="290" t="n"/>
      <c r="I118" s="290" t="n"/>
    </row>
    <row r="119" ht="12.75" customHeight="1">
      <c r="A119" s="1" t="inlineStr">
        <is>
          <t>9500000</t>
        </is>
      </c>
      <c r="B119" s="1" t="inlineStr">
        <is>
          <t>VPB Vennootschapsbelasting VPB huidig jaar</t>
        </is>
      </c>
      <c r="E119" s="346" t="n">
        <v>2238775</v>
      </c>
      <c r="H119" s="290">
        <f>SUM(D119:G119)</f>
        <v/>
      </c>
      <c r="I119" s="362" t="n"/>
    </row>
    <row r="120" ht="12.75" customHeight="1">
      <c r="A120" s="1" t="inlineStr">
        <is>
          <t>9510000</t>
        </is>
      </c>
      <c r="B120" s="1" t="inlineStr">
        <is>
          <t>VPB Mutatie belastinglatentie Mutatie actieve latentie</t>
        </is>
      </c>
      <c r="D120" s="293">
        <f>VLOOKUP(A120,[3]Kolommenbalans!B$1:D$65536,3,FALSE)</f>
        <v/>
      </c>
      <c r="E120" s="346" t="n">
        <v>-920937</v>
      </c>
      <c r="F120" s="293" t="n">
        <v>-173840</v>
      </c>
      <c r="G120" s="293" t="n">
        <v>-200714</v>
      </c>
      <c r="H120" s="290">
        <f>SUM(D120:G120)</f>
        <v/>
      </c>
      <c r="I120" s="362" t="n"/>
    </row>
    <row r="121" ht="12.75" customHeight="1">
      <c r="H121" s="290" t="n"/>
      <c r="I121" s="290" t="n"/>
    </row>
    <row r="122" ht="12.75" customHeight="1">
      <c r="A122" s="1" t="inlineStr">
        <is>
          <t>Resultaat na belasting</t>
        </is>
      </c>
      <c r="D122" s="293">
        <f>SUM(D73:D120)</f>
        <v/>
      </c>
      <c r="E122" s="293">
        <f>SUM(E73:E120)</f>
        <v/>
      </c>
      <c r="F122" s="293">
        <f>SUM(F73:F120)</f>
        <v/>
      </c>
      <c r="G122" s="293">
        <f>SUM(G73:G120)</f>
        <v/>
      </c>
      <c r="H122" s="290">
        <f>SUM(D122:G122)</f>
        <v/>
      </c>
      <c r="I122" s="290" t="n"/>
    </row>
    <row r="124" ht="12.75" customHeight="1">
      <c r="A124" s="1" t="inlineStr">
        <is>
          <t>Verschil balans en winst-en-verlies</t>
        </is>
      </c>
      <c r="D124" s="293">
        <f>SUM(D5:D120)</f>
        <v/>
      </c>
      <c r="E124" s="293">
        <f>SUM(E5:E120)</f>
        <v/>
      </c>
      <c r="F124" s="293">
        <f>SUM(F5:F120)</f>
        <v/>
      </c>
      <c r="G124" s="293">
        <f>SUM(G5:G120)</f>
        <v/>
      </c>
      <c r="H124" s="293">
        <f>SUM(H5:H120)</f>
        <v/>
      </c>
    </row>
    <row r="126" ht="12.75" customHeight="1">
      <c r="A126" s="130" t="inlineStr">
        <is>
          <t>afschrijving SWAP</t>
        </is>
      </c>
      <c r="C126" s="341" t="n"/>
      <c r="D126" s="289">
        <f>36883.33*3</f>
        <v/>
      </c>
      <c r="E126" s="289">
        <f>36883.33*3</f>
        <v/>
      </c>
      <c r="F126" s="289">
        <f>36883.33*3</f>
        <v/>
      </c>
      <c r="G126" s="289">
        <f>36883.33*3</f>
        <v/>
      </c>
      <c r="H126" s="290" t="n"/>
    </row>
    <row r="127" ht="12.75" customHeight="1">
      <c r="A127" s="130" t="inlineStr">
        <is>
          <t>Inkomsten SWAP</t>
        </is>
      </c>
      <c r="C127" s="341" t="n"/>
      <c r="D127" s="341" t="n">
        <v>-292157.34</v>
      </c>
      <c r="E127" s="359" t="n">
        <v>-187321.85</v>
      </c>
      <c r="F127" s="359" t="n">
        <v>-28841.62</v>
      </c>
      <c r="G127" s="365" t="n">
        <v>61288.02</v>
      </c>
      <c r="H127" s="290" t="n"/>
    </row>
    <row r="128" ht="12.75" customHeight="1">
      <c r="A128" s="130" t="n"/>
      <c r="C128" s="341" t="n"/>
      <c r="D128" s="341" t="n"/>
      <c r="E128" s="341" t="n"/>
      <c r="F128" s="341" t="n"/>
      <c r="G128" s="341" t="n"/>
      <c r="H128" s="290" t="n"/>
    </row>
    <row r="129" ht="12.75" customHeight="1">
      <c r="A129" s="130" t="inlineStr">
        <is>
          <t>Rente</t>
        </is>
      </c>
      <c r="C129" s="341" t="n"/>
      <c r="D129" s="341">
        <f>D114</f>
        <v/>
      </c>
      <c r="E129" s="341">
        <f>E114</f>
        <v/>
      </c>
      <c r="F129" s="341">
        <f>F114</f>
        <v/>
      </c>
      <c r="G129" s="341">
        <f>G114</f>
        <v/>
      </c>
      <c r="H129" s="341">
        <f>H114+H111+H113+H112</f>
        <v/>
      </c>
      <c r="I129" s="299" t="n"/>
      <c r="J129" s="299" t="n"/>
    </row>
    <row r="130" ht="12.75" customHeight="1">
      <c r="A130" s="130" t="inlineStr">
        <is>
          <t>SWAP</t>
        </is>
      </c>
      <c r="C130" s="341" t="n"/>
      <c r="D130" s="341">
        <f>D127</f>
        <v/>
      </c>
      <c r="E130" s="360">
        <f>E127</f>
        <v/>
      </c>
      <c r="F130" s="360">
        <f>F127</f>
        <v/>
      </c>
      <c r="G130" s="360">
        <f>G127</f>
        <v/>
      </c>
      <c r="H130" s="351">
        <f>SUM(D130:G130)</f>
        <v/>
      </c>
    </row>
    <row r="131" ht="12.75" customHeight="1">
      <c r="A131" s="130" t="inlineStr">
        <is>
          <t>Afschrijving prepaid derivatives transaction</t>
        </is>
      </c>
      <c r="C131" s="341" t="n"/>
      <c r="D131" s="341">
        <f>D126</f>
        <v/>
      </c>
      <c r="E131" s="360">
        <f>E126</f>
        <v/>
      </c>
      <c r="F131" s="360">
        <f>F126</f>
        <v/>
      </c>
      <c r="G131" s="360">
        <f>G126</f>
        <v/>
      </c>
      <c r="H131" s="351">
        <f>SUM(D131:G131)</f>
        <v/>
      </c>
    </row>
    <row r="132" ht="12.75" customHeight="1">
      <c r="A132" s="130" t="inlineStr">
        <is>
          <t>IC interest</t>
        </is>
      </c>
      <c r="C132" s="341" t="n"/>
      <c r="D132" s="341">
        <f>D112+D117</f>
        <v/>
      </c>
      <c r="E132" s="341">
        <f>E112+E117</f>
        <v/>
      </c>
      <c r="F132" s="341">
        <f>F112+F117</f>
        <v/>
      </c>
      <c r="G132" s="341">
        <f>G112+G117</f>
        <v/>
      </c>
      <c r="H132" s="290">
        <f>SUM(D132:G132)</f>
        <v/>
      </c>
    </row>
    <row r="133" ht="12.75" customHeight="1">
      <c r="C133" s="293" t="n"/>
      <c r="D133" s="341">
        <f>SUM(D129:D132)</f>
        <v/>
      </c>
      <c r="E133" s="341">
        <f>SUM(E129:E132)</f>
        <v/>
      </c>
      <c r="F133" s="341">
        <f>SUM(F129:F132)</f>
        <v/>
      </c>
      <c r="G133" s="341">
        <f>SUM(G129:G132)</f>
        <v/>
      </c>
      <c r="H133" s="290">
        <f>SUM(D133:G133)</f>
        <v/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140"/>
  <sheetViews>
    <sheetView zoomScale="110" zoomScaleNormal="110" workbookViewId="0">
      <pane ySplit="1" topLeftCell="A98" activePane="bottomLeft" state="frozen"/>
      <selection pane="bottomLeft" activeCell="B147" sqref="B147"/>
    </sheetView>
  </sheetViews>
  <sheetFormatPr baseColWidth="8" defaultRowHeight="14.4"/>
  <cols>
    <col width="12.88671875" customWidth="1" min="1" max="1"/>
    <col width="70" customWidth="1" min="2" max="2"/>
    <col width="25.44140625" bestFit="1" customWidth="1" min="3" max="3"/>
    <col width="17.21875" bestFit="1" customWidth="1" min="4" max="7"/>
    <col width="19.88671875" bestFit="1" customWidth="1" min="8" max="8"/>
  </cols>
  <sheetData>
    <row r="1" ht="12.75" customFormat="1" customHeight="1" s="112">
      <c r="C1" s="354" t="inlineStr">
        <is>
          <t>Eindbalans per 31-12-2024</t>
        </is>
      </c>
      <c r="D1" s="354" t="inlineStr">
        <is>
          <t>Mutaties Q1 2025</t>
        </is>
      </c>
      <c r="E1" s="354" t="inlineStr">
        <is>
          <t>Mutaties Q2 2025</t>
        </is>
      </c>
      <c r="F1" s="354" t="inlineStr">
        <is>
          <t>Mutaties Q3 2025</t>
        </is>
      </c>
      <c r="G1" s="354" t="inlineStr">
        <is>
          <t>Mutaties Q4 2025</t>
        </is>
      </c>
      <c r="H1" s="354" t="inlineStr">
        <is>
          <t>Saldi per 31-12-2025</t>
        </is>
      </c>
    </row>
    <row r="2" ht="12.75" customFormat="1" customHeight="1" s="112">
      <c r="C2" s="293" t="n"/>
      <c r="D2" s="293" t="n"/>
      <c r="E2" s="293" t="n"/>
      <c r="F2" s="293" t="n"/>
      <c r="G2" s="293" t="n"/>
    </row>
    <row r="3" ht="12.75" customFormat="1" customHeight="1" s="112">
      <c r="A3" s="113" t="inlineStr">
        <is>
          <t>Balans</t>
        </is>
      </c>
      <c r="C3" s="293" t="n"/>
      <c r="D3" s="293" t="n"/>
      <c r="E3" s="293" t="n"/>
      <c r="F3" s="293" t="n"/>
      <c r="G3" s="293" t="n"/>
    </row>
    <row r="4" ht="12.75" customFormat="1" customHeight="1" s="112">
      <c r="A4" s="113" t="n"/>
      <c r="C4" s="293" t="n"/>
      <c r="D4" s="293" t="n"/>
      <c r="E4" s="293" t="n"/>
      <c r="F4" s="293" t="n"/>
      <c r="G4" s="293" t="n"/>
    </row>
    <row r="5" ht="12.75" customFormat="1" customHeight="1" s="112">
      <c r="A5" s="113" t="inlineStr">
        <is>
          <t>Materiële vaste activa</t>
        </is>
      </c>
      <c r="C5" s="293" t="n"/>
      <c r="D5" s="293" t="n"/>
      <c r="E5" s="293" t="n"/>
      <c r="F5" s="293" t="n"/>
      <c r="G5" s="293" t="n"/>
    </row>
    <row r="6" ht="12.75" customFormat="1" customHeight="1" s="112">
      <c r="A6" s="112" t="inlineStr">
        <is>
          <t>1600000</t>
        </is>
      </c>
      <c r="B6" s="112" t="inlineStr">
        <is>
          <t>VG Vastgoedbeleggingen Verkrijgings- of vervaardigingsprijs -</t>
        </is>
      </c>
      <c r="C6" s="346" t="n">
        <v>127916879.16</v>
      </c>
      <c r="D6" s="293" t="n">
        <v>758835</v>
      </c>
      <c r="E6" s="293" t="n">
        <v>400388</v>
      </c>
      <c r="F6" s="293" t="n">
        <v>115411</v>
      </c>
      <c r="G6" s="293" t="n">
        <v>650374.13</v>
      </c>
      <c r="H6" s="296">
        <f>SUM(C6:G6)</f>
        <v/>
      </c>
      <c r="I6" s="270" t="n"/>
    </row>
    <row r="7" ht="12.75" customFormat="1" customHeight="1" s="112">
      <c r="A7" s="112" t="inlineStr">
        <is>
          <t>1600200</t>
        </is>
      </c>
      <c r="B7" s="112" t="inlineStr">
        <is>
          <t>VG Vastgoedbeleggingen Cum afschrijvingen en waardeverm -</t>
        </is>
      </c>
      <c r="C7" s="293" t="n">
        <v>-23125005</v>
      </c>
      <c r="D7" s="293" t="n">
        <v>-811996</v>
      </c>
      <c r="E7" s="293" t="n">
        <v>-822632</v>
      </c>
      <c r="F7" s="293" t="n">
        <v>-839833</v>
      </c>
      <c r="G7" s="293" t="n">
        <v>-853149</v>
      </c>
      <c r="H7" s="296">
        <f>SUM(C7:G7)</f>
        <v/>
      </c>
    </row>
    <row r="8" ht="12.75" customFormat="1" customHeight="1" s="112">
      <c r="A8" s="302" t="inlineStr">
        <is>
          <t>1601000</t>
        </is>
      </c>
      <c r="B8" s="302" t="inlineStr">
        <is>
          <t>VG Vastgoedbeleggingen Buitengebruikstellingen CA en waardeverm. -</t>
        </is>
      </c>
      <c r="C8" s="293" t="n">
        <v>-1900847</v>
      </c>
      <c r="D8" s="293" t="n">
        <v>-677990</v>
      </c>
      <c r="E8" s="293" t="n">
        <v>-237202</v>
      </c>
      <c r="F8" s="293" t="n">
        <v>-41440</v>
      </c>
      <c r="G8" s="293" t="n">
        <v>-162303</v>
      </c>
      <c r="H8" s="296">
        <f>SUM(C8:G8)</f>
        <v/>
      </c>
    </row>
    <row r="9" ht="12.75" customFormat="1" customHeight="1" s="112">
      <c r="A9" s="112" t="inlineStr">
        <is>
          <t>1611003</t>
        </is>
      </c>
      <c r="B9" s="112" t="inlineStr">
        <is>
          <t>VG Comm VG in exploitatie Buitengebruikstellingen cum. afschr. en waardeverm.</t>
        </is>
      </c>
      <c r="C9" s="293" t="n">
        <v>324847</v>
      </c>
      <c r="D9" s="293" t="n">
        <v>126494</v>
      </c>
      <c r="E9" s="293" t="n">
        <v>41678</v>
      </c>
      <c r="F9" s="293" t="n">
        <v>7880</v>
      </c>
      <c r="G9" s="293" t="n">
        <v>31875</v>
      </c>
      <c r="H9" s="296">
        <f>SUM(C9:G9)</f>
        <v/>
      </c>
    </row>
    <row r="10" ht="12.75" customFormat="1" customHeight="1" s="112">
      <c r="A10" s="112" t="inlineStr">
        <is>
          <t>1610803</t>
        </is>
      </c>
      <c r="B10" s="112" t="inlineStr">
        <is>
          <t>VG Comm VG in exploitatie Buitengebruikstellingen aanschaffingswaarde</t>
        </is>
      </c>
      <c r="C10" s="293" t="n">
        <v>0</v>
      </c>
      <c r="D10" s="293" t="n"/>
      <c r="E10" s="293" t="n"/>
      <c r="F10" s="293" t="n"/>
      <c r="G10" s="293" t="n"/>
      <c r="H10" s="296">
        <f>SUM(C10:F10)</f>
        <v/>
      </c>
    </row>
    <row r="11" ht="12.75" customFormat="1" customHeight="1" s="112">
      <c r="C11" s="293" t="n">
        <v>0</v>
      </c>
      <c r="D11" s="293" t="n"/>
      <c r="E11" s="293" t="n"/>
      <c r="F11" s="293" t="n"/>
      <c r="G11" s="293" t="n"/>
      <c r="H11" s="296" t="n"/>
    </row>
    <row r="12" ht="12.75" customFormat="1" customHeight="1" s="112">
      <c r="A12" s="254" t="inlineStr">
        <is>
          <t>Financiële Vaste Lasten</t>
        </is>
      </c>
      <c r="C12" s="293" t="n">
        <v>0</v>
      </c>
      <c r="D12" s="293" t="n"/>
      <c r="E12" s="293" t="n"/>
      <c r="F12" s="293" t="n"/>
      <c r="G12" s="293" t="n"/>
      <c r="H12" s="296" t="n"/>
    </row>
    <row r="13" ht="12.75" customFormat="1" customHeight="1" s="112">
      <c r="A13" s="112" t="inlineStr">
        <is>
          <t>1760000</t>
        </is>
      </c>
      <c r="B13" s="112" t="inlineStr">
        <is>
          <t>FVA Vord op DMRRP INV - I BV  saldo</t>
        </is>
      </c>
      <c r="C13" s="293" t="n">
        <v>38320325</v>
      </c>
      <c r="D13" s="293" t="n"/>
      <c r="E13" s="293" t="n"/>
      <c r="F13" s="293" t="n"/>
      <c r="G13" s="293" t="n"/>
      <c r="H13" s="296">
        <f>SUM(C13:G13)</f>
        <v/>
      </c>
      <c r="I13" s="296" t="n"/>
    </row>
    <row r="14" ht="12.75" customFormat="1" customHeight="1" s="112">
      <c r="A14" s="112" t="inlineStr">
        <is>
          <t>1760300</t>
        </is>
      </c>
      <c r="B14" s="112" t="inlineStr">
        <is>
          <t>FVA Vord op DMRRP INV - I BV  aflossingen</t>
        </is>
      </c>
      <c r="C14" s="293" t="n">
        <v>-2455118</v>
      </c>
      <c r="D14" s="346" t="n">
        <v>-242786</v>
      </c>
      <c r="E14" s="293" t="n">
        <v>-243993</v>
      </c>
      <c r="F14" s="293" t="n">
        <v>-114687</v>
      </c>
      <c r="G14" s="293" t="n">
        <v>-168308.34</v>
      </c>
      <c r="H14" s="296">
        <f>SUM(C14:G14)</f>
        <v/>
      </c>
      <c r="I14" s="270" t="n"/>
    </row>
    <row r="15" ht="12.75" customFormat="1" customHeight="1" s="112">
      <c r="A15" s="112" t="inlineStr">
        <is>
          <t>1790000</t>
        </is>
      </c>
      <c r="B15" s="112" t="inlineStr">
        <is>
          <t>FVA Swap fee</t>
        </is>
      </c>
      <c r="C15" s="293" t="n">
        <v>1217155</v>
      </c>
      <c r="D15" s="293">
        <f>-110650-5</f>
        <v/>
      </c>
      <c r="E15" s="293" t="n">
        <v>-110650</v>
      </c>
      <c r="F15" s="293" t="n">
        <v>-110650</v>
      </c>
      <c r="G15" s="293" t="n">
        <v>-110650</v>
      </c>
      <c r="H15" s="296">
        <f>SUM(C15:G15)</f>
        <v/>
      </c>
    </row>
    <row r="16" ht="12.75" customFormat="1" customHeight="1" s="112">
      <c r="A16" s="112" t="inlineStr">
        <is>
          <t>1790002</t>
        </is>
      </c>
      <c r="B16" s="112" t="inlineStr">
        <is>
          <t>FVA Latente belastingvordering langlopend</t>
        </is>
      </c>
      <c r="C16" s="346" t="n">
        <v>7794806</v>
      </c>
      <c r="D16" s="293" t="n">
        <v>173840</v>
      </c>
      <c r="E16" s="293" t="n">
        <v>200714</v>
      </c>
      <c r="F16" s="293" t="n">
        <v>214644</v>
      </c>
      <c r="G16" s="293" t="n">
        <v>211391</v>
      </c>
      <c r="H16" s="296">
        <f>SUM(C16:G16)</f>
        <v/>
      </c>
      <c r="I16" s="270" t="n"/>
    </row>
    <row r="17" ht="12.75" customFormat="1" customHeight="1" s="112">
      <c r="C17" s="293" t="n">
        <v>0</v>
      </c>
      <c r="D17" s="293" t="n"/>
      <c r="E17" s="293" t="n"/>
      <c r="F17" s="293" t="n"/>
      <c r="G17" s="293" t="n"/>
      <c r="H17" s="296" t="n"/>
    </row>
    <row r="18" ht="12.75" customFormat="1" customHeight="1" s="112">
      <c r="A18" s="254" t="inlineStr">
        <is>
          <t>Vorderingen</t>
        </is>
      </c>
      <c r="C18" s="293" t="n">
        <v>0</v>
      </c>
      <c r="D18" s="293" t="n"/>
      <c r="E18" s="293" t="n"/>
      <c r="F18" s="293" t="n"/>
      <c r="G18" s="293" t="n"/>
      <c r="H18" s="296" t="n"/>
    </row>
    <row r="19" ht="12.75" customFormat="1" customHeight="1" s="112">
      <c r="A19" s="112" t="inlineStr">
        <is>
          <t>2000000</t>
        </is>
      </c>
      <c r="B19" s="112" t="inlineStr">
        <is>
          <t>VOR Debiteuren</t>
        </is>
      </c>
      <c r="C19" s="293" t="n">
        <v>220152</v>
      </c>
      <c r="D19" s="293" t="n">
        <v>334826</v>
      </c>
      <c r="E19" s="293" t="n">
        <v>-339181</v>
      </c>
      <c r="F19" s="293" t="n">
        <v>-67350</v>
      </c>
      <c r="G19" s="293" t="n">
        <v>8432.059999999999</v>
      </c>
      <c r="H19" s="296">
        <f>SUM(C19:G19)</f>
        <v/>
      </c>
      <c r="I19" s="270" t="n"/>
    </row>
    <row r="20" ht="12.75" customFormat="1" customHeight="1" s="112">
      <c r="A20" s="112" t="inlineStr">
        <is>
          <t>2000100</t>
        </is>
      </c>
      <c r="B20" s="112" t="inlineStr">
        <is>
          <t>VOR Debiteuren intercompany</t>
        </is>
      </c>
      <c r="C20" s="293" t="n">
        <v>6675101</v>
      </c>
      <c r="D20" s="293" t="n">
        <v>493276</v>
      </c>
      <c r="E20" s="293" t="n">
        <v>-5914486</v>
      </c>
      <c r="F20" s="357">
        <f>451922-1705814</f>
        <v/>
      </c>
      <c r="G20" s="293" t="n">
        <v>506252.5</v>
      </c>
      <c r="H20" s="296">
        <f>SUM(C20:G20)</f>
        <v/>
      </c>
      <c r="I20" s="112" t="inlineStr">
        <is>
          <t>aanpassing door notulen agio uitkering</t>
        </is>
      </c>
    </row>
    <row r="21" ht="12.75" customFormat="1" customHeight="1" s="112">
      <c r="A21" s="112" t="inlineStr">
        <is>
          <t>2000300</t>
        </is>
      </c>
      <c r="B21" s="112" t="inlineStr">
        <is>
          <t>VOR Voorziening dubieuze debiteuren</t>
        </is>
      </c>
      <c r="C21" s="346" t="n">
        <v>-90168.69</v>
      </c>
      <c r="D21" s="293" t="n">
        <v>0</v>
      </c>
      <c r="E21" s="293" t="n"/>
      <c r="F21" s="293" t="n"/>
      <c r="G21" s="293" t="n"/>
      <c r="H21" s="296">
        <f>SUM(C21:G21)</f>
        <v/>
      </c>
      <c r="I21" s="270" t="n"/>
    </row>
    <row r="22" ht="12.75" customFormat="1" customHeight="1" s="112">
      <c r="A22" s="112" t="inlineStr">
        <is>
          <t>2040100</t>
        </is>
      </c>
      <c r="B22" s="112" t="inlineStr">
        <is>
          <t>VOR Nog te factureren bedragen</t>
        </is>
      </c>
      <c r="C22" s="293" t="n">
        <v>0</v>
      </c>
      <c r="D22" s="293" t="n">
        <v>146986</v>
      </c>
      <c r="E22" s="293" t="n">
        <v>-146985</v>
      </c>
      <c r="F22" s="293" t="n"/>
      <c r="G22" s="293" t="n"/>
      <c r="H22" s="296">
        <f>SUM(C22:G22)</f>
        <v/>
      </c>
    </row>
    <row r="23" ht="12.75" customFormat="1" customHeight="1" s="112">
      <c r="A23" s="112" t="inlineStr">
        <is>
          <t>2040200</t>
        </is>
      </c>
      <c r="B23" s="112" t="inlineStr">
        <is>
          <t>VOR Te vorderen waarborgsommen kortlopend</t>
        </is>
      </c>
      <c r="C23" s="293" t="n">
        <v>5000</v>
      </c>
      <c r="D23" s="293" t="n"/>
      <c r="E23" s="293" t="n"/>
      <c r="F23" s="293" t="n"/>
      <c r="G23" s="293" t="n"/>
      <c r="H23" s="296">
        <f>SUM(C23:G23)</f>
        <v/>
      </c>
    </row>
    <row r="24" ht="12.75" customFormat="1" customHeight="1" s="112">
      <c r="A24" s="112" t="inlineStr">
        <is>
          <t>2040500</t>
        </is>
      </c>
      <c r="B24" s="112" t="inlineStr">
        <is>
          <t>VOR Vooruitbetaalde verzekeringen</t>
        </is>
      </c>
      <c r="C24" s="293" t="n">
        <v>-3</v>
      </c>
      <c r="D24" s="293" t="n">
        <v>89982.3</v>
      </c>
      <c r="E24" s="293" t="n">
        <v>-29994</v>
      </c>
      <c r="F24" s="293" t="n">
        <v>-29994</v>
      </c>
      <c r="G24" s="293" t="n">
        <v>-29994</v>
      </c>
      <c r="H24" s="296">
        <f>SUM(C24:G24)</f>
        <v/>
      </c>
    </row>
    <row r="25" ht="12.75" customFormat="1" customHeight="1" s="112">
      <c r="A25" s="112" t="inlineStr">
        <is>
          <t>2040900</t>
        </is>
      </c>
      <c r="B25" s="112" t="inlineStr">
        <is>
          <t>VOR Vooruitbetaalde overige kosten</t>
        </is>
      </c>
      <c r="C25" s="293" t="n">
        <v>0</v>
      </c>
      <c r="D25" s="346" t="n">
        <v>143145</v>
      </c>
      <c r="E25" s="357" t="n">
        <v>79524</v>
      </c>
      <c r="F25" s="293" t="n">
        <v>-111334</v>
      </c>
      <c r="G25" s="293" t="n">
        <v>-111335</v>
      </c>
      <c r="H25" s="296">
        <f>SUM(C25:G25)</f>
        <v/>
      </c>
      <c r="I25" s="296" t="inlineStr">
        <is>
          <t>Herpresentatie OZB</t>
        </is>
      </c>
    </row>
    <row r="26" ht="12.75" customFormat="1" customHeight="1" s="112">
      <c r="A26" s="114" t="n">
        <v>2040601</v>
      </c>
      <c r="B26" s="112" t="inlineStr">
        <is>
          <t>VOR Doorbelastingen huurder en overig</t>
        </is>
      </c>
      <c r="C26" s="293" t="n">
        <v>0</v>
      </c>
      <c r="D26" s="364" t="n"/>
      <c r="E26" s="364" t="n"/>
      <c r="F26" s="293" t="n">
        <v>2169</v>
      </c>
      <c r="G26" s="293" t="n"/>
      <c r="H26" s="296">
        <f>SUM(C26:G26)</f>
        <v/>
      </c>
    </row>
    <row r="27" ht="12.75" customFormat="1" customHeight="1" s="112">
      <c r="C27" s="293" t="n">
        <v>0</v>
      </c>
      <c r="D27" s="293" t="n"/>
      <c r="E27" s="293" t="n"/>
      <c r="F27" s="293" t="n"/>
      <c r="G27" s="293" t="n"/>
      <c r="H27" s="296" t="n"/>
    </row>
    <row r="28" ht="12.75" customFormat="1" customHeight="1" s="112">
      <c r="A28" s="254" t="inlineStr">
        <is>
          <t>Liquide middelen</t>
        </is>
      </c>
      <c r="C28" s="293" t="n">
        <v>0</v>
      </c>
      <c r="D28" s="293" t="n"/>
      <c r="E28" s="293" t="n"/>
      <c r="F28" s="293" t="n"/>
      <c r="G28" s="293" t="n"/>
      <c r="H28" s="296" t="n"/>
    </row>
    <row r="29" ht="12.75" customFormat="1" customHeight="1" s="112">
      <c r="A29" s="112" t="inlineStr">
        <is>
          <t>2300000</t>
        </is>
      </c>
      <c r="B29" s="112" t="inlineStr">
        <is>
          <t>LM Kruisposten</t>
        </is>
      </c>
      <c r="C29" s="346" t="n">
        <v>-0.48</v>
      </c>
      <c r="D29" s="293" t="n"/>
      <c r="E29" s="293" t="n"/>
      <c r="F29" s="293" t="n"/>
      <c r="G29" s="293" t="n"/>
      <c r="H29" s="296">
        <f>SUM(C29:G29)</f>
        <v/>
      </c>
      <c r="I29" s="270" t="n"/>
    </row>
    <row r="30" ht="12.75" customFormat="1" customHeight="1" s="112">
      <c r="A30" s="112" t="inlineStr">
        <is>
          <t>2300001</t>
        </is>
      </c>
      <c r="B30" s="112" t="inlineStr">
        <is>
          <t>LM Kruisposten pin</t>
        </is>
      </c>
      <c r="C30" s="293" t="n">
        <v>-1</v>
      </c>
      <c r="D30" s="293" t="n">
        <v>4485</v>
      </c>
      <c r="E30" s="293" t="n">
        <v>3544</v>
      </c>
      <c r="F30" s="293" t="n">
        <v>3890</v>
      </c>
      <c r="G30" s="293" t="n">
        <v>-11918</v>
      </c>
      <c r="H30" s="296">
        <f>SUM(C30:G30)</f>
        <v/>
      </c>
    </row>
    <row r="31" ht="12.75" customFormat="1" customHeight="1" s="112">
      <c r="A31" s="112" t="inlineStr">
        <is>
          <t>2400200</t>
        </is>
      </c>
      <c r="B31" s="112" t="inlineStr">
        <is>
          <t>LM ABN AMRO Bank Disposal NL58 ABNA 0818 9180 39</t>
        </is>
      </c>
      <c r="C31" s="293" t="n">
        <v>0</v>
      </c>
      <c r="D31" s="293" t="n">
        <v>194000</v>
      </c>
      <c r="E31" s="293" t="n">
        <v>-194000</v>
      </c>
      <c r="F31" s="293" t="n">
        <v>0</v>
      </c>
      <c r="G31" s="293" t="n"/>
      <c r="H31" s="296">
        <f>SUM(C31:G31)</f>
        <v/>
      </c>
    </row>
    <row r="32" ht="12.75" customFormat="1" customHeight="1" s="112">
      <c r="A32" s="112" t="inlineStr">
        <is>
          <t>2400201</t>
        </is>
      </c>
      <c r="B32" s="112" t="inlineStr">
        <is>
          <t>LM ABN AMRO Bank Deposit NL57 ABNA 0541 6205 68</t>
        </is>
      </c>
      <c r="C32" s="293" t="n">
        <v>-9016.5</v>
      </c>
      <c r="D32" s="293" t="n">
        <v>9940.5</v>
      </c>
      <c r="E32" s="293" t="n">
        <v>-118</v>
      </c>
      <c r="F32" s="293" t="n">
        <v>1</v>
      </c>
      <c r="G32" s="293" t="n">
        <v>-804</v>
      </c>
      <c r="H32" s="296">
        <f>SUM(C32:G32)</f>
        <v/>
      </c>
    </row>
    <row r="33" ht="12.75" customFormat="1" customHeight="1" s="112">
      <c r="A33" s="112" t="inlineStr">
        <is>
          <t>2400202</t>
        </is>
      </c>
      <c r="B33" s="112" t="inlineStr">
        <is>
          <t>LM ABN AMRO Bank General NL93 ABNA 0541 6132 27</t>
        </is>
      </c>
      <c r="C33" s="293" t="n">
        <v>27</v>
      </c>
      <c r="D33" s="293" t="n"/>
      <c r="E33" s="293" t="n"/>
      <c r="F33" s="293" t="n">
        <v>0</v>
      </c>
      <c r="G33" s="293" t="n">
        <v>1169.9</v>
      </c>
      <c r="H33" s="296">
        <f>SUM(C33:G33)</f>
        <v/>
      </c>
    </row>
    <row r="34" ht="12.75" customFormat="1" customHeight="1" s="112">
      <c r="A34" s="112" t="inlineStr">
        <is>
          <t>2400203</t>
        </is>
      </c>
      <c r="B34" s="112" t="inlineStr">
        <is>
          <t>LM ABN AMRO Bank Maintres NL04 ABNA 0541 6188 06</t>
        </is>
      </c>
      <c r="C34" s="293" t="n">
        <v>278519.61</v>
      </c>
      <c r="D34" s="293" t="n">
        <v>-271247.9</v>
      </c>
      <c r="E34" s="293" t="n">
        <v>6686</v>
      </c>
      <c r="F34" s="293" t="n">
        <v>-8069</v>
      </c>
      <c r="G34" s="293" t="n">
        <v>-176580</v>
      </c>
      <c r="H34" s="296">
        <f>SUM(C34:G34)</f>
        <v/>
      </c>
    </row>
    <row r="35" ht="12.75" customFormat="1" customHeight="1" s="112">
      <c r="A35" s="112" t="inlineStr">
        <is>
          <t>2400204</t>
        </is>
      </c>
      <c r="B35" s="112" t="inlineStr">
        <is>
          <t>LM ABN AMRO Bank Rent NL46 ABNA 0541 6088 35</t>
        </is>
      </c>
      <c r="C35" s="293" t="n">
        <v>255113.18</v>
      </c>
      <c r="D35" s="293">
        <f>92619.86+1</f>
        <v/>
      </c>
      <c r="E35" s="293" t="n">
        <v>-282612</v>
      </c>
      <c r="F35" s="293" t="n">
        <v>235206</v>
      </c>
      <c r="G35" s="293" t="n">
        <v>3598</v>
      </c>
      <c r="H35" s="296">
        <f>SUM(C35:G35)</f>
        <v/>
      </c>
    </row>
    <row r="36" ht="12.75" customFormat="1" customHeight="1" s="112">
      <c r="A36" s="112" t="inlineStr">
        <is>
          <t>2400205</t>
        </is>
      </c>
      <c r="B36" s="112" t="inlineStr">
        <is>
          <t>LM ABN AMRO Bank SR EXP NL88 ABNA 0541 6205 92</t>
        </is>
      </c>
      <c r="C36" s="293" t="n">
        <v>75</v>
      </c>
      <c r="D36" s="293">
        <f>5966+1</f>
        <v/>
      </c>
      <c r="E36" s="293" t="n">
        <v>1207</v>
      </c>
      <c r="F36" s="293" t="n">
        <v>-1114</v>
      </c>
      <c r="G36" s="293" t="n">
        <v>0</v>
      </c>
      <c r="H36" s="296">
        <f>SUM(C36:G36)</f>
        <v/>
      </c>
    </row>
    <row r="37" ht="12.75" customFormat="1" customHeight="1" s="112">
      <c r="A37" s="112" t="inlineStr">
        <is>
          <t>2400206</t>
        </is>
      </c>
      <c r="B37" s="112" t="inlineStr">
        <is>
          <t>LM ABN AMRO Bank Capex NL11 ABNA 0114 3362 02</t>
        </is>
      </c>
      <c r="C37" s="293" t="n">
        <v>-16</v>
      </c>
      <c r="D37" s="293" t="n">
        <v>0</v>
      </c>
      <c r="E37" s="293" t="n">
        <v>0</v>
      </c>
      <c r="F37" s="293" t="n">
        <v>0</v>
      </c>
      <c r="G37" s="293" t="n"/>
      <c r="H37" s="296">
        <f>SUM(C37:G37)</f>
        <v/>
      </c>
    </row>
    <row r="38" ht="12.75" customFormat="1" customHeight="1" s="112">
      <c r="C38" s="293" t="n">
        <v>0</v>
      </c>
      <c r="D38" s="293" t="n"/>
      <c r="E38" s="293" t="n"/>
      <c r="F38" s="293" t="n"/>
      <c r="G38" s="293" t="n"/>
      <c r="H38" s="296" t="n"/>
    </row>
    <row r="39" ht="12.75" customFormat="1" customHeight="1" s="112">
      <c r="A39" s="254" t="inlineStr">
        <is>
          <t>Eigen vermogen</t>
        </is>
      </c>
      <c r="C39" s="293" t="n">
        <v>0</v>
      </c>
      <c r="D39" s="293" t="n"/>
      <c r="E39" s="293" t="n"/>
      <c r="F39" s="293" t="n"/>
      <c r="G39" s="293" t="n"/>
      <c r="H39" s="296" t="n"/>
    </row>
    <row r="40" ht="12.75" customFormat="1" customHeight="1" s="112">
      <c r="A40" s="112" t="inlineStr">
        <is>
          <t>1000002</t>
        </is>
      </c>
      <c r="B40" s="112" t="inlineStr">
        <is>
          <t>EV Normale aandelen  Saldo</t>
        </is>
      </c>
      <c r="C40" s="293" t="n">
        <v>-1</v>
      </c>
      <c r="D40" s="293" t="n"/>
      <c r="E40" s="293" t="n"/>
      <c r="F40" s="293" t="n"/>
      <c r="G40" s="293" t="n"/>
      <c r="H40" s="296">
        <f>SUM(C40:F40)</f>
        <v/>
      </c>
    </row>
    <row r="41" ht="12.75" customFormat="1" customHeight="1" s="112">
      <c r="A41" s="112" t="inlineStr">
        <is>
          <t>1100000</t>
        </is>
      </c>
      <c r="B41" s="112" t="inlineStr">
        <is>
          <t>EV Agioreserve Agio aandelen</t>
        </is>
      </c>
      <c r="C41" s="293" t="n">
        <v>-18931219</v>
      </c>
      <c r="D41" s="293" t="n"/>
      <c r="E41" s="293" t="n">
        <v>4670958</v>
      </c>
      <c r="F41" s="357" t="n">
        <v>1705814</v>
      </c>
      <c r="G41" s="293" t="n"/>
      <c r="H41" s="296">
        <f>SUM(C41:G41)</f>
        <v/>
      </c>
    </row>
    <row r="42" ht="12.75" customFormat="1" customHeight="1" s="112">
      <c r="A42" s="112" t="inlineStr">
        <is>
          <t>1160000</t>
        </is>
      </c>
      <c r="B42" s="112" t="inlineStr">
        <is>
          <t>EV Overige reserve Reserve aandelen</t>
        </is>
      </c>
      <c r="C42" s="293" t="n">
        <v>2423547</v>
      </c>
      <c r="D42" s="293" t="n"/>
      <c r="E42" s="293" t="n"/>
      <c r="F42" s="293" t="n"/>
      <c r="G42" s="293" t="n">
        <v>20000</v>
      </c>
      <c r="H42" s="296">
        <f>SUM(C42:G42)</f>
        <v/>
      </c>
    </row>
    <row r="43" ht="12.75" customFormat="1" customHeight="1" s="112">
      <c r="C43" s="293" t="n">
        <v>0</v>
      </c>
      <c r="D43" s="293" t="n"/>
      <c r="E43" s="293" t="n"/>
      <c r="F43" s="293" t="n"/>
      <c r="G43" s="293" t="n"/>
      <c r="H43" s="296" t="n"/>
    </row>
    <row r="44" ht="12.75" customFormat="1" customHeight="1" s="112">
      <c r="A44" s="254" t="inlineStr">
        <is>
          <t>Langlopende schulden</t>
        </is>
      </c>
      <c r="C44" s="293" t="n">
        <v>0</v>
      </c>
      <c r="D44" s="293" t="n"/>
      <c r="E44" s="293" t="n"/>
      <c r="F44" s="293" t="n"/>
      <c r="G44" s="293" t="n"/>
      <c r="H44" s="296" t="n"/>
    </row>
    <row r="45" ht="12.75" customFormat="1" customHeight="1" s="112">
      <c r="A45" s="112" t="inlineStr">
        <is>
          <t>1930001</t>
        </is>
      </c>
      <c r="B45" s="112" t="inlineStr">
        <is>
          <t>LLS Hoofdsom ABN AMRO Bank NV Senior Facility Agreement</t>
        </is>
      </c>
      <c r="C45" s="293" t="n">
        <v>-170411137.8</v>
      </c>
      <c r="D45" s="293" t="n">
        <v>-670610.59</v>
      </c>
      <c r="E45" s="293" t="n"/>
      <c r="F45" s="293" t="n"/>
      <c r="G45" s="293" t="n">
        <v>-143410.95</v>
      </c>
      <c r="H45" s="296">
        <f>SUM(C45:G45)</f>
        <v/>
      </c>
    </row>
    <row r="46" ht="12.75" customFormat="1" customHeight="1" s="112">
      <c r="A46" s="112" t="inlineStr">
        <is>
          <t>1930101</t>
        </is>
      </c>
      <c r="B46" s="112" t="inlineStr">
        <is>
          <t>LLS Cum aflossingen ABN AMRO Bank NV Senior Facility Agreement</t>
        </is>
      </c>
      <c r="C46" s="293" t="n">
        <v>37289891</v>
      </c>
      <c r="D46" s="293" t="n">
        <v>887000</v>
      </c>
      <c r="E46" s="293" t="n">
        <v>828967</v>
      </c>
      <c r="F46" s="293" t="n">
        <v>386788</v>
      </c>
      <c r="G46" s="293" t="n">
        <v>614900</v>
      </c>
      <c r="H46" s="296">
        <f>SUM(C46:G46)</f>
        <v/>
      </c>
      <c r="I46" s="270" t="n"/>
      <c r="K46" s="296" t="n"/>
    </row>
    <row r="47" ht="12.75" customFormat="1" customHeight="1" s="112">
      <c r="A47" s="112" t="inlineStr">
        <is>
          <t>1930200</t>
        </is>
      </c>
      <c r="B47" s="112" t="inlineStr">
        <is>
          <t>LLS Extension fee&amp; professional fees</t>
        </is>
      </c>
      <c r="C47" s="293" t="n">
        <v>319755.94</v>
      </c>
      <c r="D47" s="293">
        <f>-29069.05+4</f>
        <v/>
      </c>
      <c r="E47" s="293" t="n">
        <v>-29069</v>
      </c>
      <c r="F47" s="293" t="n">
        <v>-29069</v>
      </c>
      <c r="G47" s="293" t="n">
        <v>-29069</v>
      </c>
      <c r="H47" s="296">
        <f>SUM(C47:G47)</f>
        <v/>
      </c>
    </row>
    <row r="48" ht="12.75" customFormat="1" customHeight="1" s="112">
      <c r="C48" s="293" t="n">
        <v>0</v>
      </c>
      <c r="D48" s="293" t="n"/>
      <c r="E48" s="293" t="n"/>
      <c r="F48" s="293" t="n"/>
      <c r="G48" s="293" t="n"/>
      <c r="H48" s="296" t="n"/>
    </row>
    <row r="49" ht="12.75" customFormat="1" customHeight="1" s="112">
      <c r="A49" s="254" t="inlineStr">
        <is>
          <t>Kortlopende schulden</t>
        </is>
      </c>
      <c r="C49" s="293" t="n">
        <v>0</v>
      </c>
      <c r="D49" s="293" t="n"/>
      <c r="E49" s="293" t="n"/>
      <c r="F49" s="293" t="n"/>
      <c r="G49" s="293" t="n"/>
      <c r="H49" s="296" t="n"/>
    </row>
    <row r="50" ht="12.75" customFormat="1" customHeight="1" s="112">
      <c r="A50" s="112" t="inlineStr">
        <is>
          <t>2730000</t>
        </is>
      </c>
      <c r="B50" s="112" t="inlineStr">
        <is>
          <t>KLS Crediteuren</t>
        </is>
      </c>
      <c r="C50" s="293" t="n">
        <v>-325031.96</v>
      </c>
      <c r="D50" s="293" t="n">
        <v>-521059</v>
      </c>
      <c r="E50" s="293" t="n">
        <v>548173</v>
      </c>
      <c r="F50" s="293" t="n">
        <v>354718</v>
      </c>
      <c r="G50" s="293">
        <f>4189.68+12100</f>
        <v/>
      </c>
      <c r="H50" s="296">
        <f>SUM(C50:G50)</f>
        <v/>
      </c>
    </row>
    <row r="51" ht="12.75" customFormat="1" customHeight="1" s="112">
      <c r="A51" s="112" t="inlineStr">
        <is>
          <t>2730001</t>
        </is>
      </c>
      <c r="B51" s="112" t="inlineStr">
        <is>
          <t>KLS Crediteuren intercompany</t>
        </is>
      </c>
      <c r="C51" s="293" t="n">
        <v>-942580</v>
      </c>
      <c r="D51" s="293" t="n">
        <v>-12500</v>
      </c>
      <c r="E51" s="293" t="n">
        <v>942580</v>
      </c>
      <c r="F51" s="293" t="n">
        <v>0</v>
      </c>
      <c r="G51" s="293" t="n">
        <v>12500</v>
      </c>
      <c r="H51" s="296">
        <f>SUM(C51:G51)</f>
        <v/>
      </c>
    </row>
    <row r="52" ht="12.75" customFormat="1" customHeight="1" s="112">
      <c r="A52" s="112" t="inlineStr">
        <is>
          <t>2620000</t>
        </is>
      </c>
      <c r="B52" s="112" t="inlineStr">
        <is>
          <t>RC Kortlopend D.M. Equity Partners C.V.</t>
        </is>
      </c>
      <c r="C52" s="346" t="n">
        <v>-560762</v>
      </c>
      <c r="D52" s="293" t="n"/>
      <c r="E52" s="293" t="n"/>
      <c r="F52" s="293" t="n">
        <v>-433706</v>
      </c>
      <c r="G52" s="293" t="n"/>
      <c r="H52" s="296">
        <f>SUM(C52:G52)</f>
        <v/>
      </c>
      <c r="I52" s="270" t="n"/>
    </row>
    <row r="53" ht="12.75" customFormat="1" customHeight="1" s="112">
      <c r="A53" s="114" t="n">
        <v>2630000</v>
      </c>
      <c r="B53" s="112" t="inlineStr">
        <is>
          <t>RC Kortlopend dir. DMEP INV - IX BV</t>
        </is>
      </c>
      <c r="C53" s="346" t="n">
        <v>0</v>
      </c>
      <c r="D53" s="293" t="n"/>
      <c r="E53" s="293" t="n"/>
      <c r="F53" s="293" t="n">
        <v>453706</v>
      </c>
      <c r="G53" s="293" t="n">
        <v>-453706</v>
      </c>
      <c r="H53" s="296">
        <f>SUM(C53:G53)</f>
        <v/>
      </c>
      <c r="I53" s="270" t="n"/>
    </row>
    <row r="54" ht="12.75" customFormat="1" customHeight="1" s="112">
      <c r="A54" s="112" t="inlineStr">
        <is>
          <t>2640000</t>
        </is>
      </c>
      <c r="B54" s="112" t="inlineStr">
        <is>
          <t>RC Kortlopend DMRRP INV - I BV</t>
        </is>
      </c>
      <c r="C54" s="346" t="n">
        <v>-1061563</v>
      </c>
      <c r="D54" s="346" t="n">
        <v>365128</v>
      </c>
      <c r="E54" s="293" t="n">
        <v>1609255</v>
      </c>
      <c r="F54" s="293" t="n">
        <v>547692</v>
      </c>
      <c r="G54" s="293" t="n">
        <v>547694</v>
      </c>
      <c r="H54" s="296">
        <f>SUM(C54:G54)</f>
        <v/>
      </c>
      <c r="I54" s="270" t="n"/>
      <c r="L54" s="296" t="n"/>
    </row>
    <row r="55" ht="12.75" customFormat="1" customHeight="1" s="112">
      <c r="A55" s="114" t="n">
        <v>2650000</v>
      </c>
      <c r="B55" s="112" t="inlineStr">
        <is>
          <t>RC Kortlopend WPNL- V B.V.</t>
        </is>
      </c>
      <c r="C55" s="346" t="n">
        <v>-505000</v>
      </c>
      <c r="D55" s="293" t="n"/>
      <c r="E55" s="293" t="n"/>
      <c r="F55" s="293" t="n"/>
      <c r="G55" s="293" t="n">
        <v>505000</v>
      </c>
      <c r="H55" s="296">
        <f>SUM(C55:G55)</f>
        <v/>
      </c>
      <c r="I55" s="270" t="n"/>
    </row>
    <row r="56" ht="12.75" customFormat="1" customHeight="1" s="112">
      <c r="A56" s="114" t="n">
        <v>2650001</v>
      </c>
      <c r="B56" s="112" t="inlineStr">
        <is>
          <t>RC Kortlopend D.M. Equity Management Company BV</t>
        </is>
      </c>
      <c r="C56" s="346" t="n">
        <v>0</v>
      </c>
      <c r="D56" s="293" t="n"/>
      <c r="E56" s="293" t="n"/>
      <c r="F56" s="293" t="n">
        <v>-275000</v>
      </c>
      <c r="G56" s="293" t="n"/>
      <c r="H56" s="296">
        <f>SUM(C56:G56)</f>
        <v/>
      </c>
      <c r="I56" s="270" t="n"/>
    </row>
    <row r="57" ht="12.75" customFormat="1" customHeight="1" s="112">
      <c r="A57" s="112" t="inlineStr">
        <is>
          <t>2512100</t>
        </is>
      </c>
      <c r="B57" s="112" t="inlineStr">
        <is>
          <t>BEL Afgedragen/ontvangen BTW</t>
        </is>
      </c>
      <c r="C57" s="293" t="n">
        <v>-7805</v>
      </c>
      <c r="D57" s="346" t="n">
        <v>3078</v>
      </c>
      <c r="E57" s="293" t="n">
        <v>-7316</v>
      </c>
      <c r="F57" s="293" t="n">
        <v>7261</v>
      </c>
      <c r="G57" s="293" t="n">
        <v>-975.6799999999999</v>
      </c>
      <c r="H57" s="296">
        <f>SUM(C57:G57)</f>
        <v/>
      </c>
      <c r="I57" s="270" t="n"/>
    </row>
    <row r="58" ht="12.75" customFormat="1" customHeight="1" s="112">
      <c r="A58" s="112" t="inlineStr">
        <is>
          <t>2740100</t>
        </is>
      </c>
      <c r="B58" s="112" t="inlineStr">
        <is>
          <t>KLS Vooruitgefactureerde bedragen</t>
        </is>
      </c>
      <c r="C58" s="293" t="n">
        <v>-945078.71</v>
      </c>
      <c r="D58" s="293" t="n">
        <v>-127085</v>
      </c>
      <c r="E58" s="293" t="n">
        <v>-3870</v>
      </c>
      <c r="F58" s="293" t="n">
        <v>40978</v>
      </c>
      <c r="G58" s="293" t="n">
        <v>56828.54</v>
      </c>
      <c r="H58" s="296">
        <f>SUM(C58:G58)</f>
        <v/>
      </c>
      <c r="I58" s="270" t="n"/>
    </row>
    <row r="59" ht="12.75" customFormat="1" customHeight="1" s="112">
      <c r="A59" s="112" t="inlineStr">
        <is>
          <t>2740300</t>
        </is>
      </c>
      <c r="B59" s="112" t="inlineStr">
        <is>
          <t>KLS Te betalen waarborgsommen kortlopend</t>
        </is>
      </c>
      <c r="C59" s="293" t="n">
        <v>-950093</v>
      </c>
      <c r="D59" s="293">
        <f>10637.04+1</f>
        <v/>
      </c>
      <c r="E59" s="293" t="n">
        <v>8876</v>
      </c>
      <c r="F59" s="293" t="n">
        <v>-3141</v>
      </c>
      <c r="G59" s="293" t="n">
        <v>10738.37</v>
      </c>
      <c r="H59" s="296">
        <f>SUM(C59:G59)</f>
        <v/>
      </c>
    </row>
    <row r="60" ht="12.75" customFormat="1" customHeight="1" s="112">
      <c r="A60" s="112" t="inlineStr">
        <is>
          <t>2740500</t>
        </is>
      </c>
      <c r="B60" s="112" t="inlineStr">
        <is>
          <t>KLS Te betalen accountants- en administratiekosten</t>
        </is>
      </c>
      <c r="C60" s="293" t="n">
        <v>-45000</v>
      </c>
      <c r="D60" s="293" t="n"/>
      <c r="E60" s="293" t="n"/>
      <c r="F60" s="293" t="n"/>
      <c r="G60" s="293" t="n"/>
      <c r="H60" s="296">
        <f>SUM(C60:G60)</f>
        <v/>
      </c>
    </row>
    <row r="61" ht="12.75" customFormat="1" customHeight="1" s="112">
      <c r="A61" s="112" t="inlineStr">
        <is>
          <t>2741000</t>
        </is>
      </c>
      <c r="B61" s="112" t="inlineStr">
        <is>
          <t>KLS Te betalen servicekosten</t>
        </is>
      </c>
      <c r="C61" s="293" t="n">
        <v>0</v>
      </c>
      <c r="D61" s="293" t="n"/>
      <c r="E61" s="293" t="n"/>
      <c r="F61" s="293" t="n"/>
      <c r="G61" s="293" t="n"/>
      <c r="H61" s="296">
        <f>SUM(C61:F61)</f>
        <v/>
      </c>
    </row>
    <row r="62" ht="12.75" customFormat="1" customHeight="1" s="112">
      <c r="A62" s="112" t="inlineStr">
        <is>
          <t>2741001</t>
        </is>
      </c>
      <c r="B62" s="112" t="inlineStr">
        <is>
          <t>KLS Te betalen servicekosten -</t>
        </is>
      </c>
      <c r="C62" s="293" t="n">
        <v>0</v>
      </c>
      <c r="D62" s="293" t="n"/>
      <c r="E62" s="293" t="n"/>
      <c r="F62" s="293" t="n"/>
      <c r="G62" s="293" t="n"/>
      <c r="H62" s="296">
        <f>SUM(C62:F62)</f>
        <v/>
      </c>
    </row>
    <row r="63" ht="12.75" customFormat="1" customHeight="1" s="112">
      <c r="A63" s="112" t="inlineStr">
        <is>
          <t>2741004</t>
        </is>
      </c>
      <c r="B63" s="112" t="inlineStr">
        <is>
          <t>KLS Te betalen Hoen</t>
        </is>
      </c>
      <c r="C63" s="293" t="n">
        <v>-91381.20999999999</v>
      </c>
      <c r="D63" s="293">
        <f>-140627-1</f>
        <v/>
      </c>
      <c r="E63" s="293" t="n">
        <v>96028</v>
      </c>
      <c r="F63" s="293" t="n">
        <v>-139507</v>
      </c>
      <c r="G63" s="293" t="n">
        <v>134965.03</v>
      </c>
      <c r="H63" s="296">
        <f>SUM(C63:G63)</f>
        <v/>
      </c>
    </row>
    <row r="64" ht="12.75" customFormat="1" customHeight="1" s="112">
      <c r="A64" s="112" t="inlineStr">
        <is>
          <t>2741200</t>
        </is>
      </c>
      <c r="B64" s="112" t="inlineStr">
        <is>
          <t>KLS Te betalen overige kosten</t>
        </is>
      </c>
      <c r="C64" s="346" t="n">
        <v>-753780.38</v>
      </c>
      <c r="D64" s="293" t="n">
        <v>783782.38</v>
      </c>
      <c r="E64" s="293" t="n"/>
      <c r="F64" s="293" t="n"/>
      <c r="G64" s="293" t="n"/>
      <c r="H64" s="296">
        <f>SUM(C64:G64)</f>
        <v/>
      </c>
      <c r="I64" s="270" t="n"/>
    </row>
    <row r="65" ht="12.75" customFormat="1" customHeight="1" s="112">
      <c r="A65" s="112" t="inlineStr">
        <is>
          <t>2742000</t>
        </is>
      </c>
      <c r="B65" s="112" t="inlineStr">
        <is>
          <t>KLS Vraagposten</t>
        </is>
      </c>
      <c r="C65" s="293" t="n">
        <v>0</v>
      </c>
      <c r="D65" s="293" t="n"/>
      <c r="E65" s="293" t="n"/>
      <c r="F65" s="293" t="n"/>
      <c r="G65" s="293" t="n"/>
      <c r="H65" s="296">
        <f>SUM(C65:F65)</f>
        <v/>
      </c>
    </row>
    <row r="66" ht="12.75" customFormat="1" customHeight="1" s="112">
      <c r="A66" s="114" t="inlineStr">
        <is>
          <t>2760000</t>
        </is>
      </c>
      <c r="B66" s="112" t="inlineStr">
        <is>
          <t>KLS Saldo lening DMRRP INV - I BV</t>
        </is>
      </c>
      <c r="C66" s="293" t="n">
        <v>0</v>
      </c>
      <c r="D66" s="293" t="n"/>
      <c r="E66" s="293" t="n"/>
      <c r="F66" s="293" t="n"/>
      <c r="G66" s="293" t="n"/>
      <c r="H66" s="296">
        <f>SUM(C66:F66)</f>
        <v/>
      </c>
    </row>
    <row r="67" ht="12.75" customFormat="1" customHeight="1" s="112">
      <c r="A67" s="114" t="n">
        <v>2502020</v>
      </c>
      <c r="B67" s="112" t="inlineStr">
        <is>
          <t>Servicekosten 2020</t>
        </is>
      </c>
      <c r="C67" s="293" t="n">
        <v>0.3400000000000318</v>
      </c>
      <c r="D67" s="293" t="n"/>
      <c r="E67" s="293" t="n"/>
      <c r="F67" s="293" t="n"/>
      <c r="G67" s="293" t="n"/>
      <c r="H67" s="296">
        <f>SUM(C67:F67)</f>
        <v/>
      </c>
      <c r="I67" s="296" t="n"/>
    </row>
    <row r="68" ht="12.75" customFormat="1" customHeight="1" s="112">
      <c r="A68" s="112" t="inlineStr">
        <is>
          <t>2502021</t>
        </is>
      </c>
      <c r="B68" s="112" t="inlineStr">
        <is>
          <t>Servicekosten 2021</t>
        </is>
      </c>
      <c r="C68" s="346" t="n">
        <v>6648.33</v>
      </c>
      <c r="D68" s="293" t="n">
        <v>-5932.67</v>
      </c>
      <c r="E68" s="293" t="n"/>
      <c r="F68" s="293" t="n"/>
      <c r="G68" s="293" t="n">
        <v>-3387.87</v>
      </c>
      <c r="H68" s="296">
        <f>SUM(C68:G68)</f>
        <v/>
      </c>
      <c r="I68" s="363" t="n"/>
    </row>
    <row r="69" ht="12.75" customFormat="1" customHeight="1" s="112">
      <c r="A69" s="112" t="inlineStr">
        <is>
          <t>2502022</t>
        </is>
      </c>
      <c r="B69" s="112" t="inlineStr">
        <is>
          <t>Servicekosten 2022</t>
        </is>
      </c>
      <c r="C69" s="346" t="n">
        <v>3511.699999999997</v>
      </c>
      <c r="D69" s="293" t="n">
        <v>679.9299999999999</v>
      </c>
      <c r="E69" s="293" t="n"/>
      <c r="F69" s="293" t="n"/>
      <c r="G69" s="293" t="n">
        <v>-6403.51</v>
      </c>
      <c r="H69" s="296">
        <f>SUM(C69:G69)</f>
        <v/>
      </c>
      <c r="I69" s="363" t="n"/>
    </row>
    <row r="70" ht="12.75" customFormat="1" customHeight="1" s="112">
      <c r="A70" s="112" t="inlineStr">
        <is>
          <t>2502023</t>
        </is>
      </c>
      <c r="B70" s="112" t="inlineStr">
        <is>
          <t>Servicekosten 2023</t>
        </is>
      </c>
      <c r="C70" s="346" t="n">
        <v>-21048.57000000001</v>
      </c>
      <c r="D70" s="293" t="n">
        <v>-5964</v>
      </c>
      <c r="E70" s="293" t="n">
        <v>-3879</v>
      </c>
      <c r="F70" s="293" t="n"/>
      <c r="G70" s="293" t="n">
        <v>-28946.15</v>
      </c>
      <c r="H70" s="296">
        <f>SUM(C70:G70)</f>
        <v/>
      </c>
      <c r="I70" s="363" t="n"/>
    </row>
    <row r="71" ht="12.75" customFormat="1" customHeight="1" s="112">
      <c r="A71" s="302" t="inlineStr">
        <is>
          <t>2502024</t>
        </is>
      </c>
      <c r="B71" s="302" t="inlineStr">
        <is>
          <t>Servicekosten 2024</t>
        </is>
      </c>
      <c r="C71" s="293" t="n">
        <v>80302.75</v>
      </c>
      <c r="D71" s="293" t="n">
        <v>63895</v>
      </c>
      <c r="E71" s="293" t="n">
        <v>-288810</v>
      </c>
      <c r="F71" s="293" t="n">
        <v>-13237</v>
      </c>
      <c r="G71" s="293" t="n">
        <v>-13210.42</v>
      </c>
      <c r="H71" s="296">
        <f>SUM(C71:G71)</f>
        <v/>
      </c>
    </row>
    <row r="72" ht="12.75" customFormat="1" customHeight="1" s="112">
      <c r="A72" s="283" t="n">
        <v>2502025</v>
      </c>
      <c r="B72" s="302" t="inlineStr">
        <is>
          <t>Servicekosten 2025</t>
        </is>
      </c>
      <c r="C72" s="293" t="n"/>
      <c r="D72" s="293">
        <f>23666+2</f>
        <v/>
      </c>
      <c r="E72" s="293" t="n">
        <v>-3049</v>
      </c>
      <c r="F72" s="293" t="n">
        <v>-9197</v>
      </c>
      <c r="G72" s="293" t="n">
        <v>-40170</v>
      </c>
      <c r="H72" s="296">
        <f>SUM(C72:G72)</f>
        <v/>
      </c>
    </row>
    <row r="73" ht="12.75" customFormat="1" customHeight="1" s="112">
      <c r="A73" s="283" t="n">
        <v>2502026</v>
      </c>
      <c r="B73" s="302" t="inlineStr">
        <is>
          <t>Servicekosten 2026</t>
        </is>
      </c>
      <c r="C73" s="293" t="n"/>
      <c r="D73" s="293" t="n"/>
      <c r="E73" s="293" t="n"/>
      <c r="F73" s="293" t="n"/>
      <c r="G73" s="293" t="n">
        <v>12</v>
      </c>
      <c r="H73" s="296">
        <f>SUM(C73:G73)</f>
        <v/>
      </c>
    </row>
    <row r="74" ht="12.75" customFormat="1" customHeight="1" s="112">
      <c r="A74" s="283" t="n">
        <v>2040601</v>
      </c>
      <c r="B74" s="302" t="inlineStr">
        <is>
          <t>VOR Doorbelastingen huurder en overig</t>
        </is>
      </c>
      <c r="C74" s="293" t="n"/>
      <c r="D74" s="293" t="n"/>
      <c r="E74" s="293" t="n"/>
      <c r="F74" s="293" t="n"/>
      <c r="G74" s="293" t="n">
        <v>-2168.55</v>
      </c>
      <c r="H74" s="296">
        <f>SUM(C74:G74)</f>
        <v/>
      </c>
    </row>
    <row r="75" ht="12.75" customFormat="1" customHeight="1" s="112">
      <c r="C75" s="293" t="n"/>
      <c r="D75" s="293" t="n"/>
      <c r="E75" s="293" t="n"/>
      <c r="F75" s="293" t="n"/>
      <c r="G75" s="293" t="n"/>
      <c r="H75" s="296" t="n"/>
    </row>
    <row r="76" ht="12.75" customFormat="1" customHeight="1" s="112">
      <c r="A76" s="113" t="inlineStr">
        <is>
          <t>Winst- en verliesrekening (baten zijn negatief, kosten positief)</t>
        </is>
      </c>
      <c r="C76" s="293" t="n"/>
      <c r="D76" s="293" t="n"/>
      <c r="E76" s="293" t="n"/>
      <c r="F76" s="293" t="n"/>
      <c r="G76" s="293" t="n"/>
      <c r="H76" s="296" t="n"/>
    </row>
    <row r="77" ht="12.75" customFormat="1" customHeight="1" s="112">
      <c r="C77" s="293" t="n"/>
      <c r="D77" s="293" t="n"/>
      <c r="E77" s="293" t="n"/>
      <c r="F77" s="293" t="n"/>
      <c r="G77" s="293" t="n"/>
      <c r="H77" s="296" t="n"/>
    </row>
    <row r="78" ht="12.75" customFormat="1" customHeight="1" s="112">
      <c r="A78" s="112" t="inlineStr">
        <is>
          <t>8000003</t>
        </is>
      </c>
      <c r="B78" s="112" t="inlineStr">
        <is>
          <t>OPB Netto-omzet Theoretische huuropbrengsten</t>
        </is>
      </c>
      <c r="C78" s="293" t="n"/>
      <c r="D78" s="293" t="n">
        <v>-3209085.09</v>
      </c>
      <c r="E78" s="293" t="n">
        <v>-3200539.89</v>
      </c>
      <c r="F78" s="293" t="n">
        <v>-3273560</v>
      </c>
      <c r="G78" s="293" t="n">
        <v>-3321702</v>
      </c>
      <c r="H78" s="296">
        <f>SUM(C78:G78)</f>
        <v/>
      </c>
      <c r="I78" s="296" t="n"/>
    </row>
    <row r="79" ht="12.75" customFormat="1" customHeight="1" s="112">
      <c r="A79" s="112" t="inlineStr">
        <is>
          <t>8000004</t>
        </is>
      </c>
      <c r="B79" s="112" t="inlineStr">
        <is>
          <t>OPB Netto-omzet Leegstand huuropbrengsten</t>
        </is>
      </c>
      <c r="C79" s="293" t="n"/>
      <c r="D79" s="293" t="n">
        <v>143610.3</v>
      </c>
      <c r="E79" s="293" t="n">
        <v>133088.46</v>
      </c>
      <c r="F79" s="293" t="n">
        <v>177621</v>
      </c>
      <c r="G79" s="293" t="n">
        <v>214757</v>
      </c>
      <c r="H79" s="296">
        <f>SUM(C79:G79)</f>
        <v/>
      </c>
      <c r="I79" s="296" t="n"/>
    </row>
    <row r="80" ht="12.75" customFormat="1" customHeight="1" s="112">
      <c r="C80" s="293" t="n"/>
      <c r="D80" s="293" t="n"/>
      <c r="E80" s="293" t="n"/>
      <c r="F80" s="293" t="n"/>
      <c r="G80" s="293" t="n"/>
      <c r="H80" s="296" t="n"/>
      <c r="I80" s="296" t="n"/>
    </row>
    <row r="81" ht="12.75" customFormat="1" customHeight="1" s="112">
      <c r="A81" s="112" t="inlineStr">
        <is>
          <t>8400600</t>
        </is>
      </c>
      <c r="B81" s="112" t="inlineStr">
        <is>
          <t>OPB Overige bedrijfsopbrengsten Totale servicekosten</t>
        </is>
      </c>
      <c r="C81" s="293" t="n"/>
      <c r="D81" s="293" t="n">
        <v>-294</v>
      </c>
      <c r="E81" s="293" t="n">
        <v>-301.7</v>
      </c>
      <c r="F81" s="293" t="n">
        <v>-4638</v>
      </c>
      <c r="G81" s="293" t="n">
        <v>-2898</v>
      </c>
      <c r="H81" s="296">
        <f>SUM(C81:G81)</f>
        <v/>
      </c>
      <c r="I81" s="296" t="n"/>
    </row>
    <row r="82" ht="12.75" customFormat="1" customHeight="1" s="112">
      <c r="A82" s="112" t="inlineStr">
        <is>
          <t>8400700</t>
        </is>
      </c>
      <c r="B82" s="112" t="inlineStr">
        <is>
          <t>OPB Overige bedrijfsopbrengsten Servicekosten leegstand</t>
        </is>
      </c>
      <c r="C82" s="293" t="n"/>
      <c r="D82" s="293" t="n">
        <v>8776</v>
      </c>
      <c r="E82" s="293" t="n">
        <v>6470.43</v>
      </c>
      <c r="F82" s="293" t="n">
        <v>14113</v>
      </c>
      <c r="G82" s="293" t="n">
        <v>-2022.72</v>
      </c>
      <c r="H82" s="296">
        <f>SUM(C82:G82)</f>
        <v/>
      </c>
      <c r="I82" s="296" t="n"/>
    </row>
    <row r="83" ht="12.75" customFormat="1" customHeight="1" s="112">
      <c r="A83" s="112" t="inlineStr">
        <is>
          <t>8400800</t>
        </is>
      </c>
      <c r="B83" s="112" t="inlineStr">
        <is>
          <t>OPB Overige bedrijfsopbrengsten Gerealiseerde servicekosten</t>
        </is>
      </c>
      <c r="C83" s="346" t="n"/>
      <c r="D83" s="293" t="n">
        <v>131053</v>
      </c>
      <c r="E83" s="293" t="n">
        <v>164115.12</v>
      </c>
      <c r="F83" s="293" t="n">
        <v>3697</v>
      </c>
      <c r="G83" s="293" t="n">
        <v>15004.6</v>
      </c>
      <c r="H83" s="296">
        <f>SUM(C83:G83)</f>
        <v/>
      </c>
      <c r="I83" s="363" t="n"/>
    </row>
    <row r="84" ht="12.75" customFormat="1" customHeight="1" s="112">
      <c r="C84" s="293" t="n"/>
      <c r="D84" s="293" t="n"/>
      <c r="E84" s="293" t="n"/>
      <c r="F84" s="293" t="n"/>
      <c r="G84" s="293" t="n"/>
      <c r="H84" s="296" t="n"/>
      <c r="I84" s="296" t="n"/>
    </row>
    <row r="85" ht="12.75" customFormat="1" customHeight="1" s="112">
      <c r="A85" s="112" t="inlineStr">
        <is>
          <t>4051400</t>
        </is>
      </c>
      <c r="B85" s="112" t="inlineStr">
        <is>
          <t>KN Diensten door derden</t>
        </is>
      </c>
      <c r="C85" s="293" t="n"/>
      <c r="D85" s="293" t="n">
        <v>137751</v>
      </c>
      <c r="E85" s="293" t="n">
        <v>135540.07</v>
      </c>
      <c r="F85" s="293" t="n">
        <v>138487</v>
      </c>
      <c r="G85" s="293" t="n">
        <v>139070.4</v>
      </c>
      <c r="H85" s="296">
        <f>SUM(C85:G85)</f>
        <v/>
      </c>
      <c r="I85" s="296" t="n"/>
    </row>
    <row r="86" ht="12.75" customFormat="1" customHeight="1" s="112">
      <c r="C86" s="293" t="n"/>
      <c r="D86" s="293" t="n"/>
      <c r="E86" s="293" t="n"/>
      <c r="F86" s="293" t="n"/>
      <c r="G86" s="293" t="n"/>
      <c r="H86" s="296" t="n"/>
      <c r="I86" s="296" t="n"/>
    </row>
    <row r="87" ht="12.75" customFormat="1" customHeight="1" s="112">
      <c r="A87" s="112" t="inlineStr">
        <is>
          <t>4730000</t>
        </is>
      </c>
      <c r="B87" s="112" t="inlineStr">
        <is>
          <t>AFKN Afschrijvingskosten -</t>
        </is>
      </c>
      <c r="C87" s="293" t="n"/>
      <c r="D87" s="293" t="n">
        <v>811996</v>
      </c>
      <c r="E87" s="293" t="n">
        <v>822632</v>
      </c>
      <c r="F87" s="293" t="n">
        <v>839833</v>
      </c>
      <c r="G87" s="293" t="n">
        <v>853149</v>
      </c>
      <c r="H87" s="296">
        <f>SUM(C87:G87)</f>
        <v/>
      </c>
      <c r="I87" s="296" t="n"/>
    </row>
    <row r="88" ht="12.75" customFormat="1" customHeight="1" s="112">
      <c r="A88" s="112" t="inlineStr">
        <is>
          <t>4730200</t>
        </is>
      </c>
      <c r="B88" s="112" t="inlineStr">
        <is>
          <t>AFKN Boekresultaat -</t>
        </is>
      </c>
      <c r="C88" s="293" t="n"/>
      <c r="D88" s="293" t="n">
        <v>-1202123</v>
      </c>
      <c r="E88" s="293" t="n">
        <v>-566976</v>
      </c>
      <c r="F88" s="293" t="n">
        <v>-169995</v>
      </c>
      <c r="G88" s="293" t="n">
        <v>-419572</v>
      </c>
      <c r="H88" s="296">
        <f>SUM(C88:G88)</f>
        <v/>
      </c>
      <c r="I88" s="296" t="n"/>
    </row>
    <row r="89" ht="12.75" customFormat="1" customHeight="1" s="112">
      <c r="C89" s="293" t="n"/>
      <c r="D89" s="293" t="n"/>
      <c r="E89" s="293" t="n"/>
      <c r="F89" s="293" t="n"/>
      <c r="G89" s="293" t="n"/>
      <c r="H89" s="296" t="n"/>
      <c r="I89" s="296" t="n"/>
    </row>
    <row r="90" ht="12.75" customFormat="1" customHeight="1" s="112">
      <c r="A90" s="112" t="inlineStr">
        <is>
          <t>4100400</t>
        </is>
      </c>
      <c r="B90" s="112" t="inlineStr">
        <is>
          <t>KN Onderhoud gebouwen</t>
        </is>
      </c>
      <c r="C90" s="346" t="n"/>
      <c r="D90" s="293" t="n">
        <v>335314</v>
      </c>
      <c r="E90" s="293" t="n">
        <v>297751.92</v>
      </c>
      <c r="F90" s="293" t="n">
        <v>244270</v>
      </c>
      <c r="G90" s="293" t="n">
        <v>-12026</v>
      </c>
      <c r="H90" s="296">
        <f>SUM(C90:G90)</f>
        <v/>
      </c>
      <c r="I90" s="270" t="n"/>
    </row>
    <row r="91" ht="12.75" customFormat="1" customHeight="1" s="112">
      <c r="A91" s="112" t="inlineStr">
        <is>
          <t>4100900</t>
        </is>
      </c>
      <c r="B91" s="112" t="inlineStr">
        <is>
          <t>KN Onroerende zaakbelasting</t>
        </is>
      </c>
      <c r="C91" s="293" t="n"/>
      <c r="D91" s="293" t="n">
        <v>80016</v>
      </c>
      <c r="E91" s="357" t="n">
        <v>166242.59</v>
      </c>
      <c r="F91" s="293" t="n">
        <v>94434</v>
      </c>
      <c r="G91" s="293" t="n">
        <v>94466.34</v>
      </c>
      <c r="H91" s="296">
        <f>SUM(C91:G91)</f>
        <v/>
      </c>
      <c r="I91" s="296" t="inlineStr">
        <is>
          <t>Herpresentatie OZB</t>
        </is>
      </c>
      <c r="J91" s="296" t="n"/>
    </row>
    <row r="92" ht="12.75" customFormat="1" customHeight="1" s="112">
      <c r="A92" s="112" t="inlineStr">
        <is>
          <t>4101000</t>
        </is>
      </c>
      <c r="B92" s="112" t="inlineStr">
        <is>
          <t>KN Vaste lasten</t>
        </is>
      </c>
      <c r="C92" s="346" t="n"/>
      <c r="D92" s="293" t="n">
        <v>199784</v>
      </c>
      <c r="E92" s="293" t="n">
        <v>182457.86</v>
      </c>
      <c r="F92" s="293" t="n">
        <v>125286</v>
      </c>
      <c r="G92" s="293" t="n">
        <v>197030.27</v>
      </c>
      <c r="H92" s="296">
        <f>SUM(C92:G92)</f>
        <v/>
      </c>
      <c r="I92" s="270" t="n"/>
    </row>
    <row r="93" ht="12.75" customFormat="1" customHeight="1" s="112">
      <c r="A93" s="112" t="inlineStr">
        <is>
          <t>4100410</t>
        </is>
      </c>
      <c r="B93" s="112" t="inlineStr">
        <is>
          <t>Verhuurdersheffing</t>
        </is>
      </c>
      <c r="C93" s="293" t="n"/>
      <c r="D93" s="346" t="n">
        <v>254478</v>
      </c>
      <c r="E93" s="357" t="n">
        <v>-254478</v>
      </c>
      <c r="F93" s="293" t="n">
        <v>0</v>
      </c>
      <c r="G93" s="293" t="n"/>
      <c r="H93" s="296">
        <f>SUM(C93:G93)</f>
        <v/>
      </c>
      <c r="I93" s="296" t="inlineStr">
        <is>
          <t>Herpresentatie OZB</t>
        </is>
      </c>
    </row>
    <row r="94" ht="12.75" customFormat="1" customHeight="1" s="112">
      <c r="A94" s="112" t="inlineStr">
        <is>
          <t>4101010</t>
        </is>
      </c>
      <c r="B94" s="112" t="inlineStr">
        <is>
          <t>Gemeentelijke belastingen</t>
        </is>
      </c>
      <c r="C94" s="346" t="n"/>
      <c r="D94" s="293" t="n">
        <v>26493</v>
      </c>
      <c r="E94" s="293" t="n">
        <v>19625.9</v>
      </c>
      <c r="F94" s="293" t="n">
        <v>17307</v>
      </c>
      <c r="G94" s="293" t="n">
        <v>17166.88</v>
      </c>
      <c r="H94" s="296">
        <f>SUM(C94:G94)</f>
        <v/>
      </c>
      <c r="I94" s="270" t="n"/>
      <c r="J94" s="296" t="n"/>
    </row>
    <row r="95" ht="12.75" customFormat="1" customHeight="1" s="112">
      <c r="A95" s="112" t="inlineStr">
        <is>
          <t>4101020</t>
        </is>
      </c>
      <c r="B95" s="112" t="inlineStr">
        <is>
          <t>Waterschapsbelasting</t>
        </is>
      </c>
      <c r="C95" s="346" t="n"/>
      <c r="D95" s="293" t="n">
        <v>10678.06</v>
      </c>
      <c r="E95" s="293" t="n">
        <v>82958.5</v>
      </c>
      <c r="F95" s="293" t="n">
        <v>11876</v>
      </c>
      <c r="G95" s="293" t="n"/>
      <c r="H95" s="296">
        <f>SUM(C95:G95)</f>
        <v/>
      </c>
      <c r="I95" s="270" t="n"/>
    </row>
    <row r="96" ht="12.75" customFormat="1" customHeight="1" s="112">
      <c r="A96" s="112" t="inlineStr">
        <is>
          <t>4101300</t>
        </is>
      </c>
      <c r="B96" s="112" t="inlineStr">
        <is>
          <t>KN Servicekosten leegstand</t>
        </is>
      </c>
      <c r="C96" s="293" t="n"/>
      <c r="D96" s="293" t="n">
        <v>-765.02</v>
      </c>
      <c r="E96" s="293" t="n">
        <v>-300.34</v>
      </c>
      <c r="F96" s="293" t="n">
        <v>-33</v>
      </c>
      <c r="G96" s="293" t="n"/>
      <c r="H96" s="296">
        <f>SUM(C96:G96)</f>
        <v/>
      </c>
      <c r="I96" s="296" t="n"/>
    </row>
    <row r="97" ht="12.75" customFormat="1" customHeight="1" s="112">
      <c r="C97" s="293" t="n"/>
      <c r="D97" s="293" t="n"/>
      <c r="E97" s="293" t="n"/>
      <c r="F97" s="293" t="n"/>
      <c r="G97" s="293" t="n">
        <v>-233.46</v>
      </c>
      <c r="H97" s="296">
        <f>SUM(C97:G97)</f>
        <v/>
      </c>
      <c r="I97" s="296" t="n"/>
    </row>
    <row r="98" ht="12.75" customFormat="1" customHeight="1" s="112">
      <c r="A98" s="112" t="inlineStr">
        <is>
          <t>4501200</t>
        </is>
      </c>
      <c r="B98" s="112" t="inlineStr">
        <is>
          <t>KN Mutatie voorziening dubieuze debiteuren</t>
        </is>
      </c>
      <c r="C98" s="346" t="n"/>
      <c r="D98" s="293" t="n">
        <v>0</v>
      </c>
      <c r="E98" s="293" t="n">
        <v>0</v>
      </c>
      <c r="F98" s="293" t="n">
        <v>0</v>
      </c>
      <c r="G98" s="293" t="n"/>
      <c r="H98" s="296">
        <f>SUM(C98:G98)</f>
        <v/>
      </c>
      <c r="I98" s="270" t="n"/>
    </row>
    <row r="99" ht="12.75" customFormat="1" customHeight="1" s="112">
      <c r="A99" s="112" t="inlineStr">
        <is>
          <t>4501300</t>
        </is>
      </c>
      <c r="B99" s="112" t="inlineStr">
        <is>
          <t>KN Afboeking dubieuze debiteuren</t>
        </is>
      </c>
      <c r="C99" s="293" t="n"/>
      <c r="D99" s="293" t="n">
        <v>311.29</v>
      </c>
      <c r="E99" s="293" t="n">
        <v>5045.3</v>
      </c>
      <c r="F99" s="293" t="n">
        <v>4441</v>
      </c>
      <c r="G99" s="293" t="n">
        <v>23477.93</v>
      </c>
      <c r="H99" s="296">
        <f>SUM(C99:G99)</f>
        <v/>
      </c>
      <c r="I99" s="296" t="n"/>
    </row>
    <row r="100" ht="12.75" customFormat="1" customHeight="1" s="112">
      <c r="C100" s="293" t="n"/>
      <c r="D100" s="293" t="n"/>
      <c r="E100" s="293" t="n"/>
      <c r="F100" s="293" t="n"/>
      <c r="G100" s="293" t="n"/>
      <c r="H100" s="296" t="n"/>
      <c r="I100" s="296" t="n"/>
    </row>
    <row r="101" ht="12.75" customFormat="1" customHeight="1" s="112">
      <c r="A101" s="112" t="inlineStr">
        <is>
          <t>4300200</t>
        </is>
      </c>
      <c r="B101" s="112" t="inlineStr">
        <is>
          <t>KN Communicatiekosten</t>
        </is>
      </c>
      <c r="C101" s="293" t="n"/>
      <c r="D101" s="293" t="n"/>
      <c r="E101" s="293" t="n"/>
      <c r="F101" s="293" t="n"/>
      <c r="G101" s="293" t="n">
        <v>45.1</v>
      </c>
      <c r="H101" s="296">
        <f>SUM(C101:G101)</f>
        <v/>
      </c>
      <c r="I101" s="296" t="n"/>
    </row>
    <row r="102" ht="12.75" customFormat="1" customHeight="1" s="112">
      <c r="A102" s="112" t="inlineStr">
        <is>
          <t>4300500</t>
        </is>
      </c>
      <c r="B102" s="112" t="inlineStr">
        <is>
          <t>KN Incassokosten</t>
        </is>
      </c>
      <c r="C102" s="293" t="n"/>
      <c r="D102" s="293" t="n">
        <v>740</v>
      </c>
      <c r="E102" s="293" t="n">
        <v>500</v>
      </c>
      <c r="F102" s="293" t="n">
        <v>3850</v>
      </c>
      <c r="G102" s="293" t="n">
        <v>1395</v>
      </c>
      <c r="H102" s="296">
        <f>SUM(C102:G102)</f>
        <v/>
      </c>
      <c r="I102" s="296" t="n"/>
    </row>
    <row r="103" ht="12.75" customFormat="1" customHeight="1" s="112">
      <c r="C103" s="293" t="n"/>
      <c r="D103" s="293" t="n"/>
      <c r="E103" s="293" t="n"/>
      <c r="F103" s="293" t="n"/>
      <c r="G103" s="293" t="n"/>
      <c r="H103" s="296" t="n"/>
      <c r="I103" s="296" t="n"/>
    </row>
    <row r="104" ht="12.75" customFormat="1" customHeight="1" s="112">
      <c r="A104" s="112" t="inlineStr">
        <is>
          <t>4310400</t>
        </is>
      </c>
      <c r="B104" s="112" t="inlineStr">
        <is>
          <t>KN Assurantiepremie algemeen</t>
        </is>
      </c>
      <c r="C104" s="293" t="n"/>
      <c r="D104" s="293" t="n">
        <v>29994.09</v>
      </c>
      <c r="E104" s="293" t="n">
        <v>47531</v>
      </c>
      <c r="F104" s="293" t="n">
        <v>28916</v>
      </c>
      <c r="G104" s="293" t="n">
        <v>29994.12</v>
      </c>
      <c r="H104" s="296">
        <f>SUM(C104:G104)</f>
        <v/>
      </c>
      <c r="I104" s="296" t="n"/>
      <c r="J104" s="296" t="n"/>
    </row>
    <row r="105" ht="12.75" customFormat="1" customHeight="1" s="112">
      <c r="A105" s="112" t="inlineStr">
        <is>
          <t>4310500</t>
        </is>
      </c>
      <c r="B105" s="112" t="inlineStr">
        <is>
          <t>KN Managementvergoeding</t>
        </is>
      </c>
      <c r="C105" s="293" t="n"/>
      <c r="D105" s="293" t="n">
        <v>1500</v>
      </c>
      <c r="E105" s="293" t="n">
        <v>1500</v>
      </c>
      <c r="F105" s="293" t="n">
        <v>1500</v>
      </c>
      <c r="G105" s="293" t="n">
        <v>1500</v>
      </c>
      <c r="H105" s="296">
        <f>SUM(C105:G105)</f>
        <v/>
      </c>
      <c r="I105" s="296" t="n"/>
    </row>
    <row r="106" ht="12.75" customFormat="1" customHeight="1" s="112">
      <c r="A106" s="112" t="inlineStr">
        <is>
          <t>4310600</t>
        </is>
      </c>
      <c r="B106" s="112" t="inlineStr">
        <is>
          <t>KN Accountantskosten</t>
        </is>
      </c>
      <c r="C106" s="346" t="n"/>
      <c r="D106" s="346" t="n">
        <v>33105</v>
      </c>
      <c r="E106" s="293" t="n">
        <v>42192.41</v>
      </c>
      <c r="F106" s="293" t="n">
        <v>1065</v>
      </c>
      <c r="G106" s="293" t="n">
        <v>29147.44</v>
      </c>
      <c r="H106" s="296">
        <f>SUM(C106:G106)</f>
        <v/>
      </c>
      <c r="I106" s="270" t="n"/>
    </row>
    <row r="107" ht="12.75" customFormat="1" customHeight="1" s="112">
      <c r="A107" s="112" t="inlineStr">
        <is>
          <t>4310700</t>
        </is>
      </c>
      <c r="B107" s="112" t="inlineStr">
        <is>
          <t>KN Administratiekosten</t>
        </is>
      </c>
      <c r="C107" s="293" t="n"/>
      <c r="D107" s="293" t="n"/>
      <c r="E107" s="293" t="n">
        <v>2934.86</v>
      </c>
      <c r="F107" s="293" t="n">
        <v>3712</v>
      </c>
      <c r="G107" s="293" t="n">
        <v>1467.43</v>
      </c>
      <c r="H107" s="296">
        <f>SUM(C107:G107)</f>
        <v/>
      </c>
      <c r="I107" s="296" t="n"/>
    </row>
    <row r="108" ht="12.75" customFormat="1" customHeight="1" s="112">
      <c r="A108" s="112" t="inlineStr">
        <is>
          <t>4310800</t>
        </is>
      </c>
      <c r="B108" s="112" t="inlineStr">
        <is>
          <t>KN Notariskosten</t>
        </is>
      </c>
      <c r="C108" s="346" t="n"/>
      <c r="D108" s="293" t="n">
        <v>62948.91</v>
      </c>
      <c r="E108" s="293" t="n">
        <v>33708.66</v>
      </c>
      <c r="F108" s="293" t="n">
        <v>15169</v>
      </c>
      <c r="G108" s="293" t="n">
        <v>33177.54</v>
      </c>
      <c r="H108" s="296">
        <f>SUM(C108:G108)</f>
        <v/>
      </c>
      <c r="I108" s="270" t="n"/>
    </row>
    <row r="109" ht="12.75" customFormat="1" customHeight="1" s="112">
      <c r="A109" s="112" t="inlineStr">
        <is>
          <t>4311000</t>
        </is>
      </c>
      <c r="B109" s="112" t="inlineStr">
        <is>
          <t>KN Juridische kosten</t>
        </is>
      </c>
      <c r="C109" s="346" t="n"/>
      <c r="D109" s="293" t="n">
        <v>23359.27</v>
      </c>
      <c r="E109" s="293" t="n">
        <v>26403.76</v>
      </c>
      <c r="F109" s="293" t="n">
        <v>21247</v>
      </c>
      <c r="G109" s="293" t="n">
        <v>28789.98</v>
      </c>
      <c r="H109" s="296">
        <f>SUM(C109:G109)</f>
        <v/>
      </c>
      <c r="I109" s="270" t="n"/>
    </row>
    <row r="110" ht="12.75" customFormat="1" customHeight="1" s="112">
      <c r="A110" s="112" t="inlineStr">
        <is>
          <t>4311800</t>
        </is>
      </c>
      <c r="B110" s="112" t="inlineStr">
        <is>
          <t>KN Advieskosten</t>
        </is>
      </c>
      <c r="C110" s="346" t="n"/>
      <c r="D110" s="346" t="n">
        <v>11000</v>
      </c>
      <c r="E110" s="293" t="n">
        <v>66841.5</v>
      </c>
      <c r="F110" s="293" t="n">
        <v>89742</v>
      </c>
      <c r="G110" s="293" t="n">
        <v>28600</v>
      </c>
      <c r="H110" s="296">
        <f>SUM(C110:G110)</f>
        <v/>
      </c>
      <c r="I110" s="270" t="n"/>
    </row>
    <row r="111" ht="12.75" customFormat="1" customHeight="1" s="112">
      <c r="A111" s="112" t="inlineStr">
        <is>
          <t>4311900</t>
        </is>
      </c>
      <c r="B111" s="112" t="inlineStr">
        <is>
          <t>KN Bankkosten</t>
        </is>
      </c>
      <c r="C111" s="293" t="n"/>
      <c r="D111" s="293" t="n">
        <v>30747</v>
      </c>
      <c r="E111" s="293" t="n">
        <v>30189.5</v>
      </c>
      <c r="F111" s="293" t="n">
        <v>30173</v>
      </c>
      <c r="G111" s="293" t="n">
        <v>30058.42</v>
      </c>
      <c r="H111" s="296">
        <f>SUM(C111:G111)</f>
        <v/>
      </c>
      <c r="I111" s="363" t="n"/>
    </row>
    <row r="112" ht="12.75" customFormat="1" customHeight="1" s="112">
      <c r="A112" s="112" t="inlineStr">
        <is>
          <t>4312600</t>
        </is>
      </c>
      <c r="B112" s="112" t="inlineStr">
        <is>
          <t>KN Diverse lasten</t>
        </is>
      </c>
      <c r="C112" s="293" t="n"/>
      <c r="D112" s="293" t="n"/>
      <c r="E112" s="293" t="n"/>
      <c r="F112" s="293" t="n">
        <v>0</v>
      </c>
      <c r="G112" s="293" t="n">
        <v>40000</v>
      </c>
      <c r="H112" s="296">
        <f>SUM(C112:G112)</f>
        <v/>
      </c>
      <c r="I112" s="296" t="n"/>
    </row>
    <row r="113" ht="12.75" customFormat="1" customHeight="1" s="112">
      <c r="A113" s="112" t="inlineStr">
        <is>
          <t>4319800</t>
        </is>
      </c>
      <c r="B113" s="112" t="inlineStr">
        <is>
          <t>KN Overige algemene kosten</t>
        </is>
      </c>
      <c r="C113" s="346" t="n"/>
      <c r="D113" s="346" t="n">
        <v>-716</v>
      </c>
      <c r="E113" s="293" t="n">
        <v>-12426</v>
      </c>
      <c r="F113" s="293" t="n">
        <v>6643</v>
      </c>
      <c r="G113" s="293" t="n">
        <v>15891.44</v>
      </c>
      <c r="H113" s="296">
        <f>SUM(C113:G113)</f>
        <v/>
      </c>
      <c r="I113" s="270" t="n"/>
      <c r="J113" s="296" t="n"/>
      <c r="K113" s="296" t="n"/>
    </row>
    <row r="114" ht="12.75" customFormat="1" customHeight="1" s="112">
      <c r="C114" s="293" t="n"/>
      <c r="D114" s="293" t="n"/>
      <c r="E114" s="293" t="n"/>
      <c r="F114" s="293" t="n"/>
      <c r="G114" s="293" t="n"/>
      <c r="H114" s="296" t="n"/>
      <c r="I114" s="296" t="n"/>
    </row>
    <row r="115" ht="12.75" customFormat="1" customHeight="1" s="112">
      <c r="A115" s="112" t="inlineStr">
        <is>
          <t>4601000</t>
        </is>
      </c>
      <c r="B115" s="112" t="inlineStr">
        <is>
          <t>FINBL Rente RC D.M. Equity Partners C.V.</t>
        </is>
      </c>
      <c r="C115" s="293" t="n"/>
      <c r="D115" s="293" t="n"/>
      <c r="E115" s="293" t="n"/>
      <c r="F115" s="293" t="n">
        <v>0</v>
      </c>
      <c r="G115" s="293" t="n"/>
      <c r="H115" s="296">
        <f>SUM(C115:F115)</f>
        <v/>
      </c>
      <c r="I115" s="296" t="n"/>
    </row>
    <row r="116" ht="12.75" customFormat="1" customHeight="1" s="112">
      <c r="A116" s="112" t="inlineStr">
        <is>
          <t>4611000</t>
        </is>
      </c>
      <c r="B116" s="112" t="inlineStr">
        <is>
          <t>FINBL Rente RC DMRRP INV - I BV</t>
        </is>
      </c>
      <c r="C116" s="346" t="n"/>
      <c r="D116" s="293" t="n"/>
      <c r="E116" s="293" t="n"/>
      <c r="F116" s="293" t="n">
        <v>0</v>
      </c>
      <c r="G116" s="293" t="n"/>
      <c r="H116" s="296">
        <f>SUM(C116:F116)</f>
        <v/>
      </c>
      <c r="I116" s="270" t="n"/>
    </row>
    <row r="117" ht="12.75" customFormat="1" customHeight="1" s="112">
      <c r="A117" s="114" t="n">
        <v>4613000</v>
      </c>
      <c r="B117" s="112" t="inlineStr">
        <is>
          <t>FINBL Rente WPNL - V B.V.</t>
        </is>
      </c>
      <c r="C117" s="346" t="n"/>
      <c r="D117" s="293" t="n"/>
      <c r="E117" s="293" t="n"/>
      <c r="F117" s="293" t="n">
        <v>0</v>
      </c>
      <c r="G117" s="293" t="n"/>
      <c r="H117" s="296">
        <f>SUM(C117:F117)</f>
        <v/>
      </c>
      <c r="I117" s="270" t="n"/>
    </row>
    <row r="118" ht="12.75" customFormat="1" customHeight="1" s="112">
      <c r="A118" s="112" t="inlineStr">
        <is>
          <t>4620200</t>
        </is>
      </c>
      <c r="B118" s="112" t="inlineStr">
        <is>
          <t>FINBL Rente ABN AMRO Bank Disposal NL58 ABNA 0818 9180 39</t>
        </is>
      </c>
      <c r="C118" s="293" t="n"/>
      <c r="D118" s="293" t="n">
        <v>88.36</v>
      </c>
      <c r="E118" s="293" t="n">
        <v>8.380000000000001</v>
      </c>
      <c r="F118" s="293" t="n">
        <v>0</v>
      </c>
      <c r="G118" s="293" t="n"/>
      <c r="H118" s="296">
        <f>SUM(C118:G118)</f>
        <v/>
      </c>
      <c r="I118" s="296" t="n"/>
    </row>
    <row r="119" ht="12.75" customFormat="1" customHeight="1" s="112">
      <c r="A119" s="112" t="inlineStr">
        <is>
          <t>4623001</t>
        </is>
      </c>
      <c r="B119" s="112" t="inlineStr">
        <is>
          <t>FINBL Rente ABN AMRO Bank NV Senior Facility Agreement</t>
        </is>
      </c>
      <c r="C119" s="293" t="n"/>
      <c r="D119" s="293" t="n">
        <v>1484000.59</v>
      </c>
      <c r="E119" s="293" t="n">
        <v>1384964.21</v>
      </c>
      <c r="F119" s="293" t="n">
        <v>1264736</v>
      </c>
      <c r="G119" s="293" t="n">
        <v>1268096.76</v>
      </c>
      <c r="H119" s="296">
        <f>SUM(C119:G119)</f>
        <v/>
      </c>
      <c r="I119" s="270" t="n"/>
    </row>
    <row r="120" ht="12.75" customFormat="1" customHeight="1" s="112">
      <c r="A120" s="112" t="inlineStr">
        <is>
          <t>4643000</t>
        </is>
      </c>
      <c r="B120" s="112" t="inlineStr">
        <is>
          <t>FINBL Overige rentelasten</t>
        </is>
      </c>
      <c r="C120" s="293" t="n"/>
      <c r="D120" s="293" t="n">
        <v>81808</v>
      </c>
      <c r="E120" s="293" t="n">
        <v>171938.04</v>
      </c>
      <c r="F120" s="293" t="n">
        <v>267049</v>
      </c>
      <c r="G120" s="293" t="n">
        <v>259973.43</v>
      </c>
      <c r="H120" s="296">
        <f>SUM(C120:G120)</f>
        <v/>
      </c>
      <c r="I120" s="363" t="n"/>
    </row>
    <row r="121" ht="12.75" customFormat="1" customHeight="1" s="112">
      <c r="A121" s="112" t="inlineStr">
        <is>
          <t>4642000</t>
        </is>
      </c>
      <c r="B121" s="112" t="inlineStr">
        <is>
          <t>FINBL Overige rentebaten</t>
        </is>
      </c>
      <c r="C121" s="346" t="n"/>
      <c r="D121" s="293" t="n"/>
      <c r="E121" s="293" t="n"/>
      <c r="F121" s="293" t="n">
        <v>0</v>
      </c>
      <c r="G121" s="293" t="n"/>
      <c r="H121" s="296">
        <f>SUM(C121:G121)</f>
        <v/>
      </c>
      <c r="I121" s="363" t="n"/>
    </row>
    <row r="122" ht="12.75" customFormat="1" customHeight="1" s="112">
      <c r="A122" s="112" t="inlineStr">
        <is>
          <t>4663000</t>
        </is>
      </c>
      <c r="B122" s="112" t="inlineStr">
        <is>
          <t>FINBL Rente vord DMRRP INV - I BV</t>
        </is>
      </c>
      <c r="C122" s="346" t="n"/>
      <c r="D122" s="293" t="n">
        <v>-397476.14</v>
      </c>
      <c r="E122" s="293" t="n">
        <v>-369637.02</v>
      </c>
      <c r="F122" s="293" t="n">
        <v>-337235</v>
      </c>
      <c r="G122" s="293" t="n">
        <v>-337944.16</v>
      </c>
      <c r="H122" s="296">
        <f>SUM(C122:G122)</f>
        <v/>
      </c>
      <c r="I122" s="363" t="n"/>
    </row>
    <row r="123" ht="12.75" customFormat="1" customHeight="1" s="112">
      <c r="C123" s="293" t="n"/>
      <c r="D123" s="293" t="n"/>
      <c r="E123" s="293" t="n"/>
      <c r="F123" s="293" t="n"/>
      <c r="G123" s="293" t="n"/>
      <c r="H123" s="296" t="n"/>
      <c r="I123" s="296" t="n"/>
    </row>
    <row r="124" ht="12.75" customFormat="1" customHeight="1" s="112">
      <c r="A124" s="112" t="inlineStr">
        <is>
          <t>9500000</t>
        </is>
      </c>
      <c r="B124" s="112" t="inlineStr">
        <is>
          <t>VPB Vennootschapsbelasting VPB huidig jaar</t>
        </is>
      </c>
      <c r="C124" s="346" t="n"/>
      <c r="D124" s="293" t="n"/>
      <c r="E124" s="293" t="n"/>
      <c r="F124" s="293" t="n"/>
      <c r="G124" s="293" t="n"/>
      <c r="H124" s="296">
        <f>SUM(C124:G124)</f>
        <v/>
      </c>
      <c r="I124" s="363" t="n"/>
    </row>
    <row r="125" ht="12.75" customFormat="1" customHeight="1" s="112">
      <c r="A125" s="112" t="inlineStr">
        <is>
          <t>9510000</t>
        </is>
      </c>
      <c r="B125" s="112" t="inlineStr">
        <is>
          <t>VPB Mutatie belastinglatentie Mutatie actieve latentie</t>
        </is>
      </c>
      <c r="C125" s="346" t="n"/>
      <c r="D125" s="293" t="n">
        <v>-173840</v>
      </c>
      <c r="E125" s="293" t="n">
        <v>-200714</v>
      </c>
      <c r="F125" s="293" t="n">
        <v>-214644</v>
      </c>
      <c r="G125" s="293" t="n">
        <v>-211391</v>
      </c>
      <c r="H125" s="296">
        <f>SUM(C125:G125)</f>
        <v/>
      </c>
      <c r="I125" s="363" t="n"/>
    </row>
    <row r="126" ht="12.75" customFormat="1" customHeight="1" s="112">
      <c r="C126" s="293" t="n"/>
      <c r="D126" s="293" t="n"/>
      <c r="E126" s="293" t="n"/>
      <c r="F126" s="293" t="n"/>
      <c r="G126" s="293" t="n"/>
      <c r="H126" s="296" t="n"/>
      <c r="I126" s="296" t="n"/>
    </row>
    <row r="127" ht="12.75" customFormat="1" customHeight="1" s="112">
      <c r="A127" s="112" t="inlineStr">
        <is>
          <t>Resultaat na belasting</t>
        </is>
      </c>
      <c r="C127" s="293" t="n"/>
      <c r="D127" s="293">
        <f>SUM(D78:D125)</f>
        <v/>
      </c>
      <c r="E127" s="293">
        <f>SUM(E78:E125)</f>
        <v/>
      </c>
      <c r="F127" s="293">
        <f>SUM(F78:F125)</f>
        <v/>
      </c>
      <c r="G127" s="293">
        <f>SUM(G78:G125)</f>
        <v/>
      </c>
      <c r="H127" s="296">
        <f>SUM(C127:G127)</f>
        <v/>
      </c>
      <c r="I127" s="296" t="n"/>
    </row>
    <row r="128" ht="12.75" customFormat="1" customHeight="1" s="112">
      <c r="C128" s="293" t="n"/>
      <c r="D128" s="293" t="n"/>
      <c r="E128" s="293" t="n"/>
      <c r="F128" s="293" t="n"/>
      <c r="G128" s="293" t="n"/>
    </row>
    <row r="129" ht="12.75" customFormat="1" customHeight="1" s="112">
      <c r="A129" s="112" t="inlineStr">
        <is>
          <t>Verschil balans en winst-en-verlies</t>
        </is>
      </c>
      <c r="C129" s="293" t="n"/>
      <c r="D129" s="293">
        <f>SUM(D5:D125)</f>
        <v/>
      </c>
      <c r="E129" s="293">
        <f>SUM(E5:E125)</f>
        <v/>
      </c>
      <c r="F129" s="293">
        <f>SUM(F5:F125)</f>
        <v/>
      </c>
      <c r="G129" s="293">
        <f>SUM(G5:G125)</f>
        <v/>
      </c>
      <c r="H129" s="293">
        <f>SUM(H5:H125)</f>
        <v/>
      </c>
    </row>
    <row r="131">
      <c r="A131" s="130" t="inlineStr">
        <is>
          <t>afschrijving SWAP</t>
        </is>
      </c>
      <c r="B131" s="1" t="n"/>
      <c r="C131" s="341" t="n"/>
      <c r="D131" s="289">
        <f>36883.33*3</f>
        <v/>
      </c>
      <c r="E131" s="289">
        <f>36883.33*3</f>
        <v/>
      </c>
      <c r="F131" s="289">
        <f>36883.33*3</f>
        <v/>
      </c>
      <c r="G131" s="289">
        <f>36883.33*3</f>
        <v/>
      </c>
      <c r="H131" s="290" t="n"/>
    </row>
    <row r="132">
      <c r="A132" s="130" t="inlineStr">
        <is>
          <t>Inkomsten SWAP</t>
        </is>
      </c>
      <c r="B132" s="1" t="n"/>
      <c r="C132" s="341" t="n"/>
      <c r="D132" s="359" t="n">
        <v>-28841.62</v>
      </c>
      <c r="E132" s="359" t="n">
        <v>61288.02</v>
      </c>
      <c r="F132" s="359" t="n">
        <v>156398.53</v>
      </c>
      <c r="G132" s="359" t="n">
        <v>149323.42</v>
      </c>
      <c r="H132" s="290" t="n"/>
    </row>
    <row r="134">
      <c r="A134" s="130" t="inlineStr">
        <is>
          <t>Rente</t>
        </is>
      </c>
      <c r="B134" s="1" t="n"/>
      <c r="C134" s="341" t="n"/>
      <c r="D134" s="341">
        <f>D119</f>
        <v/>
      </c>
      <c r="E134" s="341">
        <f>E119</f>
        <v/>
      </c>
      <c r="F134" s="341">
        <f>F119</f>
        <v/>
      </c>
      <c r="G134" s="341">
        <f>G119</f>
        <v/>
      </c>
      <c r="H134" s="341">
        <f>SUM(H116:H119)</f>
        <v/>
      </c>
    </row>
    <row r="135">
      <c r="A135" s="130" t="inlineStr">
        <is>
          <t>SWAP</t>
        </is>
      </c>
      <c r="B135" s="1" t="n"/>
      <c r="C135" s="341" t="n"/>
      <c r="D135" s="360">
        <f>D132</f>
        <v/>
      </c>
      <c r="E135" s="360">
        <f>E132</f>
        <v/>
      </c>
      <c r="F135" s="360">
        <f>F132</f>
        <v/>
      </c>
      <c r="G135" s="360">
        <f>G132</f>
        <v/>
      </c>
      <c r="H135" s="351">
        <f>SUM(D135:G135)</f>
        <v/>
      </c>
    </row>
    <row r="136">
      <c r="A136" s="130" t="inlineStr">
        <is>
          <t>Afschrijving prepaid derivatives transaction</t>
        </is>
      </c>
      <c r="B136" s="1" t="n"/>
      <c r="C136" s="341" t="n"/>
      <c r="D136" s="360">
        <f>D131</f>
        <v/>
      </c>
      <c r="E136" s="360">
        <f>E131</f>
        <v/>
      </c>
      <c r="F136" s="360">
        <f>F131</f>
        <v/>
      </c>
      <c r="G136" s="360">
        <f>G131</f>
        <v/>
      </c>
      <c r="H136" s="351">
        <f>SUM(D136:G136)</f>
        <v/>
      </c>
    </row>
    <row r="137">
      <c r="A137" s="130" t="inlineStr">
        <is>
          <t>IC interest</t>
        </is>
      </c>
      <c r="B137" s="1" t="n"/>
      <c r="C137" s="341" t="n"/>
      <c r="D137" s="341">
        <f>D122</f>
        <v/>
      </c>
      <c r="E137" s="341">
        <f>E122</f>
        <v/>
      </c>
      <c r="F137" s="341">
        <f>F122</f>
        <v/>
      </c>
      <c r="G137" s="341">
        <f>G122</f>
        <v/>
      </c>
      <c r="H137" s="290">
        <f>SUM(D137:G137)</f>
        <v/>
      </c>
    </row>
    <row r="138">
      <c r="A138" s="1" t="n"/>
      <c r="B138" s="1" t="n"/>
      <c r="C138" s="293" t="n"/>
      <c r="D138" s="341">
        <f>SUM(D134:D137)</f>
        <v/>
      </c>
      <c r="E138" s="341">
        <f>SUM(E134:E137)</f>
        <v/>
      </c>
      <c r="F138" s="341">
        <f>SUM(F134:F137)</f>
        <v/>
      </c>
      <c r="G138" s="341">
        <f>SUM(G134:G137)</f>
        <v/>
      </c>
      <c r="H138" s="290">
        <f>SUM(D138:G138)</f>
        <v/>
      </c>
    </row>
    <row r="140">
      <c r="D140" s="366" t="n"/>
      <c r="E140" s="366" t="n"/>
      <c r="F140" s="366" t="n"/>
      <c r="G140" s="366" t="n"/>
    </row>
  </sheetData>
  <pageMargins left="0.7" right="0.7" top="0.75" bottom="0.75" header="0.3" footer="0.3"/>
  <pageSetup orientation="portrait" paperSize="9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34"/>
  <sheetViews>
    <sheetView workbookViewId="0">
      <selection activeCell="A1" sqref="A1"/>
    </sheetView>
  </sheetViews>
  <sheetFormatPr baseColWidth="8" defaultRowHeight="15"/>
  <cols>
    <col width="12.88671875" customWidth="1" min="1" max="1"/>
    <col width="70" customWidth="1" min="2" max="2"/>
    <col width="32.44140625" customWidth="1" min="3" max="3"/>
    <col width="17.5546875" customWidth="1" min="4" max="4"/>
    <col width="20.44140625" customWidth="1" min="8" max="8"/>
    <col width="11.33203125" customWidth="1" min="9" max="9"/>
    <col width="10.88671875" customWidth="1" min="11" max="11"/>
  </cols>
  <sheetData>
    <row r="1" ht="12.75" customHeight="1">
      <c r="A1" s="367" t="n"/>
      <c r="B1" s="367" t="n"/>
      <c r="C1" s="254" t="inlineStr">
        <is>
          <t>Eindbalans per 31-03-2025</t>
        </is>
      </c>
      <c r="D1" s="368" t="inlineStr">
        <is>
          <t>Mutaties Q2 2025</t>
        </is>
      </c>
      <c r="E1" s="368" t="inlineStr">
        <is>
          <t>Mutaties Q3 2025</t>
        </is>
      </c>
      <c r="F1" s="368" t="inlineStr">
        <is>
          <t>Mutaties Q4 2025</t>
        </is>
      </c>
      <c r="G1" s="368" t="inlineStr">
        <is>
          <t>Mutaties Q1 2026</t>
        </is>
      </c>
      <c r="H1" s="368" t="inlineStr">
        <is>
          <t>Saldi per 31-03-2026</t>
        </is>
      </c>
      <c r="I1" s="367" t="n"/>
      <c r="J1" s="367" t="n"/>
      <c r="K1" s="367" t="n"/>
      <c r="L1" s="367" t="n"/>
    </row>
    <row r="2">
      <c r="A2" s="367" t="n"/>
      <c r="B2" s="367" t="n"/>
      <c r="C2" s="367" t="n"/>
      <c r="D2" s="367" t="n"/>
      <c r="E2" s="367" t="n"/>
      <c r="F2" s="367" t="n"/>
      <c r="G2" s="367" t="n"/>
      <c r="H2" s="367" t="n"/>
      <c r="I2" s="367" t="n"/>
      <c r="J2" s="367" t="n"/>
      <c r="K2" s="367" t="n"/>
      <c r="L2" s="367" t="n"/>
    </row>
    <row r="3" ht="12.75" customHeight="1">
      <c r="A3" s="113" t="inlineStr">
        <is>
          <t>Balans</t>
        </is>
      </c>
      <c r="B3" s="367" t="n"/>
      <c r="C3" s="367" t="n"/>
      <c r="D3" s="367" t="n"/>
      <c r="E3" s="367" t="n"/>
      <c r="F3" s="367" t="n"/>
      <c r="G3" s="367" t="n"/>
      <c r="H3" s="367" t="n"/>
      <c r="I3" s="367" t="n"/>
      <c r="J3" s="367" t="n"/>
      <c r="K3" s="367" t="n"/>
      <c r="L3" s="367" t="n"/>
    </row>
    <row r="4" ht="12.75" customHeight="1">
      <c r="A4" s="113" t="n"/>
      <c r="B4" s="367" t="n"/>
      <c r="C4" s="367" t="n"/>
      <c r="D4" s="367" t="n"/>
      <c r="E4" s="367" t="n"/>
      <c r="F4" s="367" t="n"/>
      <c r="G4" s="367" t="n"/>
      <c r="H4" s="367" t="n"/>
      <c r="I4" s="367" t="n"/>
      <c r="J4" s="367" t="n"/>
      <c r="K4" s="367" t="n"/>
      <c r="L4" s="367" t="n"/>
    </row>
    <row r="5" ht="12.75" customHeight="1">
      <c r="A5" s="113" t="inlineStr">
        <is>
          <t>Materiële vaste activa</t>
        </is>
      </c>
      <c r="B5" s="367" t="n"/>
      <c r="C5" s="367" t="n"/>
      <c r="D5" s="367" t="n"/>
      <c r="E5" s="367" t="n"/>
      <c r="F5" s="367" t="n"/>
      <c r="G5" s="367" t="n"/>
      <c r="H5" s="367" t="n"/>
      <c r="I5" s="367" t="n"/>
      <c r="J5" s="367" t="n"/>
      <c r="K5" s="367" t="n"/>
      <c r="L5" s="367" t="n"/>
    </row>
    <row r="6" ht="12.75" customHeight="1">
      <c r="A6" s="369" t="inlineStr">
        <is>
          <t>1600000</t>
        </is>
      </c>
      <c r="B6" s="369" t="inlineStr">
        <is>
          <t>VG Vastgoedbeleggingen Verkrijgings- of vervaardigingsprijs -</t>
        </is>
      </c>
      <c r="C6" s="370" t="n">
        <v>128675714.16</v>
      </c>
      <c r="D6" s="371" t="n">
        <v>400388</v>
      </c>
      <c r="E6" s="371" t="n">
        <v>115411</v>
      </c>
      <c r="F6" s="372" t="n">
        <v>801559</v>
      </c>
      <c r="G6" s="371" t="n">
        <v>196823.3</v>
      </c>
      <c r="H6" s="371">
        <f>SUM(C6:G6)</f>
        <v/>
      </c>
      <c r="I6" s="270" t="inlineStr">
        <is>
          <t>Vooruitbetaalde kosten opgenomen</t>
        </is>
      </c>
      <c r="J6" s="367" t="n"/>
      <c r="K6" s="367" t="n"/>
      <c r="L6" s="367" t="n"/>
    </row>
    <row r="7" ht="12.75" customHeight="1">
      <c r="A7" s="369" t="inlineStr">
        <is>
          <t>1600200</t>
        </is>
      </c>
      <c r="B7" s="369" t="inlineStr">
        <is>
          <t>VG Vastgoedbeleggingen Cum afschrijvingen en waardeverm -</t>
        </is>
      </c>
      <c r="C7" s="370" t="n">
        <v>-23937001</v>
      </c>
      <c r="D7" s="371" t="n">
        <v>-822632</v>
      </c>
      <c r="E7" s="371" t="n">
        <v>-839833</v>
      </c>
      <c r="F7" s="371" t="n">
        <v>-853149</v>
      </c>
      <c r="G7" s="371" t="n">
        <v>-860902</v>
      </c>
      <c r="H7" s="371">
        <f>SUM(C7:G7)</f>
        <v/>
      </c>
      <c r="I7" s="367" t="n"/>
      <c r="J7" s="367" t="n"/>
      <c r="K7" s="367" t="n"/>
      <c r="L7" s="367" t="n"/>
    </row>
    <row r="8" ht="12.75" customHeight="1">
      <c r="A8" s="373" t="inlineStr">
        <is>
          <t>1601000</t>
        </is>
      </c>
      <c r="B8" s="373" t="inlineStr">
        <is>
          <t>VG Vastgoedbeleggingen Buitengebruikstellingen CA en waardeverm. -</t>
        </is>
      </c>
      <c r="C8" s="370" t="n">
        <v>-2578837</v>
      </c>
      <c r="D8" s="371" t="n">
        <v>-237202</v>
      </c>
      <c r="E8" s="371" t="n">
        <v>-41440</v>
      </c>
      <c r="F8" s="371" t="n">
        <v>-162303</v>
      </c>
      <c r="G8" s="371" t="n">
        <v>0</v>
      </c>
      <c r="H8" s="371">
        <f>SUM(C8:G8)</f>
        <v/>
      </c>
      <c r="I8" s="367" t="n"/>
      <c r="J8" s="367" t="n"/>
      <c r="K8" s="367" t="n"/>
      <c r="L8" s="367" t="n"/>
    </row>
    <row r="9" ht="12.75" customHeight="1">
      <c r="A9" s="369" t="inlineStr">
        <is>
          <t>1611003</t>
        </is>
      </c>
      <c r="B9" s="369" t="inlineStr">
        <is>
          <t>VG Comm VG in exploitatie Buitengebruikstellingen cum. afschr. en waardeverm.</t>
        </is>
      </c>
      <c r="C9" s="370" t="n">
        <v>451341</v>
      </c>
      <c r="D9" s="371" t="n">
        <v>41678</v>
      </c>
      <c r="E9" s="371" t="n">
        <v>7880</v>
      </c>
      <c r="F9" s="371" t="n">
        <v>31875</v>
      </c>
      <c r="G9" s="371" t="n">
        <v>0</v>
      </c>
      <c r="H9" s="371">
        <f>SUM(C9:G9)</f>
        <v/>
      </c>
      <c r="I9" s="367" t="n"/>
      <c r="J9" s="367" t="n"/>
      <c r="K9" s="367" t="n"/>
      <c r="L9" s="367" t="n"/>
    </row>
    <row r="10" ht="12.75" customHeight="1">
      <c r="A10" s="369" t="inlineStr">
        <is>
          <t>1610803</t>
        </is>
      </c>
      <c r="B10" s="369" t="inlineStr">
        <is>
          <t>VG Comm VG in exploitatie Buitengebruikstellingen aanschaffingswaarde</t>
        </is>
      </c>
      <c r="C10" s="370" t="n">
        <v>0</v>
      </c>
      <c r="D10" s="367" t="n"/>
      <c r="E10" s="367" t="n"/>
      <c r="F10" s="367" t="n"/>
      <c r="G10" s="367" t="n"/>
      <c r="H10" s="371">
        <f>SUM(C10:G10)</f>
        <v/>
      </c>
      <c r="I10" s="367" t="n"/>
      <c r="J10" s="367" t="n"/>
      <c r="K10" s="367" t="n"/>
      <c r="L10" s="367" t="n"/>
    </row>
    <row r="11" ht="12.75" customHeight="1">
      <c r="A11" s="367" t="n"/>
      <c r="B11" s="367" t="n"/>
      <c r="C11" s="370" t="n"/>
      <c r="D11" s="367" t="n"/>
      <c r="E11" s="367" t="n"/>
      <c r="F11" s="367" t="n"/>
      <c r="G11" s="367" t="n"/>
      <c r="H11" s="371" t="n"/>
      <c r="I11" s="367" t="n"/>
      <c r="J11" s="367" t="n"/>
      <c r="K11" s="367" t="n"/>
      <c r="L11" s="367" t="n"/>
    </row>
    <row r="12" ht="12.75" customHeight="1">
      <c r="A12" s="254" t="inlineStr">
        <is>
          <t>Financiële Vaste Lasten</t>
        </is>
      </c>
      <c r="B12" s="367" t="n"/>
      <c r="C12" s="370" t="n"/>
      <c r="D12" s="367" t="n"/>
      <c r="E12" s="367" t="n"/>
      <c r="F12" s="367" t="n"/>
      <c r="G12" s="367" t="n"/>
      <c r="H12" s="371" t="n"/>
      <c r="I12" s="367" t="n"/>
      <c r="J12" s="367" t="n"/>
      <c r="K12" s="367" t="n"/>
      <c r="L12" s="367" t="n"/>
    </row>
    <row r="13" ht="12.75" customHeight="1">
      <c r="A13" s="369" t="inlineStr">
        <is>
          <t>1760000</t>
        </is>
      </c>
      <c r="B13" s="369" t="inlineStr">
        <is>
          <t>FVA Vord op DMRRP INV - I BV  saldo</t>
        </is>
      </c>
      <c r="C13" s="370" t="n">
        <v>38320325</v>
      </c>
      <c r="D13" s="367" t="n"/>
      <c r="E13" s="367" t="n"/>
      <c r="F13" s="367" t="n"/>
      <c r="G13" s="367" t="n"/>
      <c r="H13" s="371">
        <f>SUM(C13:G13)</f>
        <v/>
      </c>
      <c r="I13" s="371" t="n"/>
      <c r="J13" s="367" t="n"/>
      <c r="K13" s="367" t="n"/>
      <c r="L13" s="367" t="n"/>
    </row>
    <row r="14" ht="12.75" customHeight="1">
      <c r="A14" s="369" t="inlineStr">
        <is>
          <t>1760300</t>
        </is>
      </c>
      <c r="B14" s="369" t="inlineStr">
        <is>
          <t>FVA Vord op DMRRP INV - I BV  aflossingen</t>
        </is>
      </c>
      <c r="C14" s="370" t="n">
        <v>-2697904</v>
      </c>
      <c r="D14" s="371" t="n">
        <v>-243993</v>
      </c>
      <c r="E14" s="371" t="n">
        <v>-114687</v>
      </c>
      <c r="F14" s="371" t="n">
        <v>-168308.34</v>
      </c>
      <c r="G14" s="371" t="n">
        <v>-168308.34</v>
      </c>
      <c r="H14" s="371">
        <f>SUM(C14:G14)</f>
        <v/>
      </c>
      <c r="I14" s="270" t="n"/>
      <c r="J14" s="367" t="n"/>
      <c r="K14" s="367" t="n"/>
      <c r="L14" s="367" t="n"/>
    </row>
    <row r="15" ht="12.75" customHeight="1">
      <c r="A15" s="369" t="inlineStr">
        <is>
          <t>1790000</t>
        </is>
      </c>
      <c r="B15" s="369" t="inlineStr">
        <is>
          <t>FVA Swap fee</t>
        </is>
      </c>
      <c r="C15" s="370" t="n">
        <v>1106500</v>
      </c>
      <c r="D15" s="371" t="n">
        <v>-110650</v>
      </c>
      <c r="E15" s="371" t="n">
        <v>-110650</v>
      </c>
      <c r="F15" s="371" t="n">
        <v>-110650</v>
      </c>
      <c r="G15" s="371" t="n">
        <v>-110650</v>
      </c>
      <c r="H15" s="371">
        <f>SUM(C15:G15)</f>
        <v/>
      </c>
      <c r="I15" s="367" t="n"/>
      <c r="J15" s="367" t="n"/>
      <c r="K15" s="367" t="n"/>
      <c r="L15" s="367" t="n"/>
    </row>
    <row r="16" ht="12.75" customHeight="1">
      <c r="A16" s="369" t="inlineStr">
        <is>
          <t>1790002</t>
        </is>
      </c>
      <c r="B16" s="369" t="inlineStr">
        <is>
          <t>FVA Latente belastingvordering langlopend</t>
        </is>
      </c>
      <c r="C16" s="370" t="n">
        <v>7968646</v>
      </c>
      <c r="D16" s="371" t="n">
        <v>200714</v>
      </c>
      <c r="E16" s="371" t="n">
        <v>214644</v>
      </c>
      <c r="F16" s="372" t="n">
        <v>809195</v>
      </c>
      <c r="G16" s="371" t="n">
        <v>206300</v>
      </c>
      <c r="H16" s="371">
        <f>SUM(C16:G16)</f>
        <v/>
      </c>
      <c r="I16" s="270" t="inlineStr">
        <is>
          <t>Latenties geboekt</t>
        </is>
      </c>
      <c r="J16" s="367" t="n"/>
      <c r="K16" s="367" t="n"/>
      <c r="L16" s="367" t="n"/>
    </row>
    <row r="17" ht="12.75" customHeight="1">
      <c r="A17" s="367" t="n"/>
      <c r="B17" s="367" t="n"/>
      <c r="C17" s="370" t="n"/>
      <c r="D17" s="367" t="n"/>
      <c r="E17" s="367" t="n"/>
      <c r="F17" s="367" t="n"/>
      <c r="G17" s="367" t="n"/>
      <c r="H17" s="371" t="n"/>
      <c r="I17" s="367" t="n"/>
      <c r="J17" s="367" t="n"/>
      <c r="K17" s="367" t="n"/>
      <c r="L17" s="367" t="n"/>
    </row>
    <row r="18" ht="12.75" customHeight="1">
      <c r="A18" s="254" t="inlineStr">
        <is>
          <t>Vorderingen</t>
        </is>
      </c>
      <c r="B18" s="367" t="n"/>
      <c r="C18" s="370" t="n"/>
      <c r="D18" s="367" t="n"/>
      <c r="E18" s="367" t="n"/>
      <c r="F18" s="367" t="n"/>
      <c r="G18" s="367" t="n"/>
      <c r="H18" s="371" t="n"/>
      <c r="I18" s="367" t="n"/>
      <c r="J18" s="367" t="n"/>
      <c r="K18" s="367" t="n"/>
      <c r="L18" s="367" t="n"/>
    </row>
    <row r="19" ht="12.75" customHeight="1">
      <c r="A19" s="369" t="inlineStr">
        <is>
          <t>2000000</t>
        </is>
      </c>
      <c r="B19" s="369" t="inlineStr">
        <is>
          <t>VOR Debiteuren</t>
        </is>
      </c>
      <c r="C19" s="370" t="n">
        <v>554978</v>
      </c>
      <c r="D19" s="371" t="n">
        <v>-339181</v>
      </c>
      <c r="E19" s="371" t="n">
        <v>-67350</v>
      </c>
      <c r="F19" s="371" t="n">
        <v>8432.059999999999</v>
      </c>
      <c r="G19" s="371" t="n">
        <v>42950.19</v>
      </c>
      <c r="H19" s="371">
        <f>SUM(C19:G19)</f>
        <v/>
      </c>
      <c r="I19" s="270" t="n"/>
      <c r="J19" s="367" t="n"/>
      <c r="K19" s="367" t="n"/>
      <c r="L19" s="367" t="n"/>
    </row>
    <row r="20" ht="12.75" customHeight="1">
      <c r="A20" s="369" t="inlineStr">
        <is>
          <t>2000100</t>
        </is>
      </c>
      <c r="B20" s="369" t="inlineStr">
        <is>
          <t>VOR Debiteuren intercompany</t>
        </is>
      </c>
      <c r="C20" s="370" t="n">
        <v>7168377</v>
      </c>
      <c r="D20" s="371" t="n">
        <v>-5914486</v>
      </c>
      <c r="E20" s="372" t="n">
        <v>451922</v>
      </c>
      <c r="F20" s="372" t="n">
        <v>-1199561</v>
      </c>
      <c r="G20" s="367" t="n"/>
      <c r="H20" s="371">
        <f>SUM(C20:G20)</f>
        <v/>
      </c>
      <c r="I20" s="270" t="inlineStr">
        <is>
          <t>Agiostorting tbv aflossing debiteurenpositie</t>
        </is>
      </c>
      <c r="J20" s="367" t="n"/>
      <c r="K20" s="367" t="n"/>
      <c r="L20" s="367" t="n"/>
    </row>
    <row r="21" ht="12.75" customHeight="1">
      <c r="A21" s="369" t="inlineStr">
        <is>
          <t>2000300</t>
        </is>
      </c>
      <c r="B21" s="369" t="inlineStr">
        <is>
          <t>VOR Voorziening dubieuze debiteuren</t>
        </is>
      </c>
      <c r="C21" s="370" t="n">
        <v>-90168.69</v>
      </c>
      <c r="D21" s="367" t="n"/>
      <c r="E21" s="367" t="n"/>
      <c r="F21" s="372" t="n">
        <v>37119.41</v>
      </c>
      <c r="G21" s="367" t="n"/>
      <c r="H21" s="371">
        <f>SUM(C21:G21)</f>
        <v/>
      </c>
      <c r="I21" s="270" t="inlineStr">
        <is>
          <t>Voorziening dubieuze debiteuren opgenomen</t>
        </is>
      </c>
      <c r="J21" s="367" t="n"/>
      <c r="K21" s="367" t="n"/>
      <c r="L21" s="367" t="n"/>
    </row>
    <row r="22" ht="12.75" customHeight="1">
      <c r="A22" s="369" t="inlineStr">
        <is>
          <t>2040100</t>
        </is>
      </c>
      <c r="B22" s="369" t="inlineStr">
        <is>
          <t>VOR Nog te factureren bedragen</t>
        </is>
      </c>
      <c r="C22" s="370" t="n">
        <v>146986</v>
      </c>
      <c r="D22" s="371" t="n">
        <v>-146985</v>
      </c>
      <c r="E22" s="367" t="n"/>
      <c r="F22" s="367" t="n"/>
      <c r="G22" s="371" t="n">
        <v>506252.5</v>
      </c>
      <c r="H22" s="371">
        <f>SUM(C22:G22)</f>
        <v/>
      </c>
      <c r="I22" s="367" t="n"/>
      <c r="J22" s="367" t="n"/>
      <c r="K22" s="367" t="n"/>
      <c r="L22" s="367" t="n"/>
    </row>
    <row r="23" ht="12.75" customHeight="1">
      <c r="A23" s="369" t="inlineStr">
        <is>
          <t>2040200</t>
        </is>
      </c>
      <c r="B23" s="369" t="inlineStr">
        <is>
          <t>VOR Te vorderen waarborgsommen kortlopend</t>
        </is>
      </c>
      <c r="C23" s="370" t="n">
        <v>5000</v>
      </c>
      <c r="D23" s="367" t="n"/>
      <c r="E23" s="367" t="n"/>
      <c r="F23" s="367" t="n"/>
      <c r="G23" s="367" t="n"/>
      <c r="H23" s="371">
        <f>SUM(C23:G23)</f>
        <v/>
      </c>
      <c r="I23" s="367" t="n"/>
      <c r="J23" s="367" t="n"/>
      <c r="K23" s="367" t="n"/>
      <c r="L23" s="367" t="n"/>
    </row>
    <row r="24" ht="12.75" customHeight="1">
      <c r="A24" s="369" t="inlineStr">
        <is>
          <t>2040500</t>
        </is>
      </c>
      <c r="B24" s="369" t="inlineStr">
        <is>
          <t>VOR Vooruitbetaalde verzekeringen</t>
        </is>
      </c>
      <c r="C24" s="370" t="n">
        <v>89979.3</v>
      </c>
      <c r="D24" s="371" t="n">
        <v>-29994</v>
      </c>
      <c r="E24" s="371" t="n">
        <v>-29994</v>
      </c>
      <c r="F24" s="371" t="n">
        <v>-29994</v>
      </c>
      <c r="G24" s="371" t="n">
        <v>420880.6</v>
      </c>
      <c r="H24" s="371">
        <f>SUM(C24:G24)</f>
        <v/>
      </c>
      <c r="I24" s="367" t="n"/>
      <c r="J24" s="367" t="n"/>
      <c r="K24" s="367" t="n"/>
      <c r="L24" s="367" t="n"/>
    </row>
    <row r="25" ht="12.75" customHeight="1">
      <c r="A25" s="369" t="inlineStr">
        <is>
          <t>2040900</t>
        </is>
      </c>
      <c r="B25" s="369" t="inlineStr">
        <is>
          <t>VOR Vooruitbetaalde overige kosten</t>
        </is>
      </c>
      <c r="C25" s="370" t="n">
        <v>143145</v>
      </c>
      <c r="D25" s="371" t="n">
        <v>79524</v>
      </c>
      <c r="E25" s="371" t="n">
        <v>-111334</v>
      </c>
      <c r="F25" s="371" t="n">
        <v>-111335</v>
      </c>
      <c r="G25" s="367" t="n"/>
      <c r="H25" s="371">
        <f>SUM(C25:G25)</f>
        <v/>
      </c>
      <c r="I25" s="371" t="n"/>
      <c r="J25" s="367" t="n"/>
      <c r="K25" s="367" t="n"/>
      <c r="L25" s="367" t="n"/>
    </row>
    <row r="26" ht="12.75" customHeight="1">
      <c r="A26" s="374" t="n">
        <v>2040601</v>
      </c>
      <c r="B26" s="369" t="inlineStr">
        <is>
          <t>VOR Doorbelastingen huurder en overig</t>
        </is>
      </c>
      <c r="C26" s="370" t="n"/>
      <c r="D26" s="363" t="n"/>
      <c r="E26" s="371" t="n">
        <v>2169</v>
      </c>
      <c r="F26" s="367" t="n"/>
      <c r="G26" s="367" t="n"/>
      <c r="H26" s="371">
        <f>SUM(C26:G26)</f>
        <v/>
      </c>
      <c r="I26" s="367" t="n"/>
      <c r="J26" s="367" t="n"/>
      <c r="K26" s="367" t="n"/>
      <c r="L26" s="367" t="n"/>
    </row>
    <row r="27" ht="12.75" customHeight="1">
      <c r="A27" s="367" t="n"/>
      <c r="B27" s="367" t="n"/>
      <c r="C27" s="370" t="n"/>
      <c r="D27" s="367" t="n"/>
      <c r="E27" s="367" t="n"/>
      <c r="F27" s="367" t="n"/>
      <c r="G27" s="367" t="n"/>
      <c r="H27" s="371" t="n"/>
      <c r="I27" s="367" t="n"/>
      <c r="J27" s="367" t="n"/>
      <c r="K27" s="367" t="n"/>
      <c r="L27" s="367" t="n"/>
    </row>
    <row r="28" ht="12.75" customHeight="1">
      <c r="A28" s="254" t="inlineStr">
        <is>
          <t>Liquide middelen</t>
        </is>
      </c>
      <c r="B28" s="367" t="n"/>
      <c r="C28" s="370" t="n"/>
      <c r="D28" s="367" t="n"/>
      <c r="E28" s="367" t="n"/>
      <c r="F28" s="367" t="n"/>
      <c r="G28" s="367" t="n"/>
      <c r="H28" s="371" t="n"/>
      <c r="I28" s="367" t="n"/>
      <c r="J28" s="367" t="n"/>
      <c r="K28" s="367" t="n"/>
      <c r="L28" s="367" t="n"/>
    </row>
    <row r="29" ht="12.75" customHeight="1">
      <c r="A29" s="369" t="inlineStr">
        <is>
          <t>2300000</t>
        </is>
      </c>
      <c r="B29" s="369" t="inlineStr">
        <is>
          <t>LM Kruisposten</t>
        </is>
      </c>
      <c r="C29" s="370" t="n">
        <v>-0.48</v>
      </c>
      <c r="D29" s="367" t="n"/>
      <c r="E29" s="367" t="n"/>
      <c r="F29" s="367" t="n"/>
      <c r="G29" s="367" t="n"/>
      <c r="H29" s="371">
        <f>SUM(C29:G29)</f>
        <v/>
      </c>
      <c r="I29" s="270" t="n"/>
      <c r="J29" s="367" t="n"/>
      <c r="K29" s="367" t="n"/>
      <c r="L29" s="367" t="n"/>
    </row>
    <row r="30" ht="12.75" customHeight="1">
      <c r="A30" s="369" t="inlineStr">
        <is>
          <t>2300001</t>
        </is>
      </c>
      <c r="B30" s="369" t="inlineStr">
        <is>
          <t>LM Kruisposten pin</t>
        </is>
      </c>
      <c r="C30" s="370" t="n">
        <v>4484</v>
      </c>
      <c r="D30" s="371" t="n">
        <v>3544</v>
      </c>
      <c r="E30" s="371" t="n">
        <v>3890</v>
      </c>
      <c r="F30" s="371" t="n">
        <v>-11918</v>
      </c>
      <c r="G30" s="371" t="n">
        <v>-14982.27</v>
      </c>
      <c r="H30" s="371">
        <f>SUM(C30:G30)</f>
        <v/>
      </c>
      <c r="I30" s="367" t="n"/>
      <c r="J30" s="367" t="n"/>
      <c r="K30" s="367" t="n"/>
      <c r="L30" s="367" t="n"/>
    </row>
    <row r="31" ht="12.75" customHeight="1">
      <c r="A31" s="369" t="inlineStr">
        <is>
          <t>2400200</t>
        </is>
      </c>
      <c r="B31" s="369" t="inlineStr">
        <is>
          <t>LM ABN AMRO Bank Disposal NL58 ABNA 0818 9180 39</t>
        </is>
      </c>
      <c r="C31" s="370" t="n">
        <v>194000</v>
      </c>
      <c r="D31" s="371" t="n">
        <v>-194000</v>
      </c>
      <c r="E31" s="371" t="n">
        <v>0</v>
      </c>
      <c r="F31" s="367" t="n"/>
      <c r="G31" s="367" t="n"/>
      <c r="H31" s="371">
        <f>SUM(C31:G31)</f>
        <v/>
      </c>
      <c r="I31" s="367" t="n"/>
      <c r="J31" s="367" t="n"/>
      <c r="K31" s="367" t="n"/>
      <c r="L31" s="367" t="n"/>
    </row>
    <row r="32" ht="12.75" customHeight="1">
      <c r="A32" s="369" t="inlineStr">
        <is>
          <t>2400201</t>
        </is>
      </c>
      <c r="B32" s="369" t="inlineStr">
        <is>
          <t>LM ABN AMRO Bank Deposit NL57 ABNA 0541 6205 68</t>
        </is>
      </c>
      <c r="C32" s="370" t="n">
        <v>924</v>
      </c>
      <c r="D32" s="371" t="n">
        <v>-118</v>
      </c>
      <c r="E32" s="371" t="n">
        <v>1</v>
      </c>
      <c r="F32" s="371" t="n">
        <v>-804</v>
      </c>
      <c r="G32" s="371" t="n">
        <v>0.32</v>
      </c>
      <c r="H32" s="371">
        <f>SUM(C32:G32)</f>
        <v/>
      </c>
      <c r="I32" s="367" t="n"/>
      <c r="J32" s="367" t="n"/>
      <c r="K32" s="367" t="n"/>
      <c r="L32" s="367" t="n"/>
    </row>
    <row r="33" ht="12.75" customHeight="1">
      <c r="A33" s="369" t="inlineStr">
        <is>
          <t>2400202</t>
        </is>
      </c>
      <c r="B33" s="369" t="inlineStr">
        <is>
          <t>LM ABN AMRO Bank General NL93 ABNA 0541 6132 27</t>
        </is>
      </c>
      <c r="C33" s="370" t="n">
        <v>27</v>
      </c>
      <c r="D33" s="367" t="n"/>
      <c r="E33" s="371" t="n">
        <v>0</v>
      </c>
      <c r="F33" s="371" t="n">
        <v>1169.9</v>
      </c>
      <c r="G33" s="371" t="n">
        <v>-5377.23</v>
      </c>
      <c r="H33" s="371">
        <f>SUM(C33:G33)</f>
        <v/>
      </c>
      <c r="I33" s="367" t="n"/>
      <c r="J33" s="367" t="n"/>
      <c r="K33" s="367" t="n"/>
      <c r="L33" s="367" t="n"/>
    </row>
    <row r="34" ht="12.75" customHeight="1">
      <c r="A34" s="369" t="inlineStr">
        <is>
          <t>2400203</t>
        </is>
      </c>
      <c r="B34" s="369" t="inlineStr">
        <is>
          <t>LM ABN AMRO Bank Maintres NL04 ABNA 0541 6188 06</t>
        </is>
      </c>
      <c r="C34" s="370" t="n">
        <v>7271.709999999963</v>
      </c>
      <c r="D34" s="371" t="n">
        <v>6686</v>
      </c>
      <c r="E34" s="371" t="n">
        <v>-8069</v>
      </c>
      <c r="F34" s="371" t="n">
        <v>-176580</v>
      </c>
      <c r="G34" s="371" t="n">
        <v>195245.25</v>
      </c>
      <c r="H34" s="371">
        <f>SUM(C34:G34)</f>
        <v/>
      </c>
      <c r="I34" s="367" t="n"/>
      <c r="J34" s="367" t="n"/>
      <c r="K34" s="367" t="n"/>
      <c r="L34" s="367" t="n"/>
    </row>
    <row r="35" ht="12.75" customHeight="1">
      <c r="A35" s="369" t="inlineStr">
        <is>
          <t>2400204</t>
        </is>
      </c>
      <c r="B35" s="369" t="inlineStr">
        <is>
          <t>LM ABN AMRO Bank Rent NL46 ABNA 0541 6088 35</t>
        </is>
      </c>
      <c r="C35" s="370" t="n">
        <v>347734.04</v>
      </c>
      <c r="D35" s="371" t="n">
        <v>-282612</v>
      </c>
      <c r="E35" s="371" t="n">
        <v>235206</v>
      </c>
      <c r="F35" s="371" t="n">
        <v>3598</v>
      </c>
      <c r="G35" s="371" t="n">
        <v>-8398.91</v>
      </c>
      <c r="H35" s="371">
        <f>SUM(C35:G35)</f>
        <v/>
      </c>
      <c r="I35" s="367" t="n"/>
      <c r="J35" s="367" t="n"/>
      <c r="K35" s="367" t="n"/>
      <c r="L35" s="367" t="n"/>
    </row>
    <row r="36" ht="12.75" customHeight="1">
      <c r="A36" s="369" t="inlineStr">
        <is>
          <t>2400205</t>
        </is>
      </c>
      <c r="B36" s="369" t="inlineStr">
        <is>
          <t>LM ABN AMRO Bank SR EXP NL88 ABNA 0541 6205 92</t>
        </is>
      </c>
      <c r="C36" s="370" t="n">
        <v>6042</v>
      </c>
      <c r="D36" s="371" t="n">
        <v>1207</v>
      </c>
      <c r="E36" s="371" t="n">
        <v>-1114</v>
      </c>
      <c r="F36" s="371" t="n">
        <v>0</v>
      </c>
      <c r="G36" s="371" t="n">
        <v>0</v>
      </c>
      <c r="H36" s="371">
        <f>SUM(C36:G36)</f>
        <v/>
      </c>
      <c r="I36" s="367" t="n"/>
      <c r="J36" s="367" t="n"/>
      <c r="K36" s="367" t="n"/>
      <c r="L36" s="367" t="n"/>
    </row>
    <row r="37" ht="12.75" customHeight="1">
      <c r="A37" s="369" t="inlineStr">
        <is>
          <t>2400206</t>
        </is>
      </c>
      <c r="B37" s="369" t="inlineStr">
        <is>
          <t>LM ABN AMRO Bank Capex NL11 ABNA 0114 3362 02</t>
        </is>
      </c>
      <c r="C37" s="370" t="n">
        <v>-16</v>
      </c>
      <c r="D37" s="371" t="n">
        <v>0</v>
      </c>
      <c r="E37" s="371" t="n">
        <v>0</v>
      </c>
      <c r="F37" s="367" t="n"/>
      <c r="G37" s="367" t="n"/>
      <c r="H37" s="371">
        <f>SUM(C37:G37)</f>
        <v/>
      </c>
      <c r="I37" s="367" t="n"/>
      <c r="J37" s="367" t="n"/>
      <c r="K37" s="367" t="n"/>
      <c r="L37" s="367" t="n"/>
    </row>
    <row r="38" ht="12.75" customHeight="1">
      <c r="A38" s="367" t="n"/>
      <c r="B38" s="367" t="n"/>
      <c r="C38" s="370" t="n"/>
      <c r="D38" s="367" t="n"/>
      <c r="E38" s="367" t="n"/>
      <c r="F38" s="367" t="n"/>
      <c r="G38" s="367" t="n"/>
      <c r="H38" s="371" t="n"/>
      <c r="I38" s="367" t="n"/>
      <c r="J38" s="367" t="n"/>
      <c r="K38" s="367" t="n"/>
      <c r="L38" s="367" t="n"/>
    </row>
    <row r="39" ht="12.75" customHeight="1">
      <c r="A39" s="254" t="inlineStr">
        <is>
          <t>Eigen vermogen</t>
        </is>
      </c>
      <c r="B39" s="367" t="n"/>
      <c r="C39" s="370" t="n"/>
      <c r="D39" s="367" t="n"/>
      <c r="E39" s="367" t="n"/>
      <c r="F39" s="367" t="n"/>
      <c r="G39" s="367" t="n"/>
      <c r="H39" s="371" t="n"/>
      <c r="I39" s="367" t="n"/>
      <c r="J39" s="367" t="n"/>
      <c r="K39" s="367" t="n"/>
      <c r="L39" s="367" t="n"/>
    </row>
    <row r="40" ht="12.75" customHeight="1">
      <c r="A40" s="369" t="inlineStr">
        <is>
          <t>1000002</t>
        </is>
      </c>
      <c r="B40" s="369" t="inlineStr">
        <is>
          <t>EV Normale aandelen  Saldo</t>
        </is>
      </c>
      <c r="C40" s="370" t="n"/>
      <c r="D40" s="367" t="n"/>
      <c r="E40" s="367" t="n"/>
      <c r="F40" s="367" t="n"/>
      <c r="G40" s="367" t="n"/>
      <c r="H40" s="371">
        <f>SUM(C40:G40)</f>
        <v/>
      </c>
      <c r="I40" s="367" t="n"/>
      <c r="J40" s="367" t="n"/>
      <c r="K40" s="367" t="n"/>
      <c r="L40" s="367" t="n"/>
    </row>
    <row r="41" ht="12.75" customHeight="1">
      <c r="A41" s="369" t="inlineStr">
        <is>
          <t>1100000</t>
        </is>
      </c>
      <c r="B41" s="369" t="inlineStr">
        <is>
          <t>EV Agioreserve Agio aandelen</t>
        </is>
      </c>
      <c r="C41" s="370" t="n">
        <v>-18931219</v>
      </c>
      <c r="D41" s="371" t="n">
        <v>4670958</v>
      </c>
      <c r="E41" s="372" t="n">
        <v>0</v>
      </c>
      <c r="F41" s="372" t="n">
        <v>1725814</v>
      </c>
      <c r="G41" s="367" t="n"/>
      <c r="H41" s="371">
        <f>SUM(C41:G41)</f>
        <v/>
      </c>
      <c r="I41" s="270" t="inlineStr">
        <is>
          <t>Agiostorting tbv aflossing debiteurenpositie</t>
        </is>
      </c>
      <c r="J41" s="367" t="n"/>
      <c r="K41" s="367" t="n"/>
      <c r="L41" s="367" t="n"/>
    </row>
    <row r="42" ht="12.75" customHeight="1">
      <c r="A42" s="369" t="inlineStr">
        <is>
          <t>1160000</t>
        </is>
      </c>
      <c r="B42" s="369" t="inlineStr">
        <is>
          <t>EV Overige reserve Reserve aandelen</t>
        </is>
      </c>
      <c r="C42" s="370">
        <f>2423547-1084748.51</f>
        <v/>
      </c>
      <c r="D42" s="367" t="n"/>
      <c r="E42" s="367" t="n"/>
      <c r="F42" s="372" t="n"/>
      <c r="G42" s="367" t="n"/>
      <c r="H42" s="371">
        <f>SUM(C42:G42)</f>
        <v/>
      </c>
      <c r="I42" s="367" t="n"/>
      <c r="J42" s="367" t="n"/>
      <c r="K42" s="367" t="n"/>
      <c r="L42" s="367" t="n"/>
    </row>
    <row r="43" ht="12.75" customHeight="1">
      <c r="A43" s="367" t="n"/>
      <c r="B43" s="367" t="n"/>
      <c r="C43" s="370" t="n"/>
      <c r="D43" s="367" t="n"/>
      <c r="E43" s="367" t="n"/>
      <c r="F43" s="367" t="n"/>
      <c r="G43" s="367" t="n"/>
      <c r="H43" s="371" t="n"/>
      <c r="I43" s="367" t="n"/>
      <c r="J43" s="367" t="n"/>
      <c r="K43" s="367" t="n"/>
      <c r="L43" s="367" t="n"/>
    </row>
    <row r="44" ht="12.75" customHeight="1">
      <c r="A44" s="254" t="inlineStr">
        <is>
          <t>Langlopende schulden</t>
        </is>
      </c>
      <c r="B44" s="367" t="n"/>
      <c r="C44" s="370" t="n"/>
      <c r="D44" s="367" t="n"/>
      <c r="E44" s="367" t="n"/>
      <c r="F44" s="367" t="n"/>
      <c r="G44" s="367" t="n"/>
      <c r="H44" s="371" t="n"/>
      <c r="I44" s="367" t="n"/>
      <c r="J44" s="367" t="n"/>
      <c r="K44" s="367" t="n"/>
      <c r="L44" s="367" t="n"/>
    </row>
    <row r="45" ht="12.75" customHeight="1">
      <c r="A45" s="369" t="inlineStr">
        <is>
          <t>1930001</t>
        </is>
      </c>
      <c r="B45" s="369" t="inlineStr">
        <is>
          <t>LLS Hoofdsom ABN AMRO Bank NV Senior Facility Agreement</t>
        </is>
      </c>
      <c r="C45" s="370" t="n">
        <v>-171081748.39</v>
      </c>
      <c r="D45" s="367" t="n"/>
      <c r="E45" s="367" t="n"/>
      <c r="F45" s="371" t="n">
        <v>-143410.95</v>
      </c>
      <c r="G45" s="371" t="n">
        <v>37225159.08</v>
      </c>
      <c r="H45" s="371">
        <f>SUM(C45:G45)</f>
        <v/>
      </c>
      <c r="I45" s="367" t="n"/>
      <c r="J45" s="367" t="n"/>
      <c r="K45" s="367" t="n"/>
      <c r="L45" s="367" t="n"/>
    </row>
    <row r="46" ht="12.75" customHeight="1">
      <c r="A46" s="369" t="inlineStr">
        <is>
          <t>1930101</t>
        </is>
      </c>
      <c r="B46" s="369" t="inlineStr">
        <is>
          <t>LLS Cum aflossingen ABN AMRO Bank NV Senior Facility Agreement</t>
        </is>
      </c>
      <c r="C46" s="370" t="n">
        <v>38176891</v>
      </c>
      <c r="D46" s="371" t="n">
        <v>828967</v>
      </c>
      <c r="E46" s="371" t="n">
        <v>386788</v>
      </c>
      <c r="F46" s="371" t="n">
        <v>614900</v>
      </c>
      <c r="G46" s="371" t="n">
        <v>-39672546.08</v>
      </c>
      <c r="H46" s="371">
        <f>SUM(C46:G46)</f>
        <v/>
      </c>
      <c r="I46" s="270" t="n"/>
      <c r="J46" s="367" t="n"/>
      <c r="K46" s="367" t="n"/>
      <c r="L46" s="367" t="n"/>
    </row>
    <row r="47" ht="12.75" customHeight="1">
      <c r="A47" s="369" t="inlineStr">
        <is>
          <t>1930200</t>
        </is>
      </c>
      <c r="B47" s="369" t="inlineStr">
        <is>
          <t>LLS Extension fee&amp; professional fees</t>
        </is>
      </c>
      <c r="C47" s="370" t="n">
        <v>290690.89</v>
      </c>
      <c r="D47" s="371" t="n">
        <v>-29069</v>
      </c>
      <c r="E47" s="371" t="n">
        <v>-29069</v>
      </c>
      <c r="F47" s="371" t="n">
        <v>-29069</v>
      </c>
      <c r="G47" s="371" t="n">
        <v>151855.92</v>
      </c>
      <c r="H47" s="371">
        <f>SUM(C47:G47)</f>
        <v/>
      </c>
      <c r="I47" s="367" t="n"/>
      <c r="J47" s="367" t="n"/>
      <c r="K47" s="367" t="n"/>
      <c r="L47" s="367" t="n"/>
    </row>
    <row r="48" ht="12.75" customHeight="1">
      <c r="A48" s="367" t="n"/>
      <c r="B48" s="367" t="n"/>
      <c r="C48" s="370" t="n"/>
      <c r="D48" s="367" t="n"/>
      <c r="E48" s="367" t="n"/>
      <c r="F48" s="367" t="n"/>
      <c r="G48" s="367" t="n"/>
      <c r="H48" s="371" t="n"/>
      <c r="I48" s="367" t="n"/>
      <c r="J48" s="367" t="n"/>
      <c r="K48" s="367" t="n"/>
      <c r="L48" s="367" t="n"/>
    </row>
    <row r="49" ht="12.75" customHeight="1">
      <c r="A49" s="254" t="inlineStr">
        <is>
          <t>Kortlopende schulden</t>
        </is>
      </c>
      <c r="B49" s="367" t="n"/>
      <c r="C49" s="370" t="n"/>
      <c r="D49" s="367" t="n"/>
      <c r="E49" s="367" t="n"/>
      <c r="F49" s="367" t="n"/>
      <c r="G49" s="367" t="n"/>
      <c r="H49" s="371" t="n"/>
      <c r="I49" s="367" t="n"/>
      <c r="J49" s="367" t="n"/>
      <c r="K49" s="367" t="n"/>
      <c r="L49" s="367" t="n"/>
    </row>
    <row r="50" ht="12.75" customHeight="1">
      <c r="A50" s="369" t="inlineStr">
        <is>
          <t>2730000</t>
        </is>
      </c>
      <c r="B50" s="369" t="inlineStr">
        <is>
          <t>KLS Crediteuren</t>
        </is>
      </c>
      <c r="C50" s="370" t="n">
        <v>-846090.96</v>
      </c>
      <c r="D50" s="371" t="n">
        <v>548173</v>
      </c>
      <c r="E50" s="371" t="n">
        <v>354718</v>
      </c>
      <c r="F50" s="371">
        <f>4189.68+12100</f>
        <v/>
      </c>
      <c r="G50" s="371" t="n">
        <v>-390348.77</v>
      </c>
      <c r="H50" s="371">
        <f>SUM(C50:G50)</f>
        <v/>
      </c>
      <c r="I50" s="367" t="n"/>
      <c r="J50" s="367" t="n"/>
      <c r="K50" s="367" t="n"/>
      <c r="L50" s="367" t="n"/>
    </row>
    <row r="51" ht="12.75" customHeight="1">
      <c r="A51" s="369" t="inlineStr">
        <is>
          <t>2730001</t>
        </is>
      </c>
      <c r="B51" s="369" t="inlineStr">
        <is>
          <t>KLS Crediteuren intercompany</t>
        </is>
      </c>
      <c r="C51" s="370" t="n">
        <v>-955080</v>
      </c>
      <c r="D51" s="371" t="n">
        <v>942580</v>
      </c>
      <c r="E51" s="371" t="n">
        <v>0</v>
      </c>
      <c r="F51" s="371" t="n">
        <v>12500</v>
      </c>
      <c r="G51" s="367" t="n"/>
      <c r="H51" s="371">
        <f>SUM(C51:G51)</f>
        <v/>
      </c>
      <c r="I51" s="367" t="n"/>
      <c r="J51" s="367" t="n"/>
      <c r="K51" s="367" t="n"/>
      <c r="L51" s="367" t="n"/>
    </row>
    <row r="52" ht="12.75" customHeight="1">
      <c r="A52" s="369" t="inlineStr">
        <is>
          <t>2620000</t>
        </is>
      </c>
      <c r="B52" s="369" t="inlineStr">
        <is>
          <t>RC Kortlopend D.M. Equity Partners C.V.</t>
        </is>
      </c>
      <c r="C52" s="370" t="n">
        <v>-560762</v>
      </c>
      <c r="D52" s="367" t="n"/>
      <c r="E52" s="371" t="n">
        <v>-433706</v>
      </c>
      <c r="F52" s="372" t="n">
        <v>-19889</v>
      </c>
      <c r="G52" s="367" t="n"/>
      <c r="H52" s="371">
        <f>SUM(C52:G52)</f>
        <v/>
      </c>
      <c r="I52" s="270" t="inlineStr">
        <is>
          <t>Rentes opgenomen</t>
        </is>
      </c>
      <c r="J52" s="367" t="n"/>
      <c r="K52" s="367" t="n"/>
      <c r="L52" s="367" t="n"/>
    </row>
    <row r="53" ht="12.75" customHeight="1">
      <c r="A53" s="374" t="n">
        <v>2630000</v>
      </c>
      <c r="B53" s="369" t="inlineStr">
        <is>
          <t>RC Kortlopend dir. DMEP INV - IX BV</t>
        </is>
      </c>
      <c r="C53" s="370" t="n"/>
      <c r="D53" s="367" t="n"/>
      <c r="E53" s="371" t="n">
        <v>453706</v>
      </c>
      <c r="F53" s="371" t="n">
        <v>-453706</v>
      </c>
      <c r="G53" s="367" t="n"/>
      <c r="H53" s="371">
        <f>SUM(C53:G53)</f>
        <v/>
      </c>
      <c r="I53" s="270" t="n"/>
      <c r="J53" s="367" t="n"/>
      <c r="K53" s="367" t="n"/>
      <c r="L53" s="367" t="n"/>
    </row>
    <row r="54" ht="12.75" customHeight="1">
      <c r="A54" s="369" t="inlineStr">
        <is>
          <t>2640000</t>
        </is>
      </c>
      <c r="B54" s="369" t="inlineStr">
        <is>
          <t>RC Kortlopend DMRRP INV - I BV</t>
        </is>
      </c>
      <c r="C54" s="370" t="n">
        <v>-696435</v>
      </c>
      <c r="D54" s="371" t="n">
        <v>1609255</v>
      </c>
      <c r="E54" s="371" t="n">
        <v>547692</v>
      </c>
      <c r="F54" s="372" t="n">
        <v>-1531208</v>
      </c>
      <c r="G54" s="371" t="n">
        <v>414573</v>
      </c>
      <c r="H54" s="371">
        <f>SUM(C54:G54)</f>
        <v/>
      </c>
      <c r="I54" s="270" t="inlineStr">
        <is>
          <t>Rentes opgenomen</t>
        </is>
      </c>
      <c r="J54" s="367" t="n"/>
      <c r="K54" s="367" t="n"/>
      <c r="L54" s="371" t="n"/>
    </row>
    <row r="55" ht="12.75" customHeight="1">
      <c r="A55" s="374" t="n">
        <v>2650000</v>
      </c>
      <c r="B55" s="369" t="inlineStr">
        <is>
          <t>RC Kortlopend WPNL- V B.V.</t>
        </is>
      </c>
      <c r="C55" s="370" t="n">
        <v>-505000</v>
      </c>
      <c r="D55" s="367" t="n"/>
      <c r="E55" s="367" t="n"/>
      <c r="F55" s="371" t="n">
        <v>505000</v>
      </c>
      <c r="G55" s="367" t="n"/>
      <c r="H55" s="371">
        <f>SUM(C55:G55)</f>
        <v/>
      </c>
      <c r="I55" s="270" t="n"/>
      <c r="J55" s="367" t="n"/>
      <c r="K55" s="367" t="n"/>
      <c r="L55" s="367" t="n"/>
    </row>
    <row r="56" ht="12.75" customHeight="1">
      <c r="A56" s="374" t="n">
        <v>2650001</v>
      </c>
      <c r="B56" s="369" t="inlineStr">
        <is>
          <t>RC Kortlopend D.M. Equity Management Company BV</t>
        </is>
      </c>
      <c r="C56" s="370" t="n"/>
      <c r="D56" s="367" t="n"/>
      <c r="E56" s="371" t="n">
        <v>-275000</v>
      </c>
      <c r="F56" s="372" t="n">
        <v>-2562</v>
      </c>
      <c r="G56" s="371" t="n">
        <v>277562</v>
      </c>
      <c r="H56" s="371">
        <f>SUM(C56:G56)</f>
        <v/>
      </c>
      <c r="I56" s="270" t="inlineStr">
        <is>
          <t>Rentes opgenomen</t>
        </is>
      </c>
      <c r="J56" s="367" t="n"/>
      <c r="K56" s="367" t="n"/>
      <c r="L56" s="367" t="n"/>
    </row>
    <row r="57" ht="12.75" customHeight="1">
      <c r="A57" s="374" t="n">
        <v>2650002</v>
      </c>
      <c r="B57" s="369" t="inlineStr">
        <is>
          <t>RC Kortlopend D.M. Equity Partners II C.V.</t>
        </is>
      </c>
      <c r="C57" s="370" t="n"/>
      <c r="D57" s="367" t="n"/>
      <c r="E57" s="367" t="n"/>
      <c r="F57" s="371" t="n"/>
      <c r="G57" s="371" t="n">
        <v>-400000</v>
      </c>
      <c r="H57" s="371">
        <f>SUM(C57:G57)</f>
        <v/>
      </c>
      <c r="I57" s="270" t="n"/>
      <c r="J57" s="367" t="n"/>
      <c r="K57" s="367" t="n"/>
      <c r="L57" s="367" t="n"/>
    </row>
    <row r="58" ht="12.75" customHeight="1">
      <c r="A58" s="369" t="inlineStr">
        <is>
          <t>2512100</t>
        </is>
      </c>
      <c r="B58" s="369" t="inlineStr">
        <is>
          <t>BEL Afgedragen/ontvangen BTW</t>
        </is>
      </c>
      <c r="C58" s="370" t="n">
        <v>-4727</v>
      </c>
      <c r="D58" s="371" t="n">
        <v>-7316</v>
      </c>
      <c r="E58" s="371" t="n">
        <v>7261</v>
      </c>
      <c r="F58" s="371" t="n">
        <v>-975.6799999999999</v>
      </c>
      <c r="G58" s="371" t="n">
        <v>1908.38</v>
      </c>
      <c r="H58" s="371">
        <f>SUM(C58:G58)</f>
        <v/>
      </c>
      <c r="I58" s="270" t="n"/>
      <c r="J58" s="367" t="n"/>
      <c r="K58" s="367" t="n"/>
      <c r="L58" s="367" t="n"/>
    </row>
    <row r="59" ht="12.75" customHeight="1">
      <c r="A59" s="369" t="inlineStr">
        <is>
          <t>2740100</t>
        </is>
      </c>
      <c r="B59" s="369" t="inlineStr">
        <is>
          <t>KLS Vooruitgefactureerde bedragen</t>
        </is>
      </c>
      <c r="C59" s="370" t="n">
        <v>-1072163.71</v>
      </c>
      <c r="D59" s="371" t="n">
        <v>-3870</v>
      </c>
      <c r="E59" s="371" t="n">
        <v>40978</v>
      </c>
      <c r="F59" s="371" t="n">
        <v>56828.54</v>
      </c>
      <c r="G59" s="371" t="n">
        <v>-22097.17</v>
      </c>
      <c r="H59" s="371">
        <f>SUM(C59:G59)</f>
        <v/>
      </c>
      <c r="I59" s="270" t="n"/>
      <c r="J59" s="367" t="n"/>
      <c r="K59" s="367" t="n"/>
      <c r="L59" s="367" t="n"/>
    </row>
    <row r="60" ht="12.75" customHeight="1">
      <c r="A60" s="369" t="inlineStr">
        <is>
          <t>2740300</t>
        </is>
      </c>
      <c r="B60" s="369" t="inlineStr">
        <is>
          <t>KLS Te betalen waarborgsommen kortlopend</t>
        </is>
      </c>
      <c r="C60" s="370" t="n">
        <v>-939454.96</v>
      </c>
      <c r="D60" s="371" t="n">
        <v>8876</v>
      </c>
      <c r="E60" s="371" t="n">
        <v>-3141</v>
      </c>
      <c r="F60" s="371" t="n">
        <v>10738.37</v>
      </c>
      <c r="G60" s="371" t="n">
        <v>19085.48</v>
      </c>
      <c r="H60" s="371">
        <f>SUM(C60:G60)</f>
        <v/>
      </c>
      <c r="I60" s="367" t="n"/>
      <c r="J60" s="367" t="n"/>
      <c r="K60" s="367" t="n"/>
      <c r="L60" s="367" t="n"/>
    </row>
    <row r="61" ht="12.75" customHeight="1">
      <c r="A61" s="369" t="inlineStr">
        <is>
          <t>2740500</t>
        </is>
      </c>
      <c r="B61" s="369" t="inlineStr">
        <is>
          <t>KLS Te betalen accountants- en administratiekosten</t>
        </is>
      </c>
      <c r="C61" s="370" t="n">
        <v>-45000</v>
      </c>
      <c r="D61" s="367" t="n"/>
      <c r="E61" s="367" t="n"/>
      <c r="F61" s="367" t="n"/>
      <c r="G61" s="367" t="n"/>
      <c r="H61" s="371">
        <f>SUM(C61:G61)</f>
        <v/>
      </c>
      <c r="I61" s="367" t="n"/>
      <c r="J61" s="367" t="n"/>
      <c r="K61" s="367" t="n"/>
      <c r="L61" s="367" t="n"/>
    </row>
    <row r="62" ht="12.75" customHeight="1">
      <c r="A62" s="369" t="inlineStr">
        <is>
          <t>2741000</t>
        </is>
      </c>
      <c r="B62" s="369" t="inlineStr">
        <is>
          <t>KLS Te betalen servicekosten</t>
        </is>
      </c>
      <c r="C62" s="370" t="n"/>
      <c r="D62" s="367" t="n"/>
      <c r="E62" s="367" t="n"/>
      <c r="F62" s="367" t="n"/>
      <c r="G62" s="367" t="n"/>
      <c r="H62" s="371">
        <f>SUM(C62:G62)</f>
        <v/>
      </c>
      <c r="I62" s="367" t="n"/>
      <c r="J62" s="367" t="n"/>
      <c r="K62" s="367" t="n"/>
      <c r="L62" s="367" t="n"/>
    </row>
    <row r="63" ht="12.75" customHeight="1">
      <c r="A63" s="369" t="inlineStr">
        <is>
          <t>2741001</t>
        </is>
      </c>
      <c r="B63" s="369" t="inlineStr">
        <is>
          <t>KLS Te betalen servicekosten -</t>
        </is>
      </c>
      <c r="C63" s="370" t="n"/>
      <c r="D63" s="367" t="n"/>
      <c r="E63" s="367" t="n"/>
      <c r="F63" s="367" t="n"/>
      <c r="G63" s="367" t="n"/>
      <c r="H63" s="371">
        <f>SUM(C63:G63)</f>
        <v/>
      </c>
      <c r="I63" s="367" t="n"/>
      <c r="J63" s="367" t="n"/>
      <c r="K63" s="367" t="n"/>
      <c r="L63" s="367" t="n"/>
    </row>
    <row r="64" ht="12.75" customHeight="1">
      <c r="A64" s="369" t="inlineStr">
        <is>
          <t>2741004</t>
        </is>
      </c>
      <c r="B64" s="369" t="inlineStr">
        <is>
          <t>KLS Te betalen Hoen</t>
        </is>
      </c>
      <c r="C64" s="370" t="n">
        <v>-232009.21</v>
      </c>
      <c r="D64" s="371" t="n">
        <v>96028</v>
      </c>
      <c r="E64" s="371" t="n">
        <v>-139507</v>
      </c>
      <c r="F64" s="371" t="n">
        <v>134965.03</v>
      </c>
      <c r="G64" s="371" t="n">
        <v>-1413.54</v>
      </c>
      <c r="H64" s="371">
        <f>SUM(C64:G64)</f>
        <v/>
      </c>
      <c r="I64" s="367" t="n"/>
      <c r="J64" s="367" t="n"/>
      <c r="K64" s="367" t="n"/>
      <c r="L64" s="367" t="n"/>
    </row>
    <row r="65" ht="12.75" customHeight="1">
      <c r="A65" s="369" t="inlineStr">
        <is>
          <t>2741200</t>
        </is>
      </c>
      <c r="B65" s="369" t="inlineStr">
        <is>
          <t>KLS Te betalen overige kosten</t>
        </is>
      </c>
      <c r="C65" s="370" t="n">
        <v>30002</v>
      </c>
      <c r="D65" s="367" t="n"/>
      <c r="E65" s="367" t="n"/>
      <c r="F65" s="372" t="n">
        <v>-264982</v>
      </c>
      <c r="G65" s="371" t="n">
        <v>264981.78</v>
      </c>
      <c r="H65" s="371">
        <f>SUM(C65:G65)</f>
        <v/>
      </c>
      <c r="I65" s="270" t="inlineStr">
        <is>
          <t>Vooruitbetaalde kosten opgenomen</t>
        </is>
      </c>
      <c r="J65" s="367" t="n"/>
      <c r="K65" s="367" t="n"/>
      <c r="L65" s="367" t="n"/>
    </row>
    <row r="66" ht="12.75" customHeight="1">
      <c r="A66" s="369" t="inlineStr">
        <is>
          <t>2742000</t>
        </is>
      </c>
      <c r="B66" s="369" t="inlineStr">
        <is>
          <t>KLS Vraagposten</t>
        </is>
      </c>
      <c r="C66" s="370" t="n"/>
      <c r="D66" s="367" t="n"/>
      <c r="E66" s="367" t="n"/>
      <c r="F66" s="367" t="n"/>
      <c r="G66" s="367" t="n"/>
      <c r="H66" s="371">
        <f>SUM(C66:G66)</f>
        <v/>
      </c>
      <c r="I66" s="367" t="n"/>
      <c r="J66" s="367" t="n"/>
      <c r="K66" s="367" t="n"/>
      <c r="L66" s="367" t="n"/>
    </row>
    <row r="67" ht="12.75" customHeight="1">
      <c r="A67" s="374" t="inlineStr">
        <is>
          <t>2760000</t>
        </is>
      </c>
      <c r="B67" s="369" t="inlineStr">
        <is>
          <t>KLS Saldo lening DMRRP INV - I BV</t>
        </is>
      </c>
      <c r="C67" s="370" t="n"/>
      <c r="D67" s="367" t="n"/>
      <c r="E67" s="367" t="n"/>
      <c r="F67" s="367" t="n"/>
      <c r="G67" s="367" t="n"/>
      <c r="H67" s="371">
        <f>SUM(C67:G67)</f>
        <v/>
      </c>
      <c r="I67" s="367" t="n"/>
      <c r="J67" s="367" t="n"/>
      <c r="K67" s="367" t="n"/>
      <c r="L67" s="367" t="n"/>
    </row>
    <row r="68" ht="12.75" customHeight="1">
      <c r="A68" s="374" t="n">
        <v>2502020</v>
      </c>
      <c r="B68" s="369" t="inlineStr">
        <is>
          <t>Servicekosten 2020</t>
        </is>
      </c>
      <c r="C68" s="370" t="n">
        <v>0.3400000000000318</v>
      </c>
      <c r="D68" s="367" t="n"/>
      <c r="E68" s="367" t="n"/>
      <c r="F68" s="367" t="n"/>
      <c r="G68" s="367" t="n"/>
      <c r="H68" s="371">
        <f>SUM(C68:G68)</f>
        <v/>
      </c>
      <c r="I68" s="371" t="n"/>
      <c r="J68" s="367" t="n"/>
      <c r="K68" s="367" t="n"/>
      <c r="L68" s="367" t="n"/>
    </row>
    <row r="69" ht="12.75" customHeight="1">
      <c r="A69" s="369" t="inlineStr">
        <is>
          <t>2502021</t>
        </is>
      </c>
      <c r="B69" s="369" t="inlineStr">
        <is>
          <t>Servicekosten 2021</t>
        </is>
      </c>
      <c r="C69" s="370" t="n">
        <v>715.6599999999999</v>
      </c>
      <c r="D69" s="367" t="n"/>
      <c r="E69" s="367" t="n"/>
      <c r="F69" s="372" t="n">
        <v>-93</v>
      </c>
      <c r="G69" s="371" t="n">
        <v>-619.41</v>
      </c>
      <c r="H69" s="371">
        <f>SUM(C69:G69)</f>
        <v/>
      </c>
      <c r="I69" s="363" t="inlineStr">
        <is>
          <t>Servicekosten aangesloten op Hoen</t>
        </is>
      </c>
      <c r="J69" s="367" t="n"/>
      <c r="K69" s="367" t="n"/>
      <c r="L69" s="367" t="n"/>
    </row>
    <row r="70" ht="12.75" customHeight="1">
      <c r="A70" s="369" t="inlineStr">
        <is>
          <t>2502022</t>
        </is>
      </c>
      <c r="B70" s="369" t="inlineStr">
        <is>
          <t>Servicekosten 2022</t>
        </is>
      </c>
      <c r="C70" s="370" t="n">
        <v>4191.629999999997</v>
      </c>
      <c r="D70" s="367" t="n"/>
      <c r="E70" s="367" t="n"/>
      <c r="F70" s="372" t="n">
        <v>-7259</v>
      </c>
      <c r="G70" s="371" t="n">
        <v>3067.33</v>
      </c>
      <c r="H70" s="371">
        <f>SUM(C70:G70)</f>
        <v/>
      </c>
      <c r="I70" s="363" t="inlineStr">
        <is>
          <t>Servicekosten aangesloten op Hoen</t>
        </is>
      </c>
      <c r="J70" s="367" t="n"/>
      <c r="K70" s="367" t="n"/>
      <c r="L70" s="367" t="n"/>
    </row>
    <row r="71" ht="12.75" customHeight="1">
      <c r="A71" s="369" t="inlineStr">
        <is>
          <t>2502023</t>
        </is>
      </c>
      <c r="B71" s="369" t="inlineStr">
        <is>
          <t>Servicekosten 2023</t>
        </is>
      </c>
      <c r="C71" s="370" t="n">
        <v>-27012.57000000001</v>
      </c>
      <c r="D71" s="371" t="n">
        <v>-3879</v>
      </c>
      <c r="E71" s="367" t="n"/>
      <c r="F71" s="372" t="n">
        <v>-22982</v>
      </c>
      <c r="G71" s="371" t="n">
        <v>-2487.72</v>
      </c>
      <c r="H71" s="371">
        <f>SUM(C71:G71)</f>
        <v/>
      </c>
      <c r="I71" s="363" t="inlineStr">
        <is>
          <t>Servicekosten aangesloten op Hoen</t>
        </is>
      </c>
      <c r="J71" s="367" t="n"/>
      <c r="K71" s="367" t="n"/>
      <c r="L71" s="367" t="n"/>
    </row>
    <row r="72" ht="12.75" customHeight="1">
      <c r="A72" s="373" t="inlineStr">
        <is>
          <t>2502024</t>
        </is>
      </c>
      <c r="B72" s="373" t="inlineStr">
        <is>
          <t>Servicekosten 2024</t>
        </is>
      </c>
      <c r="C72" s="370" t="n">
        <v>144197.75</v>
      </c>
      <c r="D72" s="371" t="n">
        <v>-288810</v>
      </c>
      <c r="E72" s="371" t="n">
        <v>-13237</v>
      </c>
      <c r="F72" s="372" t="n">
        <v>187631</v>
      </c>
      <c r="G72" s="371" t="n">
        <v>194595.04</v>
      </c>
      <c r="H72" s="371">
        <f>SUM(C72:G72)</f>
        <v/>
      </c>
      <c r="I72" s="363" t="inlineStr">
        <is>
          <t>Servicekosten aangesloten op Hoen</t>
        </is>
      </c>
      <c r="J72" s="367" t="n"/>
      <c r="K72" s="367" t="n"/>
      <c r="L72" s="367" t="n"/>
    </row>
    <row r="73" ht="12.75" customHeight="1">
      <c r="A73" s="375" t="n">
        <v>2502025</v>
      </c>
      <c r="B73" s="373" t="inlineStr">
        <is>
          <t>Servicekosten 2025</t>
        </is>
      </c>
      <c r="C73" s="370" t="n">
        <v>23668</v>
      </c>
      <c r="D73" s="371" t="n">
        <v>-3049</v>
      </c>
      <c r="E73" s="371" t="n">
        <v>-9197</v>
      </c>
      <c r="F73" s="371" t="n">
        <v>-40170</v>
      </c>
      <c r="G73" s="371" t="n">
        <v>11884.73</v>
      </c>
      <c r="H73" s="371">
        <f>SUM(C73:G73)</f>
        <v/>
      </c>
      <c r="I73" s="367" t="n"/>
      <c r="J73" s="367" t="n"/>
      <c r="K73" s="367" t="n"/>
      <c r="L73" s="367" t="n"/>
    </row>
    <row r="74" ht="12.75" customHeight="1">
      <c r="A74" s="375" t="n">
        <v>2502026</v>
      </c>
      <c r="B74" s="373" t="inlineStr">
        <is>
          <t>Servicekosten 2026</t>
        </is>
      </c>
      <c r="C74" s="370" t="n">
        <v>0</v>
      </c>
      <c r="D74" s="367" t="n"/>
      <c r="E74" s="367" t="n"/>
      <c r="F74" s="371" t="n">
        <v>12</v>
      </c>
      <c r="G74" s="371" t="n">
        <v>-11823.09</v>
      </c>
      <c r="H74" s="371">
        <f>SUM(C74:G74)</f>
        <v/>
      </c>
      <c r="I74" s="367" t="n"/>
      <c r="J74" s="367" t="n"/>
      <c r="K74" s="367" t="n"/>
      <c r="L74" s="367" t="n"/>
    </row>
    <row r="75" ht="12.75" customHeight="1">
      <c r="A75" s="375" t="inlineStr">
        <is>
          <t>2040501</t>
        </is>
      </c>
      <c r="B75" s="373" t="inlineStr">
        <is>
          <t>VOR Ingediende verzekeringszaken bij verzekeraar</t>
        </is>
      </c>
      <c r="C75" s="370" t="n"/>
      <c r="D75" s="367" t="n"/>
      <c r="E75" s="367" t="n"/>
      <c r="F75" s="367" t="n"/>
      <c r="G75" s="371" t="n">
        <v>9193.889999999999</v>
      </c>
      <c r="H75" s="371">
        <f>SUM(C75:G75)</f>
        <v/>
      </c>
      <c r="I75" s="367" t="n"/>
      <c r="J75" s="367" t="n"/>
      <c r="K75" s="367" t="n"/>
      <c r="L75" s="367" t="n"/>
    </row>
    <row r="76" ht="12.75" customHeight="1">
      <c r="A76" s="375" t="n">
        <v>2040601</v>
      </c>
      <c r="B76" s="373" t="inlineStr">
        <is>
          <t>VOR Doorbelastingen huurder en overig</t>
        </is>
      </c>
      <c r="C76" s="370" t="n">
        <v>0</v>
      </c>
      <c r="D76" s="367" t="n"/>
      <c r="E76" s="367" t="n"/>
      <c r="F76" s="371" t="n">
        <v>11856</v>
      </c>
      <c r="G76" s="371" t="n">
        <v>-14510.9</v>
      </c>
      <c r="H76" s="371">
        <f>SUM(C76:G76)</f>
        <v/>
      </c>
      <c r="I76" s="367" t="n"/>
      <c r="J76" s="367" t="n"/>
      <c r="K76" s="367" t="n"/>
      <c r="L76" s="367" t="n"/>
    </row>
    <row r="77" ht="12.75" customHeight="1">
      <c r="A77" s="367" t="n"/>
      <c r="B77" s="367" t="n"/>
      <c r="C77" s="367" t="n"/>
      <c r="D77" s="367" t="n"/>
      <c r="E77" s="367" t="n"/>
      <c r="F77" s="367" t="n"/>
      <c r="G77" s="367" t="n"/>
      <c r="H77" s="371" t="n"/>
      <c r="I77" s="367" t="n"/>
      <c r="J77" s="367" t="n"/>
      <c r="K77" s="367" t="n"/>
      <c r="L77" s="367" t="n"/>
    </row>
    <row r="78" ht="12.75" customHeight="1">
      <c r="A78" s="113" t="inlineStr">
        <is>
          <t>Winst- en verliesrekening (baten zijn negatief, kosten positief)</t>
        </is>
      </c>
      <c r="B78" s="367" t="n"/>
      <c r="C78" s="367" t="n"/>
      <c r="D78" s="367" t="n"/>
      <c r="E78" s="367" t="n"/>
      <c r="F78" s="367" t="n"/>
      <c r="G78" s="367" t="n"/>
      <c r="H78" s="371" t="n"/>
      <c r="I78" s="367" t="n"/>
      <c r="J78" s="367" t="n"/>
      <c r="K78" s="367" t="n"/>
      <c r="L78" s="367" t="n"/>
    </row>
    <row r="79" ht="12.75" customHeight="1">
      <c r="A79" s="367" t="n"/>
      <c r="B79" s="367" t="n"/>
      <c r="C79" s="367" t="n"/>
      <c r="D79" s="367" t="n"/>
      <c r="E79" s="367" t="n"/>
      <c r="F79" s="367" t="n"/>
      <c r="G79" s="367" t="n"/>
      <c r="H79" s="371" t="n"/>
      <c r="I79" s="367" t="n"/>
      <c r="J79" s="367" t="n"/>
      <c r="K79" s="367" t="n"/>
      <c r="L79" s="367" t="n"/>
    </row>
    <row r="80" ht="12.75" customHeight="1">
      <c r="A80" s="369" t="inlineStr">
        <is>
          <t>8000003</t>
        </is>
      </c>
      <c r="B80" s="369" t="inlineStr">
        <is>
          <t>OPB Netto-omzet Theoretische huuropbrengsten</t>
        </is>
      </c>
      <c r="C80" s="367" t="n"/>
      <c r="D80" s="371" t="n">
        <v>-3200539.89</v>
      </c>
      <c r="E80" s="371" t="n">
        <v>-3273560</v>
      </c>
      <c r="F80" s="371" t="n">
        <v>-3321702</v>
      </c>
      <c r="G80" s="371" t="n">
        <v>-3331868.14</v>
      </c>
      <c r="H80" s="371">
        <f>SUM(C80:G80)</f>
        <v/>
      </c>
      <c r="I80" s="371" t="n"/>
      <c r="J80" s="367" t="n"/>
      <c r="K80" s="367" t="n"/>
      <c r="L80" s="367" t="n"/>
    </row>
    <row r="81" ht="12.75" customHeight="1">
      <c r="A81" s="369" t="inlineStr">
        <is>
          <t>8000004</t>
        </is>
      </c>
      <c r="B81" s="369" t="inlineStr">
        <is>
          <t>OPB Netto-omzet Leegstand huuropbrengsten</t>
        </is>
      </c>
      <c r="C81" s="367" t="n"/>
      <c r="D81" s="371" t="n">
        <v>133088.46</v>
      </c>
      <c r="E81" s="371" t="n">
        <v>177621</v>
      </c>
      <c r="F81" s="371" t="n">
        <v>214757</v>
      </c>
      <c r="G81" s="371" t="n">
        <v>281025.46</v>
      </c>
      <c r="H81" s="371">
        <f>SUM(C81:G81)</f>
        <v/>
      </c>
      <c r="I81" s="371" t="n"/>
      <c r="J81" s="367" t="n"/>
      <c r="K81" s="367" t="n"/>
      <c r="L81" s="367" t="n"/>
    </row>
    <row r="82" ht="12.75" customHeight="1">
      <c r="A82" s="367" t="n"/>
      <c r="B82" s="367" t="n"/>
      <c r="C82" s="367" t="n"/>
      <c r="D82" s="367" t="n"/>
      <c r="E82" s="367" t="n"/>
      <c r="F82" s="367" t="n"/>
      <c r="G82" s="367" t="n"/>
      <c r="H82" s="371" t="n"/>
      <c r="I82" s="371" t="n"/>
      <c r="J82" s="367" t="n"/>
      <c r="K82" s="367" t="n"/>
      <c r="L82" s="367" t="n"/>
    </row>
    <row r="83" ht="12.75" customHeight="1">
      <c r="A83" s="369" t="inlineStr">
        <is>
          <t>8400600</t>
        </is>
      </c>
      <c r="B83" s="369" t="inlineStr">
        <is>
          <t>OPB Overige bedrijfsopbrengsten Totale servicekosten</t>
        </is>
      </c>
      <c r="C83" s="367" t="n"/>
      <c r="D83" s="371" t="n">
        <v>-301.7</v>
      </c>
      <c r="E83" s="371" t="n">
        <v>-4638</v>
      </c>
      <c r="F83" s="372" t="n">
        <v>4032</v>
      </c>
      <c r="G83" s="371" t="n">
        <v>5282.6</v>
      </c>
      <c r="H83" s="371">
        <f>SUM(C83:G83)</f>
        <v/>
      </c>
      <c r="I83" s="363" t="inlineStr">
        <is>
          <t>Correctie door aansluiting servicekosten</t>
        </is>
      </c>
      <c r="J83" s="367" t="n"/>
      <c r="K83" s="367" t="n"/>
      <c r="L83" s="367" t="n"/>
    </row>
    <row r="84" ht="12.75" customHeight="1">
      <c r="A84" s="369" t="inlineStr">
        <is>
          <t>8400700</t>
        </is>
      </c>
      <c r="B84" s="369" t="inlineStr">
        <is>
          <t>OPB Overige bedrijfsopbrengsten Servicekosten leegstand</t>
        </is>
      </c>
      <c r="C84" s="367" t="n"/>
      <c r="D84" s="371" t="n">
        <v>6470.43</v>
      </c>
      <c r="E84" s="371" t="n">
        <v>14113</v>
      </c>
      <c r="F84" s="372" t="n">
        <v>102469</v>
      </c>
      <c r="G84" s="371" t="n">
        <v>149355.16</v>
      </c>
      <c r="H84" s="371">
        <f>SUM(C84:G84)</f>
        <v/>
      </c>
      <c r="I84" s="363" t="inlineStr">
        <is>
          <t>Correctie door aansluiting servicekosten</t>
        </is>
      </c>
      <c r="J84" s="367" t="n"/>
      <c r="K84" s="367" t="n"/>
      <c r="L84" s="367" t="n"/>
    </row>
    <row r="85" ht="12.75" customHeight="1">
      <c r="A85" s="369" t="inlineStr">
        <is>
          <t>8400800</t>
        </is>
      </c>
      <c r="B85" s="369" t="inlineStr">
        <is>
          <t>OPB Overige bedrijfsopbrengsten Gerealiseerde servicekosten</t>
        </is>
      </c>
      <c r="C85" s="367" t="n"/>
      <c r="D85" s="371" t="n">
        <v>164115.12</v>
      </c>
      <c r="E85" s="371" t="n">
        <v>3697</v>
      </c>
      <c r="F85" s="372" t="n">
        <v>-269364</v>
      </c>
      <c r="G85" s="371" t="n">
        <v>-345092.68</v>
      </c>
      <c r="H85" s="371">
        <f>SUM(C85:G85)</f>
        <v/>
      </c>
      <c r="I85" s="363" t="inlineStr">
        <is>
          <t>Correctie door aansluiting servicekosten</t>
        </is>
      </c>
      <c r="J85" s="367" t="n"/>
      <c r="K85" s="367" t="n"/>
      <c r="L85" s="367" t="n"/>
    </row>
    <row r="86" ht="12.75" customHeight="1">
      <c r="A86" s="367" t="n"/>
      <c r="B86" s="367" t="n"/>
      <c r="C86" s="367" t="n"/>
      <c r="D86" s="367" t="n"/>
      <c r="E86" s="367" t="n"/>
      <c r="F86" s="367" t="n"/>
      <c r="G86" s="367" t="n"/>
      <c r="H86" s="371" t="n"/>
      <c r="I86" s="371" t="n"/>
      <c r="J86" s="367" t="n"/>
      <c r="K86" s="367" t="n"/>
      <c r="L86" s="367" t="n"/>
    </row>
    <row r="87" ht="12.75" customHeight="1">
      <c r="A87" s="369" t="inlineStr">
        <is>
          <t>4051400</t>
        </is>
      </c>
      <c r="B87" s="369" t="inlineStr">
        <is>
          <t>KN Diensten door derden</t>
        </is>
      </c>
      <c r="C87" s="367" t="n"/>
      <c r="D87" s="371" t="n">
        <v>135540.07</v>
      </c>
      <c r="E87" s="371" t="n">
        <v>138487</v>
      </c>
      <c r="F87" s="371" t="n">
        <v>139070.4</v>
      </c>
      <c r="G87" s="371" t="n">
        <v>140761.58</v>
      </c>
      <c r="H87" s="371">
        <f>SUM(C87:G87)</f>
        <v/>
      </c>
      <c r="I87" s="371" t="n"/>
      <c r="J87" s="367" t="n"/>
      <c r="K87" s="367" t="n"/>
      <c r="L87" s="367" t="n"/>
    </row>
    <row r="88" ht="12.75" customHeight="1">
      <c r="A88" s="367" t="n"/>
      <c r="B88" s="367" t="n"/>
      <c r="C88" s="367" t="n"/>
      <c r="D88" s="367" t="n"/>
      <c r="E88" s="367" t="n"/>
      <c r="F88" s="367" t="n"/>
      <c r="G88" s="367" t="n"/>
      <c r="H88" s="371" t="n"/>
      <c r="I88" s="371" t="n"/>
      <c r="J88" s="367" t="n"/>
      <c r="K88" s="367" t="n"/>
      <c r="L88" s="367" t="n"/>
    </row>
    <row r="89" ht="12.75" customHeight="1">
      <c r="A89" s="369" t="inlineStr">
        <is>
          <t>4730000</t>
        </is>
      </c>
      <c r="B89" s="369" t="inlineStr">
        <is>
          <t>AFKN Afschrijvingskosten -</t>
        </is>
      </c>
      <c r="C89" s="367" t="n"/>
      <c r="D89" s="371" t="n">
        <v>822632</v>
      </c>
      <c r="E89" s="371" t="n">
        <v>839833</v>
      </c>
      <c r="F89" s="371" t="n">
        <v>853149</v>
      </c>
      <c r="G89" s="371" t="n">
        <v>860902</v>
      </c>
      <c r="H89" s="371">
        <f>SUM(C89:G89)</f>
        <v/>
      </c>
      <c r="I89" s="371" t="n"/>
      <c r="J89" s="367" t="n"/>
      <c r="K89" s="367" t="n"/>
      <c r="L89" s="367" t="n"/>
    </row>
    <row r="90" ht="12.75" customHeight="1">
      <c r="A90" s="369" t="inlineStr">
        <is>
          <t>4730200</t>
        </is>
      </c>
      <c r="B90" s="369" t="inlineStr">
        <is>
          <t>AFKN Boekresultaat -</t>
        </is>
      </c>
      <c r="C90" s="367" t="n"/>
      <c r="D90" s="371" t="n">
        <v>-566976</v>
      </c>
      <c r="E90" s="371" t="n">
        <v>-169995</v>
      </c>
      <c r="F90" s="371" t="n">
        <v>-419572</v>
      </c>
      <c r="G90" s="371" t="n">
        <v>0</v>
      </c>
      <c r="H90" s="371">
        <f>SUM(C90:G90)</f>
        <v/>
      </c>
      <c r="I90" s="371" t="n"/>
      <c r="J90" s="367" t="n"/>
      <c r="K90" s="367" t="n"/>
      <c r="L90" s="367" t="n"/>
    </row>
    <row r="91" ht="12.75" customHeight="1">
      <c r="A91" s="367" t="n"/>
      <c r="B91" s="367" t="n"/>
      <c r="C91" s="367" t="n"/>
      <c r="D91" s="367" t="n"/>
      <c r="E91" s="367" t="n"/>
      <c r="F91" s="367" t="n"/>
      <c r="G91" s="367" t="n"/>
      <c r="H91" s="371" t="n"/>
      <c r="I91" s="371" t="n"/>
      <c r="J91" s="367" t="n"/>
      <c r="K91" s="367" t="n"/>
      <c r="L91" s="367" t="n"/>
    </row>
    <row r="92" ht="12.75" customHeight="1">
      <c r="A92" s="369" t="inlineStr">
        <is>
          <t>4100400</t>
        </is>
      </c>
      <c r="B92" s="369" t="inlineStr">
        <is>
          <t>KN Onderhoud gebouwen</t>
        </is>
      </c>
      <c r="C92" s="367" t="n"/>
      <c r="D92" s="371" t="n">
        <v>297751.92</v>
      </c>
      <c r="E92" s="371" t="n">
        <v>244270</v>
      </c>
      <c r="F92" s="372" t="n">
        <v>47445</v>
      </c>
      <c r="G92" s="371" t="n">
        <v>201703.72</v>
      </c>
      <c r="H92" s="371">
        <f>SUM(C92:G92)</f>
        <v/>
      </c>
      <c r="I92" s="270" t="inlineStr">
        <is>
          <t>Vooruitbetaalde kosten opgenomen</t>
        </is>
      </c>
      <c r="J92" s="367" t="n"/>
      <c r="K92" s="367" t="n"/>
      <c r="L92" s="367" t="n"/>
    </row>
    <row r="93" ht="12.75" customHeight="1">
      <c r="A93" s="369" t="inlineStr">
        <is>
          <t>4100900</t>
        </is>
      </c>
      <c r="B93" s="369" t="inlineStr">
        <is>
          <t>KN Onroerende zaakbelasting</t>
        </is>
      </c>
      <c r="C93" s="367" t="n"/>
      <c r="D93" s="371" t="n">
        <v>166242.59</v>
      </c>
      <c r="E93" s="371" t="n">
        <v>94434</v>
      </c>
      <c r="F93" s="371" t="n">
        <v>94466.34</v>
      </c>
      <c r="G93" s="371" t="n">
        <v>105221.94</v>
      </c>
      <c r="H93" s="371">
        <f>SUM(C93:G93)</f>
        <v/>
      </c>
      <c r="I93" s="371" t="n"/>
      <c r="J93" s="371" t="n"/>
      <c r="K93" s="367" t="n"/>
      <c r="L93" s="367" t="n"/>
    </row>
    <row r="94" ht="12.75" customHeight="1">
      <c r="A94" s="369" t="inlineStr">
        <is>
          <t>4101000</t>
        </is>
      </c>
      <c r="B94" s="369" t="inlineStr">
        <is>
          <t>KN Vaste lasten</t>
        </is>
      </c>
      <c r="C94" s="367" t="n"/>
      <c r="D94" s="371" t="n">
        <v>182457.86</v>
      </c>
      <c r="E94" s="371" t="n">
        <v>125286</v>
      </c>
      <c r="F94" s="372" t="n">
        <v>196632</v>
      </c>
      <c r="G94" s="371" t="n">
        <v>215778.63</v>
      </c>
      <c r="H94" s="371">
        <f>SUM(C94:G94)</f>
        <v/>
      </c>
      <c r="I94" s="270" t="inlineStr">
        <is>
          <t>Vooruitbetaalde kosten opgenomen</t>
        </is>
      </c>
      <c r="J94" s="367" t="n"/>
      <c r="K94" s="367" t="n"/>
      <c r="L94" s="367" t="n"/>
    </row>
    <row r="95" ht="12.75" customHeight="1">
      <c r="A95" s="369" t="inlineStr">
        <is>
          <t>4100410</t>
        </is>
      </c>
      <c r="B95" s="369" t="inlineStr">
        <is>
          <t>Verhuurdersheffing</t>
        </is>
      </c>
      <c r="C95" s="367" t="n"/>
      <c r="D95" s="371" t="n">
        <v>-254478</v>
      </c>
      <c r="E95" s="371" t="n">
        <v>0</v>
      </c>
      <c r="F95" s="367" t="n"/>
      <c r="G95" s="371" t="n">
        <v>0</v>
      </c>
      <c r="H95" s="371">
        <f>SUM(C95:G95)</f>
        <v/>
      </c>
      <c r="I95" s="371" t="n"/>
      <c r="J95" s="367" t="n"/>
      <c r="K95" s="367" t="n"/>
      <c r="L95" s="367" t="n"/>
    </row>
    <row r="96" ht="12.75" customHeight="1">
      <c r="A96" s="369" t="inlineStr">
        <is>
          <t>4101010</t>
        </is>
      </c>
      <c r="B96" s="369" t="inlineStr">
        <is>
          <t>Gemeentelijke belastingen</t>
        </is>
      </c>
      <c r="C96" s="367" t="n"/>
      <c r="D96" s="371" t="n">
        <v>19625.9</v>
      </c>
      <c r="E96" s="371" t="n">
        <v>17307</v>
      </c>
      <c r="F96" s="371" t="n">
        <v>17166.88</v>
      </c>
      <c r="G96" s="371" t="n">
        <v>35071.59</v>
      </c>
      <c r="H96" s="371">
        <f>SUM(C96:G96)</f>
        <v/>
      </c>
      <c r="I96" s="270" t="n"/>
      <c r="J96" s="371" t="n"/>
      <c r="K96" s="367" t="n"/>
      <c r="L96" s="367" t="n"/>
    </row>
    <row r="97" ht="12.75" customHeight="1">
      <c r="A97" s="369" t="inlineStr">
        <is>
          <t>4101020</t>
        </is>
      </c>
      <c r="B97" s="369" t="inlineStr">
        <is>
          <t>Waterschapsbelasting</t>
        </is>
      </c>
      <c r="C97" s="367" t="n"/>
      <c r="D97" s="371" t="n">
        <v>82958.5</v>
      </c>
      <c r="E97" s="371" t="n">
        <v>11876</v>
      </c>
      <c r="F97" s="367" t="n"/>
      <c r="G97" s="371" t="n">
        <v>15513.04</v>
      </c>
      <c r="H97" s="371">
        <f>SUM(C97:G97)</f>
        <v/>
      </c>
      <c r="I97" s="270" t="n"/>
      <c r="J97" s="367" t="n"/>
      <c r="K97" s="367" t="n"/>
      <c r="L97" s="367" t="n"/>
    </row>
    <row r="98" ht="12.75" customHeight="1">
      <c r="A98" s="369" t="inlineStr">
        <is>
          <t>4101300</t>
        </is>
      </c>
      <c r="B98" s="369" t="inlineStr">
        <is>
          <t>KN Servicekosten leegstand</t>
        </is>
      </c>
      <c r="C98" s="367" t="n"/>
      <c r="D98" s="371" t="n">
        <v>-300.34</v>
      </c>
      <c r="E98" s="371" t="n">
        <v>-33</v>
      </c>
      <c r="F98" s="371" t="n">
        <v>-233</v>
      </c>
      <c r="G98" s="371" t="n">
        <v>0</v>
      </c>
      <c r="H98" s="371">
        <f>SUM(C98:G98)</f>
        <v/>
      </c>
      <c r="I98" s="371" t="n"/>
      <c r="J98" s="367" t="n"/>
      <c r="K98" s="367" t="n"/>
      <c r="L98" s="367" t="n"/>
    </row>
    <row r="99" ht="12.75" customHeight="1">
      <c r="A99" s="367" t="n"/>
      <c r="B99" s="367" t="n"/>
      <c r="C99" s="367" t="n"/>
      <c r="D99" s="367" t="n"/>
      <c r="E99" s="367" t="n"/>
      <c r="F99" s="367" t="n"/>
      <c r="G99" s="367" t="n"/>
      <c r="H99" s="371">
        <f>SUM(C99:G99)</f>
        <v/>
      </c>
      <c r="I99" s="371" t="n"/>
      <c r="J99" s="367" t="n"/>
      <c r="K99" s="367" t="n"/>
      <c r="L99" s="367" t="n"/>
    </row>
    <row r="100" ht="12.75" customHeight="1">
      <c r="A100" s="369" t="inlineStr">
        <is>
          <t>4501200</t>
        </is>
      </c>
      <c r="B100" s="369" t="inlineStr">
        <is>
          <t>KN Mutatie voorziening dubieuze debiteuren</t>
        </is>
      </c>
      <c r="C100" s="367" t="n"/>
      <c r="D100" s="371" t="n">
        <v>0</v>
      </c>
      <c r="E100" s="371" t="n">
        <v>0</v>
      </c>
      <c r="F100" s="372" t="n">
        <v>-37119</v>
      </c>
      <c r="G100" s="371" t="n">
        <v>0</v>
      </c>
      <c r="H100" s="371">
        <f>SUM(C100:G100)</f>
        <v/>
      </c>
      <c r="I100" s="270" t="inlineStr">
        <is>
          <t>Voorziening dubieuze debiteuren opgenomen</t>
        </is>
      </c>
      <c r="J100" s="367" t="n"/>
      <c r="K100" s="367" t="n"/>
      <c r="L100" s="367" t="n"/>
    </row>
    <row r="101" ht="12.75" customHeight="1">
      <c r="A101" s="369" t="inlineStr">
        <is>
          <t>4501300</t>
        </is>
      </c>
      <c r="B101" s="369" t="inlineStr">
        <is>
          <t>KN Afboeking dubieuze debiteuren</t>
        </is>
      </c>
      <c r="C101" s="367" t="n"/>
      <c r="D101" s="371" t="n">
        <v>5045.3</v>
      </c>
      <c r="E101" s="371" t="n">
        <v>4441</v>
      </c>
      <c r="F101" s="371" t="n">
        <v>23477.93</v>
      </c>
      <c r="G101" s="371" t="n">
        <v>19099.22</v>
      </c>
      <c r="H101" s="371">
        <f>SUM(C101:G101)</f>
        <v/>
      </c>
      <c r="I101" s="371" t="n"/>
      <c r="J101" s="367" t="n"/>
      <c r="K101" s="367" t="n"/>
      <c r="L101" s="367" t="n"/>
    </row>
    <row r="102" ht="12.75" customHeight="1">
      <c r="A102" s="367" t="n"/>
      <c r="B102" s="367" t="n"/>
      <c r="C102" s="367" t="n"/>
      <c r="D102" s="367" t="n"/>
      <c r="E102" s="367" t="n"/>
      <c r="F102" s="367" t="n"/>
      <c r="G102" s="367" t="n"/>
      <c r="H102" s="371" t="n"/>
      <c r="I102" s="371" t="n"/>
      <c r="J102" s="367" t="n"/>
      <c r="K102" s="367" t="n"/>
      <c r="L102" s="367" t="n"/>
    </row>
    <row r="103" ht="12.75" customHeight="1">
      <c r="A103" s="369" t="inlineStr">
        <is>
          <t>4300200</t>
        </is>
      </c>
      <c r="B103" s="369" t="inlineStr">
        <is>
          <t>KN Communicatiekosten</t>
        </is>
      </c>
      <c r="C103" s="367" t="n"/>
      <c r="D103" s="367" t="n"/>
      <c r="E103" s="367" t="n"/>
      <c r="F103" s="371" t="n">
        <v>45.1</v>
      </c>
      <c r="G103" s="371" t="n">
        <v>0</v>
      </c>
      <c r="H103" s="371">
        <f>SUM(C103:G103)</f>
        <v/>
      </c>
      <c r="I103" s="371" t="n"/>
      <c r="J103" s="367" t="n"/>
      <c r="K103" s="367" t="n"/>
      <c r="L103" s="367" t="n"/>
    </row>
    <row r="104" ht="12.75" customHeight="1">
      <c r="A104" s="369" t="inlineStr">
        <is>
          <t>4300500</t>
        </is>
      </c>
      <c r="B104" s="369" t="inlineStr">
        <is>
          <t>KN Incassokosten</t>
        </is>
      </c>
      <c r="C104" s="367" t="n"/>
      <c r="D104" s="371" t="n">
        <v>500</v>
      </c>
      <c r="E104" s="371" t="n">
        <v>3850</v>
      </c>
      <c r="F104" s="371" t="n">
        <v>1395</v>
      </c>
      <c r="G104" s="371" t="n">
        <v>-250</v>
      </c>
      <c r="H104" s="371">
        <f>SUM(C104:G104)</f>
        <v/>
      </c>
      <c r="I104" s="371" t="n"/>
      <c r="J104" s="367" t="n"/>
      <c r="K104" s="367" t="n"/>
      <c r="L104" s="367" t="n"/>
    </row>
    <row r="105" ht="12.75" customHeight="1">
      <c r="A105" s="374" t="n">
        <v>4300600</v>
      </c>
      <c r="B105" s="369" t="inlineStr">
        <is>
          <t>KN Kosten automatisering</t>
        </is>
      </c>
      <c r="C105" s="367" t="n"/>
      <c r="D105" s="367" t="n"/>
      <c r="E105" s="367" t="n"/>
      <c r="F105" s="367" t="n"/>
      <c r="G105" s="371" t="n">
        <v>2159.85</v>
      </c>
      <c r="H105" s="371">
        <f>SUM(C105:G105)</f>
        <v/>
      </c>
      <c r="I105" s="371" t="n"/>
      <c r="J105" s="367" t="n"/>
      <c r="K105" s="367" t="n"/>
      <c r="L105" s="367" t="n"/>
    </row>
    <row r="106" ht="12.75" customHeight="1">
      <c r="A106" s="367" t="n"/>
      <c r="B106" s="367" t="n"/>
      <c r="C106" s="367" t="n"/>
      <c r="D106" s="367" t="n"/>
      <c r="E106" s="367" t="n"/>
      <c r="F106" s="367" t="n"/>
      <c r="G106" s="367" t="n"/>
      <c r="H106" s="371" t="n"/>
      <c r="I106" s="371" t="n"/>
      <c r="J106" s="367" t="n"/>
      <c r="K106" s="367" t="n"/>
      <c r="L106" s="367" t="n"/>
    </row>
    <row r="107" ht="12.75" customHeight="1">
      <c r="A107" s="374" t="n">
        <v>4310000</v>
      </c>
      <c r="B107" s="369" t="inlineStr">
        <is>
          <t>KN Abonnementen en contributies</t>
        </is>
      </c>
      <c r="C107" s="367" t="n"/>
      <c r="D107" s="367" t="n"/>
      <c r="E107" s="367" t="n"/>
      <c r="F107" s="367" t="n"/>
      <c r="G107" s="371" t="n">
        <v>5000</v>
      </c>
      <c r="H107" s="371">
        <f>SUM(C107:G107)</f>
        <v/>
      </c>
      <c r="I107" s="371" t="n"/>
      <c r="J107" s="367" t="n"/>
      <c r="K107" s="367" t="n"/>
      <c r="L107" s="367" t="n"/>
    </row>
    <row r="108" ht="12.75" customHeight="1">
      <c r="A108" s="369" t="inlineStr">
        <is>
          <t>4310400</t>
        </is>
      </c>
      <c r="B108" s="369" t="inlineStr">
        <is>
          <t>KN Assurantiepremie algemeen</t>
        </is>
      </c>
      <c r="C108" s="367" t="n"/>
      <c r="D108" s="371" t="n">
        <v>47531</v>
      </c>
      <c r="E108" s="371" t="n">
        <v>28916</v>
      </c>
      <c r="F108" s="371" t="n">
        <v>29994.12</v>
      </c>
      <c r="G108" s="371" t="n">
        <v>442.72</v>
      </c>
      <c r="H108" s="371">
        <f>SUM(C108:G108)</f>
        <v/>
      </c>
      <c r="I108" s="371" t="n"/>
      <c r="J108" s="371" t="n"/>
      <c r="K108" s="367" t="n"/>
      <c r="L108" s="367" t="n"/>
    </row>
    <row r="109" ht="12.75" customHeight="1">
      <c r="A109" s="369" t="inlineStr">
        <is>
          <t>4310500</t>
        </is>
      </c>
      <c r="B109" s="369" t="inlineStr">
        <is>
          <t>KN Managementvergoeding</t>
        </is>
      </c>
      <c r="C109" s="367" t="n"/>
      <c r="D109" s="371" t="n">
        <v>1500</v>
      </c>
      <c r="E109" s="371" t="n">
        <v>1500</v>
      </c>
      <c r="F109" s="371" t="n">
        <v>1500</v>
      </c>
      <c r="G109" s="371" t="n">
        <v>1500</v>
      </c>
      <c r="H109" s="371">
        <f>SUM(C109:G109)</f>
        <v/>
      </c>
      <c r="I109" s="371" t="n"/>
      <c r="J109" s="367" t="n"/>
      <c r="K109" s="367" t="n"/>
      <c r="L109" s="367" t="n"/>
    </row>
    <row r="110" ht="12.75" customHeight="1">
      <c r="A110" s="369" t="inlineStr">
        <is>
          <t>4310600</t>
        </is>
      </c>
      <c r="B110" s="369" t="inlineStr">
        <is>
          <t>KN Accountantskosten</t>
        </is>
      </c>
      <c r="C110" s="367" t="n"/>
      <c r="D110" s="371" t="n">
        <v>42192.41</v>
      </c>
      <c r="E110" s="371" t="n">
        <v>1065</v>
      </c>
      <c r="F110" s="372" t="n">
        <v>30716</v>
      </c>
      <c r="G110" s="371" t="n">
        <v>38127.86</v>
      </c>
      <c r="H110" s="371">
        <f>SUM(C110:G110)</f>
        <v/>
      </c>
      <c r="I110" s="270" t="inlineStr">
        <is>
          <t>Vooruitbetaalde kosten opgenomen</t>
        </is>
      </c>
      <c r="J110" s="367" t="n"/>
      <c r="K110" s="367" t="n"/>
      <c r="L110" s="367" t="n"/>
    </row>
    <row r="111" ht="12.75" customHeight="1">
      <c r="A111" s="369" t="inlineStr">
        <is>
          <t>4310700</t>
        </is>
      </c>
      <c r="B111" s="369" t="inlineStr">
        <is>
          <t>KN Administratiekosten</t>
        </is>
      </c>
      <c r="C111" s="367" t="n"/>
      <c r="D111" s="371" t="n">
        <v>2934.86</v>
      </c>
      <c r="E111" s="371" t="n">
        <v>3712</v>
      </c>
      <c r="F111" s="371" t="n">
        <v>1467.43</v>
      </c>
      <c r="G111" s="371" t="n">
        <v>0</v>
      </c>
      <c r="H111" s="371">
        <f>SUM(C111:G111)</f>
        <v/>
      </c>
      <c r="I111" s="371" t="n"/>
      <c r="J111" s="367" t="n"/>
      <c r="K111" s="367" t="n"/>
      <c r="L111" s="367" t="n"/>
    </row>
    <row r="112" ht="12.75" customHeight="1">
      <c r="A112" s="369" t="inlineStr">
        <is>
          <t>4310800</t>
        </is>
      </c>
      <c r="B112" s="369" t="inlineStr">
        <is>
          <t>KN Notariskosten</t>
        </is>
      </c>
      <c r="C112" s="367" t="n"/>
      <c r="D112" s="371" t="n">
        <v>33708.66</v>
      </c>
      <c r="E112" s="371" t="n">
        <v>15169</v>
      </c>
      <c r="F112" s="371" t="n">
        <v>33177.54</v>
      </c>
      <c r="G112" s="371" t="n">
        <v>14482.61</v>
      </c>
      <c r="H112" s="371">
        <f>SUM(C112:G112)</f>
        <v/>
      </c>
      <c r="I112" s="270" t="n"/>
      <c r="J112" s="367" t="n"/>
      <c r="K112" s="367" t="n"/>
      <c r="L112" s="367" t="n"/>
    </row>
    <row r="113" ht="12.75" customHeight="1">
      <c r="A113" s="369" t="inlineStr">
        <is>
          <t>4311000</t>
        </is>
      </c>
      <c r="B113" s="369" t="inlineStr">
        <is>
          <t>KN Juridische kosten</t>
        </is>
      </c>
      <c r="C113" s="367" t="n"/>
      <c r="D113" s="371" t="n">
        <v>26403.76</v>
      </c>
      <c r="E113" s="371" t="n">
        <v>21247</v>
      </c>
      <c r="F113" s="372" t="n">
        <v>31136</v>
      </c>
      <c r="G113" s="371" t="n">
        <v>43285.6</v>
      </c>
      <c r="H113" s="371">
        <f>SUM(C113:G113)</f>
        <v/>
      </c>
      <c r="I113" s="270" t="inlineStr">
        <is>
          <t>Vooruitbetaalde kosten opgenomen</t>
        </is>
      </c>
      <c r="J113" s="367" t="n"/>
      <c r="K113" s="367" t="n"/>
      <c r="L113" s="367" t="n"/>
    </row>
    <row r="114" ht="12.75" customHeight="1">
      <c r="A114" s="369" t="inlineStr">
        <is>
          <t>4311800</t>
        </is>
      </c>
      <c r="B114" s="369" t="inlineStr">
        <is>
          <t>KN Advieskosten</t>
        </is>
      </c>
      <c r="C114" s="367" t="n"/>
      <c r="D114" s="371" t="n">
        <v>66841.5</v>
      </c>
      <c r="E114" s="371" t="n">
        <v>89742</v>
      </c>
      <c r="F114" s="371" t="n">
        <v>28600</v>
      </c>
      <c r="G114" s="371" t="n">
        <v>581568.25</v>
      </c>
      <c r="H114" s="371">
        <f>SUM(C114:G114)</f>
        <v/>
      </c>
      <c r="I114" s="270" t="n"/>
      <c r="J114" s="367" t="n"/>
      <c r="K114" s="367" t="n"/>
      <c r="L114" s="367" t="n"/>
    </row>
    <row r="115" ht="12.75" customHeight="1">
      <c r="A115" s="369" t="inlineStr">
        <is>
          <t>4311900</t>
        </is>
      </c>
      <c r="B115" s="369" t="inlineStr">
        <is>
          <t>KN Bankkosten</t>
        </is>
      </c>
      <c r="C115" s="367" t="n"/>
      <c r="D115" s="371" t="n">
        <v>30189.5</v>
      </c>
      <c r="E115" s="371" t="n">
        <v>30173</v>
      </c>
      <c r="F115" s="372" t="n">
        <v>30544</v>
      </c>
      <c r="G115" s="371" t="n">
        <v>217377.34</v>
      </c>
      <c r="H115" s="371">
        <f>SUM(C115:G115)</f>
        <v/>
      </c>
      <c r="I115" s="363" t="inlineStr">
        <is>
          <t>Vooruitbetaalde kosten opgenomen</t>
        </is>
      </c>
      <c r="J115" s="367" t="n"/>
      <c r="K115" s="367" t="n"/>
      <c r="L115" s="367" t="n"/>
    </row>
    <row r="116" ht="12.75" customHeight="1">
      <c r="A116" s="369" t="inlineStr">
        <is>
          <t>4312600</t>
        </is>
      </c>
      <c r="B116" s="369" t="inlineStr">
        <is>
          <t>KN Diverse lasten</t>
        </is>
      </c>
      <c r="C116" s="367" t="n"/>
      <c r="D116" s="367" t="n"/>
      <c r="E116" s="371" t="n">
        <v>0</v>
      </c>
      <c r="F116" s="371" t="n">
        <v>40000</v>
      </c>
      <c r="G116" s="371" t="n">
        <v>1332181</v>
      </c>
      <c r="H116" s="371">
        <f>SUM(C116:G116)</f>
        <v/>
      </c>
      <c r="I116" s="371" t="n"/>
      <c r="J116" s="367" t="n"/>
      <c r="K116" s="367" t="n"/>
      <c r="L116" s="367" t="n"/>
    </row>
    <row r="117" ht="12.75" customHeight="1">
      <c r="A117" s="369" t="inlineStr">
        <is>
          <t>4319800</t>
        </is>
      </c>
      <c r="B117" s="369" t="inlineStr">
        <is>
          <t>KN Overige algemene kosten</t>
        </is>
      </c>
      <c r="C117" s="367" t="n"/>
      <c r="D117" s="371" t="n">
        <v>-12426</v>
      </c>
      <c r="E117" s="371" t="n">
        <v>6643</v>
      </c>
      <c r="F117" s="371" t="n">
        <v>15891.44</v>
      </c>
      <c r="G117" s="371" t="n">
        <v>1456.84</v>
      </c>
      <c r="H117" s="371">
        <f>SUM(C117:G117)</f>
        <v/>
      </c>
      <c r="I117" s="270" t="n"/>
      <c r="J117" s="367" t="n"/>
      <c r="K117" s="367" t="n"/>
      <c r="L117" s="367" t="n"/>
    </row>
    <row r="118" ht="12.75" customHeight="1">
      <c r="A118" s="367" t="n"/>
      <c r="B118" s="367" t="n"/>
      <c r="C118" s="367" t="n"/>
      <c r="D118" s="367" t="n"/>
      <c r="E118" s="367" t="n"/>
      <c r="F118" s="367" t="n"/>
      <c r="G118" s="367" t="n"/>
      <c r="H118" s="371" t="n"/>
      <c r="I118" s="371" t="n"/>
      <c r="J118" s="367" t="n"/>
      <c r="K118" s="367" t="n"/>
      <c r="L118" s="367" t="n"/>
    </row>
    <row r="119" ht="12.75" customHeight="1">
      <c r="A119" s="369" t="inlineStr">
        <is>
          <t>4601000</t>
        </is>
      </c>
      <c r="B119" s="369" t="inlineStr">
        <is>
          <t>FINBL Rente RC D.M. Equity Partners C.V.</t>
        </is>
      </c>
      <c r="C119" s="367" t="n"/>
      <c r="D119" s="367" t="n"/>
      <c r="E119" s="371" t="n">
        <v>0</v>
      </c>
      <c r="F119" s="372" t="n">
        <v>19889</v>
      </c>
      <c r="G119" s="367" t="n"/>
      <c r="H119" s="371">
        <f>SUM(C119:G119)</f>
        <v/>
      </c>
      <c r="I119" s="363" t="inlineStr">
        <is>
          <t>Rentes opgenomen</t>
        </is>
      </c>
      <c r="J119" s="367" t="n"/>
      <c r="K119" s="367" t="n"/>
      <c r="L119" s="367" t="n"/>
    </row>
    <row r="120" ht="12.75" customHeight="1">
      <c r="A120" s="369" t="inlineStr">
        <is>
          <t>4611000</t>
        </is>
      </c>
      <c r="B120" s="369" t="inlineStr">
        <is>
          <t>FINBL Rente RC DMRRP INV - I BV</t>
        </is>
      </c>
      <c r="C120" s="367" t="n"/>
      <c r="D120" s="367" t="n"/>
      <c r="E120" s="371" t="n">
        <v>0</v>
      </c>
      <c r="F120" s="372" t="n">
        <v>-9356</v>
      </c>
      <c r="G120" s="367" t="n"/>
      <c r="H120" s="371">
        <f>SUM(C120:G120)</f>
        <v/>
      </c>
      <c r="I120" s="270" t="inlineStr">
        <is>
          <t>Rentes opgenomen</t>
        </is>
      </c>
      <c r="J120" s="367" t="n"/>
      <c r="K120" s="367" t="n"/>
      <c r="L120" s="367" t="n"/>
    </row>
    <row r="121" ht="12.75" customHeight="1">
      <c r="A121" s="374" t="n">
        <v>4613000</v>
      </c>
      <c r="B121" s="369" t="inlineStr">
        <is>
          <t>FINBL Rente WPNL - V B.V.</t>
        </is>
      </c>
      <c r="C121" s="367" t="n"/>
      <c r="D121" s="367" t="n"/>
      <c r="E121" s="371" t="n">
        <v>0</v>
      </c>
      <c r="F121" s="367" t="n"/>
      <c r="G121" s="367" t="n"/>
      <c r="H121" s="371">
        <f>SUM(C121:G121)</f>
        <v/>
      </c>
      <c r="I121" s="270" t="n"/>
      <c r="J121" s="367" t="n"/>
      <c r="K121" s="367" t="n"/>
      <c r="L121" s="367" t="n"/>
    </row>
    <row r="122" ht="12.75" customHeight="1">
      <c r="A122" s="374" t="n">
        <v>4613001</v>
      </c>
      <c r="B122" s="369" t="inlineStr">
        <is>
          <t>FINBL Rente D.M. Equity Management Company BV</t>
        </is>
      </c>
      <c r="C122" s="367" t="n"/>
      <c r="D122" s="367" t="n"/>
      <c r="E122" s="367" t="n"/>
      <c r="F122" s="371" t="n">
        <v>2562</v>
      </c>
      <c r="G122" s="367" t="n"/>
      <c r="H122" s="371">
        <f>SUM(C122:G122)</f>
        <v/>
      </c>
      <c r="I122" s="270" t="n"/>
      <c r="J122" s="367" t="n"/>
      <c r="K122" s="367" t="n"/>
      <c r="L122" s="367" t="n"/>
    </row>
    <row r="123" ht="12.75" customHeight="1">
      <c r="A123" s="369" t="inlineStr">
        <is>
          <t>4620200</t>
        </is>
      </c>
      <c r="B123" s="369" t="inlineStr">
        <is>
          <t>FINBL Rente ABN AMRO Bank Disposal NL58 ABNA 0818 9180 39</t>
        </is>
      </c>
      <c r="C123" s="367" t="n"/>
      <c r="D123" s="371" t="n">
        <v>8.380000000000001</v>
      </c>
      <c r="E123" s="371" t="n">
        <v>0</v>
      </c>
      <c r="F123" s="367" t="n"/>
      <c r="G123" s="371" t="n">
        <v>155.68</v>
      </c>
      <c r="H123" s="371">
        <f>SUM(C123:G123)</f>
        <v/>
      </c>
      <c r="I123" s="371" t="n"/>
      <c r="J123" s="367" t="n"/>
      <c r="K123" s="367" t="n"/>
      <c r="L123" s="367" t="n"/>
    </row>
    <row r="124" ht="12.75" customHeight="1">
      <c r="A124" s="369" t="inlineStr">
        <is>
          <t>4623001</t>
        </is>
      </c>
      <c r="B124" s="369" t="inlineStr">
        <is>
          <t>FINBL Rente ABN AMRO Bank NV Senior Facility Agreement</t>
        </is>
      </c>
      <c r="C124" s="367" t="n"/>
      <c r="D124" s="371" t="n">
        <v>1384964.21</v>
      </c>
      <c r="E124" s="371" t="n">
        <v>1264736</v>
      </c>
      <c r="F124" s="371" t="n">
        <v>1268096.76</v>
      </c>
      <c r="G124" s="371" t="n">
        <v>1252928.26</v>
      </c>
      <c r="H124" s="371">
        <f>SUM(C124:G124)</f>
        <v/>
      </c>
      <c r="I124" s="270" t="n"/>
      <c r="J124" s="367" t="n"/>
      <c r="K124" s="367" t="n"/>
      <c r="L124" s="367" t="n"/>
    </row>
    <row r="125" ht="12.75" customHeight="1">
      <c r="A125" s="369" t="inlineStr">
        <is>
          <t>4643000</t>
        </is>
      </c>
      <c r="B125" s="369" t="inlineStr">
        <is>
          <t>FINBL Overige rentelasten</t>
        </is>
      </c>
      <c r="C125" s="367" t="n"/>
      <c r="D125" s="371" t="n">
        <v>171938.04</v>
      </c>
      <c r="E125" s="371" t="n">
        <v>267049</v>
      </c>
      <c r="F125" s="371" t="n">
        <v>259973.43</v>
      </c>
      <c r="G125" s="371" t="n">
        <v>243220.67</v>
      </c>
      <c r="H125" s="371">
        <f>SUM(C125:G125)</f>
        <v/>
      </c>
      <c r="I125" s="363" t="n"/>
      <c r="J125" s="367" t="n"/>
      <c r="K125" s="367" t="n"/>
      <c r="L125" s="367" t="n"/>
    </row>
    <row r="126" ht="12.75" customHeight="1">
      <c r="A126" s="369" t="inlineStr">
        <is>
          <t>4642000</t>
        </is>
      </c>
      <c r="B126" s="369" t="inlineStr">
        <is>
          <t>FINBL Overige rentebaten</t>
        </is>
      </c>
      <c r="C126" s="367" t="n"/>
      <c r="D126" s="367" t="n"/>
      <c r="E126" s="371" t="n">
        <v>0</v>
      </c>
      <c r="F126" s="367" t="n"/>
      <c r="G126" s="367" t="n"/>
      <c r="H126" s="371">
        <f>SUM(C126:G126)</f>
        <v/>
      </c>
      <c r="I126" s="363" t="n"/>
      <c r="J126" s="367" t="n"/>
      <c r="K126" s="367" t="n"/>
      <c r="L126" s="367" t="n"/>
    </row>
    <row r="127" ht="12.75" customHeight="1">
      <c r="A127" s="369" t="inlineStr">
        <is>
          <t>4663000</t>
        </is>
      </c>
      <c r="B127" s="369" t="inlineStr">
        <is>
          <t>FINBL Rente vord DMRRP INV - I BV</t>
        </is>
      </c>
      <c r="C127" s="367" t="n"/>
      <c r="D127" s="371" t="n">
        <v>-369637.02</v>
      </c>
      <c r="E127" s="371" t="n">
        <v>-337235</v>
      </c>
      <c r="F127" s="371" t="n">
        <v>-337944.16</v>
      </c>
      <c r="G127" s="371" t="n">
        <v>-337944.16</v>
      </c>
      <c r="H127" s="371">
        <f>SUM(C127:G127)</f>
        <v/>
      </c>
      <c r="I127" s="363" t="n"/>
      <c r="J127" s="367" t="n"/>
      <c r="K127" s="367" t="n"/>
      <c r="L127" s="367" t="n"/>
    </row>
    <row r="128" ht="12.75" customHeight="1">
      <c r="A128" s="367" t="n"/>
      <c r="B128" s="367" t="n"/>
      <c r="C128" s="367" t="n"/>
      <c r="D128" s="367" t="n"/>
      <c r="E128" s="367" t="n"/>
      <c r="F128" s="367" t="n"/>
      <c r="G128" s="367" t="n"/>
      <c r="H128" s="371" t="n"/>
      <c r="I128" s="371" t="n"/>
      <c r="J128" s="367" t="n"/>
      <c r="K128" s="367" t="n"/>
      <c r="L128" s="367" t="n"/>
    </row>
    <row r="129" ht="12.75" customHeight="1">
      <c r="A129" s="369" t="inlineStr">
        <is>
          <t>9500000</t>
        </is>
      </c>
      <c r="B129" s="369" t="inlineStr">
        <is>
          <t>VPB Vennootschapsbelasting VPB huidig jaar</t>
        </is>
      </c>
      <c r="C129" s="367" t="n"/>
      <c r="D129" s="367" t="n"/>
      <c r="E129" s="367" t="n"/>
      <c r="F129" s="372" t="n">
        <v>2088258</v>
      </c>
      <c r="G129" s="371" t="n">
        <v>0</v>
      </c>
      <c r="H129" s="371">
        <f>SUM(C129:G129)</f>
        <v/>
      </c>
      <c r="I129" s="363" t="inlineStr">
        <is>
          <t>VPB geboekt</t>
        </is>
      </c>
      <c r="J129" s="367" t="n"/>
      <c r="K129" s="367" t="n"/>
      <c r="L129" s="367" t="n"/>
    </row>
    <row r="130" ht="12.75" customHeight="1">
      <c r="A130" s="369" t="inlineStr">
        <is>
          <t>9510000</t>
        </is>
      </c>
      <c r="B130" s="369" t="inlineStr">
        <is>
          <t>VPB Mutatie belastinglatentie Mutatie actieve latentie</t>
        </is>
      </c>
      <c r="C130" s="367" t="n"/>
      <c r="D130" s="371" t="n">
        <v>-200714</v>
      </c>
      <c r="E130" s="371" t="n">
        <v>-214644</v>
      </c>
      <c r="F130" s="372" t="n">
        <v>-809195</v>
      </c>
      <c r="G130" s="371" t="n">
        <v>-206300</v>
      </c>
      <c r="H130" s="371">
        <f>SUM(C130:G130)</f>
        <v/>
      </c>
      <c r="I130" s="363" t="inlineStr">
        <is>
          <t>VPB geboekt</t>
        </is>
      </c>
      <c r="J130" s="367" t="n"/>
      <c r="K130" s="367" t="n"/>
      <c r="L130" s="367" t="n"/>
    </row>
    <row r="131" ht="12.75" customHeight="1">
      <c r="A131" s="367" t="n"/>
      <c r="B131" s="367" t="n"/>
      <c r="C131" s="367" t="n"/>
      <c r="D131" s="367" t="n"/>
      <c r="E131" s="367" t="n"/>
      <c r="F131" s="367" t="n"/>
      <c r="G131" s="367" t="n"/>
      <c r="H131" s="371" t="n"/>
      <c r="I131" s="371" t="n"/>
      <c r="J131" s="367" t="n"/>
      <c r="K131" s="367" t="n"/>
      <c r="L131" s="367" t="n"/>
    </row>
    <row r="132" ht="12.75" customHeight="1">
      <c r="A132" s="369" t="inlineStr">
        <is>
          <t>Resultaat na belasting</t>
        </is>
      </c>
      <c r="B132" s="367" t="n"/>
      <c r="C132" s="367" t="n"/>
      <c r="D132" s="371">
        <f>SUM(D80:D130)</f>
        <v/>
      </c>
      <c r="E132" s="371">
        <f>SUM(E80:E130)</f>
        <v/>
      </c>
      <c r="F132" s="371">
        <f>SUM(F80:F130)</f>
        <v/>
      </c>
      <c r="G132" s="371">
        <f>SUM(G80:G130)</f>
        <v/>
      </c>
      <c r="H132" s="371">
        <f>SUM(D132:G132)</f>
        <v/>
      </c>
      <c r="I132" s="371" t="n"/>
      <c r="J132" s="367" t="n"/>
      <c r="K132" s="367" t="n"/>
      <c r="L132" s="367" t="n"/>
    </row>
    <row r="133">
      <c r="A133" s="367" t="n"/>
      <c r="B133" s="367" t="n"/>
      <c r="C133" s="367" t="n"/>
      <c r="D133" s="367" t="n"/>
      <c r="E133" s="367" t="n"/>
      <c r="F133" s="367" t="n"/>
      <c r="G133" s="367" t="n"/>
      <c r="H133" s="367" t="n"/>
      <c r="I133" s="367" t="n"/>
      <c r="J133" s="367" t="n"/>
      <c r="K133" s="367" t="n"/>
      <c r="L133" s="367" t="n"/>
    </row>
    <row r="134" ht="12.75" customHeight="1">
      <c r="A134" s="369" t="inlineStr">
        <is>
          <t>Verschil balans en winst-en-verlies</t>
        </is>
      </c>
      <c r="B134" s="367" t="n"/>
      <c r="C134" s="367" t="n"/>
      <c r="D134" s="371">
        <f>SUM(D5:D130)</f>
        <v/>
      </c>
      <c r="E134" s="371">
        <f>SUM(E5:E130)</f>
        <v/>
      </c>
      <c r="F134" s="371">
        <f>SUM(F5:F130)</f>
        <v/>
      </c>
      <c r="G134" s="371">
        <f>SUM(G5:G130)</f>
        <v/>
      </c>
      <c r="H134" s="371">
        <f>SUM(H5:H130)</f>
        <v/>
      </c>
      <c r="I134" s="367" t="n"/>
      <c r="J134" s="367" t="n"/>
      <c r="K134" s="367" t="n"/>
      <c r="L134" s="367" t="n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AF121"/>
  <sheetViews>
    <sheetView showGridLines="0" tabSelected="1" view="pageBreakPreview" topLeftCell="J21" zoomScale="80" zoomScaleNormal="100" zoomScaleSheetLayoutView="80" workbookViewId="0">
      <selection activeCell="AD105" sqref="AD105"/>
    </sheetView>
  </sheetViews>
  <sheetFormatPr baseColWidth="8" defaultRowHeight="14.4" outlineLevelRow="2"/>
  <cols>
    <col width="55.33203125" bestFit="1" customWidth="1" min="1" max="1"/>
    <col outlineLevel="2" width="11.33203125" customWidth="1" min="2" max="2"/>
    <col outlineLevel="1" width="23.109375" customWidth="1" min="3" max="5"/>
    <col outlineLevel="1" collapsed="1" width="23.109375" customWidth="1" min="6" max="14"/>
    <col outlineLevel="1" width="23.109375" customWidth="1" min="15" max="23"/>
    <col outlineLevel="1" width="21.109375" customWidth="1" min="24" max="24"/>
    <col outlineLevel="1" width="17.6640625" customWidth="1" min="25" max="25"/>
    <col outlineLevel="1" width="23.109375" customWidth="1" min="26" max="27"/>
    <col width="23.109375" customWidth="1" min="28" max="29"/>
    <col outlineLevel="1" width="23.109375" customWidth="1" min="29" max="29"/>
    <col width="23.109375" customWidth="1" min="30" max="30"/>
    <col width="106" customWidth="1" min="31" max="31"/>
  </cols>
  <sheetData>
    <row r="1" ht="15.6" customHeight="1">
      <c r="A1" s="2" t="inlineStr">
        <is>
          <t>Management Accounts QSP ESS B.V. - Q1 2026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D1" s="3" t="n"/>
    </row>
    <row r="2">
      <c r="A2" s="4" t="inlineStr">
        <is>
          <t>Balance sheet</t>
        </is>
      </c>
      <c r="B2" s="376" t="n"/>
      <c r="C2" s="377" t="n">
        <v>43465</v>
      </c>
      <c r="D2" s="377" t="n"/>
      <c r="E2" s="378" t="n">
        <v>43555</v>
      </c>
      <c r="F2" s="378" t="n"/>
      <c r="G2" s="378" t="n"/>
      <c r="H2" s="378" t="n"/>
      <c r="I2" s="378" t="n"/>
      <c r="J2" s="378" t="n"/>
      <c r="K2" s="378" t="n"/>
      <c r="L2" s="378" t="n"/>
      <c r="M2" s="378" t="n"/>
      <c r="N2" s="378" t="n"/>
      <c r="O2" s="378" t="n"/>
      <c r="P2" s="378" t="n"/>
      <c r="Q2" s="378" t="n"/>
      <c r="R2" s="378" t="n"/>
      <c r="S2" s="378" t="n"/>
      <c r="T2" s="378" t="n"/>
      <c r="U2" s="378" t="n"/>
      <c r="V2" s="378" t="n"/>
      <c r="W2" s="378" t="n"/>
      <c r="X2" s="378" t="n"/>
      <c r="Y2" s="378" t="n"/>
      <c r="Z2" s="379" t="n"/>
      <c r="AA2" s="378" t="n"/>
      <c r="AB2" s="378" t="n"/>
      <c r="AC2" s="380" t="n"/>
      <c r="AD2" s="381" t="n">
        <v>46112</v>
      </c>
      <c r="AE2" s="60" t="inlineStr">
        <is>
          <t>Commentary on balance sheet</t>
        </is>
      </c>
    </row>
    <row r="3">
      <c r="A3" s="7" t="inlineStr">
        <is>
          <t>Deferred Tax Asset</t>
        </is>
      </c>
      <c r="B3" s="7" t="n"/>
      <c r="C3" s="82">
        <f>'BalansenWinstverlies - FY2018'!M6</f>
        <v/>
      </c>
      <c r="D3" s="85" t="n"/>
      <c r="E3" s="79">
        <f>'Cijfers QSP - Q1 2019'!P9</f>
        <v/>
      </c>
      <c r="F3" s="118" t="n"/>
      <c r="AD3" s="382">
        <f>'BDO - Q1-26'!H16</f>
        <v/>
      </c>
      <c r="AE3" s="61" t="inlineStr">
        <is>
          <t>Tax asset resulting from different deprecation treatment for fiscal and commercial accounting purposes</t>
        </is>
      </c>
    </row>
    <row r="4">
      <c r="A4" s="7" t="inlineStr">
        <is>
          <t>Real estate</t>
        </is>
      </c>
      <c r="B4" s="7" t="n"/>
      <c r="C4" s="82">
        <f>SUM('BalansenWinstverlies - FY2018'!M2:M4)</f>
        <v/>
      </c>
      <c r="D4" s="85" t="n"/>
      <c r="E4" s="79">
        <f>'Cijfers QSP - Q1 2019'!P7</f>
        <v/>
      </c>
      <c r="F4" s="118" t="n"/>
      <c r="AD4" s="382">
        <f>SUM('BDO - Q1-26'!H6:H10)</f>
        <v/>
      </c>
      <c r="AE4" s="61" t="inlineStr">
        <is>
          <t>Book value real estate</t>
        </is>
      </c>
    </row>
    <row r="5">
      <c r="A5" s="7" t="inlineStr">
        <is>
          <t>Financial fixed assets</t>
        </is>
      </c>
      <c r="B5" s="7" t="n"/>
      <c r="C5" s="82" t="n"/>
      <c r="D5" s="85" t="n"/>
      <c r="E5" s="79" t="n"/>
      <c r="F5" s="118" t="n"/>
      <c r="AD5" s="382">
        <f>'BDO - Q1-26'!H13+'BDO - Q1-26'!H14+'BDO - Q1-26'!H15</f>
        <v/>
      </c>
      <c r="AE5" s="61" t="inlineStr">
        <is>
          <t>Loan to DMRRP INV I (parrallel loan) and interest Swap</t>
        </is>
      </c>
    </row>
    <row r="6">
      <c r="A6" s="7" t="inlineStr">
        <is>
          <t>Accounts receivable</t>
        </is>
      </c>
      <c r="B6" s="7" t="n"/>
      <c r="C6" s="82">
        <f>'BalansenWinstverlies - FY2018'!M7+'BalansenWinstverlies - FY2018'!M8</f>
        <v/>
      </c>
      <c r="D6" s="85" t="n"/>
      <c r="E6" s="79">
        <f>'Cijfers QSP - Q1 2019'!P14</f>
        <v/>
      </c>
      <c r="F6" s="118" t="n"/>
      <c r="AD6" s="382">
        <f>'BDO - Q1-26'!H19+'BDO - Q1-26'!H21+'BDO - Q1-26'!H22</f>
        <v/>
      </c>
      <c r="AE6" s="61" t="n"/>
    </row>
    <row r="7">
      <c r="A7" s="7" t="inlineStr">
        <is>
          <t>Service costs to be settled</t>
        </is>
      </c>
      <c r="B7" s="7" t="n"/>
      <c r="C7" s="82" t="n"/>
      <c r="D7" s="85" t="n"/>
      <c r="E7" s="79" t="n"/>
      <c r="F7" s="118" t="n"/>
      <c r="AD7" s="382">
        <f>SUM('BDO - Q1-26'!H68:H74)+'BDO - Q1-26'!H66+'BDO - Q1-26'!H62+'BDO - Q1-26'!H63</f>
        <v/>
      </c>
      <c r="AE7" s="61" t="inlineStr">
        <is>
          <t>Service costs to be settled</t>
        </is>
      </c>
    </row>
    <row r="8">
      <c r="A8" s="7" t="inlineStr">
        <is>
          <t>Prepaid expenses</t>
        </is>
      </c>
      <c r="B8" s="7" t="n"/>
      <c r="C8" s="82" t="n">
        <v>0</v>
      </c>
      <c r="D8" s="85" t="n"/>
      <c r="E8" s="79">
        <f>'Cijfers QSP - Q1 2019'!P60+'Cijfers QSP - Q1 2019'!P54</f>
        <v/>
      </c>
      <c r="F8" s="118" t="n"/>
      <c r="AD8" s="382">
        <f>SUM('BDO - Q1-26'!H23:H26)+'BDO - Q1-26'!H30+'BDO - Q1-26'!H75</f>
        <v/>
      </c>
      <c r="AE8" s="61" t="inlineStr">
        <is>
          <t>Prepaid yearly property taxes</t>
        </is>
      </c>
    </row>
    <row r="9">
      <c r="A9" s="7" t="inlineStr">
        <is>
          <t>Cash</t>
        </is>
      </c>
      <c r="B9" s="7" t="n"/>
      <c r="C9" s="82">
        <f>SUM('BalansenWinstverlies - FY2018'!M14:M19)+'BalansenWinstverlies - FY2018'!M29</f>
        <v/>
      </c>
      <c r="D9" s="85" t="n"/>
      <c r="E9" s="79">
        <f>'Cijfers QSP - Q1 2019'!P30</f>
        <v/>
      </c>
      <c r="F9" s="118" t="n"/>
      <c r="AD9" s="382">
        <f>SUM('BDO - Q1-26'!H31:H37)</f>
        <v/>
      </c>
      <c r="AE9" s="61" t="n"/>
    </row>
    <row r="10">
      <c r="A10" s="7" t="inlineStr">
        <is>
          <t>Equity</t>
        </is>
      </c>
      <c r="B10" s="7" t="n"/>
      <c r="C10" s="82">
        <f>SUM('BalansenWinstverlies - FY2018'!M20:M24)</f>
        <v/>
      </c>
      <c r="D10" s="85" t="n"/>
      <c r="E10" s="79">
        <f>'Cijfers QSP - Q1 2019'!P36</f>
        <v/>
      </c>
      <c r="F10" s="118" t="n"/>
      <c r="AD10" s="382">
        <f>SUM('BDO - Q1-26'!H40:H42)</f>
        <v/>
      </c>
      <c r="AE10" s="61" t="n"/>
    </row>
    <row r="11">
      <c r="A11" s="7" t="inlineStr">
        <is>
          <t>AC Shareholder</t>
        </is>
      </c>
      <c r="B11" s="7" t="n"/>
      <c r="C11" s="82">
        <f>'BalansenWinstverlies - FY2018'!M9</f>
        <v/>
      </c>
      <c r="D11" s="85" t="n"/>
      <c r="E11" s="79">
        <f>'Cijfers QSP - Q1 2019'!P21</f>
        <v/>
      </c>
      <c r="F11" s="118" t="n"/>
      <c r="AD11" s="382">
        <f>'BDO - Q1-26'!H20</f>
        <v/>
      </c>
      <c r="AE11" s="61" t="inlineStr">
        <is>
          <t>Relates to the CIT payment by DMRRP INV - I B.V., for which funds from QSP ESS B.V. are transferred to DMRRP INV - I</t>
        </is>
      </c>
    </row>
    <row r="12">
      <c r="A12" s="7" t="inlineStr">
        <is>
          <t>Bank loan</t>
        </is>
      </c>
      <c r="B12" s="7" t="n"/>
      <c r="C12" s="82">
        <f>'BalansenWinstverlies - FY2018'!M26+'BalansenWinstverlies - FY2018'!M28</f>
        <v/>
      </c>
      <c r="D12" s="85" t="n"/>
      <c r="E12" s="79">
        <f>'Cijfers QSP - Q1 2019'!P45</f>
        <v/>
      </c>
      <c r="F12" s="118" t="n"/>
      <c r="AD12" s="382">
        <f>'BDO - Q1-26'!H45+'BDO - Q1-26'!H46</f>
        <v/>
      </c>
      <c r="AE12" s="61" t="n"/>
    </row>
    <row r="13">
      <c r="A13" s="7" t="inlineStr">
        <is>
          <t>Amortised fee</t>
        </is>
      </c>
      <c r="B13" s="7" t="n"/>
      <c r="C13" s="82" t="n"/>
      <c r="D13" s="85" t="n"/>
      <c r="E13" s="79" t="n"/>
      <c r="F13" s="118" t="n"/>
      <c r="AD13" s="382">
        <f>SUM('BDO - Q1-26'!H47)</f>
        <v/>
      </c>
      <c r="AE13" s="61" t="inlineStr">
        <is>
          <t>Amortised extension fee</t>
        </is>
      </c>
    </row>
    <row r="14">
      <c r="A14" s="7" t="inlineStr">
        <is>
          <t>Accounts payable</t>
        </is>
      </c>
      <c r="B14" s="7" t="n"/>
      <c r="C14" s="82">
        <f>'BalansenWinstverlies - FY2018'!M32+'BalansenWinstverlies - FY2018'!M38+'BalansenWinstverlies - FY2018'!M40+'BalansenWinstverlies - FY2018'!M44+'BalansenWinstverlies - FY2018'!M46+'BalansenWinstverlies - FY2018'!M47+'BalansenWinstverlies - FY2018'!M49</f>
        <v/>
      </c>
      <c r="D14" s="85" t="n"/>
      <c r="E14" s="79">
        <f>'Cijfers QSP - Q1 2019'!P46+'Cijfers QSP - Q1 2019'!P58+'Cijfers QSP - Q1 2019'!P61+'Cijfers QSP - Q1 2019'!P65+'Cijfers QSP - Q1 2019'!P67+'Cijfers QSP - Q1 2019'!P68+'Cijfers QSP - Q1 2019'!P70</f>
        <v/>
      </c>
      <c r="F14" s="118" t="n"/>
      <c r="AD14" s="382">
        <f>'BDO - Q1-26'!H50+'BDO - Q1-26'!H61+'BDO - Q1-26'!H64+'BDO - Q1-26'!H65+'BDO - Q1-26'!H29</f>
        <v/>
      </c>
      <c r="AE14" s="61" t="n"/>
    </row>
    <row r="15">
      <c r="A15" s="7" t="inlineStr">
        <is>
          <t>Current account</t>
        </is>
      </c>
      <c r="B15" s="7" t="n"/>
      <c r="C15" s="82" t="n"/>
      <c r="D15" s="85" t="n"/>
      <c r="E15" s="79" t="n"/>
      <c r="F15" s="118" t="n"/>
      <c r="AD15" s="382">
        <f>SUM('BDO - Q1-26'!H51:H56)+'BDO - Q1-26'!H67</f>
        <v/>
      </c>
      <c r="AE15" s="61" t="inlineStr">
        <is>
          <t>Intercompany current account</t>
        </is>
      </c>
    </row>
    <row r="16">
      <c r="A16" s="7" t="inlineStr">
        <is>
          <t>VAT payable</t>
        </is>
      </c>
      <c r="B16" s="7" t="n"/>
      <c r="C16" s="82">
        <f>'BalansenWinstverlies - FY2018'!M34</f>
        <v/>
      </c>
      <c r="D16" s="85" t="n"/>
      <c r="E16" s="79">
        <f>'Cijfers QSP - Q1 2019'!P51+'Cijfers QSP - Q1 2019'!P52</f>
        <v/>
      </c>
      <c r="F16" s="118" t="n"/>
      <c r="AD16" s="382">
        <f>'BDO - Q1-26'!H58</f>
        <v/>
      </c>
      <c r="AE16" s="61" t="n"/>
    </row>
    <row r="17">
      <c r="A17" s="7" t="inlineStr">
        <is>
          <t>Deposits</t>
        </is>
      </c>
      <c r="B17" s="7" t="n"/>
      <c r="C17" s="82">
        <f>'BalansenWinstverlies - FY2018'!M37</f>
        <v/>
      </c>
      <c r="D17" s="85" t="n"/>
      <c r="E17" s="79">
        <f>'Cijfers QSP - Q1 2019'!P57</f>
        <v/>
      </c>
      <c r="F17" s="118" t="n"/>
      <c r="AD17" s="382">
        <f>'BDO - Q1-26'!H60</f>
        <v/>
      </c>
      <c r="AE17" s="61" t="n"/>
    </row>
    <row r="18">
      <c r="A18" s="8" t="inlineStr">
        <is>
          <t>Rent Invoiced in advance</t>
        </is>
      </c>
      <c r="B18" s="8" t="n"/>
      <c r="C18" s="83">
        <f>'BalansenWinstverlies - FY2018'!M48</f>
        <v/>
      </c>
      <c r="D18" s="86" t="n"/>
      <c r="E18" s="80">
        <f>'Cijfers QSP - Q1 2019'!P69</f>
        <v/>
      </c>
      <c r="F18" s="119" t="n"/>
      <c r="G18" s="139" t="n"/>
      <c r="H18" s="139" t="n"/>
      <c r="I18" s="139" t="n"/>
      <c r="J18" s="139" t="n"/>
      <c r="K18" s="139" t="n"/>
      <c r="L18" s="139" t="n"/>
      <c r="M18" s="139" t="n"/>
      <c r="N18" s="139" t="n"/>
      <c r="O18" s="139" t="n"/>
      <c r="P18" s="139" t="n"/>
      <c r="Q18" s="139" t="n"/>
      <c r="R18" s="139" t="n"/>
      <c r="S18" s="139" t="n"/>
      <c r="T18" s="139" t="n"/>
      <c r="U18" s="139" t="n"/>
      <c r="V18" s="139" t="n"/>
      <c r="W18" s="139" t="n"/>
      <c r="X18" s="139" t="n"/>
      <c r="Y18" s="139" t="n"/>
      <c r="Z18" s="139" t="n"/>
      <c r="AA18" s="139" t="n"/>
      <c r="AB18" s="139" t="n"/>
      <c r="AC18" s="383" t="n"/>
      <c r="AD18" s="384">
        <f>'BDO - Q1-26'!H59</f>
        <v/>
      </c>
      <c r="AE18" s="61" t="n"/>
    </row>
    <row r="19">
      <c r="A19" s="9" t="inlineStr">
        <is>
          <t>Total (Equity Movement)</t>
        </is>
      </c>
      <c r="B19" s="9" t="n"/>
      <c r="C19" s="84">
        <f>SUM(C3:C18)</f>
        <v/>
      </c>
      <c r="D19" s="87" t="n"/>
      <c r="E19" s="81">
        <f>SUM(E3:E18)</f>
        <v/>
      </c>
      <c r="F19" s="87" t="n"/>
      <c r="G19" s="385" t="n"/>
      <c r="H19" s="385" t="n"/>
      <c r="I19" s="385" t="n"/>
      <c r="J19" s="385" t="n"/>
      <c r="K19" s="385" t="n"/>
      <c r="L19" s="385" t="n"/>
      <c r="M19" s="385" t="n"/>
      <c r="N19" s="385" t="n"/>
      <c r="O19" s="385" t="n"/>
      <c r="P19" s="385" t="n"/>
      <c r="Q19" s="385" t="n"/>
      <c r="R19" s="385" t="n"/>
      <c r="S19" s="385" t="n"/>
      <c r="T19" s="385" t="n"/>
      <c r="U19" s="385" t="n"/>
      <c r="V19" s="385" t="n"/>
      <c r="W19" s="385" t="n"/>
      <c r="X19" s="385" t="n"/>
      <c r="Y19" s="386" t="n"/>
      <c r="Z19" s="385" t="n"/>
      <c r="AA19" s="385" t="n"/>
      <c r="AB19" s="385" t="n"/>
      <c r="AC19" s="385">
        <f>AC68</f>
        <v/>
      </c>
      <c r="AD19" s="387">
        <f>SUM(AD3:AD18)-'BDO - Q1-26'!H134</f>
        <v/>
      </c>
      <c r="AE19" s="61" t="inlineStr">
        <is>
          <t xml:space="preserve">Equals net profit of the period </t>
        </is>
      </c>
    </row>
    <row r="20">
      <c r="A20" s="3" t="n"/>
      <c r="B20" s="3" t="n"/>
      <c r="C20" s="10" t="n"/>
      <c r="D20" s="10" t="n"/>
      <c r="E20" s="10" t="n"/>
      <c r="F20" s="10" t="n"/>
      <c r="G20" s="388" t="n"/>
      <c r="H20" s="388" t="n"/>
      <c r="I20" s="163" t="n"/>
      <c r="J20" s="163" t="n"/>
      <c r="K20" s="389" t="n"/>
      <c r="L20" s="390" t="n"/>
      <c r="M20" s="390">
        <f>M23*4</f>
        <v/>
      </c>
      <c r="N20" s="390" t="n"/>
      <c r="O20" s="390" t="n"/>
      <c r="P20" s="390" t="n"/>
      <c r="Q20" s="390" t="n"/>
      <c r="R20" s="390" t="n"/>
      <c r="S20" s="390" t="n"/>
      <c r="T20" s="390" t="n"/>
      <c r="U20" s="390" t="n"/>
      <c r="V20" s="390" t="n"/>
      <c r="W20" s="390" t="n"/>
      <c r="X20" s="390" t="n"/>
      <c r="Y20" s="390" t="n"/>
      <c r="Z20" s="390" t="n"/>
      <c r="AA20" s="390" t="n"/>
      <c r="AB20" s="390" t="n"/>
      <c r="AC20" s="391" t="n"/>
      <c r="AD20" s="392" t="n"/>
    </row>
    <row r="21">
      <c r="A21" s="3" t="n"/>
      <c r="B21" s="10" t="n"/>
      <c r="C21" s="10" t="n"/>
      <c r="D21" s="10" t="n"/>
      <c r="E21" s="10" t="n"/>
      <c r="F21" s="163" t="n"/>
      <c r="G21" s="163" t="n"/>
      <c r="H21" s="163" t="n"/>
      <c r="I21" s="393" t="n"/>
      <c r="J21" s="393" t="n"/>
      <c r="K21" s="163" t="n"/>
      <c r="L21" s="224" t="n"/>
      <c r="M21" s="224" t="n"/>
      <c r="N21" s="224">
        <f>N23*4</f>
        <v/>
      </c>
      <c r="O21" s="224" t="n"/>
      <c r="P21" s="224" t="n"/>
      <c r="Q21" s="224" t="n"/>
      <c r="R21" s="224" t="n"/>
      <c r="S21" s="224" t="n"/>
      <c r="T21" s="224" t="n"/>
      <c r="U21" s="224" t="n"/>
      <c r="V21" s="224" t="n"/>
      <c r="W21" s="224" t="n"/>
      <c r="X21" s="224" t="n"/>
      <c r="Y21" s="224" t="n"/>
      <c r="Z21" s="224" t="n"/>
      <c r="AA21" s="224" t="n"/>
      <c r="AB21" s="224" t="n"/>
      <c r="AC21" s="394" t="n"/>
      <c r="AD21" s="392" t="n"/>
    </row>
    <row r="22">
      <c r="A22" s="4" t="inlineStr">
        <is>
          <t>Profit &amp; Loss</t>
        </is>
      </c>
      <c r="B22" s="376" t="n"/>
      <c r="C22" s="395" t="inlineStr">
        <is>
          <t>2018 - Actual</t>
        </is>
      </c>
      <c r="D22" s="395" t="inlineStr">
        <is>
          <t>Q1 2019</t>
        </is>
      </c>
      <c r="E22" s="395" t="inlineStr">
        <is>
          <t>Q2 2018 - Q1 2019 - LTM</t>
        </is>
      </c>
      <c r="F22" s="395" t="inlineStr">
        <is>
          <t>Q2 2019</t>
        </is>
      </c>
      <c r="G22" s="395" t="inlineStr">
        <is>
          <t>Q3 2019</t>
        </is>
      </c>
      <c r="H22" s="395" t="inlineStr">
        <is>
          <t>Q4 2019</t>
        </is>
      </c>
      <c r="I22" s="395" t="inlineStr">
        <is>
          <t>Q1 2020</t>
        </is>
      </c>
      <c r="J22" s="395" t="inlineStr">
        <is>
          <t>Q3 2020</t>
        </is>
      </c>
      <c r="K22" s="395" t="inlineStr">
        <is>
          <t>Q2 2021</t>
        </is>
      </c>
      <c r="L22" s="395" t="inlineStr">
        <is>
          <t>Q4 2021</t>
        </is>
      </c>
      <c r="M22" s="395" t="inlineStr">
        <is>
          <t>Q1 2022</t>
        </is>
      </c>
      <c r="N22" s="395" t="inlineStr">
        <is>
          <t>Q2 2022</t>
        </is>
      </c>
      <c r="O22" s="395" t="inlineStr">
        <is>
          <t>Q3 2022</t>
        </is>
      </c>
      <c r="P22" s="395" t="inlineStr">
        <is>
          <t>Q4 2022</t>
        </is>
      </c>
      <c r="Q22" s="395" t="inlineStr">
        <is>
          <t>Q1 2023</t>
        </is>
      </c>
      <c r="R22" s="395" t="inlineStr">
        <is>
          <t>Q2 2023</t>
        </is>
      </c>
      <c r="S22" s="395" t="inlineStr">
        <is>
          <t>Q3 2023</t>
        </is>
      </c>
      <c r="T22" s="395" t="inlineStr">
        <is>
          <t>Q4 2023</t>
        </is>
      </c>
      <c r="U22" s="395" t="inlineStr">
        <is>
          <t>Q1 2024</t>
        </is>
      </c>
      <c r="V22" s="395" t="inlineStr">
        <is>
          <t>Q2 2024</t>
        </is>
      </c>
      <c r="W22" s="395" t="inlineStr">
        <is>
          <t>Q3 2024</t>
        </is>
      </c>
      <c r="X22" s="395" t="inlineStr">
        <is>
          <t>Q4 2024</t>
        </is>
      </c>
      <c r="Y22" s="395" t="inlineStr">
        <is>
          <t>Q1 2025</t>
        </is>
      </c>
      <c r="Z22" s="395" t="inlineStr">
        <is>
          <t>Q2 2025</t>
        </is>
      </c>
      <c r="AA22" s="395" t="inlineStr">
        <is>
          <t>Q3 2025</t>
        </is>
      </c>
      <c r="AB22" s="395" t="inlineStr">
        <is>
          <t>Q4 2025</t>
        </is>
      </c>
      <c r="AC22" s="396" t="inlineStr">
        <is>
          <t>Q1 2026</t>
        </is>
      </c>
      <c r="AD22" s="397" t="inlineStr">
        <is>
          <t>LTM Q1 2026</t>
        </is>
      </c>
      <c r="AE22" s="60" t="inlineStr">
        <is>
          <t>Commentary</t>
        </is>
      </c>
    </row>
    <row r="23">
      <c r="A23" s="12" t="inlineStr">
        <is>
          <t>Gross Theoretical rental income</t>
        </is>
      </c>
      <c r="B23" s="12" t="n"/>
      <c r="C23" s="88">
        <f>-'BalansenWinstverlies - FY2018'!M52</f>
        <v/>
      </c>
      <c r="D23" s="125">
        <f>-'Cijfers QSP - Q1 2019'!P74</f>
        <v/>
      </c>
      <c r="E23" s="95">
        <f>-'Cijfers QSP - Q1 2019'!R74</f>
        <v/>
      </c>
      <c r="F23" s="125">
        <f>-'BDO - Q2 2019'!D71</f>
        <v/>
      </c>
      <c r="G23" s="125">
        <f>-'BDO - Q3 2019'!H69</f>
        <v/>
      </c>
      <c r="H23" s="155">
        <f>-'BDO Q4 2019'!G70</f>
        <v/>
      </c>
      <c r="I23" s="125">
        <f>-'BDO - Q1 2020'!G70</f>
        <v/>
      </c>
      <c r="J23" s="125">
        <f>-'BDO - Q3 2020'!G70</f>
        <v/>
      </c>
      <c r="K23" s="125">
        <f>-'BDO - Q2 2021'!G69</f>
        <v/>
      </c>
      <c r="L23" s="125">
        <f>-'BDO - Q4 2021'!G72</f>
        <v/>
      </c>
      <c r="M23" s="125">
        <f>-'BDO - Q1-22'!G72</f>
        <v/>
      </c>
      <c r="N23" s="125">
        <f>-'BDO - Q2-22'!G72</f>
        <v/>
      </c>
      <c r="O23" s="125">
        <f>-'BDO - Q3-22'!G71</f>
        <v/>
      </c>
      <c r="P23" s="125">
        <f>-'BDO - Q3-23'!D82</f>
        <v/>
      </c>
      <c r="Q23" s="125">
        <f>-'BDO - Q3-23'!E82</f>
        <v/>
      </c>
      <c r="R23" s="125">
        <f>-'BDO - Q3-23'!F82</f>
        <v/>
      </c>
      <c r="S23" s="125">
        <f>-'BDO - Q3-23'!G82</f>
        <v/>
      </c>
      <c r="T23" s="125">
        <f>-'BDO - Q4-23'!G82</f>
        <v/>
      </c>
      <c r="U23" s="125">
        <f>-'BDO - Q1-24'!G71</f>
        <v/>
      </c>
      <c r="V23" s="125">
        <f>-'BDO - Q2-24'!G72</f>
        <v/>
      </c>
      <c r="W23" s="125">
        <f>-'BDO - Q3-24'!G72</f>
        <v/>
      </c>
      <c r="X23" s="125">
        <f>-'BDO - Q4-24'!G72</f>
        <v/>
      </c>
      <c r="Y23" s="125">
        <f>-'BDO - Q1-25'!G73</f>
        <v/>
      </c>
      <c r="Z23" s="125">
        <f>-'BDO - Q2-25'!G73</f>
        <v/>
      </c>
      <c r="AA23" s="125">
        <f>-'BDO - Q3-25'!G76</f>
        <v/>
      </c>
      <c r="AB23" s="125">
        <f>-'BDO - Q4-25'!G78</f>
        <v/>
      </c>
      <c r="AC23" s="398">
        <f>-'BDO - Q1-26'!G80</f>
        <v/>
      </c>
      <c r="AD23" s="382">
        <f>-'BDO - Q1-26'!H80</f>
        <v/>
      </c>
      <c r="AE23" s="61" t="n"/>
    </row>
    <row r="24">
      <c r="A24" s="14" t="inlineStr">
        <is>
          <t>(Financial vacancy)</t>
        </is>
      </c>
      <c r="B24" s="14" t="n"/>
      <c r="C24" s="89">
        <f>-'BalansenWinstverlies - FY2018'!M53</f>
        <v/>
      </c>
      <c r="D24" s="127">
        <f>-'Cijfers QSP - Q1 2019'!P75</f>
        <v/>
      </c>
      <c r="E24" s="96">
        <f>-'Cijfers QSP - Q1 2019'!R75</f>
        <v/>
      </c>
      <c r="F24" s="127">
        <f>-'BDO - Q2 2019'!D72</f>
        <v/>
      </c>
      <c r="G24" s="127">
        <f>-'BDO - Q3 2019'!H70</f>
        <v/>
      </c>
      <c r="H24" s="156">
        <f>-'BDO Q4 2019'!G71</f>
        <v/>
      </c>
      <c r="I24" s="125">
        <f>-'BDO - Q1 2020'!G71</f>
        <v/>
      </c>
      <c r="J24" s="125">
        <f>-'BDO - Q3 2020'!G71</f>
        <v/>
      </c>
      <c r="K24" s="125">
        <f>-'BDO - Q2 2021'!G70</f>
        <v/>
      </c>
      <c r="L24" s="125">
        <f>-'BDO - Q4 2021'!G73</f>
        <v/>
      </c>
      <c r="M24" s="125">
        <f>-'BDO - Q1-22'!G73</f>
        <v/>
      </c>
      <c r="N24" s="125">
        <f>-'BDO - Q2-22'!G73</f>
        <v/>
      </c>
      <c r="O24" s="125">
        <f>-'BDO - Q3-22'!G72</f>
        <v/>
      </c>
      <c r="P24" s="125">
        <f>-'BDO - Q3-23'!D83</f>
        <v/>
      </c>
      <c r="Q24" s="125">
        <f>-'BDO - Q3-23'!E83</f>
        <v/>
      </c>
      <c r="R24" s="125">
        <f>-'BDO - Q3-23'!F83</f>
        <v/>
      </c>
      <c r="S24" s="125">
        <f>-'BDO - Q3-23'!G83</f>
        <v/>
      </c>
      <c r="T24" s="125">
        <f>-'BDO - Q4-23'!G83</f>
        <v/>
      </c>
      <c r="U24" s="125">
        <f>-'BDO - Q1-24'!G72</f>
        <v/>
      </c>
      <c r="V24" s="125">
        <f>-'BDO - Q2-24'!G73</f>
        <v/>
      </c>
      <c r="W24" s="125">
        <f>-'BDO - Q3-24'!G73</f>
        <v/>
      </c>
      <c r="X24" s="125">
        <f>-'BDO - Q4-24'!G73</f>
        <v/>
      </c>
      <c r="Y24" s="125">
        <f>-'BDO - Q1-25'!G74</f>
        <v/>
      </c>
      <c r="Z24" s="125">
        <f>-'BDO - Q2-25'!G74</f>
        <v/>
      </c>
      <c r="AA24" s="125">
        <f>-'BDO - Q3-25'!G77</f>
        <v/>
      </c>
      <c r="AB24" s="125">
        <f>-'BDO - Q4-25'!G79</f>
        <v/>
      </c>
      <c r="AC24" s="398">
        <f>-'BDO - Q1-26'!G81</f>
        <v/>
      </c>
      <c r="AD24" s="382">
        <f>-'BDO - Q1-26'!H81</f>
        <v/>
      </c>
      <c r="AE24" s="61" t="n"/>
    </row>
    <row r="25">
      <c r="A25" s="12" t="inlineStr">
        <is>
          <t>Gross rental income</t>
        </is>
      </c>
      <c r="B25" s="12" t="n"/>
      <c r="C25" s="90">
        <f>C24+C23</f>
        <v/>
      </c>
      <c r="D25" s="44">
        <f>D24+D23</f>
        <v/>
      </c>
      <c r="E25" s="97">
        <f>E24+E23</f>
        <v/>
      </c>
      <c r="F25" s="44">
        <f>F24+F23</f>
        <v/>
      </c>
      <c r="G25" s="44">
        <f>G24+G23</f>
        <v/>
      </c>
      <c r="H25" s="157">
        <f>-'BDO Q4 2019'!G72</f>
        <v/>
      </c>
      <c r="I25" s="44">
        <f>-'BDO - Q1 2020'!G72</f>
        <v/>
      </c>
      <c r="J25" s="44">
        <f>SUM(J23:J24)</f>
        <v/>
      </c>
      <c r="K25" s="44">
        <f>SUM(K23:K24)</f>
        <v/>
      </c>
      <c r="L25" s="44">
        <f>SUM(L23:L24)</f>
        <v/>
      </c>
      <c r="M25" s="44">
        <f>SUM(M23:M24)</f>
        <v/>
      </c>
      <c r="N25" s="44">
        <f>SUM(N23:N24)</f>
        <v/>
      </c>
      <c r="O25" s="44">
        <f>SUM(O23:O24)</f>
        <v/>
      </c>
      <c r="P25" s="44">
        <f>SUM(P23:P24)</f>
        <v/>
      </c>
      <c r="Q25" s="44">
        <f>SUM(Q23:Q24)</f>
        <v/>
      </c>
      <c r="R25" s="44">
        <f>SUM(R23:R24)</f>
        <v/>
      </c>
      <c r="S25" s="44">
        <f>SUM(S23:S24)</f>
        <v/>
      </c>
      <c r="T25" s="44">
        <f>SUM(T23:T24)</f>
        <v/>
      </c>
      <c r="U25" s="44">
        <f>SUM(U23:U24)</f>
        <v/>
      </c>
      <c r="V25" s="44">
        <f>SUM(V23:V24)</f>
        <v/>
      </c>
      <c r="W25" s="44">
        <f>SUM(W23:W24)</f>
        <v/>
      </c>
      <c r="X25" s="44">
        <f>SUM(X23:X24)</f>
        <v/>
      </c>
      <c r="Y25" s="44">
        <f>SUM(Y23:Y24)</f>
        <v/>
      </c>
      <c r="Z25" s="44">
        <f>SUM(Z23:Z24)</f>
        <v/>
      </c>
      <c r="AA25" s="44">
        <f>SUM(AA23:AA24)</f>
        <v/>
      </c>
      <c r="AB25" s="44">
        <f>SUM(AB23:AB24)</f>
        <v/>
      </c>
      <c r="AC25" s="399">
        <f>SUM(AC23:AC24)</f>
        <v/>
      </c>
      <c r="AD25" s="382">
        <f>SUM(AD23:AD24)</f>
        <v/>
      </c>
      <c r="AE25" s="61" t="n"/>
      <c r="AF25" s="50" t="n"/>
    </row>
    <row r="26">
      <c r="A26" s="12" t="n"/>
      <c r="B26" s="12" t="n"/>
      <c r="C26" s="91" t="n"/>
      <c r="D26" s="126">
        <f>D24/D23</f>
        <v/>
      </c>
      <c r="E26" s="98" t="n"/>
      <c r="F26" s="126" t="n"/>
      <c r="G26" s="126" t="n"/>
      <c r="H26" s="158">
        <f>H25/H23</f>
        <v/>
      </c>
      <c r="I26" s="126" t="n"/>
      <c r="J26" s="126" t="n"/>
      <c r="K26" s="126" t="n"/>
      <c r="L26" s="223">
        <f>L25/L23-1</f>
        <v/>
      </c>
      <c r="M26" s="223">
        <f>M25/M23-1</f>
        <v/>
      </c>
      <c r="N26" s="223">
        <f>N25/N23-1</f>
        <v/>
      </c>
      <c r="O26" s="223">
        <f>O25/O23-1</f>
        <v/>
      </c>
      <c r="P26" s="223">
        <f>P25/P23-1</f>
        <v/>
      </c>
      <c r="Q26" s="223">
        <f>Q25/Q23-1</f>
        <v/>
      </c>
      <c r="R26" s="223">
        <f>R25/R23-1</f>
        <v/>
      </c>
      <c r="S26" s="223">
        <f>S25/S23-1</f>
        <v/>
      </c>
      <c r="T26" s="223">
        <f>T25/T23-1</f>
        <v/>
      </c>
      <c r="U26" s="223">
        <f>U25/U23-1</f>
        <v/>
      </c>
      <c r="V26" s="223">
        <f>V25/V23-1</f>
        <v/>
      </c>
      <c r="W26" s="223">
        <f>W25/W23-1</f>
        <v/>
      </c>
      <c r="X26" s="223">
        <f>X25/X23-1</f>
        <v/>
      </c>
      <c r="Y26" s="223">
        <f>Y25/Y23-1</f>
        <v/>
      </c>
      <c r="Z26" s="223">
        <f>Z25/Z23-1</f>
        <v/>
      </c>
      <c r="AA26" s="223">
        <f>AA25/AA23-1</f>
        <v/>
      </c>
      <c r="AB26" s="223">
        <f>AB25/AB23-1</f>
        <v/>
      </c>
      <c r="AC26" s="400">
        <f>AC25/AC23-1</f>
        <v/>
      </c>
      <c r="AD26" s="401">
        <f>AD25/AD23-1</f>
        <v/>
      </c>
      <c r="AE26" s="61" t="n"/>
    </row>
    <row r="27">
      <c r="A27" s="17" t="inlineStr">
        <is>
          <t>Service costs charged (100% occupancy)</t>
        </is>
      </c>
      <c r="B27" s="17" t="n"/>
      <c r="C27" s="89">
        <f>-'BalansenWinstverlies - FY2018'!M55</f>
        <v/>
      </c>
      <c r="D27" s="127">
        <f>-'Cijfers QSP - Q1 2019'!P78</f>
        <v/>
      </c>
      <c r="E27" s="96">
        <f>-'Cijfers QSP - Q1 2019'!R78</f>
        <v/>
      </c>
      <c r="F27" s="127">
        <f>-'BDO - Q2 2019'!D75</f>
        <v/>
      </c>
      <c r="G27" s="127">
        <f>-'BDO - Q3 2019'!H73</f>
        <v/>
      </c>
      <c r="H27" s="156">
        <f>-'BDO Q4 2019'!G74</f>
        <v/>
      </c>
      <c r="I27" s="127">
        <f>-'BDO - Q1 2020'!G74</f>
        <v/>
      </c>
      <c r="J27" s="127">
        <f>-'BDO - Q3 2020'!G74</f>
        <v/>
      </c>
      <c r="K27" s="127">
        <f>-'BDO - Q2 2021'!G73</f>
        <v/>
      </c>
      <c r="L27" s="127">
        <f>-'BDO - Q4 2021'!G76</f>
        <v/>
      </c>
      <c r="M27" s="127">
        <f>-'BDO - Q1-22'!G76-'BDO - Q1-22'!G77</f>
        <v/>
      </c>
      <c r="N27" s="127">
        <f>-'BDO - Q2-22'!G76-'BDO - Q2-22'!G77</f>
        <v/>
      </c>
      <c r="O27" s="127">
        <f>-'BDO - Q3-22'!G75-'BDO - Q3-22'!G76</f>
        <v/>
      </c>
      <c r="P27" s="127">
        <f>-'BDO - Q4-22'!G80-'BDO - Q4-22'!G81</f>
        <v/>
      </c>
      <c r="Q27" s="127">
        <f>-'BDO - Q1-23'!G83-'BDO - Q1-23'!G84</f>
        <v/>
      </c>
      <c r="R27" s="127">
        <f>-'BDO - Q2-23'!H84-'BDO - Q2-23'!G85</f>
        <v/>
      </c>
      <c r="S27" s="127">
        <f>-'BDO - Q1-24'!E74</f>
        <v/>
      </c>
      <c r="T27" s="127">
        <f>-'BDO - Q1-24'!F74</f>
        <v/>
      </c>
      <c r="U27" s="127">
        <f>-'BDO - Q1-24'!G74</f>
        <v/>
      </c>
      <c r="V27" s="127">
        <f>-'BDO - Q2-24'!G75</f>
        <v/>
      </c>
      <c r="W27" s="127">
        <f>-'BDO - Q3-24'!G75</f>
        <v/>
      </c>
      <c r="X27" s="127">
        <f>-'BDO - Q4-24'!G75</f>
        <v/>
      </c>
      <c r="Y27" s="127">
        <f>-'BDO - Q1-25'!G76</f>
        <v/>
      </c>
      <c r="Z27" s="127">
        <f>-'BDO - Q2-25'!G76</f>
        <v/>
      </c>
      <c r="AA27" s="127">
        <f>-'BDO - Q3-25'!G79</f>
        <v/>
      </c>
      <c r="AB27" s="127">
        <f>-'BDO - Q4-25'!G81</f>
        <v/>
      </c>
      <c r="AC27" s="402">
        <f>-'BDO - Q1-26'!G83</f>
        <v/>
      </c>
      <c r="AD27" s="382">
        <f>-'BDO - Q1-26'!H83</f>
        <v/>
      </c>
      <c r="AE27" s="61" t="n"/>
    </row>
    <row r="28">
      <c r="A28" s="17" t="inlineStr">
        <is>
          <t>(Vacancy costs)</t>
        </is>
      </c>
      <c r="B28" s="17" t="n"/>
      <c r="C28" s="89">
        <f>-'BalansenWinstverlies - FY2018'!M56</f>
        <v/>
      </c>
      <c r="D28" s="127">
        <f>-'Cijfers QSP - Q1 2019'!P79-'Cijfers QSP - Q1 2019'!P96</f>
        <v/>
      </c>
      <c r="E28" s="96">
        <f>-'Cijfers QSP - Q1 2019'!R79-'Cijfers QSP - Q1 2019'!R96</f>
        <v/>
      </c>
      <c r="F28" s="127">
        <f>-'BDO - Q2 2019'!D76-'BDO - Q2 2019'!D93</f>
        <v/>
      </c>
      <c r="G28" s="127">
        <f>-'BDO - Q3 2019'!H74-'BDO - Q3 2019'!H91</f>
        <v/>
      </c>
      <c r="H28" s="156">
        <f>-'BDO Q4 2019'!G75-'BDO Q4 2019'!G92</f>
        <v/>
      </c>
      <c r="I28" s="127">
        <f>-('BDO - Q1 2020'!G75+'BDO - Q1 2020'!G92)</f>
        <v/>
      </c>
      <c r="J28" s="127">
        <f>-('BDO - Q3 2020'!G75+'BDO - Q3 2020'!G92)</f>
        <v/>
      </c>
      <c r="K28" s="127">
        <f>-('BDO - Q2 2021'!G91+'BDO - Q2 2021'!G74)</f>
        <v/>
      </c>
      <c r="L28" s="127">
        <f>-('BDO - Q4 2021'!G94+'BDO - Q4 2021'!G77)</f>
        <v/>
      </c>
      <c r="M28" s="127">
        <f>-'BDO - Q1-22'!G78</f>
        <v/>
      </c>
      <c r="N28" s="127">
        <f>-'BDO - Q2-22'!G78</f>
        <v/>
      </c>
      <c r="O28" s="127">
        <f>-'BDO - Q3-22'!G77</f>
        <v/>
      </c>
      <c r="P28" s="127">
        <f>-'BDO - Q3-23'!D88</f>
        <v/>
      </c>
      <c r="Q28" s="127">
        <f>-'BDO - Q3-23'!E88</f>
        <v/>
      </c>
      <c r="R28" s="127">
        <f>-'BDO - Q3-23'!F88</f>
        <v/>
      </c>
      <c r="S28" s="127">
        <f>-'BDO - Q3-23'!G88</f>
        <v/>
      </c>
      <c r="T28" s="127">
        <f>-'BDO - Q1-24'!F75</f>
        <v/>
      </c>
      <c r="U28" s="127">
        <f>-'BDO - Q1-24'!G75</f>
        <v/>
      </c>
      <c r="V28" s="127">
        <f>-'BDO - Q2-24'!G76</f>
        <v/>
      </c>
      <c r="W28" s="127">
        <f>-'BDO - Q3-24'!G76</f>
        <v/>
      </c>
      <c r="X28" s="127">
        <f>-'BDO - Q4-24'!G76</f>
        <v/>
      </c>
      <c r="Y28" s="127">
        <f>-'BDO - Q1-25'!G77</f>
        <v/>
      </c>
      <c r="Z28" s="127">
        <f>-'BDO - Q2-25'!G77</f>
        <v/>
      </c>
      <c r="AA28" s="127">
        <f>-'BDO - Q3-25'!G80</f>
        <v/>
      </c>
      <c r="AB28" s="127">
        <f>-'BDO - Q4-25'!G82</f>
        <v/>
      </c>
      <c r="AC28" s="402">
        <f>-'BDO - Q1-26'!G84</f>
        <v/>
      </c>
      <c r="AD28" s="382">
        <f>-'BDO - Q1-26'!H84</f>
        <v/>
      </c>
      <c r="AE28" s="61" t="n"/>
      <c r="AF28" s="17" t="n"/>
    </row>
    <row r="29">
      <c r="A29" s="17" t="inlineStr">
        <is>
          <t>(Service costs)</t>
        </is>
      </c>
      <c r="B29" s="17" t="n"/>
      <c r="C29" s="89">
        <f>-'BalansenWinstverlies - FY2018'!M57</f>
        <v/>
      </c>
      <c r="D29" s="127">
        <f>-'Cijfers QSP - Q1 2019'!P80</f>
        <v/>
      </c>
      <c r="E29" s="96">
        <f>-'Cijfers QSP - Q1 2019'!R80</f>
        <v/>
      </c>
      <c r="F29" s="127">
        <f>-'BDO - Q2 2019'!D77</f>
        <v/>
      </c>
      <c r="G29" s="127">
        <f>-'BDO - Q3 2019'!H75</f>
        <v/>
      </c>
      <c r="H29" s="156">
        <f>-'BDO Q4 2019'!G76</f>
        <v/>
      </c>
      <c r="I29" s="127">
        <f>-'BDO - Q1 2020'!G76</f>
        <v/>
      </c>
      <c r="J29" s="127">
        <f>-'BDO - Q3 2020'!G76</f>
        <v/>
      </c>
      <c r="K29" s="127">
        <f>-'BDO - Q2 2021'!G75</f>
        <v/>
      </c>
      <c r="L29" s="127">
        <f>-'BDO - Q4 2021'!G78</f>
        <v/>
      </c>
      <c r="M29" s="127">
        <f>-'BDO - Q1-22'!G79</f>
        <v/>
      </c>
      <c r="N29" s="127">
        <f>-'BDO - Q2-22'!G79</f>
        <v/>
      </c>
      <c r="O29" s="127">
        <f>-'BDO - Q3-22'!G78</f>
        <v/>
      </c>
      <c r="P29" s="127">
        <f>-'BDO - Q3-23'!D89</f>
        <v/>
      </c>
      <c r="Q29" s="127">
        <f>-'BDO - Q3-23'!E89</f>
        <v/>
      </c>
      <c r="R29" s="127">
        <f>-'BDO - Q3-23'!F89</f>
        <v/>
      </c>
      <c r="S29" s="127">
        <f>-'BDO - Q3-23'!G89</f>
        <v/>
      </c>
      <c r="T29" s="127">
        <f>-'BDO - Q1-24'!F76</f>
        <v/>
      </c>
      <c r="U29" s="127">
        <f>-'BDO - Q1-24'!G76</f>
        <v/>
      </c>
      <c r="V29" s="127">
        <f>-'BDO - Q2-24'!G77</f>
        <v/>
      </c>
      <c r="W29" s="127">
        <f>-'BDO - Q3-24'!G77</f>
        <v/>
      </c>
      <c r="X29" s="127">
        <f>-'BDO - Q4-24'!G77</f>
        <v/>
      </c>
      <c r="Y29" s="127">
        <f>-'BDO - Q1-25'!G78</f>
        <v/>
      </c>
      <c r="Z29" s="127">
        <f>-'BDO - Q2-25'!G78</f>
        <v/>
      </c>
      <c r="AA29" s="127">
        <f>-'BDO - Q3-25'!G81</f>
        <v/>
      </c>
      <c r="AB29" s="127">
        <f>-'BDO - Q4-25'!G83</f>
        <v/>
      </c>
      <c r="AC29" s="402">
        <f>-'BDO - Q1-26'!G85</f>
        <v/>
      </c>
      <c r="AD29" s="382">
        <f>-'BDO - Q1-26'!H85</f>
        <v/>
      </c>
      <c r="AE29" s="61" t="n"/>
    </row>
    <row r="30">
      <c r="A30" s="18" t="inlineStr">
        <is>
          <t xml:space="preserve">Service charges </t>
        </is>
      </c>
      <c r="B30" s="18" t="n"/>
      <c r="C30" s="90">
        <f>SUM(C27:C29)</f>
        <v/>
      </c>
      <c r="D30" s="44">
        <f>SUM(D27:D29)</f>
        <v/>
      </c>
      <c r="E30" s="97">
        <f>SUM(E27:E29)</f>
        <v/>
      </c>
      <c r="F30" s="44">
        <f>SUM(F27:F29)</f>
        <v/>
      </c>
      <c r="G30" s="44">
        <f>SUM(G27:G29)</f>
        <v/>
      </c>
      <c r="H30" s="157">
        <f>SUM(H27:H29)</f>
        <v/>
      </c>
      <c r="I30" s="44">
        <f>SUM(I27:I29)</f>
        <v/>
      </c>
      <c r="J30" s="44">
        <f>SUM(J27:J29)</f>
        <v/>
      </c>
      <c r="K30" s="44">
        <f>SUM(K27:K29)</f>
        <v/>
      </c>
      <c r="L30" s="44">
        <f>SUM(L27:L29)</f>
        <v/>
      </c>
      <c r="M30" s="44">
        <f>SUM(M27:M29)</f>
        <v/>
      </c>
      <c r="N30" s="44">
        <f>SUM(N27:N29)</f>
        <v/>
      </c>
      <c r="O30" s="44">
        <f>SUM(O27:O29)</f>
        <v/>
      </c>
      <c r="P30" s="44">
        <f>SUM(P27:P29)</f>
        <v/>
      </c>
      <c r="Q30" s="44">
        <f>SUM(Q27:Q29)</f>
        <v/>
      </c>
      <c r="R30" s="44">
        <f>SUM(R27:R29)</f>
        <v/>
      </c>
      <c r="S30" s="44">
        <f>SUM(S27:S29)</f>
        <v/>
      </c>
      <c r="T30" s="44">
        <f>SUM(T27:T29)</f>
        <v/>
      </c>
      <c r="U30" s="44">
        <f>SUM(U27:U29)</f>
        <v/>
      </c>
      <c r="V30" s="44">
        <f>SUM(V27:V29)</f>
        <v/>
      </c>
      <c r="W30" s="44">
        <f>SUM(W27:W29)</f>
        <v/>
      </c>
      <c r="X30" s="44">
        <f>SUM(X27:X29)</f>
        <v/>
      </c>
      <c r="Y30" s="44">
        <f>SUM(Y27:Y29)</f>
        <v/>
      </c>
      <c r="Z30" s="44">
        <f>SUM(Z27:Z29)</f>
        <v/>
      </c>
      <c r="AA30" s="44">
        <f>SUM(AA27:AA29)</f>
        <v/>
      </c>
      <c r="AB30" s="44">
        <f>SUM(AB27:AB29)</f>
        <v/>
      </c>
      <c r="AC30" s="399">
        <f>SUM(AC27:AC29)</f>
        <v/>
      </c>
      <c r="AD30" s="382">
        <f>SUM(AD27:AD29)</f>
        <v/>
      </c>
      <c r="AE30" s="61" t="n"/>
    </row>
    <row r="31">
      <c r="A31" s="18" t="n"/>
      <c r="B31" s="18" t="n"/>
      <c r="C31" s="92" t="n"/>
      <c r="D31" s="43" t="n"/>
      <c r="E31" s="99" t="n"/>
      <c r="F31" s="43" t="n"/>
      <c r="G31" s="43" t="n"/>
      <c r="H31" s="159" t="n"/>
      <c r="I31" s="43" t="n"/>
      <c r="J31" s="43" t="n"/>
      <c r="K31" s="43" t="n"/>
      <c r="L31" s="43" t="n"/>
      <c r="M31" s="43" t="n"/>
      <c r="N31" s="43" t="n"/>
      <c r="O31" s="43" t="n"/>
      <c r="P31" s="43" t="n"/>
      <c r="Q31" s="43" t="n"/>
      <c r="R31" s="43" t="n"/>
      <c r="S31" s="43" t="n"/>
      <c r="T31" s="43" t="n"/>
      <c r="U31" s="43" t="n"/>
      <c r="V31" s="43" t="n"/>
      <c r="W31" s="43" t="n"/>
      <c r="X31" s="43" t="n"/>
      <c r="Y31" s="43" t="n"/>
      <c r="Z31" s="43" t="n"/>
      <c r="AA31" s="43" t="n"/>
      <c r="AB31" s="43" t="n"/>
      <c r="AC31" s="403" t="n"/>
      <c r="AD31" s="382" t="n"/>
      <c r="AE31" s="61" t="n"/>
    </row>
    <row r="32">
      <c r="A32" s="17" t="inlineStr">
        <is>
          <t>(Maintenance &amp; repair costs actual)</t>
        </is>
      </c>
      <c r="B32" s="17" t="n"/>
      <c r="C32" s="89">
        <f>-'BalansenWinstverlies - FY2018'!M62</f>
        <v/>
      </c>
      <c r="D32" s="127">
        <f>-'Cijfers QSP - Q1 2019'!P90</f>
        <v/>
      </c>
      <c r="E32" s="96">
        <f>-'Cijfers QSP - Q1 2019'!R90</f>
        <v/>
      </c>
      <c r="F32" s="127">
        <f>-'BDO - Q2 2019'!D87</f>
        <v/>
      </c>
      <c r="G32" s="127">
        <f>-'BDO - Q3 2019'!H85</f>
        <v/>
      </c>
      <c r="H32" s="156">
        <f>-'BDO Q4 2019'!G86</f>
        <v/>
      </c>
      <c r="I32" s="127">
        <f>-'BDO - Q1 2020'!G86</f>
        <v/>
      </c>
      <c r="J32" s="127">
        <f>-'BDO - Q3 2020'!G86</f>
        <v/>
      </c>
      <c r="K32" s="127">
        <f>-'BDO - Q2 2021'!G85</f>
        <v/>
      </c>
      <c r="L32" s="127">
        <f>-'BDO - Q4 2021'!G88</f>
        <v/>
      </c>
      <c r="M32" s="127">
        <f>-'BDO - Q4-22'!D93</f>
        <v/>
      </c>
      <c r="N32" s="127">
        <f>-'BDO - Q4-22'!E93</f>
        <v/>
      </c>
      <c r="O32" s="127">
        <f>-'BDO - Q4-22'!F93</f>
        <v/>
      </c>
      <c r="P32" s="127">
        <f>-'BDO - Q1-23'!F96</f>
        <v/>
      </c>
      <c r="Q32" s="127">
        <f>-'BDO - Q1-23'!G96</f>
        <v/>
      </c>
      <c r="R32" s="127">
        <f>-'BDO - Q2-23'!G97</f>
        <v/>
      </c>
      <c r="S32" s="127">
        <f>-'BDO - Q3-23'!G99</f>
        <v/>
      </c>
      <c r="T32" s="127">
        <f>-'BDO - Q4-23'!G99</f>
        <v/>
      </c>
      <c r="U32" s="127">
        <f>-'BDO - Q1-24'!G83</f>
        <v/>
      </c>
      <c r="V32" s="127">
        <f>-'BDO - Q2-24'!G84</f>
        <v/>
      </c>
      <c r="W32" s="127">
        <f>-'BDO - Q3-24'!G84</f>
        <v/>
      </c>
      <c r="X32" s="127">
        <f>-'BDO - Q4-24'!G84</f>
        <v/>
      </c>
      <c r="Y32" s="127">
        <f>-'BDO - Q1-25'!G85</f>
        <v/>
      </c>
      <c r="Z32" s="127">
        <f>-'BDO - Q2-25'!G85</f>
        <v/>
      </c>
      <c r="AA32" s="127">
        <f>-'BDO - Q3-25'!G88</f>
        <v/>
      </c>
      <c r="AB32" s="127">
        <f>-'BDO - Q4-25'!G90</f>
        <v/>
      </c>
      <c r="AC32" s="402">
        <f>-'BDO - Q1-26'!G92</f>
        <v/>
      </c>
      <c r="AD32" s="382">
        <f>-'BDO - Q1-26'!H92</f>
        <v/>
      </c>
      <c r="AE32" s="61" t="n"/>
    </row>
    <row r="33">
      <c r="A33" s="17" t="inlineStr">
        <is>
          <t>(Owners society costs (VVE))</t>
        </is>
      </c>
      <c r="B33" s="17" t="n"/>
      <c r="C33" s="89">
        <f>-'BalansenWinstverlies - FY2018'!M65</f>
        <v/>
      </c>
      <c r="D33" s="127">
        <f>-'Cijfers QSP - Q1 2019'!P93</f>
        <v/>
      </c>
      <c r="E33" s="96">
        <f>-'Cijfers QSP - Q1 2019'!R93</f>
        <v/>
      </c>
      <c r="F33" s="127">
        <f>-'BDO - Q2 2019'!D90</f>
        <v/>
      </c>
      <c r="G33" s="127">
        <f>-'BDO - Q3 2019'!H88</f>
        <v/>
      </c>
      <c r="H33" s="156">
        <f>-'BDO Q4 2019'!G89</f>
        <v/>
      </c>
      <c r="I33" s="127">
        <f>-'BDO - Q1 2020'!G89</f>
        <v/>
      </c>
      <c r="J33" s="127">
        <f>-'BDO - Q3 2020'!G89</f>
        <v/>
      </c>
      <c r="K33" s="127">
        <f>-'BDO - Q2 2021'!G88</f>
        <v/>
      </c>
      <c r="L33" s="127">
        <f>-'BDO - Q4 2021'!G91</f>
        <v/>
      </c>
      <c r="M33" s="127">
        <f>-'BDO - Q1-22'!G92</f>
        <v/>
      </c>
      <c r="N33" s="127">
        <f>-'BDO - Q2-22'!G92</f>
        <v/>
      </c>
      <c r="O33" s="127">
        <f>-'BDO - Q3-22'!G91</f>
        <v/>
      </c>
      <c r="P33" s="127">
        <f>-'BDO - Q1-23'!F99</f>
        <v/>
      </c>
      <c r="Q33" s="127">
        <f>-'BDO - Q1-23'!G99</f>
        <v/>
      </c>
      <c r="R33" s="127">
        <f>-'BDO - Q2-23'!G100-'BDO - Q2-23'!G103</f>
        <v/>
      </c>
      <c r="S33" s="127">
        <f>-'BDO - Q3-23'!G102-'BDO - Q3-23'!G105</f>
        <v/>
      </c>
      <c r="T33" s="127">
        <f>-'BDO - Q4-23'!G102-'BDO - Q4-23'!G105</f>
        <v/>
      </c>
      <c r="U33" s="127">
        <f>-'BDO - Q1-24'!G85</f>
        <v/>
      </c>
      <c r="V33" s="127">
        <f>-'BDO - Q2-24'!G86</f>
        <v/>
      </c>
      <c r="W33" s="127">
        <f>-'BDO - Q3-24'!G86</f>
        <v/>
      </c>
      <c r="X33" s="127">
        <f>-'BDO - Q4-24'!G86</f>
        <v/>
      </c>
      <c r="Y33" s="127">
        <f>-'BDO - Q1-25'!G87</f>
        <v/>
      </c>
      <c r="Z33" s="127">
        <f>-'BDO - Q2-25'!G87</f>
        <v/>
      </c>
      <c r="AA33" s="127">
        <f>-'BDO - Q3-25'!G90</f>
        <v/>
      </c>
      <c r="AB33" s="127">
        <f>-'BDO - Q4-25'!G92</f>
        <v/>
      </c>
      <c r="AC33" s="402">
        <f>-'BDO - Q1-26'!G94</f>
        <v/>
      </c>
      <c r="AD33" s="382">
        <f>-'BDO - Q1-26'!H94</f>
        <v/>
      </c>
      <c r="AE33" s="61" t="n"/>
    </row>
    <row r="34">
      <c r="A34" s="17" t="inlineStr">
        <is>
          <t>(Insurance costs)</t>
        </is>
      </c>
      <c r="B34" s="17" t="n"/>
      <c r="C34" s="89">
        <f>-'BalansenWinstverlies - FY2018'!M71</f>
        <v/>
      </c>
      <c r="D34" s="127">
        <f>-'Cijfers QSP - Q1 2019'!P106</f>
        <v/>
      </c>
      <c r="E34" s="96">
        <f>-'Cijfers QSP - Q1 2019'!R106</f>
        <v/>
      </c>
      <c r="F34" s="127">
        <f>-'BDO - Q2 2019'!D105</f>
        <v/>
      </c>
      <c r="G34" s="127">
        <f>-'BDO - Q3 2019'!H104</f>
        <v/>
      </c>
      <c r="H34" s="156">
        <f>-'BDO Q4 2019'!G105</f>
        <v/>
      </c>
      <c r="I34" s="127">
        <f>-'BDO - Q1 2020'!G105</f>
        <v/>
      </c>
      <c r="J34" s="127">
        <f>-'BDO - Q3 2020'!G105</f>
        <v/>
      </c>
      <c r="K34" s="127">
        <f>-'BDO - Q2 2021'!G104</f>
        <v/>
      </c>
      <c r="L34" s="127">
        <f>-'BDO - Q4 2021'!G107</f>
        <v/>
      </c>
      <c r="M34" s="127">
        <f>-'BDO - Q4-22'!D112</f>
        <v/>
      </c>
      <c r="N34" s="127">
        <f>-'BDO - Q2-22'!G108</f>
        <v/>
      </c>
      <c r="O34" s="127">
        <f>-'BDO - Q3-22'!G107</f>
        <v/>
      </c>
      <c r="P34" s="127">
        <f>-'BDO - Q4-22'!G112</f>
        <v/>
      </c>
      <c r="Q34" s="127">
        <f>-'BDO - Q1-23'!G115</f>
        <v/>
      </c>
      <c r="R34" s="127">
        <f>-'BDO - Q2-23'!G116</f>
        <v/>
      </c>
      <c r="S34" s="127">
        <f>-'BDO - Q3-23'!G118</f>
        <v/>
      </c>
      <c r="T34" s="127">
        <f>-'BDO - Q4-23'!G119</f>
        <v/>
      </c>
      <c r="U34" s="127">
        <f>-'BDO - Q1-24'!G97</f>
        <v/>
      </c>
      <c r="V34" s="127">
        <f>-'BDO - Q2-24'!G98</f>
        <v/>
      </c>
      <c r="W34" s="127">
        <f>-'BDO - Q3-24'!G98</f>
        <v/>
      </c>
      <c r="X34" s="127">
        <f>-'BDO - Q4-24'!G98</f>
        <v/>
      </c>
      <c r="Y34" s="127">
        <f>-'BDO - Q1-25'!G99</f>
        <v/>
      </c>
      <c r="Z34" s="127">
        <f>-'BDO - Q2-25'!G99</f>
        <v/>
      </c>
      <c r="AA34" s="127">
        <f>-'BDO - Q3-25'!G102</f>
        <v/>
      </c>
      <c r="AB34" s="127">
        <f>-'BDO - Q4-25'!G104</f>
        <v/>
      </c>
      <c r="AC34" s="402">
        <f>-'BDO - Q1-26'!G108</f>
        <v/>
      </c>
      <c r="AD34" s="382">
        <f>-'BDO - Q1-26'!H108</f>
        <v/>
      </c>
      <c r="AE34" s="61" t="n"/>
    </row>
    <row r="35">
      <c r="A35" s="17" t="inlineStr">
        <is>
          <t>(Landlord tax costs)</t>
        </is>
      </c>
      <c r="B35" s="17" t="n"/>
      <c r="C35" s="89">
        <f>-'BalansenWinstverlies - FY2018'!M63</f>
        <v/>
      </c>
      <c r="D35" s="127">
        <f>-'Cijfers QSP - Q1 2019'!P91</f>
        <v/>
      </c>
      <c r="E35" s="96">
        <f>-'Cijfers QSP - Q1 2019'!R91</f>
        <v/>
      </c>
      <c r="F35" s="127">
        <f>-'BDO - Q2 2019'!D88</f>
        <v/>
      </c>
      <c r="G35" s="127">
        <f>-'BDO - Q3 2019'!H86</f>
        <v/>
      </c>
      <c r="H35" s="156">
        <f>-'BDO Q4 2019'!G87</f>
        <v/>
      </c>
      <c r="I35" s="127">
        <f>-'BDO - Q1 2020'!G87</f>
        <v/>
      </c>
      <c r="J35" s="127">
        <f>-'BDO - Q3 2020'!G87</f>
        <v/>
      </c>
      <c r="K35" s="127">
        <f>-'BDO - Q2 2021'!G86</f>
        <v/>
      </c>
      <c r="L35" s="127">
        <f>-'BDO - Q4 2021'!G89</f>
        <v/>
      </c>
      <c r="M35" s="127">
        <f>-'BDO - Q4-22'!D94</f>
        <v/>
      </c>
      <c r="N35" s="127">
        <f>-'BDO - Q4-22'!E94</f>
        <v/>
      </c>
      <c r="O35" s="127">
        <f>-'BDO - Q3-22'!G89</f>
        <v/>
      </c>
      <c r="P35" s="127">
        <f>-'BDO - Q4-22'!G94</f>
        <v/>
      </c>
      <c r="Q35" s="127">
        <f>-'BDO - Q1-23'!G97</f>
        <v/>
      </c>
      <c r="R35" s="127">
        <f>-'BDO - Q2-23'!G98</f>
        <v/>
      </c>
      <c r="S35" s="127">
        <f>-'BDO - Q3-23'!G100</f>
        <v/>
      </c>
      <c r="T35" s="127">
        <f>-'BDO - Q4-23'!G100</f>
        <v/>
      </c>
      <c r="U35" s="127">
        <f>-'BDO - Q1-24'!G86</f>
        <v/>
      </c>
      <c r="V35" s="127">
        <f>-'BDO - Q2-24'!G87</f>
        <v/>
      </c>
      <c r="W35" s="127">
        <f>-'BDO - Q3-24'!G87</f>
        <v/>
      </c>
      <c r="X35" s="127">
        <f>-'BDO - Q4-24'!G87</f>
        <v/>
      </c>
      <c r="Y35" s="127" t="n">
        <v>0</v>
      </c>
      <c r="Z35" s="127" t="n">
        <v>0</v>
      </c>
      <c r="AA35" s="127" t="n">
        <v>0</v>
      </c>
      <c r="AB35" s="127" t="n">
        <v>0</v>
      </c>
      <c r="AC35" s="402" t="n">
        <v>0</v>
      </c>
      <c r="AD35" s="382" t="n">
        <v>0</v>
      </c>
      <c r="AE35" s="61" t="n"/>
    </row>
    <row r="36">
      <c r="A36" s="17" t="inlineStr">
        <is>
          <t>(Property tax)</t>
        </is>
      </c>
      <c r="B36" s="17" t="n"/>
      <c r="C36" s="89">
        <f>-'BalansenWinstverlies - FY2018'!M64</f>
        <v/>
      </c>
      <c r="D36" s="127">
        <f>-'Cijfers QSP - Q1 2019'!P92</f>
        <v/>
      </c>
      <c r="E36" s="96">
        <f>-'Cijfers QSP - Q1 2019'!R92</f>
        <v/>
      </c>
      <c r="F36" s="127">
        <f>-'BDO - Q2 2019'!D89</f>
        <v/>
      </c>
      <c r="G36" s="127">
        <f>-'BDO - Q3 2019'!H87</f>
        <v/>
      </c>
      <c r="H36" s="156">
        <f>-'BDO Q4 2019'!G88</f>
        <v/>
      </c>
      <c r="I36" s="127">
        <f>-'BDO - Q1 2020'!G88</f>
        <v/>
      </c>
      <c r="J36" s="127">
        <f>-'BDO - Q3 2020'!G88</f>
        <v/>
      </c>
      <c r="K36" s="127">
        <f>-'BDO - Q2 2021'!G87</f>
        <v/>
      </c>
      <c r="L36" s="127">
        <f>-'BDO - Q4 2021'!G90</f>
        <v/>
      </c>
      <c r="M36" s="127">
        <f>-'BDO - Q1-22'!G91</f>
        <v/>
      </c>
      <c r="N36" s="127">
        <f>-'BDO - Q2-22'!G91</f>
        <v/>
      </c>
      <c r="O36" s="127">
        <f>-'BDO - Q3-22'!G90</f>
        <v/>
      </c>
      <c r="P36" s="127">
        <f>-'BDO - Q3-23'!D101</f>
        <v/>
      </c>
      <c r="Q36" s="127">
        <f>-'BDO - Q3-23'!E101</f>
        <v/>
      </c>
      <c r="R36" s="127">
        <f>-'BDO - Q3-23'!F101</f>
        <v/>
      </c>
      <c r="S36" s="127">
        <f>-'BDO - Q3-23'!G101</f>
        <v/>
      </c>
      <c r="T36" s="127">
        <f>-'BDO - Q4-23'!G101</f>
        <v/>
      </c>
      <c r="U36" s="127">
        <f>-'BDO - Q1-24'!G84</f>
        <v/>
      </c>
      <c r="V36" s="127">
        <f>-'BDO - Q2-24'!G85</f>
        <v/>
      </c>
      <c r="W36" s="127">
        <f>-'BDO - Q3-24'!G85</f>
        <v/>
      </c>
      <c r="X36" s="127">
        <f>-'BDO - Q4-24'!G85</f>
        <v/>
      </c>
      <c r="Y36" s="127">
        <f>-'BDO - Q1-25'!G86</f>
        <v/>
      </c>
      <c r="Z36" s="127">
        <f>-'BDO - Q2-25'!G86</f>
        <v/>
      </c>
      <c r="AA36" s="127">
        <f>-'BDO - Q3-25'!G89</f>
        <v/>
      </c>
      <c r="AB36" s="127">
        <f>-'BDO - Q4-25'!G91</f>
        <v/>
      </c>
      <c r="AC36" s="402">
        <f>-'BDO - Q1-26'!G93-'BDO - Q1-26'!G95</f>
        <v/>
      </c>
      <c r="AD36" s="382">
        <f>-'BDO - Q1-26'!H93-'BDO - Q1-26'!H95</f>
        <v/>
      </c>
      <c r="AE36" s="61" t="n"/>
    </row>
    <row r="37">
      <c r="A37" s="17" t="inlineStr">
        <is>
          <t>(Water collection, sewerage costs)</t>
        </is>
      </c>
      <c r="B37" s="17" t="n"/>
      <c r="C37" s="89">
        <f>-'BalansenWinstverlies - FY2018'!M67-'BalansenWinstverlies - FY2018'!M66</f>
        <v/>
      </c>
      <c r="D37" s="127">
        <f>-'Cijfers QSP - Q1 2019'!P95-'Cijfers QSP - Q1 2019'!P94</f>
        <v/>
      </c>
      <c r="E37" s="96">
        <f>-'Cijfers QSP - Q1 2019'!R95-'Cijfers QSP - Q1 2019'!R94</f>
        <v/>
      </c>
      <c r="F37" s="127">
        <f>-('BDO - Q2 2019'!D91+'BDO - Q2 2019'!D92)</f>
        <v/>
      </c>
      <c r="G37" s="127">
        <f>-('BDO - Q3 2019'!H90+'BDO - Q3 2019'!H89)</f>
        <v/>
      </c>
      <c r="H37" s="156">
        <f>-'BDO Q4 2019'!G91-'BDO Q4 2019'!G90</f>
        <v/>
      </c>
      <c r="I37" s="127">
        <f>-('BDO - Q1 2020'!G90+'BDO - Q1 2020'!G91)</f>
        <v/>
      </c>
      <c r="J37" s="127">
        <f>-('BDO - Q3 2020'!G90+'BDO - Q3 2020'!G91)</f>
        <v/>
      </c>
      <c r="K37" s="127">
        <f>-('BDO - Q2 2021'!G90+'BDO - Q2 2021'!G89)</f>
        <v/>
      </c>
      <c r="L37" s="127">
        <f>-'BDO - Q4 2021'!G93-'BDO - Q4 2021'!G92</f>
        <v/>
      </c>
      <c r="M37" s="127">
        <f>-'BDO - Q4-22'!D97-'BDO - Q4-22'!D98</f>
        <v/>
      </c>
      <c r="N37" s="127">
        <f>-'BDO - Q2-22'!G93-'BDO - Q2-22'!G94</f>
        <v/>
      </c>
      <c r="O37" s="127">
        <f>-'BDO - Q3-22'!G92-'BDO - Q3-22'!G93</f>
        <v/>
      </c>
      <c r="P37" s="127">
        <f>-'BDO - Q1-23'!F100-'BDO - Q1-23'!F101</f>
        <v/>
      </c>
      <c r="Q37" s="127">
        <f>-'BDO - Q1-23'!G100-'BDO - Q1-23'!G101</f>
        <v/>
      </c>
      <c r="R37" s="127">
        <f>-'BDO - Q2-23'!G101-'BDO - Q2-23'!G102</f>
        <v/>
      </c>
      <c r="S37" s="127">
        <f>-'BDO - Q3-23'!G103-'BDO - Q3-23'!G104</f>
        <v/>
      </c>
      <c r="T37" s="127">
        <f>-'BDO - Q4-23'!G103-'BDO - Q4-23'!G104</f>
        <v/>
      </c>
      <c r="U37" s="127">
        <f>-'BDO - Q1-24'!G87-'BDO - Q1-24'!G88</f>
        <v/>
      </c>
      <c r="V37" s="127">
        <f>-'BDO - Q2-24'!G88-'BDO - Q2-24'!G89</f>
        <v/>
      </c>
      <c r="W37" s="127">
        <f>-'BDO - Q3-24'!G88-'BDO - Q3-24'!G89</f>
        <v/>
      </c>
      <c r="X37" s="127">
        <f>-'BDO - Q4-24'!G88-'BDO - Q4-24'!G89</f>
        <v/>
      </c>
      <c r="Y37" s="127">
        <f>-'BDO - Q1-25'!G89-'BDO - Q1-25'!G90-'BDO - Q1-25'!G88</f>
        <v/>
      </c>
      <c r="Z37" s="127">
        <f>-'BDO - Q2-25'!G89-'BDO - Q2-25'!G90-'BDO - Q2-25'!G88</f>
        <v/>
      </c>
      <c r="AA37" s="127">
        <f>-'BDO - Q3-25'!G91-'BDO - Q3-25'!G92-'BDO - Q3-25'!G93</f>
        <v/>
      </c>
      <c r="AB37" s="127">
        <f>-SUM('BDO - Q4-25'!G93:G95)</f>
        <v/>
      </c>
      <c r="AC37" s="402">
        <f>-'BDO - Q1-26'!G95-'BDO - Q1-26'!G96-'BDO - Q1-26'!G97</f>
        <v/>
      </c>
      <c r="AD37" s="382">
        <f>-'BDO - Q1-26'!H95-'BDO - Q1-26'!H96-'BDO - Q1-26'!H97</f>
        <v/>
      </c>
      <c r="AE37" s="61" t="n"/>
    </row>
    <row r="38">
      <c r="A38" s="17" t="inlineStr">
        <is>
          <t>(Agent costs)</t>
        </is>
      </c>
      <c r="B38" s="17" t="n"/>
      <c r="C38" s="89" t="n">
        <v>0</v>
      </c>
      <c r="D38" s="127" t="n">
        <v>0</v>
      </c>
      <c r="E38" s="96" t="n"/>
      <c r="F38" s="127" t="n"/>
      <c r="G38" s="127">
        <f>-'BDO - Q3 2019'!H112</f>
        <v/>
      </c>
      <c r="H38" s="156">
        <f>-'BDO Q4 2019'!G113</f>
        <v/>
      </c>
      <c r="I38" s="127">
        <f>-'BDO - Q1 2020'!G113</f>
        <v/>
      </c>
      <c r="J38" s="127">
        <f>-'BDO - Q3 2020'!G113</f>
        <v/>
      </c>
      <c r="K38" s="127">
        <f>-'BDO - Q2 2021'!G112</f>
        <v/>
      </c>
      <c r="L38" s="127">
        <f>-'BDO - Q4 2021'!G115</f>
        <v/>
      </c>
      <c r="M38" s="127">
        <f>-'BDO - Q1-22'!G116</f>
        <v/>
      </c>
      <c r="N38" s="127">
        <f>-'BDO - Q2-22'!G116</f>
        <v/>
      </c>
      <c r="O38" s="127">
        <f>-'BDO - Q3-22'!G115</f>
        <v/>
      </c>
      <c r="P38" s="127">
        <f>-'BDO - Q1-23'!F124</f>
        <v/>
      </c>
      <c r="Q38" s="127">
        <f>-'BDO - Q1-23'!G124</f>
        <v/>
      </c>
      <c r="R38" s="127">
        <f>-'BDO - Q2-23'!G125</f>
        <v/>
      </c>
      <c r="S38" s="127">
        <f>-'BDO - Q3-23'!G127</f>
        <v/>
      </c>
      <c r="T38" s="127">
        <f>-'BDO - Q4-23'!G127</f>
        <v/>
      </c>
      <c r="U38" s="127">
        <f>-'BDO - Q1-24'!G105</f>
        <v/>
      </c>
      <c r="V38" s="127">
        <f>-'BDO - Q2-24'!G106</f>
        <v/>
      </c>
      <c r="W38" s="127">
        <f>-'BDO - Q3-24'!G106</f>
        <v/>
      </c>
      <c r="X38" s="127">
        <f>-'BDO - Q4-24'!G106</f>
        <v/>
      </c>
      <c r="Y38" s="127">
        <f>-'BDO - Q1-25'!G107</f>
        <v/>
      </c>
      <c r="Z38" s="127">
        <f>-'BDO - Q2-25'!G107</f>
        <v/>
      </c>
      <c r="AA38" s="127">
        <f>-'BDO - Q3-25'!G110</f>
        <v/>
      </c>
      <c r="AB38" s="127">
        <f>-'BDO - Q4-25'!G112</f>
        <v/>
      </c>
      <c r="AC38" s="402">
        <f>-'BDO - Q1-26'!G116</f>
        <v/>
      </c>
      <c r="AD38" s="382">
        <f>-'BDO - Q1-26'!H116</f>
        <v/>
      </c>
      <c r="AE38" s="61" t="n"/>
    </row>
    <row r="39">
      <c r="A39" s="17" t="inlineStr">
        <is>
          <t>(Brokerage costs)</t>
        </is>
      </c>
      <c r="B39" s="17" t="n"/>
      <c r="C39" s="89">
        <f>-'BalansenWinstverlies - FY2018'!M75</f>
        <v/>
      </c>
      <c r="D39" s="127">
        <f>-'Cijfers QSP - Q1 2019'!P110</f>
        <v/>
      </c>
      <c r="E39" s="96">
        <f>-'Cijfers QSP - Q1 2019'!R110</f>
        <v/>
      </c>
      <c r="F39" s="127">
        <f>-'BDO - Q2 2019'!D109</f>
        <v/>
      </c>
      <c r="G39" s="127">
        <f>-'BDO - Q3 2019'!H108</f>
        <v/>
      </c>
      <c r="H39" s="156">
        <f>-'BDO Q4 2019'!G109</f>
        <v/>
      </c>
      <c r="I39" s="127">
        <f>-'BDO - Q1 2020'!G109</f>
        <v/>
      </c>
      <c r="J39" s="127">
        <f>-'BDO - Q3 2020'!G109</f>
        <v/>
      </c>
      <c r="K39" s="127">
        <f>-'BDO - Q2 2021'!G108</f>
        <v/>
      </c>
      <c r="L39" s="127">
        <f>-'BDO - Q4 2021'!G111</f>
        <v/>
      </c>
      <c r="M39" s="127">
        <f>-'BDO - Q1-22'!G112</f>
        <v/>
      </c>
      <c r="N39" s="127">
        <f>-'BDO - Q2-22'!G112</f>
        <v/>
      </c>
      <c r="O39" s="127">
        <f>-'BDO - Q3-22'!G111</f>
        <v/>
      </c>
      <c r="P39" s="127">
        <f>-'BDO - Q4-22'!G116</f>
        <v/>
      </c>
      <c r="Q39" s="127">
        <f>-'BDO - Q4-23'!D123</f>
        <v/>
      </c>
      <c r="R39" s="127">
        <f>-'BDO - Q4-23'!E123</f>
        <v/>
      </c>
      <c r="S39" s="127">
        <f>-'BDO - Q4-23'!F123</f>
        <v/>
      </c>
      <c r="T39" s="127">
        <f>-'BDO - Q4-23'!G123</f>
        <v/>
      </c>
      <c r="U39" s="127">
        <f>-'BDO - Q1-24'!G101</f>
        <v/>
      </c>
      <c r="V39" s="127">
        <f>-'BDO - Q2-24'!G102</f>
        <v/>
      </c>
      <c r="W39" s="127">
        <f>-'BDO - Q3-24'!G102</f>
        <v/>
      </c>
      <c r="X39" s="127">
        <f>-'BDO - Q4-24'!G102</f>
        <v/>
      </c>
      <c r="Y39" s="127">
        <f>-'BDO - Q1-25'!G103</f>
        <v/>
      </c>
      <c r="Z39" s="127">
        <f>-'BDO - Q2-25'!G103</f>
        <v/>
      </c>
      <c r="AA39" s="127">
        <f>-'BDO - Q3-25'!G106</f>
        <v/>
      </c>
      <c r="AB39" s="127">
        <f>-'BDO - Q4-25'!G108</f>
        <v/>
      </c>
      <c r="AC39" s="402">
        <f>-'BDO - Q1-26'!G112</f>
        <v/>
      </c>
      <c r="AD39" s="382">
        <f>-'BDO - Q1-26'!H112</f>
        <v/>
      </c>
      <c r="AE39" s="61" t="n"/>
    </row>
    <row r="40">
      <c r="A40" s="17" t="inlineStr">
        <is>
          <t>(Other costs)</t>
        </is>
      </c>
      <c r="B40" s="17" t="n"/>
      <c r="C40" s="89">
        <f>-SUM('BalansenWinstverlies - FY2018'!M69:M70)-SUM('BalansenWinstverlies - FY2018'!M74)-SUM('BalansenWinstverlies - FY2018'!M76)-SUM('BalansenWinstverlies - FY2018'!M78:M79)</f>
        <v/>
      </c>
      <c r="D40" s="127">
        <f>-'Cijfers QSP - Q1 2019'!P113-'Cijfers QSP - Q1 2019'!P114-'Cijfers QSP - Q1 2019'!P104-'Cijfers QSP - Q1 2019'!P101-'Cijfers QSP - Q1 2019'!P111</f>
        <v/>
      </c>
      <c r="E40" s="96">
        <f>-'Cijfers QSP - Q1 2019'!R113-'Cijfers QSP - Q1 2019'!R114-'Cijfers QSP - Q1 2019'!R104-'Cijfers QSP - Q1 2019'!R101-'Cijfers QSP - Q1 2019'!R111</f>
        <v/>
      </c>
      <c r="F40" s="127">
        <f>-('BDO - Q2 2019'!D104+'BDO - Q2 2019'!D110++'BDO - Q2 2019'!D112+'BDO - Q2 2019'!D113+'BDO - Q2 2019'!D101+'BDO - Q2 2019'!D99+'BDO - Q2 2019'!D94)</f>
        <v/>
      </c>
      <c r="G40" s="127">
        <f>-('BDO - Q3 2019'!H103+'BDO - Q3 2019'!H101+'BDO - Q3 2019'!H107+'BDO - Q3 2019'!H111+'BDO - Q3 2019'!H113+'BDO - Q3 2019'!H95+'BDO - Q3 2019'!H97)</f>
        <v/>
      </c>
      <c r="H40" s="156">
        <f>-('BDO Q4 2019'!G93+'BDO Q4 2019'!G96+'BDO Q4 2019'!G98+'BDO Q4 2019'!G102+'BDO Q4 2019'!G104+'BDO Q4 2019'!G108+'BDO Q4 2019'!G112+'BDO Q4 2019'!G114)</f>
        <v/>
      </c>
      <c r="I40" s="127">
        <f>-('BDO - Q1 2020'!G93+'BDO - Q1 2020'!G96+'BDO - Q1 2020'!G98+'BDO - Q1 2020'!G102+'BDO - Q1 2020'!G104+'BDO - Q1 2020'!G108+'BDO - Q1 2020'!G112+'BDO - Q1 2020'!G114)</f>
        <v/>
      </c>
      <c r="J40" s="127">
        <f>-('BDO - Q3 2020'!G93+'BDO - Q3 2020'!G96+'BDO - Q3 2020'!G98+'BDO - Q3 2020'!G102+'BDO - Q3 2020'!G104+'BDO - Q3 2020'!G108+'BDO - Q3 2020'!G112+'BDO - Q3 2020'!G114+'BDO - Q3 2020'!G97)</f>
        <v/>
      </c>
      <c r="K40" s="127">
        <f>-('BDO - Q2 2021'!G98+'BDO - Q2 2021'!G92+'BDO - Q2 2021'!G111+'BDO - Q2 2021'!G113+'BDO - Q2 2021'!G103+'BDO - Q2 2021'!G107+'BDO - Q2 2021'!G101)</f>
        <v/>
      </c>
      <c r="L40" s="127">
        <f>-('BDO - Q4 2021'!G101+'BDO - Q4 2021'!G104+'BDO - Q4 2021'!G110+'BDO - Q4 2021'!G112+'BDO - Q4 2021'!G116)</f>
        <v/>
      </c>
      <c r="M40" s="127">
        <f>-('BDO - Q1-22'!G102+'BDO - Q1-22'!G105+'BDO - Q1-22'!G111+'BDO - Q1-22'!G117+'BDO - Q1-22'!G113+'BDO - Q1-22'!G115)</f>
        <v/>
      </c>
      <c r="N40" s="127">
        <f>-('BDO - Q2-22'!G102+'BDO - Q2-22'!G105+'BDO - Q2-22'!G111+'BDO - Q2-22'!G117+'BDO - Q2-22'!G113+'BDO - Q2-22'!G115)</f>
        <v/>
      </c>
      <c r="O40" s="127">
        <f>-('BDO - Q3-22'!G101+'BDO - Q3-22'!G104+'BDO - Q3-22'!G110+'BDO - Q3-22'!G116+'BDO - Q3-22'!G112+'BDO - Q3-22'!G114)</f>
        <v/>
      </c>
      <c r="P40" s="127">
        <f>-('BDO - Q3-23'!D112+'BDO - Q3-23'!D115+'BDO - Q3-23'!D121+'BDO - Q3-23'!D128+'BDO - Q3-23'!D123+'BDO - Q3-23'!D126+'BDO - Q3-23'!D124)</f>
        <v/>
      </c>
      <c r="Q40" s="127">
        <f>-('BDO - Q3-23'!E112+'BDO - Q3-23'!E115+'BDO - Q3-23'!E121+'BDO - Q3-23'!E128+'BDO - Q3-23'!E123+'BDO - Q3-23'!E126+'BDO - Q3-23'!E124)</f>
        <v/>
      </c>
      <c r="R40" s="127">
        <f>-('BDO - Q3-23'!F112+'BDO - Q3-23'!F115+'BDO - Q3-23'!F121+'BDO - Q3-23'!F128+'BDO - Q3-23'!F123+'BDO - Q3-23'!F126+'BDO - Q3-23'!F124)</f>
        <v/>
      </c>
      <c r="S40" s="127">
        <f>-('BDO - Q3-23'!G112+'BDO - Q3-23'!G115+'BDO - Q3-23'!G121+'BDO - Q3-23'!G128+'BDO - Q3-23'!G123+'BDO - Q3-23'!G126+'BDO - Q3-23'!G124)</f>
        <v/>
      </c>
      <c r="T40" s="127">
        <f>-('BDO - Q4-23'!G112+'BDO - Q4-23'!G115+'BDO - Q4-23'!G128+'BDO - Q4-23'!G126+'BDO - Q4-23'!G124+'BDO - Q4-23'!G122+'BDO - Q4-23'!G120+'BDO - Q4-23'!G114)</f>
        <v/>
      </c>
      <c r="U40" s="127">
        <f>-'BDO - Q1-24'!G91-'BDO - Q1-24'!G92-'BDO - Q1-24'!G94-'BDO - Q1-24'!G95-'BDO - Q1-24'!G100-'BDO - Q1-24'!G102-'BDO - Q1-24'!G104-'BDO - Q1-24'!G106</f>
        <v/>
      </c>
      <c r="V40" s="127">
        <f>-'BDO - Q2-24'!G92-'BDO - Q2-24'!G93-'BDO - Q2-24'!G95-'BDO - Q2-24'!G96-'BDO - Q2-24'!G101-'BDO - Q2-24'!G103-'BDO - Q2-24'!G105-'BDO - Q2-24'!G107</f>
        <v/>
      </c>
      <c r="W40" s="127">
        <f>-'BDO - Q3-24'!G92-'BDO - Q3-24'!G93-'BDO - Q3-24'!G95-'BDO - Q3-24'!G96-'BDO - Q3-24'!G101-'BDO - Q3-24'!G103-'BDO - Q3-24'!G105-'BDO - Q3-24'!G107</f>
        <v/>
      </c>
      <c r="X40" s="127">
        <f>-'BDO - Q4-24'!G92-'BDO - Q4-24'!G93-'BDO - Q4-24'!G95-'BDO - Q4-24'!G96-'BDO - Q4-24'!G101-'BDO - Q4-24'!G103-'BDO - Q4-24'!G105-'BDO - Q4-24'!G107</f>
        <v/>
      </c>
      <c r="Y40" s="127">
        <f>-'BDO - Q1-25'!G93-'BDO - Q1-25'!G94-'BDO - Q1-25'!G96-'BDO - Q1-25'!G97-'BDO - Q1-25'!G102-'BDO - Q1-25'!G104-'BDO - Q1-25'!G106-'BDO - Q1-25'!G108-'BDO - Q1-25'!G91</f>
        <v/>
      </c>
      <c r="Z40" s="127">
        <f>-'BDO - Q2-25'!G93-'BDO - Q2-25'!G94-'BDO - Q2-25'!G96-'BDO - Q2-25'!G97-'BDO - Q2-25'!G102-'BDO - Q2-25'!G104-'BDO - Q2-25'!G106-'BDO - Q2-25'!G108-'BDO - Q2-25'!G91</f>
        <v/>
      </c>
      <c r="AA40" s="127">
        <f>-'BDO - Q3-25'!G96-'BDO - Q3-25'!G97-'BDO - Q3-25'!G99-'BDO - Q3-25'!G100-'BDO - Q3-25'!G105-'BDO - Q3-25'!G107- 'BDO - Q3-25'!G109-'BDO - Q3-25'!G111-'BDO - Q3-25'!G94</f>
        <v/>
      </c>
      <c r="AB40" s="127">
        <f>-'BDO - Q4-25'!G96-'BDO - Q4-25'!G98-'BDO - Q4-25'!G99-'BDO - Q4-25'!G101-'BDO - Q4-25'!G102-'BDO - Q4-25'!G107-'BDO - Q4-25'!G111-'BDO - Q4-25'!G113-'BDO - Q4-25'!G109-'BDO - Q4-25'!G97</f>
        <v/>
      </c>
      <c r="AC40" s="402">
        <f>-'BDO - Q1-26'!G100-'BDO - Q1-26'!G101-'BDO - Q1-26'!G103-'BDO - Q1-26'!G104-'BDO - Q1-26'!G105-'BDO - Q1-26'!G107-'BDO - Q1-26'!G111-'BDO - Q1-26'!G113-'BDO - Q1-26'!G115-'BDO - Q1-26'!G117-'BDO - Q1-26'!G98-'BDO - Q1-26'!G99</f>
        <v/>
      </c>
      <c r="AD40" s="382">
        <f>-'BDO - Q1-26'!H100-'BDO - Q1-26'!H101-'BDO - Q1-26'!H103-'BDO - Q1-26'!H104-'BDO - Q1-26'!H105-'BDO - Q1-26'!H107-'BDO - Q1-26'!H111-'BDO - Q1-26'!H113-'BDO - Q1-26'!H115-'BDO - Q1-26'!H117-'BDO - Q1-26'!H98-'BDO - Q1-26'!H99</f>
        <v/>
      </c>
      <c r="AE40" s="61" t="n"/>
    </row>
    <row r="41">
      <c r="A41" s="17" t="inlineStr">
        <is>
          <t>(Accountant costs)</t>
        </is>
      </c>
      <c r="B41" s="17" t="n"/>
      <c r="C41" s="89">
        <f>-'BalansenWinstverlies - FY2018'!M73</f>
        <v/>
      </c>
      <c r="D41" s="127">
        <f>-'Cijfers QSP - Q1 2019'!P108-'Cijfers QSP - Q1 2019'!P109</f>
        <v/>
      </c>
      <c r="E41" s="96">
        <f>-'Cijfers QSP - Q1 2019'!R108-'Cijfers QSP - Q1 2019'!R109</f>
        <v/>
      </c>
      <c r="F41" s="127">
        <f>-('BDO - Q2 2019'!D107+'BDO - Q2 2019'!D108)</f>
        <v/>
      </c>
      <c r="G41" s="127">
        <f>-'BDO - Q3 2019'!H106</f>
        <v/>
      </c>
      <c r="H41" s="156">
        <f>-'BDO Q4 2019'!G107</f>
        <v/>
      </c>
      <c r="I41" s="127">
        <f>-'BDO - Q1 2020'!G107</f>
        <v/>
      </c>
      <c r="J41" s="127">
        <f>-'BDO - Q3 2020'!G107</f>
        <v/>
      </c>
      <c r="K41" s="127">
        <f>-'BDO - Q2 2021'!G106</f>
        <v/>
      </c>
      <c r="L41" s="127">
        <f>-'BDO - Q4 2021'!G109</f>
        <v/>
      </c>
      <c r="M41" s="127">
        <f>-'BDO - Q1-22'!G110</f>
        <v/>
      </c>
      <c r="N41" s="127">
        <f>-'BDO - Q2-22'!G110</f>
        <v/>
      </c>
      <c r="O41" s="127">
        <f>-'BDO - Q3-22'!G109</f>
        <v/>
      </c>
      <c r="P41" s="127">
        <f>-'BDO - Q1-23'!F117</f>
        <v/>
      </c>
      <c r="Q41" s="127">
        <f>-'BDO - Q1-23'!G117</f>
        <v/>
      </c>
      <c r="R41" s="127">
        <f>-'BDO - Q2-23'!G118</f>
        <v/>
      </c>
      <c r="S41" s="127">
        <f>-'BDO - Q3-23'!G120</f>
        <v/>
      </c>
      <c r="T41" s="127">
        <f>-'BDO - Q4-23'!G121</f>
        <v/>
      </c>
      <c r="U41" s="127">
        <f>-'BDO - Q1-24'!G99</f>
        <v/>
      </c>
      <c r="V41" s="127">
        <f>-'BDO - Q2-24'!G100</f>
        <v/>
      </c>
      <c r="W41" s="127">
        <f>-'BDO - Q3-24'!G100</f>
        <v/>
      </c>
      <c r="X41" s="127">
        <f>-'BDO - Q4-24'!G100</f>
        <v/>
      </c>
      <c r="Y41" s="127">
        <f>-'BDO - Q1-25'!G101</f>
        <v/>
      </c>
      <c r="Z41" s="127">
        <f>-'BDO - Q2-25'!G101</f>
        <v/>
      </c>
      <c r="AA41" s="127">
        <f>-'BDO - Q3-25'!G104</f>
        <v/>
      </c>
      <c r="AB41" s="127">
        <f>-'BDO - Q4-25'!G106</f>
        <v/>
      </c>
      <c r="AC41" s="402">
        <f>-'BDO - Q1-26'!G110</f>
        <v/>
      </c>
      <c r="AD41" s="382">
        <f>-'BDO - Q1-26'!H110</f>
        <v/>
      </c>
      <c r="AE41" s="61" t="n"/>
    </row>
    <row r="42">
      <c r="A42" s="17" t="inlineStr">
        <is>
          <t>(Advisory costs)</t>
        </is>
      </c>
      <c r="B42" s="17" t="n"/>
      <c r="C42" s="89">
        <f>-'BalansenWinstverlies - FY2018'!M77</f>
        <v/>
      </c>
      <c r="D42" s="127">
        <f>-'Cijfers QSP - Q1 2019'!P112</f>
        <v/>
      </c>
      <c r="E42" s="96">
        <f>-'Cijfers QSP - Q1 2019'!R112</f>
        <v/>
      </c>
      <c r="F42" s="127">
        <f>-'BDO - Q2 2019'!D111</f>
        <v/>
      </c>
      <c r="G42" s="127">
        <f>-('BDO - Q3 2019'!H110++'BDO - Q3 2019'!H109)</f>
        <v/>
      </c>
      <c r="H42" s="156">
        <f>-('BDO Q4 2019'!G110+'BDO Q4 2019'!G111)</f>
        <v/>
      </c>
      <c r="I42" s="127">
        <f>-('BDO - Q1 2020'!G110+'BDO - Q1 2020'!G111)</f>
        <v/>
      </c>
      <c r="J42" s="127">
        <f>-('BDO - Q3 2020'!G110+'BDO - Q3 2020'!G111)</f>
        <v/>
      </c>
      <c r="K42" s="127">
        <f>-('BDO - Q2 2021'!G109+'BDO - Q2 2021'!G110)</f>
        <v/>
      </c>
      <c r="L42" s="127">
        <f>-'BDO - Q4 2021'!G113-'BDO - Q4 2021'!G114</f>
        <v/>
      </c>
      <c r="M42" s="127">
        <f>-'BDO - Q1-22'!G114</f>
        <v/>
      </c>
      <c r="N42" s="127">
        <f>-'BDO - Q2-22'!G114</f>
        <v/>
      </c>
      <c r="O42" s="127">
        <f>-'BDO - Q3-22'!G113</f>
        <v/>
      </c>
      <c r="P42" s="127">
        <f>-'BDO - Q4-22'!G118</f>
        <v/>
      </c>
      <c r="Q42" s="127">
        <f>-'BDO - Q1-23'!G122</f>
        <v/>
      </c>
      <c r="R42" s="127">
        <f>-'BDO - Q2-23'!G123</f>
        <v/>
      </c>
      <c r="S42" s="127">
        <f>-'BDO - Q3-23'!G125</f>
        <v/>
      </c>
      <c r="T42" s="127">
        <f>-'BDO - Q4-23'!G125</f>
        <v/>
      </c>
      <c r="U42" s="127">
        <f>-'BDO - Q1-24'!G103</f>
        <v/>
      </c>
      <c r="V42" s="127">
        <f>-'BDO - Q2-24'!G104</f>
        <v/>
      </c>
      <c r="W42" s="127">
        <f>-'BDO - Q3-24'!G104</f>
        <v/>
      </c>
      <c r="X42" s="127">
        <f>-'BDO - Q4-24'!G104</f>
        <v/>
      </c>
      <c r="Y42" s="127">
        <f>-'BDO - Q1-25'!G105</f>
        <v/>
      </c>
      <c r="Z42" s="127">
        <f>-'BDO - Q2-25'!G105</f>
        <v/>
      </c>
      <c r="AA42" s="127">
        <f>-'BDO - Q3-25'!G108</f>
        <v/>
      </c>
      <c r="AB42" s="127">
        <f>-'BDO - Q4-25'!G110</f>
        <v/>
      </c>
      <c r="AC42" s="402">
        <f>-'BDO - Q1-26'!G114</f>
        <v/>
      </c>
      <c r="AD42" s="382">
        <f>-'BDO - Q1-26'!H114</f>
        <v/>
      </c>
      <c r="AE42" s="61" t="n"/>
    </row>
    <row r="43">
      <c r="A43" s="17" t="inlineStr">
        <is>
          <t>(Intercompany costs)</t>
        </is>
      </c>
      <c r="B43" s="17" t="n"/>
      <c r="C43" s="89" t="n"/>
      <c r="D43" s="127" t="n"/>
      <c r="E43" s="96" t="n"/>
      <c r="F43" s="127" t="n"/>
      <c r="G43" s="127" t="n"/>
      <c r="H43" s="156" t="n"/>
      <c r="I43" s="127" t="n"/>
      <c r="J43" s="127" t="n"/>
      <c r="K43" s="127" t="n"/>
      <c r="L43" s="127" t="n"/>
      <c r="M43" s="127" t="n"/>
      <c r="N43" s="127" t="n"/>
      <c r="O43" s="127" t="n"/>
      <c r="P43" s="127">
        <f>-'BDO - Q4-22'!M119</f>
        <v/>
      </c>
      <c r="Q43" s="127" t="n">
        <v>0</v>
      </c>
      <c r="R43" s="127" t="n">
        <v>0</v>
      </c>
      <c r="S43" s="127" t="n">
        <v>0</v>
      </c>
      <c r="T43" s="127" t="n">
        <v>0</v>
      </c>
      <c r="U43" s="127" t="n">
        <v>0</v>
      </c>
      <c r="V43" s="127" t="n">
        <v>0</v>
      </c>
      <c r="W43" s="127" t="n">
        <v>0</v>
      </c>
      <c r="X43" s="127" t="n">
        <v>0</v>
      </c>
      <c r="Y43" s="127" t="n">
        <v>0</v>
      </c>
      <c r="Z43" s="127" t="n">
        <v>0</v>
      </c>
      <c r="AA43" s="127" t="n">
        <v>0</v>
      </c>
      <c r="AB43" s="127" t="n">
        <v>0</v>
      </c>
      <c r="AC43" s="402" t="n">
        <v>0</v>
      </c>
      <c r="AD43" s="382" t="n">
        <v>0</v>
      </c>
      <c r="AE43" s="61" t="n"/>
    </row>
    <row r="44">
      <c r="A44" s="18" t="inlineStr">
        <is>
          <t>Property related expenses</t>
        </is>
      </c>
      <c r="B44" s="18" t="n"/>
      <c r="C44" s="90">
        <f>SUM(C32:C42)</f>
        <v/>
      </c>
      <c r="D44" s="44">
        <f>SUM(D32:D42)</f>
        <v/>
      </c>
      <c r="E44" s="97">
        <f>SUM(E32:E42)</f>
        <v/>
      </c>
      <c r="F44" s="44">
        <f>SUM(F32:F42)</f>
        <v/>
      </c>
      <c r="G44" s="44">
        <f>SUM(G32:G42)</f>
        <v/>
      </c>
      <c r="H44" s="157">
        <f>SUM(H32:H42)</f>
        <v/>
      </c>
      <c r="I44" s="44">
        <f>SUM(I32:I42)</f>
        <v/>
      </c>
      <c r="J44" s="44">
        <f>SUM(J32:J42)</f>
        <v/>
      </c>
      <c r="K44" s="44">
        <f>SUM(K32:K42)</f>
        <v/>
      </c>
      <c r="L44" s="44">
        <f>SUM(L32:L42)</f>
        <v/>
      </c>
      <c r="M44" s="44">
        <f>SUM(M32:M42)</f>
        <v/>
      </c>
      <c r="N44" s="44">
        <f>SUM(N32:N42)</f>
        <v/>
      </c>
      <c r="O44" s="44">
        <f>SUM(O32:O42)</f>
        <v/>
      </c>
      <c r="P44" s="44">
        <f>SUM(P32:P43)</f>
        <v/>
      </c>
      <c r="Q44" s="44">
        <f>SUM(Q32:Q43)</f>
        <v/>
      </c>
      <c r="R44" s="44">
        <f>SUM(R32:R43)</f>
        <v/>
      </c>
      <c r="S44" s="44">
        <f>SUM(S32:S43)</f>
        <v/>
      </c>
      <c r="T44" s="44">
        <f>SUM(T32:T43)</f>
        <v/>
      </c>
      <c r="U44" s="44">
        <f>SUM(U32:U43)</f>
        <v/>
      </c>
      <c r="V44" s="44">
        <f>SUM(V32:V43)</f>
        <v/>
      </c>
      <c r="W44" s="44">
        <f>SUM(W32:W43)</f>
        <v/>
      </c>
      <c r="X44" s="44">
        <f>SUM(X32:X43)</f>
        <v/>
      </c>
      <c r="Y44" s="44">
        <f>SUM(Y32:Y43)</f>
        <v/>
      </c>
      <c r="Z44" s="44">
        <f>SUM(Z32:Z43)</f>
        <v/>
      </c>
      <c r="AA44" s="44">
        <f>SUM(AA32:AA43)</f>
        <v/>
      </c>
      <c r="AB44" s="44">
        <f>SUM(AB32:AB43)</f>
        <v/>
      </c>
      <c r="AC44" s="399">
        <f>SUM(AC32:AC43)</f>
        <v/>
      </c>
      <c r="AD44" s="382">
        <f>SUM(AD32:AD43)</f>
        <v/>
      </c>
      <c r="AE44" s="61" t="n"/>
    </row>
    <row r="45">
      <c r="A45" s="12" t="inlineStr">
        <is>
          <t>Net rental income</t>
        </is>
      </c>
      <c r="B45" s="12" t="n"/>
      <c r="C45" s="90">
        <f>C25+C30+C44</f>
        <v/>
      </c>
      <c r="D45" s="44">
        <f>D25+D30+D44</f>
        <v/>
      </c>
      <c r="E45" s="97">
        <f>E25+E30+E44</f>
        <v/>
      </c>
      <c r="F45" s="44">
        <f>F25+F30+F44</f>
        <v/>
      </c>
      <c r="G45" s="44">
        <f>G25+G30+G44</f>
        <v/>
      </c>
      <c r="H45" s="157">
        <f>H25+H30+H44</f>
        <v/>
      </c>
      <c r="I45" s="44">
        <f>I25+I30+I44</f>
        <v/>
      </c>
      <c r="J45" s="44">
        <f>J25+J30+J44</f>
        <v/>
      </c>
      <c r="K45" s="44">
        <f>K25+K30+K44</f>
        <v/>
      </c>
      <c r="L45" s="44">
        <f>L25+L30+L44</f>
        <v/>
      </c>
      <c r="M45" s="44">
        <f>M25+M30+M44</f>
        <v/>
      </c>
      <c r="N45" s="44">
        <f>N25+N30+N44</f>
        <v/>
      </c>
      <c r="O45" s="44">
        <f>O25+O30+O44</f>
        <v/>
      </c>
      <c r="P45" s="44">
        <f>P25+P30+P44</f>
        <v/>
      </c>
      <c r="Q45" s="44">
        <f>Q25+Q30+Q44</f>
        <v/>
      </c>
      <c r="R45" s="44">
        <f>R25+R30+R44</f>
        <v/>
      </c>
      <c r="S45" s="44">
        <f>S25+S30+S44</f>
        <v/>
      </c>
      <c r="T45" s="44">
        <f>T25+T30+T44</f>
        <v/>
      </c>
      <c r="U45" s="44">
        <f>U25+U30+U44</f>
        <v/>
      </c>
      <c r="V45" s="44">
        <f>V25+V30+V44</f>
        <v/>
      </c>
      <c r="W45" s="44">
        <f>W25+W30+W44</f>
        <v/>
      </c>
      <c r="X45" s="44">
        <f>X25+X30+X44</f>
        <v/>
      </c>
      <c r="Y45" s="44">
        <f>Y25+Y30+Y44</f>
        <v/>
      </c>
      <c r="Z45" s="44">
        <f>Z25+Z30+Z44</f>
        <v/>
      </c>
      <c r="AA45" s="44">
        <f>AA25+AA30+AA44</f>
        <v/>
      </c>
      <c r="AB45" s="44">
        <f>AB25+AB30+AB44</f>
        <v/>
      </c>
      <c r="AC45" s="399">
        <f>AC25+AC30+AC44</f>
        <v/>
      </c>
      <c r="AD45" s="382">
        <f>AD25+AD30+AD44</f>
        <v/>
      </c>
      <c r="AE45" s="61" t="n"/>
    </row>
    <row r="46">
      <c r="A46" s="14" t="inlineStr">
        <is>
          <t>(Management fees)</t>
        </is>
      </c>
      <c r="B46" s="14" t="n"/>
      <c r="C46" s="89">
        <f>-'BalansenWinstverlies - FY2018'!M59</f>
        <v/>
      </c>
      <c r="D46" s="127">
        <f>-'Cijfers QSP - Q1 2019'!P97</f>
        <v/>
      </c>
      <c r="E46" s="96">
        <f>-'Cijfers QSP - Q1 2019'!R97</f>
        <v/>
      </c>
      <c r="F46" s="127">
        <f>-'BDO - Q2 2019'!D80</f>
        <v/>
      </c>
      <c r="G46" s="127">
        <f>-'BDO - Q3 2019'!H78</f>
        <v/>
      </c>
      <c r="H46" s="156">
        <f>-'BDO Q4 2019'!G79</f>
        <v/>
      </c>
      <c r="I46" s="127">
        <f>-'BDO - Q1 2020'!G80</f>
        <v/>
      </c>
      <c r="J46" s="127">
        <f>-'BDO - Q3 2020'!G80</f>
        <v/>
      </c>
      <c r="K46" s="127">
        <f>-'BDO - Q2 2021'!G78</f>
        <v/>
      </c>
      <c r="L46" s="127">
        <f>-'BDO - Q4 2021'!G81</f>
        <v/>
      </c>
      <c r="M46" s="127">
        <f>-'BDO - Q1-22'!G82</f>
        <v/>
      </c>
      <c r="N46" s="127">
        <f>-'BDO - Q2-22'!G82</f>
        <v/>
      </c>
      <c r="O46" s="127">
        <f>-'BDO - Q3-22'!G81</f>
        <v/>
      </c>
      <c r="P46" s="127">
        <f>-'BDO - Q3-23'!D92</f>
        <v/>
      </c>
      <c r="Q46" s="127">
        <f>-'BDO - Q3-23'!E92</f>
        <v/>
      </c>
      <c r="R46" s="127">
        <f>-'BDO - Q3-23'!F92</f>
        <v/>
      </c>
      <c r="S46" s="127">
        <f>-'BDO - Q3-23'!G92</f>
        <v/>
      </c>
      <c r="T46" s="127">
        <f>-'BDO - Q4-23'!G92</f>
        <v/>
      </c>
      <c r="U46" s="127">
        <f>-'BDO - Q1-24'!G78</f>
        <v/>
      </c>
      <c r="V46" s="127">
        <f>-'BDO - Q2-24'!G79</f>
        <v/>
      </c>
      <c r="W46" s="127">
        <f>-'BDO - Q3-24'!G79</f>
        <v/>
      </c>
      <c r="X46" s="127">
        <f>-'BDO - Q4-24'!G79</f>
        <v/>
      </c>
      <c r="Y46" s="127">
        <f>-'BDO - Q1-25'!G80</f>
        <v/>
      </c>
      <c r="Z46" s="127">
        <f>-'BDO - Q2-25'!G80</f>
        <v/>
      </c>
      <c r="AA46" s="127">
        <f>-'BDO - Q3-25'!G83</f>
        <v/>
      </c>
      <c r="AB46" s="127">
        <f>-'BDO - Q4-25'!G85</f>
        <v/>
      </c>
      <c r="AC46" s="402">
        <f>-'BDO - Q1-26'!G87</f>
        <v/>
      </c>
      <c r="AD46" s="382">
        <f>-'BDO - Q1-26'!H87</f>
        <v/>
      </c>
      <c r="AE46" s="61" t="n"/>
    </row>
    <row r="47">
      <c r="A47" s="14" t="inlineStr">
        <is>
          <t>(Management fee Shareholder)</t>
        </is>
      </c>
      <c r="B47" s="14" t="n"/>
      <c r="C47" s="89">
        <f>-'BalansenWinstverlies - FY2018'!M72</f>
        <v/>
      </c>
      <c r="D47" s="127">
        <f>-'Cijfers QSP - Q1 2019'!P107</f>
        <v/>
      </c>
      <c r="E47" s="96">
        <f>-'Cijfers QSP - Q1 2019'!R107</f>
        <v/>
      </c>
      <c r="F47" s="127">
        <f>-'BDO - Q2 2019'!D106</f>
        <v/>
      </c>
      <c r="G47" s="127">
        <f>-'BDO - Q3 2019'!H105</f>
        <v/>
      </c>
      <c r="H47" s="156">
        <f>-'BDO Q4 2019'!G106</f>
        <v/>
      </c>
      <c r="I47" s="127">
        <f>-'BDO - Q1 2020'!G106</f>
        <v/>
      </c>
      <c r="J47" s="127">
        <f>-'BDO - Q3 2020'!G106</f>
        <v/>
      </c>
      <c r="K47" s="127">
        <f>-'BDO - Q2 2021'!G105</f>
        <v/>
      </c>
      <c r="L47" s="127">
        <f>-'BDO - Q4 2021'!G108</f>
        <v/>
      </c>
      <c r="M47" s="127">
        <f>-'BDO - Q1-22'!G109</f>
        <v/>
      </c>
      <c r="N47" s="127">
        <f>-'BDO - Q2-22'!G109</f>
        <v/>
      </c>
      <c r="O47" s="127">
        <f>-'BDO - Q3-22'!G108</f>
        <v/>
      </c>
      <c r="P47" s="127">
        <f>-'BDO - Q4-22'!G113</f>
        <v/>
      </c>
      <c r="Q47" s="127">
        <f>-'BDO - Q1-23'!G116</f>
        <v/>
      </c>
      <c r="R47" s="127">
        <f>-'BDO - Q2-23'!G117</f>
        <v/>
      </c>
      <c r="S47" s="127">
        <f>-'BDO - Q3-23'!G119</f>
        <v/>
      </c>
      <c r="T47" s="127">
        <f>-'BDO - Q4-23'!G117</f>
        <v/>
      </c>
      <c r="U47" s="127">
        <f>-'BDO - Q1-24'!G98</f>
        <v/>
      </c>
      <c r="V47" s="127">
        <f>-'BDO - Q2-24'!G99</f>
        <v/>
      </c>
      <c r="W47" s="127">
        <f>-'BDO - Q3-24'!G99</f>
        <v/>
      </c>
      <c r="X47" s="127">
        <f>-'BDO - Q4-24'!G99</f>
        <v/>
      </c>
      <c r="Y47" s="127">
        <f>-'BDO - Q1-25'!G100</f>
        <v/>
      </c>
      <c r="Z47" s="127">
        <f>-'BDO - Q2-25'!G100</f>
        <v/>
      </c>
      <c r="AA47" s="127">
        <f>-'BDO - Q3-25'!G103</f>
        <v/>
      </c>
      <c r="AB47" s="127">
        <f>-'BDO - Q4-25'!G105</f>
        <v/>
      </c>
      <c r="AC47" s="402">
        <f>-'BDO - Q1-26'!G109</f>
        <v/>
      </c>
      <c r="AD47" s="382">
        <f>-'BDO - Q1-26'!H109</f>
        <v/>
      </c>
      <c r="AE47" s="61" t="n"/>
    </row>
    <row r="48">
      <c r="A48" s="12" t="inlineStr">
        <is>
          <t>EBITDA rental operation</t>
        </is>
      </c>
      <c r="B48" s="12" t="n"/>
      <c r="C48" s="90">
        <f>C47+C46+C45</f>
        <v/>
      </c>
      <c r="D48" s="44">
        <f>D47+D46+D45</f>
        <v/>
      </c>
      <c r="E48" s="97">
        <f>E47+E46+E45</f>
        <v/>
      </c>
      <c r="F48" s="44">
        <f>F47+F46+F45</f>
        <v/>
      </c>
      <c r="G48" s="44">
        <f>G47+G46+G45</f>
        <v/>
      </c>
      <c r="H48" s="157">
        <f>H47+H46+H45</f>
        <v/>
      </c>
      <c r="I48" s="44">
        <f>I47+I46+I45</f>
        <v/>
      </c>
      <c r="J48" s="44">
        <f>J47+J46+J45</f>
        <v/>
      </c>
      <c r="K48" s="44">
        <f>K47+K46+K45</f>
        <v/>
      </c>
      <c r="L48" s="44">
        <f>L47+L46+L45</f>
        <v/>
      </c>
      <c r="M48" s="44">
        <f>M47+M46+M45</f>
        <v/>
      </c>
      <c r="N48" s="44">
        <f>N47+N46+N45</f>
        <v/>
      </c>
      <c r="O48" s="44">
        <f>O47+O46+O45</f>
        <v/>
      </c>
      <c r="P48" s="44">
        <f>P47+P46+P45</f>
        <v/>
      </c>
      <c r="Q48" s="44">
        <f>Q47+Q46+Q45</f>
        <v/>
      </c>
      <c r="R48" s="44">
        <f>R47+R46+R45</f>
        <v/>
      </c>
      <c r="S48" s="44">
        <f>S47+S46+S45</f>
        <v/>
      </c>
      <c r="T48" s="44">
        <f>T47+T46+T45</f>
        <v/>
      </c>
      <c r="U48" s="44">
        <f>U47+U46+U45</f>
        <v/>
      </c>
      <c r="V48" s="44">
        <f>V47+V46+V45</f>
        <v/>
      </c>
      <c r="W48" s="44">
        <f>W47+W46+W45</f>
        <v/>
      </c>
      <c r="X48" s="44">
        <f>X47+X46+X45</f>
        <v/>
      </c>
      <c r="Y48" s="44">
        <f>Y47+Y46+Y45</f>
        <v/>
      </c>
      <c r="Z48" s="44">
        <f>Z47+Z46+Z45</f>
        <v/>
      </c>
      <c r="AA48" s="44">
        <f>AA47+AA46+AA45</f>
        <v/>
      </c>
      <c r="AB48" s="44">
        <f>AB47+AB46+AB45</f>
        <v/>
      </c>
      <c r="AC48" s="399">
        <f>AC47+AC46+AC45</f>
        <v/>
      </c>
      <c r="AD48" s="382">
        <f>AD47+AD46+AD45</f>
        <v/>
      </c>
      <c r="AE48" s="61" t="n"/>
    </row>
    <row r="49">
      <c r="A49" s="3" t="n"/>
      <c r="B49" s="3" t="n"/>
      <c r="C49" s="92" t="n"/>
      <c r="D49" s="43" t="n"/>
      <c r="E49" s="99" t="n"/>
      <c r="F49" s="43" t="n"/>
      <c r="G49" s="43" t="n"/>
      <c r="H49" s="159" t="n"/>
      <c r="I49" s="159" t="n"/>
      <c r="J49" s="159" t="n"/>
      <c r="K49" s="159" t="n"/>
      <c r="L49" s="159" t="n"/>
      <c r="M49" s="159" t="n"/>
      <c r="N49" s="159" t="n"/>
      <c r="O49" s="159" t="n"/>
      <c r="P49" s="159" t="n"/>
      <c r="Q49" s="159" t="n"/>
      <c r="R49" s="159" t="n"/>
      <c r="S49" s="159" t="n"/>
      <c r="T49" s="159" t="n"/>
      <c r="U49" s="159" t="n"/>
      <c r="V49" s="159" t="n"/>
      <c r="W49" s="159" t="n"/>
      <c r="X49" s="159" t="n"/>
      <c r="Y49" s="159" t="n"/>
      <c r="Z49" s="159" t="n"/>
      <c r="AA49" s="159" t="n"/>
      <c r="AB49" s="159" t="n"/>
      <c r="AC49" s="404" t="n"/>
      <c r="AD49" s="382" t="n"/>
      <c r="AE49" s="61" t="n"/>
    </row>
    <row r="50">
      <c r="A50" s="14" t="inlineStr">
        <is>
          <t>Cash proceeds sale</t>
        </is>
      </c>
      <c r="B50" s="14" t="n"/>
      <c r="C50" s="93" t="n">
        <v>3561500</v>
      </c>
      <c r="D50" s="128" t="n">
        <v>1019250</v>
      </c>
      <c r="E50" s="100" t="n">
        <v>4580750</v>
      </c>
      <c r="F50" s="128" t="n">
        <v>1930000</v>
      </c>
      <c r="G50" s="128" t="n">
        <v>914000</v>
      </c>
      <c r="H50" s="160" t="n">
        <v>2385500</v>
      </c>
      <c r="I50" s="160" t="n">
        <v>2073000</v>
      </c>
      <c r="J50" s="160" t="n">
        <v>1493253</v>
      </c>
      <c r="K50" s="160" t="n">
        <v>3405253</v>
      </c>
      <c r="L50" s="160" t="n">
        <v>2116000</v>
      </c>
      <c r="M50" s="160" t="n">
        <v>781000</v>
      </c>
      <c r="N50" s="128" t="n">
        <v>664000</v>
      </c>
      <c r="O50" s="128" t="n">
        <v>858500</v>
      </c>
      <c r="P50" s="128" t="n">
        <v>275000</v>
      </c>
      <c r="Q50" s="128" t="n">
        <v>215000</v>
      </c>
      <c r="R50" s="128" t="n">
        <v>490007</v>
      </c>
      <c r="S50" s="128" t="n">
        <v>1303664</v>
      </c>
      <c r="T50" s="128" t="n">
        <v>2171300</v>
      </c>
      <c r="U50" s="128" t="n">
        <v>1593500</v>
      </c>
      <c r="V50" s="128" t="n">
        <v>1418500</v>
      </c>
      <c r="W50" s="128" t="n">
        <v>1422000</v>
      </c>
      <c r="X50" s="128" t="n">
        <v>0</v>
      </c>
      <c r="Y50" s="128" t="n">
        <v>1753119</v>
      </c>
      <c r="Z50" s="128" t="n">
        <v>762500</v>
      </c>
      <c r="AA50" s="128" t="n">
        <v>203555</v>
      </c>
      <c r="AB50" s="128" t="n">
        <v>550000</v>
      </c>
      <c r="AC50" s="405" t="n"/>
      <c r="AD50" s="382">
        <f>SUM(Z50:AC50)</f>
        <v/>
      </c>
      <c r="AE50" s="61" t="n"/>
    </row>
    <row r="51">
      <c r="A51" s="14" t="inlineStr">
        <is>
          <t>(Cost of sales)</t>
        </is>
      </c>
      <c r="B51" s="14" t="n"/>
      <c r="C51" s="93" t="n">
        <v>-2341968</v>
      </c>
      <c r="D51" s="78">
        <f>E51-C51</f>
        <v/>
      </c>
      <c r="E51" s="96">
        <f>'Cijfers QSP - Q1 2019'!P6</f>
        <v/>
      </c>
      <c r="F51" s="127">
        <f>-(F50-F53)</f>
        <v/>
      </c>
      <c r="G51" s="127">
        <f>-(G50-G53)</f>
        <v/>
      </c>
      <c r="H51" s="156">
        <f>-(H50-H53)</f>
        <v/>
      </c>
      <c r="I51" s="156">
        <f>-(I50-I53)</f>
        <v/>
      </c>
      <c r="J51" s="156">
        <f>-(J50-J53)</f>
        <v/>
      </c>
      <c r="K51" s="156">
        <f>-(K50-K53)</f>
        <v/>
      </c>
      <c r="L51" s="156">
        <f>-(L50-L53)</f>
        <v/>
      </c>
      <c r="M51" s="156">
        <f>-(M50-M53)</f>
        <v/>
      </c>
      <c r="N51" s="156">
        <f>-(N50-N53)</f>
        <v/>
      </c>
      <c r="O51" s="156">
        <f>-(O50-O53)</f>
        <v/>
      </c>
      <c r="P51" s="156">
        <f>-(P50-P53)</f>
        <v/>
      </c>
      <c r="Q51" s="156">
        <f>-(Q50-Q53)</f>
        <v/>
      </c>
      <c r="R51" s="156">
        <f>-(R50-R53)</f>
        <v/>
      </c>
      <c r="S51" s="156">
        <f>-(S50-S53)</f>
        <v/>
      </c>
      <c r="T51" s="156">
        <f>-(T50-T53)</f>
        <v/>
      </c>
      <c r="U51" s="156">
        <f>-(U50-U53)</f>
        <v/>
      </c>
      <c r="V51" s="156">
        <f>-(V50-V53)</f>
        <v/>
      </c>
      <c r="W51" s="156">
        <f>-(W50-W53)</f>
        <v/>
      </c>
      <c r="X51" s="156">
        <f>-(X50-X53)</f>
        <v/>
      </c>
      <c r="Y51" s="156">
        <f>-(Y50-Y53)</f>
        <v/>
      </c>
      <c r="Z51" s="127">
        <f>-(Z50-Z53)</f>
        <v/>
      </c>
      <c r="AA51" s="127">
        <f>-(AA50-AA53)</f>
        <v/>
      </c>
      <c r="AB51" s="127">
        <f>-(AB50-AB53)</f>
        <v/>
      </c>
      <c r="AC51" s="402">
        <f>-(AC50-AC53)</f>
        <v/>
      </c>
      <c r="AD51" s="382">
        <f>-(AD50-AD53)</f>
        <v/>
      </c>
      <c r="AE51" s="61" t="n"/>
    </row>
    <row r="52">
      <c r="A52" s="14" t="inlineStr">
        <is>
          <t>(Brokerage costs)</t>
        </is>
      </c>
      <c r="B52" s="14" t="n"/>
      <c r="C52" s="94" t="inlineStr">
        <is>
          <t>Included above</t>
        </is>
      </c>
      <c r="D52" s="129" t="inlineStr">
        <is>
          <t>Included above</t>
        </is>
      </c>
      <c r="E52" s="101" t="inlineStr">
        <is>
          <t>Included above</t>
        </is>
      </c>
      <c r="F52" s="129" t="inlineStr">
        <is>
          <t>Included Above</t>
        </is>
      </c>
      <c r="G52" s="129" t="inlineStr">
        <is>
          <t>Included Above</t>
        </is>
      </c>
      <c r="H52" s="161" t="inlineStr">
        <is>
          <t>Included Above</t>
        </is>
      </c>
      <c r="I52" s="161" t="inlineStr">
        <is>
          <t>Included Above</t>
        </is>
      </c>
      <c r="J52" s="161" t="inlineStr">
        <is>
          <t>Included Above</t>
        </is>
      </c>
      <c r="K52" s="161" t="inlineStr">
        <is>
          <t>Included Above</t>
        </is>
      </c>
      <c r="L52" s="161" t="n"/>
      <c r="M52" s="161" t="n"/>
      <c r="N52" s="161" t="n"/>
      <c r="O52" s="161" t="n"/>
      <c r="P52" s="161" t="n"/>
      <c r="Q52" s="161" t="n"/>
      <c r="R52" s="161" t="n"/>
      <c r="S52" s="161" t="n"/>
      <c r="T52" s="161" t="n"/>
      <c r="U52" s="161" t="n"/>
      <c r="V52" s="161" t="n"/>
      <c r="W52" s="161" t="n"/>
      <c r="X52" s="161" t="n"/>
      <c r="Y52" s="280" t="n"/>
      <c r="Z52" s="280" t="n"/>
      <c r="AA52" s="280" t="n"/>
      <c r="AB52" s="280" t="n"/>
      <c r="AC52" s="406" t="n"/>
      <c r="AD52" s="382" t="n"/>
      <c r="AE52" s="61" t="n"/>
    </row>
    <row r="53">
      <c r="A53" s="12" t="inlineStr">
        <is>
          <t>EBITDA from Sales</t>
        </is>
      </c>
      <c r="B53" s="12" t="n"/>
      <c r="C53" s="90">
        <f>C51+C50</f>
        <v/>
      </c>
      <c r="D53" s="44">
        <f>-'Cijfers QSP - Q1 2019'!P87</f>
        <v/>
      </c>
      <c r="E53" s="97">
        <f>E50+E51</f>
        <v/>
      </c>
      <c r="F53" s="44">
        <f>-'BDO - Q2 2019'!D84</f>
        <v/>
      </c>
      <c r="G53" s="44">
        <f>-'BDO - Q3 2019'!H82</f>
        <v/>
      </c>
      <c r="H53" s="157">
        <f>-'BDO Q4 2019'!G83</f>
        <v/>
      </c>
      <c r="I53" s="44">
        <f>-'BDO - Q1 2020'!G83</f>
        <v/>
      </c>
      <c r="J53" s="44">
        <f>-'BDO - Q3 2020'!G83</f>
        <v/>
      </c>
      <c r="K53" s="44">
        <f>-'BDO - Q2 2021'!G82</f>
        <v/>
      </c>
      <c r="L53" s="44">
        <f>-'BDO - Q4 2021'!G85</f>
        <v/>
      </c>
      <c r="M53" s="44">
        <f>-'BDO - Q1-22'!G86</f>
        <v/>
      </c>
      <c r="N53" s="44">
        <f>-'BDO - Q2-22'!G86</f>
        <v/>
      </c>
      <c r="O53" s="44">
        <f>-'BDO - Q3-22'!G85</f>
        <v/>
      </c>
      <c r="P53" s="44">
        <f>-'BDO - Q4-22'!G90</f>
        <v/>
      </c>
      <c r="Q53" s="44">
        <f>-'BDO - Q1-23'!G93</f>
        <v/>
      </c>
      <c r="R53" s="44">
        <f>-'BDO - Q2-23'!G94</f>
        <v/>
      </c>
      <c r="S53" s="44">
        <f>-'BDO - Q3-23'!G96</f>
        <v/>
      </c>
      <c r="T53" s="44">
        <f>-'BDO - Q4-23'!G96</f>
        <v/>
      </c>
      <c r="U53" s="44">
        <f>-'BDO - Q1-24'!G81</f>
        <v/>
      </c>
      <c r="V53" s="44">
        <f>-'BDO - Q2-24'!G82</f>
        <v/>
      </c>
      <c r="W53" s="44">
        <f>-'BDO - Q3-24'!G82</f>
        <v/>
      </c>
      <c r="X53" s="44">
        <f>-'BDO - Q4-24'!G82</f>
        <v/>
      </c>
      <c r="Y53" s="44">
        <f>-'BDO - Q1-25'!G83</f>
        <v/>
      </c>
      <c r="Z53" s="44">
        <f>-'BDO - Q2-25'!G83</f>
        <v/>
      </c>
      <c r="AA53" s="44">
        <f>-'BDO - Q3-25'!G86</f>
        <v/>
      </c>
      <c r="AB53" s="44">
        <f>-'BDO - Q4-25'!G88</f>
        <v/>
      </c>
      <c r="AC53" s="399">
        <f>-'BDO - Q1-26'!G90</f>
        <v/>
      </c>
      <c r="AD53" s="382">
        <f>-'BDO - Q1-26'!H90</f>
        <v/>
      </c>
      <c r="AE53" s="61" t="n"/>
    </row>
    <row r="54">
      <c r="A54" s="14" t="n"/>
      <c r="B54" s="14" t="n"/>
      <c r="C54" s="92" t="n"/>
      <c r="D54" s="43" t="n"/>
      <c r="E54" s="99" t="n"/>
      <c r="F54" s="43" t="n"/>
      <c r="G54" s="43" t="n"/>
      <c r="H54" s="159" t="n"/>
      <c r="I54" s="43" t="n"/>
      <c r="J54" s="43" t="n"/>
      <c r="K54" s="43" t="n"/>
      <c r="L54" s="43" t="n"/>
      <c r="M54" s="43" t="n"/>
      <c r="N54" s="43" t="n"/>
      <c r="O54" s="43" t="n"/>
      <c r="P54" s="43" t="n"/>
      <c r="Q54" s="43" t="n"/>
      <c r="R54" s="43" t="n"/>
      <c r="S54" s="43" t="n"/>
      <c r="T54" s="43" t="n"/>
      <c r="U54" s="43" t="n"/>
      <c r="V54" s="43" t="n"/>
      <c r="W54" s="43" t="n"/>
      <c r="X54" s="43" t="n"/>
      <c r="Y54" s="43" t="n"/>
      <c r="Z54" s="43" t="n"/>
      <c r="AA54" s="43" t="n"/>
      <c r="AB54" s="43" t="n"/>
      <c r="AC54" s="403" t="n"/>
      <c r="AD54" s="382" t="n"/>
      <c r="AE54" s="61" t="n"/>
    </row>
    <row r="55">
      <c r="A55" s="12" t="inlineStr">
        <is>
          <t>Total EBITDA</t>
        </is>
      </c>
      <c r="B55" s="12" t="n"/>
      <c r="C55" s="90">
        <f>C53+C48</f>
        <v/>
      </c>
      <c r="D55" s="44">
        <f>D53+D48</f>
        <v/>
      </c>
      <c r="E55" s="97">
        <f>E53+E48</f>
        <v/>
      </c>
      <c r="F55" s="44">
        <f>F53+F48</f>
        <v/>
      </c>
      <c r="G55" s="44">
        <f>G53+G48</f>
        <v/>
      </c>
      <c r="H55" s="157">
        <f>H53+H48</f>
        <v/>
      </c>
      <c r="I55" s="44">
        <f>I53+I48</f>
        <v/>
      </c>
      <c r="J55" s="44">
        <f>J53+J48</f>
        <v/>
      </c>
      <c r="K55" s="44">
        <f>K53+K48</f>
        <v/>
      </c>
      <c r="L55" s="44">
        <f>L53+L48</f>
        <v/>
      </c>
      <c r="M55" s="44">
        <f>M53+M48</f>
        <v/>
      </c>
      <c r="N55" s="44">
        <f>N53+N48</f>
        <v/>
      </c>
      <c r="O55" s="44">
        <f>O53+O48</f>
        <v/>
      </c>
      <c r="P55" s="44">
        <f>P53+P48</f>
        <v/>
      </c>
      <c r="Q55" s="44">
        <f>Q53+Q48</f>
        <v/>
      </c>
      <c r="R55" s="44">
        <f>R53+R48</f>
        <v/>
      </c>
      <c r="S55" s="44">
        <f>S53+S48</f>
        <v/>
      </c>
      <c r="T55" s="44">
        <f>T53+T48</f>
        <v/>
      </c>
      <c r="U55" s="44">
        <f>U53+U48</f>
        <v/>
      </c>
      <c r="V55" s="44">
        <f>V53+V48</f>
        <v/>
      </c>
      <c r="W55" s="44">
        <f>W53+W48</f>
        <v/>
      </c>
      <c r="X55" s="44">
        <f>X53+X48</f>
        <v/>
      </c>
      <c r="Y55" s="44">
        <f>Y53+Y48</f>
        <v/>
      </c>
      <c r="Z55" s="44">
        <f>Z53+Z48</f>
        <v/>
      </c>
      <c r="AA55" s="44">
        <f>AA53+AA48</f>
        <v/>
      </c>
      <c r="AB55" s="44">
        <f>AB53+AB48</f>
        <v/>
      </c>
      <c r="AC55" s="399">
        <f>AC53+AC48</f>
        <v/>
      </c>
      <c r="AD55" s="382">
        <f>AD53+AD48</f>
        <v/>
      </c>
      <c r="AE55" s="61" t="n"/>
    </row>
    <row r="56">
      <c r="A56" s="14" t="inlineStr">
        <is>
          <t>(Depreciation)</t>
        </is>
      </c>
      <c r="B56" s="12" t="n"/>
      <c r="C56" s="89">
        <f>-'BalansenWinstverlies - FY2018'!M60</f>
        <v/>
      </c>
      <c r="D56" s="127">
        <f>-'Cijfers QSP - Q1 2019'!P86</f>
        <v/>
      </c>
      <c r="E56" s="96">
        <f>-'Cijfers QSP - Q1 2019'!R86</f>
        <v/>
      </c>
      <c r="F56" s="127">
        <f>-'BDO - Q2 2019'!D83</f>
        <v/>
      </c>
      <c r="G56" s="127">
        <f>-'BDO - Q3 2019'!H81</f>
        <v/>
      </c>
      <c r="H56" s="156">
        <f>-'BDO Q4 2019'!G82</f>
        <v/>
      </c>
      <c r="I56" s="127">
        <f>-'BDO - Q1 2020'!G82</f>
        <v/>
      </c>
      <c r="J56" s="127">
        <f>-'BDO - Q3 2020'!G82</f>
        <v/>
      </c>
      <c r="K56" s="127">
        <f>-'BDO - Q2 2021'!G81</f>
        <v/>
      </c>
      <c r="L56" s="127">
        <f>-'BDO - Q4 2021'!G84</f>
        <v/>
      </c>
      <c r="M56" s="127">
        <f>-'BDO - Q1-22'!G85</f>
        <v/>
      </c>
      <c r="N56" s="127">
        <f>-'BDO - Q2-22'!G85</f>
        <v/>
      </c>
      <c r="O56" s="127">
        <f>-'BDO - Q3-22'!G84</f>
        <v/>
      </c>
      <c r="P56" s="127">
        <f>-'BDO - Q3-23'!D95</f>
        <v/>
      </c>
      <c r="Q56" s="127">
        <f>-'BDO - Q3-23'!E95</f>
        <v/>
      </c>
      <c r="R56" s="127">
        <f>-'BDO - Q3-23'!F95</f>
        <v/>
      </c>
      <c r="S56" s="127">
        <f>-'BDO - Q3-23'!G95</f>
        <v/>
      </c>
      <c r="T56" s="127">
        <f>-'BDO - Q4-23'!G95</f>
        <v/>
      </c>
      <c r="U56" s="127">
        <f>-'BDO - Q1-24'!G80</f>
        <v/>
      </c>
      <c r="V56" s="127">
        <f>-'BDO - Q2-24'!G81</f>
        <v/>
      </c>
      <c r="W56" s="127">
        <f>-'BDO - Q3-24'!G81</f>
        <v/>
      </c>
      <c r="X56" s="127">
        <f>-'BDO - Q4-24'!G81</f>
        <v/>
      </c>
      <c r="Y56" s="127">
        <f>-'BDO - Q1-25'!G82</f>
        <v/>
      </c>
      <c r="Z56" s="127">
        <f>-'BDO - Q2-25'!G82</f>
        <v/>
      </c>
      <c r="AA56" s="127">
        <f>-'BDO - Q3-25'!G85</f>
        <v/>
      </c>
      <c r="AB56" s="127">
        <f>-'BDO - Q4-25'!G87</f>
        <v/>
      </c>
      <c r="AC56" s="402">
        <f>-'BDO - Q1-26'!G89</f>
        <v/>
      </c>
      <c r="AD56" s="382">
        <f>-'BDO - Q1-26'!H89</f>
        <v/>
      </c>
      <c r="AE56" s="61" t="n"/>
    </row>
    <row r="57">
      <c r="A57" s="12" t="inlineStr">
        <is>
          <t>EBIT</t>
        </is>
      </c>
      <c r="B57" s="12" t="n"/>
      <c r="C57" s="90">
        <f>C56+C55</f>
        <v/>
      </c>
      <c r="D57" s="44">
        <f>D56+D55</f>
        <v/>
      </c>
      <c r="E57" s="97">
        <f>E56+E55</f>
        <v/>
      </c>
      <c r="F57" s="44">
        <f>F56+F55</f>
        <v/>
      </c>
      <c r="G57" s="44">
        <f>G56+G55</f>
        <v/>
      </c>
      <c r="H57" s="157">
        <f>H56+H55</f>
        <v/>
      </c>
      <c r="I57" s="44">
        <f>I56+I55</f>
        <v/>
      </c>
      <c r="J57" s="44">
        <f>J56+J55</f>
        <v/>
      </c>
      <c r="K57" s="44">
        <f>K56+K55</f>
        <v/>
      </c>
      <c r="L57" s="44">
        <f>L56+L55</f>
        <v/>
      </c>
      <c r="M57" s="44">
        <f>M56+M55</f>
        <v/>
      </c>
      <c r="N57" s="44">
        <f>N56+N55</f>
        <v/>
      </c>
      <c r="O57" s="44">
        <f>O56+O55</f>
        <v/>
      </c>
      <c r="P57" s="44">
        <f>P56+P55</f>
        <v/>
      </c>
      <c r="Q57" s="44">
        <f>Q56+Q55</f>
        <v/>
      </c>
      <c r="R57" s="44">
        <f>R56+R55</f>
        <v/>
      </c>
      <c r="S57" s="44">
        <f>S56+S55</f>
        <v/>
      </c>
      <c r="T57" s="44">
        <f>T56+T55</f>
        <v/>
      </c>
      <c r="U57" s="44">
        <f>U56+U55</f>
        <v/>
      </c>
      <c r="V57" s="44">
        <f>V56+V55</f>
        <v/>
      </c>
      <c r="W57" s="44">
        <f>W56+W55</f>
        <v/>
      </c>
      <c r="X57" s="44">
        <f>X56+X55</f>
        <v/>
      </c>
      <c r="Y57" s="44">
        <f>Y56+Y55</f>
        <v/>
      </c>
      <c r="Z57" s="44">
        <f>Z56+Z55</f>
        <v/>
      </c>
      <c r="AA57" s="44">
        <f>AA56+AA55</f>
        <v/>
      </c>
      <c r="AB57" s="44">
        <f>AB56+AB55</f>
        <v/>
      </c>
      <c r="AC57" s="399">
        <f>AC56+AC55</f>
        <v/>
      </c>
      <c r="AD57" s="382">
        <f>AD56+AD55</f>
        <v/>
      </c>
      <c r="AE57" s="61" t="n"/>
    </row>
    <row r="58">
      <c r="A58" s="12" t="n"/>
      <c r="B58" s="12" t="n"/>
      <c r="C58" s="90" t="n"/>
      <c r="D58" s="44" t="n"/>
      <c r="E58" s="97" t="n"/>
      <c r="F58" s="44" t="n"/>
      <c r="G58" s="44" t="n"/>
      <c r="H58" s="157" t="n"/>
      <c r="I58" s="44" t="n"/>
      <c r="J58" s="44" t="n"/>
      <c r="K58" s="44" t="n"/>
      <c r="L58" s="44" t="n"/>
      <c r="M58" s="44" t="n"/>
      <c r="N58" s="44" t="n"/>
      <c r="O58" s="44" t="n"/>
      <c r="P58" s="44" t="n"/>
      <c r="Q58" s="44" t="n"/>
      <c r="R58" s="44" t="n"/>
      <c r="S58" s="44" t="n"/>
      <c r="T58" s="44" t="n"/>
      <c r="U58" s="44" t="n"/>
      <c r="V58" s="44" t="n"/>
      <c r="W58" s="44" t="n"/>
      <c r="X58" s="44" t="n"/>
      <c r="Y58" s="44" t="n"/>
      <c r="Z58" s="44" t="n"/>
      <c r="AA58" s="44" t="n"/>
      <c r="AB58" s="44" t="n"/>
      <c r="AC58" s="399" t="n"/>
      <c r="AD58" s="382" t="n"/>
      <c r="AE58" s="61" t="n"/>
    </row>
    <row r="59">
      <c r="A59" s="14" t="n"/>
      <c r="B59" s="14" t="n"/>
      <c r="C59" s="89">
        <f>-'BalansenWinstverlies - FY2018'!M80</f>
        <v/>
      </c>
      <c r="E59" s="102" t="n"/>
      <c r="H59" s="162" t="n"/>
      <c r="AC59" s="224" t="n"/>
      <c r="AD59" s="382" t="n"/>
      <c r="AE59" s="61" t="n"/>
    </row>
    <row r="60">
      <c r="A60" s="14" t="inlineStr">
        <is>
          <t>(Net interest expenses - SFA)</t>
        </is>
      </c>
      <c r="B60" s="14" t="n"/>
      <c r="C60" s="89">
        <f>-'BalansenWinstverlies - FY2018'!M81+845000</f>
        <v/>
      </c>
      <c r="D60" s="127">
        <f>-'Cijfers QSP - Q1 2019'!P118</f>
        <v/>
      </c>
      <c r="E60" s="96">
        <f>-'Cijfers QSP - Q1 2019'!R118</f>
        <v/>
      </c>
      <c r="F60" s="127">
        <f>-'BDO - Q2 2019'!D117</f>
        <v/>
      </c>
      <c r="G60" s="127">
        <f>-'BDO - Q3 2019'!H117</f>
        <v/>
      </c>
      <c r="H60" s="156">
        <f>-'BDO Q4 2019'!G118</f>
        <v/>
      </c>
      <c r="I60" s="127">
        <f>-'BDO - Q1 2020'!G118</f>
        <v/>
      </c>
      <c r="J60" s="127">
        <f>-'BDO - Q3 2020'!G118</f>
        <v/>
      </c>
      <c r="K60" s="127">
        <f>-'BDO - Q2 2021'!G116</f>
        <v/>
      </c>
      <c r="L60" s="127">
        <f>-'BDO - Q4 2021'!G119</f>
        <v/>
      </c>
      <c r="M60" s="127">
        <f>-'BDO - Q1-22'!G120</f>
        <v/>
      </c>
      <c r="N60" s="127">
        <f>-'BDO - Q2-22'!G120</f>
        <v/>
      </c>
      <c r="O60" s="127">
        <f>-'BDO - Q3-22'!G119</f>
        <v/>
      </c>
      <c r="P60" s="127">
        <f>-'BDO - Q3-23'!D132-'BDO - Q3-23'!D131</f>
        <v/>
      </c>
      <c r="Q60" s="127">
        <f>-'BDO - Q3-23'!E132-'BDO - Q3-23'!E131</f>
        <v/>
      </c>
      <c r="R60" s="127">
        <f>-'BDO - Q3-23'!F132-'BDO - Q3-23'!F131</f>
        <v/>
      </c>
      <c r="S60" s="127">
        <f>-'BDO - Q3-23'!G132-'BDO - Q3-23'!G131</f>
        <v/>
      </c>
      <c r="T60" s="127">
        <f>-'BDO - Q4-23'!G132-'BDO - Q4-23'!G131</f>
        <v/>
      </c>
      <c r="U60" s="127">
        <f>-'BDO - Q1-24'!G111-'BDO - Q1-24'!G108-'BDO - Q1-24'!G109-'BDO - Q1-24'!G110-'BDO - Q1-24'!G113</f>
        <v/>
      </c>
      <c r="V60" s="127">
        <f>-'BDO - Q2-24'!G112-'BDO - Q2-24'!G109-'BDO - Q2-24'!G110-'BDO - Q2-24'!G111-'BDO - Q2-24'!G114</f>
        <v/>
      </c>
      <c r="W60" s="127">
        <f>-'BDO - Q3-24'!G112-'BDO - Q3-24'!G109-'BDO - Q3-24'!G110-'BDO - Q3-24'!G111-'BDO - Q3-24'!G114-21750</f>
        <v/>
      </c>
      <c r="X60" s="127">
        <f>-'BDO - Q4-24'!G112-'BDO - Q4-24'!G109-'BDO - Q4-24'!G110-'BDO - Q4-24'!G111-'BDO - Q4-24'!G114-21750</f>
        <v/>
      </c>
      <c r="Y60" s="127">
        <f>-'BDO - Q1-25'!G111-'BDO - Q1-25'!G112-'BDO - Q1-25'!G113-'BDO - Q1-25'!G114-'BDO - Q1-25'!G116</f>
        <v/>
      </c>
      <c r="Z60" s="127">
        <f>-'BDO - Q2-25'!G111-'BDO - Q2-25'!G112-'BDO - Q2-25'!G113-'BDO - Q2-25'!G114-'BDO - Q2-25'!G116</f>
        <v/>
      </c>
      <c r="AA60" s="127">
        <f>-'BDO - Q3-25'!G114-'BDO - Q3-25'!G115-'BDO - Q3-25'!G116-'BDO - Q3-25'!G117-'BDO - Q3-25'!G119</f>
        <v/>
      </c>
      <c r="AB60" s="127">
        <f t="array" ref="AB60">-SUM('BDO - Q4-25'!G116:G119-'BDO - Q4-25'!G121)</f>
        <v/>
      </c>
      <c r="AC60" s="402">
        <f>-'BDO - Q1-26'!G119-'BDO - Q1-26'!G120-'BDO - Q1-26'!G121-'BDO - Q1-26'!G122-'BDO - Q1-26'!G123-'BDO - Q1-26'!G124-'BDO - Q1-26'!G126</f>
        <v/>
      </c>
      <c r="AD60" s="382">
        <f>-'BDO - Q1-26'!H119-'BDO - Q1-26'!H120-'BDO - Q1-26'!H121-'BDO - Q1-26'!H122-'BDO - Q1-26'!H123-'BDO - Q1-26'!H124-'BDO - Q1-26'!H126</f>
        <v/>
      </c>
      <c r="AE60" s="61" t="n"/>
    </row>
    <row r="61">
      <c r="A61" s="14" t="inlineStr">
        <is>
          <t>(Prepaid derivatives transaction- SFA)</t>
        </is>
      </c>
      <c r="B61" s="14" t="n"/>
      <c r="C61" s="89">
        <f>-845000</f>
        <v/>
      </c>
      <c r="D61" s="127" t="n">
        <v>0</v>
      </c>
      <c r="E61" s="96" t="n">
        <v>0</v>
      </c>
      <c r="F61" s="127" t="inlineStr">
        <is>
          <t>-</t>
        </is>
      </c>
      <c r="G61" s="127" t="n"/>
      <c r="H61" s="156" t="n"/>
      <c r="I61" s="127" t="n"/>
      <c r="J61" s="127" t="n"/>
      <c r="K61" s="127" t="n"/>
      <c r="L61" s="127" t="n"/>
      <c r="M61" s="127" t="n"/>
      <c r="N61" s="127" t="n"/>
      <c r="O61" s="127" t="n"/>
      <c r="P61" s="127">
        <f>-'BDO - Q3-23'!D154</f>
        <v/>
      </c>
      <c r="Q61" s="127">
        <f>-'BDO - Q3-23'!E154</f>
        <v/>
      </c>
      <c r="R61" s="127">
        <f>-'BDO - Q3-23'!F154</f>
        <v/>
      </c>
      <c r="S61" s="127">
        <f>-'BDO - Q3-23'!G154</f>
        <v/>
      </c>
      <c r="T61" s="127">
        <f>-'BDO - Q4-23'!G154</f>
        <v/>
      </c>
      <c r="U61" s="127">
        <f>-'BDO - Q1-24'!G128</f>
        <v/>
      </c>
      <c r="V61" s="127">
        <f>-'BDO - Q2-24'!G129</f>
        <v/>
      </c>
      <c r="W61" s="127">
        <f>-'BDO - Q3-24'!G129</f>
        <v/>
      </c>
      <c r="X61" s="127">
        <f>-'BDO - Q4-24'!G129</f>
        <v/>
      </c>
      <c r="Y61" s="127">
        <f>-'BDO - Q1-25'!G131</f>
        <v/>
      </c>
      <c r="Z61" s="127">
        <f>-'BDO - Q2-25'!G131</f>
        <v/>
      </c>
      <c r="AA61" s="127">
        <f>-'BDO - Q3-25'!G134</f>
        <v/>
      </c>
      <c r="AB61" s="127">
        <f>-'BDO - Q4-25'!G136</f>
        <v/>
      </c>
      <c r="AC61" s="402">
        <f>'BDO - Q1-26'!G15</f>
        <v/>
      </c>
      <c r="AD61" s="382">
        <f>SUM(Y61:AC61)</f>
        <v/>
      </c>
      <c r="AE61" s="61" t="inlineStr">
        <is>
          <t>Amortisation of the prepaid derivatives transaction at the refinancing (non-cash)</t>
        </is>
      </c>
    </row>
    <row r="62" outlineLevel="1">
      <c r="A62" s="14" t="inlineStr">
        <is>
          <t>(Net interest expenses - QSPESS Limited)</t>
        </is>
      </c>
      <c r="B62" s="14" t="n"/>
      <c r="C62" s="89">
        <f>-'BalansenWinstverlies - FY2018'!M82</f>
        <v/>
      </c>
      <c r="D62" s="127" t="n">
        <v>0</v>
      </c>
      <c r="E62" s="96" t="n">
        <v>0</v>
      </c>
      <c r="F62" s="127" t="inlineStr">
        <is>
          <t>-</t>
        </is>
      </c>
      <c r="G62" s="127" t="n"/>
      <c r="H62" s="156" t="n"/>
      <c r="I62" s="127" t="n"/>
      <c r="J62" s="127" t="n"/>
      <c r="K62" s="127" t="n"/>
      <c r="L62" s="127" t="n"/>
      <c r="M62" s="127" t="n"/>
      <c r="N62" s="127" t="n"/>
      <c r="O62" s="127" t="n"/>
      <c r="P62" s="127" t="n"/>
      <c r="Q62" s="127" t="n"/>
      <c r="R62" s="127" t="n"/>
      <c r="S62" s="127" t="n"/>
      <c r="T62" s="127" t="n"/>
      <c r="U62" s="127" t="n"/>
      <c r="V62" s="127" t="n"/>
      <c r="W62" s="127" t="n"/>
      <c r="X62" s="127" t="n"/>
      <c r="Y62" s="127" t="n"/>
      <c r="Z62" s="127" t="n"/>
      <c r="AA62" s="127" t="n"/>
      <c r="AB62" s="127" t="n"/>
      <c r="AC62" s="402" t="n"/>
      <c r="AD62" s="382" t="n"/>
      <c r="AE62" s="61" t="n"/>
    </row>
    <row r="63" outlineLevel="1" collapsed="1">
      <c r="A63" s="14" t="inlineStr">
        <is>
          <t>(Net interest expenses - Tax/other)</t>
        </is>
      </c>
      <c r="B63" s="14" t="n"/>
      <c r="C63" s="89">
        <f>-'BalansenWinstverlies - FY2018'!M83</f>
        <v/>
      </c>
      <c r="D63" s="127" t="n">
        <v>0</v>
      </c>
      <c r="E63" s="96" t="n">
        <v>0</v>
      </c>
      <c r="F63" s="127" t="inlineStr">
        <is>
          <t>-</t>
        </is>
      </c>
      <c r="G63" s="127" t="n"/>
      <c r="H63" s="156" t="n"/>
      <c r="I63" s="127" t="n"/>
      <c r="J63" s="127">
        <f>-('BDO - Q3 2020'!G120+'BDO - Q3 2020'!G122)</f>
        <v/>
      </c>
      <c r="K63" s="127">
        <f>-'BDO - Q2 2021'!G117-'BDO - Q2 2021'!G117-'BDO - Q2 2021'!G120</f>
        <v/>
      </c>
      <c r="L63" s="127">
        <f>-'BDO - Q4 2021'!G120-'BDO - Q4 2021'!G121-'BDO - Q4 2021'!G123</f>
        <v/>
      </c>
      <c r="M63" s="127">
        <f>-('BDO - Q1-22'!G124-'BDO - Q1-22'!G126-'BDO - Q1-22'!G127)</f>
        <v/>
      </c>
      <c r="N63" s="127">
        <f>-('BDO - Q2-22'!G124-'BDO - Q2-22'!G126-'BDO - Q2-22'!G127)</f>
        <v/>
      </c>
      <c r="O63" s="127">
        <f>-('BDO - Q3-22'!G123-'BDO - Q3-22'!G125-'BDO - Q3-22'!G126)</f>
        <v/>
      </c>
      <c r="P63" s="127">
        <f>-('BDO - Q1-23'!F128-'BDO - Q1-23'!F131)</f>
        <v/>
      </c>
      <c r="Q63" s="127">
        <f>-('BDO - Q1-23'!G128-'BDO - Q1-23'!G131)</f>
        <v/>
      </c>
      <c r="R63" s="127" t="n"/>
      <c r="S63" s="127" t="n"/>
      <c r="T63" s="127" t="n"/>
      <c r="U63" s="288" t="n"/>
      <c r="V63" s="288" t="n"/>
      <c r="W63" s="288" t="n"/>
      <c r="X63" s="127" t="n"/>
      <c r="Y63" s="127" t="n"/>
      <c r="Z63" s="127" t="n"/>
      <c r="AA63" s="127" t="n"/>
      <c r="AB63" s="127" t="n"/>
      <c r="AC63" s="402" t="n"/>
      <c r="AD63" s="382" t="n"/>
      <c r="AE63" s="61" t="n"/>
    </row>
    <row r="64">
      <c r="A64" s="14" t="inlineStr">
        <is>
          <t>(Net interest expenses - Hedge)</t>
        </is>
      </c>
      <c r="B64" s="14" t="n"/>
      <c r="C64" s="89">
        <f>-'BalansenWinstverlies - FY2018'!M84</f>
        <v/>
      </c>
      <c r="D64" s="127">
        <f>-'Cijfers QSP - Q1 2019'!P121</f>
        <v/>
      </c>
      <c r="E64" s="96">
        <f>-'Cijfers QSP - Q1 2019'!R121</f>
        <v/>
      </c>
      <c r="F64" s="127">
        <f>-'BDO - Q2 2019'!D120</f>
        <v/>
      </c>
      <c r="G64" s="127">
        <f>-'BDO - Q3 2019'!H120</f>
        <v/>
      </c>
      <c r="H64" s="156">
        <f>-'BDO Q4 2019'!G121</f>
        <v/>
      </c>
      <c r="I64" s="127">
        <f>-'BDO - Q1 2020'!G121</f>
        <v/>
      </c>
      <c r="J64" s="127">
        <f>-'BDO - Q3 2020'!G121</f>
        <v/>
      </c>
      <c r="K64" s="127">
        <f>-'BDO - Q2 2021'!G119</f>
        <v/>
      </c>
      <c r="L64" s="127">
        <f>-'BDO - Q4 2021'!G122</f>
        <v/>
      </c>
      <c r="M64" s="127">
        <f>-'BDO - Q1-22'!G123</f>
        <v/>
      </c>
      <c r="N64" s="127">
        <f>-'BDO - Q2-22'!G123</f>
        <v/>
      </c>
      <c r="O64" s="127">
        <f>-'BDO - Q3-22'!G122</f>
        <v/>
      </c>
      <c r="P64" s="127">
        <f>-'BDO - Q3-23'!D153</f>
        <v/>
      </c>
      <c r="Q64" s="127">
        <f>-'BDO - Q3-23'!E153</f>
        <v/>
      </c>
      <c r="R64" s="127">
        <f>-'BDO - Q3-23'!F153</f>
        <v/>
      </c>
      <c r="S64" s="127">
        <f>-'BDO - Q3-23'!G153</f>
        <v/>
      </c>
      <c r="T64" s="127">
        <f>-'BDO - Q4-23'!G153</f>
        <v/>
      </c>
      <c r="U64" s="127">
        <f>-'BDO - Q1-24'!G127</f>
        <v/>
      </c>
      <c r="V64" s="127">
        <f>-'BDO - Q2-24'!G128</f>
        <v/>
      </c>
      <c r="W64" s="127">
        <f>-'BDO - Q3-24'!G128</f>
        <v/>
      </c>
      <c r="X64" s="127">
        <f>-'BDO - Q4-24'!G128</f>
        <v/>
      </c>
      <c r="Y64" s="127">
        <f>-'BDO - Q1-25'!G130</f>
        <v/>
      </c>
      <c r="Z64" s="127">
        <f>-'BDO - Q2-25'!G130</f>
        <v/>
      </c>
      <c r="AA64" s="127">
        <f>-'BDO - Q3-25'!G133</f>
        <v/>
      </c>
      <c r="AB64" s="127">
        <f>-'BDO - Q4-25'!G135</f>
        <v/>
      </c>
      <c r="AC64" s="402">
        <f>-'BDO - Q1-26'!G125-'BDO - Q1-26'!G15-'BDO - Q1-26'!G126</f>
        <v/>
      </c>
      <c r="AD64" s="382">
        <f>SUM(Y64:AC64)</f>
        <v/>
      </c>
      <c r="AE64" s="279" t="n"/>
    </row>
    <row r="65">
      <c r="A65" s="14" t="inlineStr">
        <is>
          <t>(Net interest income - DMRRP INV I)</t>
        </is>
      </c>
      <c r="B65" s="14" t="n"/>
      <c r="C65" s="89" t="n"/>
      <c r="D65" s="127" t="n"/>
      <c r="E65" s="96" t="n"/>
      <c r="F65" s="127" t="n"/>
      <c r="G65" s="127" t="n"/>
      <c r="H65" s="156" t="n"/>
      <c r="I65" s="127" t="n"/>
      <c r="J65" s="127" t="n"/>
      <c r="K65" s="127" t="n"/>
      <c r="L65" s="127" t="n"/>
      <c r="M65" s="127" t="n"/>
      <c r="N65" s="127" t="n"/>
      <c r="O65" s="127" t="n"/>
      <c r="P65" s="127">
        <f>-'BDO - Q1-23'!F130-'BDO - Q1-23'!F132</f>
        <v/>
      </c>
      <c r="Q65" s="127">
        <f>-'BDO - Q1-23'!G130-'BDO - Q1-23'!G132</f>
        <v/>
      </c>
      <c r="R65" s="127">
        <f>-'BDO - Q2-23'!G131-'BDO - Q2-23'!G133</f>
        <v/>
      </c>
      <c r="S65" s="127">
        <f>-'BDO - Q3-23'!G133-'BDO - Q3-23'!G135</f>
        <v/>
      </c>
      <c r="T65" s="127">
        <f>-'BDO - Q4-23'!G133-'BDO - Q4-23'!G135</f>
        <v/>
      </c>
      <c r="U65" s="127">
        <f>-'BDO - Q1-24'!G109-'BDO - Q1-24'!G114</f>
        <v/>
      </c>
      <c r="V65" s="127">
        <f>-'BDO - Q2-24'!G110-'BDO - Q2-24'!G115</f>
        <v/>
      </c>
      <c r="W65" s="127">
        <f>-'BDO - Q3-24'!G110-'BDO - Q3-24'!G115</f>
        <v/>
      </c>
      <c r="X65" s="127">
        <f>-'BDO - Q4-24'!G110-'BDO - Q4-24'!G115</f>
        <v/>
      </c>
      <c r="Y65" s="127">
        <f>-'BDO - Q1-25'!G117</f>
        <v/>
      </c>
      <c r="Z65" s="127">
        <f>-'BDO - Q2-25'!G117</f>
        <v/>
      </c>
      <c r="AA65" s="127">
        <f>-'BDO - Q3-25'!G120</f>
        <v/>
      </c>
      <c r="AB65" s="127">
        <f>-'BDO - Q4-25'!G122</f>
        <v/>
      </c>
      <c r="AC65" s="402">
        <f>-'BDO - Q1-26'!G127</f>
        <v/>
      </c>
      <c r="AD65" s="382">
        <f>-'BDO - Q1-26'!H127</f>
        <v/>
      </c>
      <c r="AE65" s="61" t="inlineStr">
        <is>
          <t>Interest Income from DMRRP - INV related to the IC loan</t>
        </is>
      </c>
    </row>
    <row r="66">
      <c r="A66" s="12" t="inlineStr">
        <is>
          <t>EBT</t>
        </is>
      </c>
      <c r="B66" s="12" t="n"/>
      <c r="C66" s="90">
        <f>SUM(C57:C64)</f>
        <v/>
      </c>
      <c r="D66" s="44">
        <f>SUM(D57:D64)</f>
        <v/>
      </c>
      <c r="E66" s="97">
        <f>SUM(E57:E64)</f>
        <v/>
      </c>
      <c r="F66" s="44">
        <f>SUM(F57:F64)</f>
        <v/>
      </c>
      <c r="G66" s="44">
        <f>SUM(G57:G64)</f>
        <v/>
      </c>
      <c r="H66" s="157">
        <f>SUM(H57:H64)</f>
        <v/>
      </c>
      <c r="I66" s="44">
        <f>SUM(I57:I64)</f>
        <v/>
      </c>
      <c r="J66" s="44">
        <f>SUM(J57:J64)</f>
        <v/>
      </c>
      <c r="K66" s="44">
        <f>SUM(K57:K64)</f>
        <v/>
      </c>
      <c r="L66" s="44">
        <f>SUM(L57:L64)</f>
        <v/>
      </c>
      <c r="M66" s="44">
        <f>SUM(M57:M64)</f>
        <v/>
      </c>
      <c r="N66" s="44">
        <f>SUM(N57:N64)</f>
        <v/>
      </c>
      <c r="O66" s="44">
        <f>SUM(O57:O64)</f>
        <v/>
      </c>
      <c r="P66" s="44">
        <f>SUM(P57:P65)</f>
        <v/>
      </c>
      <c r="Q66" s="44">
        <f>SUM(Q57:Q65)</f>
        <v/>
      </c>
      <c r="R66" s="44">
        <f>SUM(R57:R65)</f>
        <v/>
      </c>
      <c r="S66" s="44">
        <f>SUM(S57:S65)</f>
        <v/>
      </c>
      <c r="T66" s="44">
        <f>SUM(T57:T65)</f>
        <v/>
      </c>
      <c r="U66" s="44">
        <f>SUM(U57:U65)</f>
        <v/>
      </c>
      <c r="V66" s="44">
        <f>SUM(V57:V65)</f>
        <v/>
      </c>
      <c r="W66" s="44">
        <f>SUM(W57:W65)</f>
        <v/>
      </c>
      <c r="X66" s="44">
        <f>SUM(X57:X65)</f>
        <v/>
      </c>
      <c r="Y66" s="44">
        <f>SUM(Y57:Y65)</f>
        <v/>
      </c>
      <c r="Z66" s="44">
        <f>SUM(Z57:Z65)</f>
        <v/>
      </c>
      <c r="AA66" s="44">
        <f>SUM(AA57:AA65)</f>
        <v/>
      </c>
      <c r="AB66" s="44">
        <f>SUM(AB57:AB65)</f>
        <v/>
      </c>
      <c r="AC66" s="399">
        <f>SUM(AC57:AC65)</f>
        <v/>
      </c>
      <c r="AD66" s="382">
        <f>SUM(AD57:AD65)</f>
        <v/>
      </c>
      <c r="AE66" s="61" t="n"/>
    </row>
    <row r="67">
      <c r="A67" s="192" t="inlineStr">
        <is>
          <t>(Delta DTA &amp; CIT)</t>
        </is>
      </c>
      <c r="B67" s="192" t="n"/>
      <c r="C67" s="193">
        <f>-'BalansenWinstverlies - FY2018'!M85</f>
        <v/>
      </c>
      <c r="D67" s="196">
        <f>-'Cijfers QSP - Q1 2019'!P125</f>
        <v/>
      </c>
      <c r="E67" s="195">
        <f>-'Cijfers QSP - Q1 2019'!R125</f>
        <v/>
      </c>
      <c r="F67" s="196">
        <f>-'BDO - Q2 2019'!D123</f>
        <v/>
      </c>
      <c r="G67" s="196">
        <f>-'BDO - Q3 2019'!H125</f>
        <v/>
      </c>
      <c r="H67" s="197">
        <f>-'BDO Q4 2019'!G126</f>
        <v/>
      </c>
      <c r="I67" s="196">
        <f>-'BDO - Q1 2020'!G126</f>
        <v/>
      </c>
      <c r="J67" s="196">
        <f>-'BDO - Q3 2020'!G128</f>
        <v/>
      </c>
      <c r="K67" s="196">
        <f>-'BDO - Q2 2021'!G125</f>
        <v/>
      </c>
      <c r="L67" s="196">
        <f>-'BDO - Q4 2021'!G128-'BDO - Q4 2021'!G127</f>
        <v/>
      </c>
      <c r="M67" s="196">
        <f>-'BDO - Q1-22'!G130</f>
        <v/>
      </c>
      <c r="N67" s="196">
        <f>-'BDO - Q2-22'!G130</f>
        <v/>
      </c>
      <c r="O67" s="196">
        <f>-'BDO - Q3-22'!G129</f>
        <v/>
      </c>
      <c r="P67" s="196">
        <f>-'BDO - Q3-23'!D143</f>
        <v/>
      </c>
      <c r="Q67" s="196">
        <f>-'BDO - Q3-23'!E143</f>
        <v/>
      </c>
      <c r="R67" s="196">
        <f>-'BDO - Q3-23'!F143</f>
        <v/>
      </c>
      <c r="S67" s="196">
        <f>-'BDO - Q3-23'!G143</f>
        <v/>
      </c>
      <c r="T67" s="196">
        <f>-'BDO - Q4-23'!G143</f>
        <v/>
      </c>
      <c r="U67" s="196">
        <f>-'BDO - Q1-24'!G116-'BDO - Q1-24'!G117</f>
        <v/>
      </c>
      <c r="V67" s="196">
        <f>-'BDO - Q2-24'!G117-'BDO - Q2-24'!G118</f>
        <v/>
      </c>
      <c r="W67" s="196">
        <f>-'BDO - Q3-24'!G117-'BDO - Q3-24'!G118</f>
        <v/>
      </c>
      <c r="X67" s="196">
        <f>-'BDO - Q4-24'!G117-'BDO - Q4-24'!G118</f>
        <v/>
      </c>
      <c r="Y67" s="196">
        <f>-'BDO - Q1-25'!G119-'BDO - Q1-25'!G120</f>
        <v/>
      </c>
      <c r="Z67" s="196">
        <f>-'BDO - Q2-25'!G119-'BDO - Q2-25'!G120</f>
        <v/>
      </c>
      <c r="AA67" s="196">
        <f>-'BDO - Q3-25'!G122-'BDO - Q3-25'!G123</f>
        <v/>
      </c>
      <c r="AB67" s="196">
        <f>-'BDO - Q4-25'!G124-'BDO - Q4-25'!G125</f>
        <v/>
      </c>
      <c r="AC67" s="407">
        <f>-'BDO - Q1-26'!G129-'BDO - Q1-26'!G130</f>
        <v/>
      </c>
      <c r="AD67" s="382">
        <f>-'BDO - Q1-26'!H129-'BDO - Q1-26'!H130</f>
        <v/>
      </c>
      <c r="AE67" s="198" t="n"/>
    </row>
    <row r="68">
      <c r="A68" s="12" t="inlineStr">
        <is>
          <t>Direct result</t>
        </is>
      </c>
      <c r="B68" s="12" t="n"/>
      <c r="C68" s="90">
        <f>C67+C66</f>
        <v/>
      </c>
      <c r="D68" s="44">
        <f>D67+D66</f>
        <v/>
      </c>
      <c r="E68" s="97">
        <f>E67+E66</f>
        <v/>
      </c>
      <c r="F68" s="44">
        <f>F67+F66</f>
        <v/>
      </c>
      <c r="G68" s="408">
        <f>G67+G66</f>
        <v/>
      </c>
      <c r="H68" s="157">
        <f>H67+H66</f>
        <v/>
      </c>
      <c r="I68" s="44">
        <f>I67+I66</f>
        <v/>
      </c>
      <c r="J68" s="44">
        <f>J67+J66</f>
        <v/>
      </c>
      <c r="K68" s="44">
        <f>K67+K66</f>
        <v/>
      </c>
      <c r="L68" s="44">
        <f>L67+L66</f>
        <v/>
      </c>
      <c r="M68" s="44">
        <f>M67+M66</f>
        <v/>
      </c>
      <c r="N68" s="44">
        <f>N67+N66</f>
        <v/>
      </c>
      <c r="O68" s="44">
        <f>O67+O66</f>
        <v/>
      </c>
      <c r="P68" s="44">
        <f>P67+P66</f>
        <v/>
      </c>
      <c r="Q68" s="44">
        <f>Q67+Q66</f>
        <v/>
      </c>
      <c r="R68" s="44">
        <f>R67+R66</f>
        <v/>
      </c>
      <c r="S68" s="44">
        <f>S67+S66</f>
        <v/>
      </c>
      <c r="T68" s="44">
        <f>T67+T66</f>
        <v/>
      </c>
      <c r="U68" s="44">
        <f>U67+U66</f>
        <v/>
      </c>
      <c r="V68" s="44">
        <f>V67+V66</f>
        <v/>
      </c>
      <c r="W68" s="44">
        <f>W67+W66</f>
        <v/>
      </c>
      <c r="X68" s="44">
        <f>X67+X66</f>
        <v/>
      </c>
      <c r="Y68" s="44">
        <f>Y67+Y66</f>
        <v/>
      </c>
      <c r="Z68" s="44">
        <f>Z67+Z66</f>
        <v/>
      </c>
      <c r="AA68" s="44">
        <f>AA67+AA66</f>
        <v/>
      </c>
      <c r="AB68" s="44">
        <f>AB67+AB66</f>
        <v/>
      </c>
      <c r="AC68" s="399">
        <f>AC67+AC66</f>
        <v/>
      </c>
      <c r="AD68" s="409">
        <f>AD66+AD67</f>
        <v/>
      </c>
      <c r="AE68" s="61" t="n"/>
    </row>
    <row r="69">
      <c r="A69" s="12" t="n"/>
      <c r="B69" s="12" t="n"/>
      <c r="C69" s="19" t="n"/>
      <c r="D69" s="19" t="n"/>
      <c r="E69" s="19" t="n"/>
      <c r="F69" s="19" t="n"/>
      <c r="G69" s="117" t="n"/>
      <c r="H69" s="117" t="n"/>
      <c r="I69" s="117" t="n"/>
      <c r="J69" s="117" t="n"/>
      <c r="K69" s="117" t="n"/>
      <c r="L69" s="117" t="n"/>
      <c r="M69" s="117" t="n"/>
      <c r="N69" s="117" t="n"/>
      <c r="O69" s="117" t="n"/>
      <c r="P69" s="117" t="n"/>
      <c r="Q69" s="117" t="n"/>
      <c r="R69" s="117" t="n"/>
      <c r="S69" s="117" t="n"/>
      <c r="T69" s="117" t="n"/>
      <c r="U69" s="117" t="n"/>
      <c r="V69" s="117" t="n"/>
      <c r="W69" s="117" t="n"/>
      <c r="X69" s="117" t="n"/>
      <c r="Y69" s="117" t="n"/>
      <c r="Z69" s="117" t="n"/>
      <c r="AA69" s="282" t="n"/>
      <c r="AB69" s="282" t="n"/>
      <c r="AC69" s="410" t="n"/>
      <c r="AD69" s="392" t="n"/>
    </row>
    <row r="70">
      <c r="A70" s="3" t="n"/>
      <c r="B70" s="411" t="inlineStr">
        <is>
          <t>VALIDATION WARNING: Reconciliation check failed — see details below</t>
        </is>
      </c>
      <c r="C70" s="19" t="n"/>
      <c r="D70" s="19" t="n"/>
      <c r="E70" s="19" t="n"/>
      <c r="F70" s="412" t="n"/>
      <c r="G70" s="412" t="n"/>
      <c r="H70" s="412" t="n"/>
      <c r="I70" s="412" t="n"/>
      <c r="J70" s="413">
        <f>J68+'BDO - Q4 2020'!G130</f>
        <v/>
      </c>
      <c r="K70" s="413">
        <f>K68+'BDO - Q2 2021'!G128</f>
        <v/>
      </c>
      <c r="L70" s="413" t="n"/>
      <c r="M70" s="413" t="n"/>
      <c r="N70" s="413" t="n"/>
      <c r="O70" s="413" t="n"/>
      <c r="P70" s="413" t="n"/>
      <c r="Q70" s="413" t="n"/>
      <c r="R70" s="413" t="n"/>
      <c r="S70" s="413" t="n"/>
      <c r="T70" s="413" t="n"/>
      <c r="U70" s="413" t="n"/>
      <c r="V70" s="413" t="n"/>
      <c r="W70" s="413" t="n"/>
      <c r="X70" s="413" t="n"/>
      <c r="Y70" s="413" t="n"/>
      <c r="Z70" s="413" t="n"/>
      <c r="AA70" s="413" t="n"/>
      <c r="AB70" s="414" t="n"/>
      <c r="AC70" s="415" t="n"/>
      <c r="AD70" s="416" t="n"/>
    </row>
    <row r="71" hidden="1" outlineLevel="2">
      <c r="A71" s="4" t="inlineStr">
        <is>
          <t>Cash Flow statement</t>
        </is>
      </c>
      <c r="B71" s="417" t="inlineStr">
        <is>
          <t xml:space="preserve">  - Template check: Total Equity Movement (BS row 19 = -125,605.38) != Direct Result (P&amp;L row 68 = -283,424.37), difference: 157,818.99</t>
        </is>
      </c>
      <c r="C71" s="11" t="inlineStr">
        <is>
          <t>2018 - Actual</t>
        </is>
      </c>
      <c r="D71" s="11" t="inlineStr">
        <is>
          <t>Q1 2019</t>
        </is>
      </c>
      <c r="E71" s="11" t="inlineStr">
        <is>
          <t>Q2 2018 - Q1 2019 - LTM</t>
        </is>
      </c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418" t="n"/>
      <c r="AD71" s="419" t="n"/>
      <c r="AE71" s="60" t="inlineStr">
        <is>
          <t>Commentary</t>
        </is>
      </c>
    </row>
    <row r="72" hidden="1" outlineLevel="2">
      <c r="A72" s="20" t="inlineStr">
        <is>
          <t>Rental income in period</t>
        </is>
      </c>
      <c r="B72" s="420" t="inlineStr">
        <is>
          <t xml:space="preserve">  - BDO ground truth: Resultaat na belasting (kwartaal D-G) = 537,902.37 (sign-adjusted: -537,902.37)</t>
        </is>
      </c>
      <c r="C72" s="56">
        <f>C25</f>
        <v/>
      </c>
      <c r="D72" s="22">
        <f>D25</f>
        <v/>
      </c>
      <c r="E72" s="22">
        <f>E25</f>
        <v/>
      </c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421" t="n"/>
      <c r="AD72" s="422" t="n"/>
      <c r="AE72" s="61" t="n"/>
    </row>
    <row r="73" hidden="1" outlineLevel="2">
      <c r="A73" s="20" t="inlineStr">
        <is>
          <t>Service Charge Income</t>
        </is>
      </c>
      <c r="B73" s="420" t="inlineStr">
        <is>
          <t xml:space="preserve">  -   Expected (BDO sign-adjusted): -537,902.37</t>
        </is>
      </c>
      <c r="C73" s="56">
        <f>C30</f>
        <v/>
      </c>
      <c r="D73" s="22">
        <f>D30</f>
        <v/>
      </c>
      <c r="E73" s="22">
        <f>E30</f>
        <v/>
      </c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  <c r="AA73" s="22" t="n"/>
      <c r="AB73" s="22" t="n"/>
      <c r="AC73" s="421" t="n"/>
      <c r="AD73" s="423" t="n"/>
      <c r="AE73" s="61" t="n"/>
    </row>
    <row r="74" hidden="1" outlineLevel="2">
      <c r="A74" s="17" t="inlineStr">
        <is>
          <t>(Maintenance &amp; repair costs actual)</t>
        </is>
      </c>
      <c r="B74" s="424" t="inlineStr">
        <is>
          <t xml:space="preserve">  -   Current  (Direct Result P&amp;L row 68): -283,424.37</t>
        </is>
      </c>
      <c r="C74" s="57">
        <f>C32</f>
        <v/>
      </c>
      <c r="D74" s="23">
        <f>D32</f>
        <v/>
      </c>
      <c r="E74" s="23">
        <f>E32</f>
        <v/>
      </c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  <c r="AA74" s="23" t="n"/>
      <c r="AB74" s="23" t="n"/>
      <c r="AC74" s="425" t="n"/>
      <c r="AD74" s="423" t="n"/>
      <c r="AE74" s="61" t="n"/>
    </row>
    <row r="75" hidden="1" outlineLevel="2">
      <c r="A75" s="17" t="inlineStr">
        <is>
          <t>(Owners society costs (VVE))</t>
        </is>
      </c>
      <c r="B75" s="424" t="inlineStr">
        <is>
          <t xml:space="preserve">  -   Difference: 254,478.00</t>
        </is>
      </c>
      <c r="C75" s="57">
        <f>C33</f>
        <v/>
      </c>
      <c r="D75" s="23">
        <f>D33</f>
        <v/>
      </c>
      <c r="E75" s="23">
        <f>E33</f>
        <v/>
      </c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  <c r="AA75" s="23" t="n"/>
      <c r="AB75" s="23" t="n"/>
      <c r="AC75" s="425" t="n"/>
      <c r="AD75" s="423" t="n"/>
      <c r="AE75" s="61" t="n"/>
    </row>
    <row r="76" hidden="1" outlineLevel="2">
      <c r="A76" s="17" t="inlineStr">
        <is>
          <t>(Insurance costs)</t>
        </is>
      </c>
      <c r="B76" s="424" t="inlineStr">
        <is>
          <t xml:space="preserve">  -   Expected (BDO sign-adjusted): -537,902.37</t>
        </is>
      </c>
      <c r="C76" s="57">
        <f>C34</f>
        <v/>
      </c>
      <c r="D76" s="21">
        <f>D34</f>
        <v/>
      </c>
      <c r="E76" s="23">
        <f>E34</f>
        <v/>
      </c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  <c r="AA76" s="23" t="n"/>
      <c r="AB76" s="23" t="n"/>
      <c r="AC76" s="425" t="n"/>
      <c r="AD76" s="423" t="n"/>
      <c r="AE76" s="61" t="inlineStr">
        <is>
          <t>Incl. prepayed amount recorded in balance sheet</t>
        </is>
      </c>
    </row>
    <row r="77" hidden="1" outlineLevel="2">
      <c r="A77" s="17" t="inlineStr">
        <is>
          <t>(Landlord costs)</t>
        </is>
      </c>
      <c r="B77" s="424" t="inlineStr">
        <is>
          <t xml:space="preserve">  -   Current  (Equity Movement BS row 19): -125,605.38</t>
        </is>
      </c>
      <c r="C77" s="57">
        <f>C35</f>
        <v/>
      </c>
      <c r="D77" s="21">
        <f>D35</f>
        <v/>
      </c>
      <c r="E77" s="23">
        <f>E35</f>
        <v/>
      </c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  <c r="AA77" s="23" t="n"/>
      <c r="AB77" s="23" t="n"/>
      <c r="AC77" s="425" t="n"/>
      <c r="AD77" s="423" t="n"/>
      <c r="AE77" s="61" t="n"/>
    </row>
    <row r="78" hidden="1" outlineLevel="2">
      <c r="A78" s="17" t="inlineStr">
        <is>
          <t>(Property tax)</t>
        </is>
      </c>
      <c r="B78" s="424" t="inlineStr">
        <is>
          <t xml:space="preserve">  -   Difference: 412,296.99</t>
        </is>
      </c>
      <c r="C78" s="57">
        <f>C36</f>
        <v/>
      </c>
      <c r="D78" s="21">
        <f>D36</f>
        <v/>
      </c>
      <c r="E78" s="23">
        <f>E36</f>
        <v/>
      </c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  <c r="AA78" s="23" t="n"/>
      <c r="AB78" s="23" t="n"/>
      <c r="AC78" s="425" t="n"/>
      <c r="AD78" s="423" t="n"/>
      <c r="AE78" s="61" t="inlineStr">
        <is>
          <t>Incl. prepayed amount recorded in balance sheet</t>
        </is>
      </c>
    </row>
    <row r="79" hidden="1" outlineLevel="2">
      <c r="A79" s="17" t="inlineStr">
        <is>
          <t>(Water collection, sewerage costs)</t>
        </is>
      </c>
      <c r="B79" s="424" t="inlineStr">
        <is>
          <t xml:space="preserve">  - LTM shadow check: BDO column H (Resultaat na belasting) sign-adjusted = -537,902.37; shadow PL68 (use_closing=True) = -283,424.37 (Δ=254,478.00); shadow BS19 = -125,605.38 (Δ=412,296.99)</t>
        </is>
      </c>
      <c r="C79" s="57">
        <f>C37</f>
        <v/>
      </c>
      <c r="D79" s="21">
        <f>D37</f>
        <v/>
      </c>
      <c r="E79" s="23">
        <f>E37</f>
        <v/>
      </c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  <c r="AA79" s="23" t="n"/>
      <c r="AB79" s="23" t="n"/>
      <c r="AC79" s="425" t="n"/>
      <c r="AD79" s="423" t="n"/>
      <c r="AE79" s="61" t="n"/>
    </row>
    <row r="80" hidden="1" outlineLevel="2">
      <c r="A80" s="17" t="inlineStr">
        <is>
          <t>(Agent costs)</t>
        </is>
      </c>
      <c r="B80" s="424" t="inlineStr">
        <is>
          <t xml:space="preserve">  - Row-by-row: P&amp;L chain result = -283,424.37, BS equity movement = -125,605.38, difference = 157,818.99</t>
        </is>
      </c>
      <c r="C80" s="57">
        <f>C38</f>
        <v/>
      </c>
      <c r="D80" s="23">
        <f>D38</f>
        <v/>
      </c>
      <c r="E80" s="23">
        <f>E38</f>
        <v/>
      </c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  <c r="AA80" s="23" t="n"/>
      <c r="AB80" s="23" t="n"/>
      <c r="AC80" s="425" t="n"/>
      <c r="AD80" s="423" t="n"/>
      <c r="AE80" s="61" t="n"/>
    </row>
    <row r="81" hidden="1" outlineLevel="2">
      <c r="A81" s="17" t="inlineStr">
        <is>
          <t>(Brokerage costs)</t>
        </is>
      </c>
      <c r="B81" s="17" t="n"/>
      <c r="C81" s="57">
        <f>C39</f>
        <v/>
      </c>
      <c r="D81" s="23">
        <f>D39</f>
        <v/>
      </c>
      <c r="E81" s="23">
        <f>E39</f>
        <v/>
      </c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  <c r="AA81" s="23" t="n"/>
      <c r="AB81" s="23" t="n"/>
      <c r="AC81" s="425" t="n"/>
      <c r="AD81" s="423" t="n"/>
      <c r="AE81" s="61" t="n"/>
    </row>
    <row r="82" hidden="1" outlineLevel="2">
      <c r="A82" s="17" t="inlineStr">
        <is>
          <t>(Other costs)</t>
        </is>
      </c>
      <c r="B82" s="17" t="n"/>
      <c r="C82" s="57">
        <f>C40</f>
        <v/>
      </c>
      <c r="D82" s="23">
        <f>D40</f>
        <v/>
      </c>
      <c r="E82" s="23">
        <f>E40</f>
        <v/>
      </c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  <c r="AA82" s="23" t="n"/>
      <c r="AB82" s="23" t="n"/>
      <c r="AC82" s="425" t="n"/>
      <c r="AD82" s="423" t="n"/>
      <c r="AE82" s="61" t="n"/>
    </row>
    <row r="83" hidden="1" outlineLevel="2">
      <c r="A83" s="17" t="inlineStr">
        <is>
          <t>(Accountant costs)</t>
        </is>
      </c>
      <c r="B83" s="17" t="n"/>
      <c r="C83" s="57">
        <f>C41</f>
        <v/>
      </c>
      <c r="D83" s="23">
        <f>D41</f>
        <v/>
      </c>
      <c r="E83" s="23">
        <f>E41</f>
        <v/>
      </c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  <c r="AA83" s="23" t="n"/>
      <c r="AB83" s="23" t="n"/>
      <c r="AC83" s="425" t="n"/>
      <c r="AD83" s="423" t="n"/>
      <c r="AE83" s="61" t="n"/>
    </row>
    <row r="84" hidden="1" outlineLevel="2">
      <c r="A84" s="17" t="inlineStr">
        <is>
          <t>(Advisory costs)</t>
        </is>
      </c>
      <c r="B84" s="17" t="n"/>
      <c r="C84" s="57">
        <f>C42</f>
        <v/>
      </c>
      <c r="D84" s="23">
        <f>D42</f>
        <v/>
      </c>
      <c r="E84" s="23">
        <f>E42</f>
        <v/>
      </c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  <c r="AA84" s="23" t="n"/>
      <c r="AB84" s="23" t="n"/>
      <c r="AC84" s="425" t="n"/>
      <c r="AD84" s="423" t="n"/>
      <c r="AE84" s="61" t="n"/>
    </row>
    <row r="85" hidden="1" outlineLevel="2">
      <c r="A85" s="17" t="inlineStr">
        <is>
          <t>(Management fees)</t>
        </is>
      </c>
      <c r="B85" s="17" t="n"/>
      <c r="C85" s="57">
        <f>C46</f>
        <v/>
      </c>
      <c r="D85" s="23">
        <f>D46</f>
        <v/>
      </c>
      <c r="E85" s="23">
        <f>E46</f>
        <v/>
      </c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  <c r="AA85" s="23" t="n"/>
      <c r="AB85" s="23" t="n"/>
      <c r="AC85" s="425" t="n"/>
      <c r="AD85" s="423" t="n"/>
      <c r="AE85" s="61" t="n"/>
    </row>
    <row r="86" hidden="1" outlineLevel="2">
      <c r="A86" s="17" t="inlineStr">
        <is>
          <t>(Management fee Shareholder)</t>
        </is>
      </c>
      <c r="B86" s="17" t="n"/>
      <c r="C86" s="57">
        <f>C47</f>
        <v/>
      </c>
      <c r="D86" s="23">
        <f>D47</f>
        <v/>
      </c>
      <c r="E86" s="23">
        <f>E47</f>
        <v/>
      </c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  <c r="AA86" s="23" t="n"/>
      <c r="AB86" s="23" t="n"/>
      <c r="AC86" s="425" t="n"/>
      <c r="AD86" s="423" t="n"/>
      <c r="AE86" s="61" t="n"/>
    </row>
    <row r="87" hidden="1" outlineLevel="2">
      <c r="A87" s="18" t="inlineStr">
        <is>
          <t>Cash flow from rent</t>
        </is>
      </c>
      <c r="B87" s="18" t="n"/>
      <c r="C87" s="56">
        <f>SUM(C72:C86)</f>
        <v/>
      </c>
      <c r="D87" s="22">
        <f>SUM(D72:D86)</f>
        <v/>
      </c>
      <c r="E87" s="22">
        <f>SUM(E72:E86)</f>
        <v/>
      </c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  <c r="AA87" s="22" t="n"/>
      <c r="AB87" s="22" t="n"/>
      <c r="AC87" s="421" t="n"/>
      <c r="AD87" s="422" t="n"/>
      <c r="AE87" s="61" t="n"/>
    </row>
    <row r="88" hidden="1" outlineLevel="2">
      <c r="A88" s="18" t="n"/>
      <c r="B88" s="18" t="n"/>
      <c r="C88" s="56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421" t="n"/>
      <c r="AD88" s="422" t="n"/>
      <c r="AE88" s="61" t="n"/>
    </row>
    <row r="89" hidden="1" outlineLevel="2">
      <c r="A89" s="18" t="inlineStr">
        <is>
          <t>Cash from Sales</t>
        </is>
      </c>
      <c r="B89" s="18" t="n"/>
      <c r="C89" s="56">
        <f>C50</f>
        <v/>
      </c>
      <c r="D89" s="107">
        <f>D50</f>
        <v/>
      </c>
      <c r="E89" s="107">
        <f>E50</f>
        <v/>
      </c>
      <c r="F89" s="107" t="n"/>
      <c r="G89" s="107" t="n"/>
      <c r="H89" s="107" t="n"/>
      <c r="I89" s="107" t="n"/>
      <c r="J89" s="107" t="n"/>
      <c r="K89" s="107" t="n"/>
      <c r="L89" s="107" t="n"/>
      <c r="M89" s="107" t="n"/>
      <c r="N89" s="107" t="n"/>
      <c r="O89" s="107" t="n"/>
      <c r="P89" s="107" t="n"/>
      <c r="Q89" s="107" t="n"/>
      <c r="R89" s="107" t="n"/>
      <c r="S89" s="107" t="n"/>
      <c r="T89" s="107" t="n"/>
      <c r="U89" s="107" t="n"/>
      <c r="V89" s="107" t="n"/>
      <c r="W89" s="107" t="n"/>
      <c r="X89" s="107" t="n"/>
      <c r="Y89" s="107" t="n"/>
      <c r="Z89" s="107" t="n"/>
      <c r="AA89" s="107" t="n"/>
      <c r="AB89" s="107" t="n"/>
      <c r="AC89" s="426" t="n"/>
      <c r="AD89" s="422" t="n"/>
      <c r="AE89" s="61" t="n"/>
    </row>
    <row r="90" hidden="1" outlineLevel="2">
      <c r="A90" s="18" t="n"/>
      <c r="B90" s="18" t="n"/>
      <c r="C90" s="56" t="n"/>
      <c r="D90" s="22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  <c r="AA90" s="22" t="n"/>
      <c r="AB90" s="22" t="n"/>
      <c r="AC90" s="421" t="n"/>
      <c r="AD90" s="422" t="n"/>
      <c r="AE90" s="61" t="n"/>
    </row>
    <row r="91" hidden="1" outlineLevel="2">
      <c r="A91" s="18" t="inlineStr">
        <is>
          <t>Total cash flow from operations</t>
        </is>
      </c>
      <c r="B91" s="18" t="n"/>
      <c r="C91" s="56">
        <f>C89+C87</f>
        <v/>
      </c>
      <c r="D91" s="22">
        <f>D89+D87</f>
        <v/>
      </c>
      <c r="E91" s="22">
        <f>E89+E87</f>
        <v/>
      </c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  <c r="AA91" s="22" t="n"/>
      <c r="AB91" s="22" t="n"/>
      <c r="AC91" s="421" t="n"/>
      <c r="AD91" s="422" t="n"/>
      <c r="AE91" s="61" t="n"/>
    </row>
    <row r="92" hidden="1" outlineLevel="2">
      <c r="A92" s="18" t="n"/>
      <c r="B92" s="18" t="n"/>
      <c r="C92" s="56" t="n"/>
      <c r="D92" s="22" t="n"/>
      <c r="E92" s="22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  <c r="AA92" s="22" t="n"/>
      <c r="AB92" s="22" t="n"/>
      <c r="AC92" s="421" t="n"/>
      <c r="AD92" s="422" t="n"/>
      <c r="AE92" s="61" t="n"/>
    </row>
    <row r="93" hidden="1" outlineLevel="2" ht="15.75" customHeight="1">
      <c r="A93" s="14" t="inlineStr">
        <is>
          <t>(Net interest expenses)</t>
        </is>
      </c>
      <c r="B93" s="14" t="n"/>
      <c r="C93" s="57">
        <f>SUM(C59:C64)</f>
        <v/>
      </c>
      <c r="D93" s="23">
        <f>SUM(D59:D64)</f>
        <v/>
      </c>
      <c r="E93" s="23">
        <f>SUM(E59:E64)</f>
        <v/>
      </c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  <c r="AA93" s="23" t="n"/>
      <c r="AB93" s="23" t="n"/>
      <c r="AC93" s="425" t="n"/>
      <c r="AD93" s="423" t="n"/>
      <c r="AE93" s="61" t="n"/>
    </row>
    <row r="94" hidden="1" outlineLevel="2" ht="15.75" customHeight="1">
      <c r="A94" s="14" t="inlineStr">
        <is>
          <t>(Debt redemption SFA)</t>
        </is>
      </c>
      <c r="B94" s="14" t="n"/>
      <c r="C94" s="57">
        <f>-'BalansenWinstverlies - FY2018'!M28-C95</f>
        <v/>
      </c>
      <c r="D94" s="53" t="n">
        <v>0</v>
      </c>
      <c r="E94" s="108">
        <f>C94</f>
        <v/>
      </c>
      <c r="F94" s="108" t="n"/>
      <c r="G94" s="108" t="n"/>
      <c r="H94" s="108" t="n"/>
      <c r="I94" s="108" t="n"/>
      <c r="J94" s="108" t="n"/>
      <c r="K94" s="108" t="n"/>
      <c r="L94" s="108" t="n"/>
      <c r="M94" s="108" t="n"/>
      <c r="N94" s="108" t="n"/>
      <c r="O94" s="108" t="n"/>
      <c r="P94" s="108" t="n"/>
      <c r="Q94" s="108" t="n"/>
      <c r="R94" s="108" t="n"/>
      <c r="S94" s="108" t="n"/>
      <c r="T94" s="108" t="n"/>
      <c r="U94" s="108" t="n"/>
      <c r="V94" s="108" t="n"/>
      <c r="W94" s="108" t="n"/>
      <c r="X94" s="108" t="n"/>
      <c r="Y94" s="108" t="n"/>
      <c r="Z94" s="108" t="n"/>
      <c r="AA94" s="108" t="n"/>
      <c r="AB94" s="108" t="n"/>
      <c r="AC94" s="427" t="n"/>
      <c r="AD94" s="423" t="n"/>
      <c r="AE94" s="61" t="inlineStr">
        <is>
          <t>ABN AMRO deducted the redemption amount per 04-04-2018</t>
        </is>
      </c>
    </row>
    <row r="95" hidden="1" outlineLevel="2">
      <c r="A95" s="14" t="inlineStr">
        <is>
          <t>(Debt redemption from sales)</t>
        </is>
      </c>
      <c r="B95" s="14" t="n"/>
      <c r="C95" s="58" t="n">
        <v>-2632731.86673325</v>
      </c>
      <c r="D95" s="53" t="n">
        <v>0</v>
      </c>
      <c r="E95" s="108">
        <f>C95</f>
        <v/>
      </c>
      <c r="F95" s="108" t="n"/>
      <c r="G95" s="108" t="n"/>
      <c r="H95" s="108" t="n"/>
      <c r="I95" s="108" t="n"/>
      <c r="J95" s="108" t="n"/>
      <c r="K95" s="108" t="n"/>
      <c r="L95" s="108" t="n"/>
      <c r="M95" s="108" t="n"/>
      <c r="N95" s="108" t="n"/>
      <c r="O95" s="108" t="n"/>
      <c r="P95" s="108" t="n"/>
      <c r="Q95" s="108" t="n"/>
      <c r="R95" s="108" t="n"/>
      <c r="S95" s="108" t="n"/>
      <c r="T95" s="108" t="n"/>
      <c r="U95" s="108" t="n"/>
      <c r="V95" s="108" t="n"/>
      <c r="W95" s="108" t="n"/>
      <c r="X95" s="108" t="n"/>
      <c r="Y95" s="108" t="n"/>
      <c r="Z95" s="108" t="n"/>
      <c r="AA95" s="108" t="n"/>
      <c r="AB95" s="108" t="n"/>
      <c r="AC95" s="427" t="n"/>
      <c r="AD95" s="423" t="n"/>
      <c r="AE95" s="61" t="inlineStr">
        <is>
          <t xml:space="preserve">ABN redeemed the Disposals account per 04-04-2019 for EUR 799k, also including the Haagbeukhof sale </t>
        </is>
      </c>
    </row>
    <row r="96" hidden="1" outlineLevel="2">
      <c r="A96" s="14" t="inlineStr">
        <is>
          <t>(Other movements)</t>
        </is>
      </c>
      <c r="B96" s="14" t="n"/>
      <c r="C96" s="59">
        <f>-(SUM(C91:C95)-C103)</f>
        <v/>
      </c>
      <c r="D96" s="36">
        <f>-(SUM(D91:D95)-D103)</f>
        <v/>
      </c>
      <c r="E96" s="111">
        <f>-(SUM(E91:E95)-E103)</f>
        <v/>
      </c>
      <c r="F96" s="111" t="n"/>
      <c r="G96" s="111" t="n"/>
      <c r="H96" s="111" t="n"/>
      <c r="I96" s="111" t="n"/>
      <c r="J96" s="111" t="n"/>
      <c r="K96" s="111" t="n"/>
      <c r="L96" s="111" t="n"/>
      <c r="M96" s="111" t="n"/>
      <c r="N96" s="111" t="n"/>
      <c r="O96" s="111" t="n"/>
      <c r="P96" s="111" t="n"/>
      <c r="Q96" s="111" t="n"/>
      <c r="R96" s="111" t="n"/>
      <c r="S96" s="111" t="n"/>
      <c r="T96" s="111" t="n"/>
      <c r="U96" s="111" t="n"/>
      <c r="V96" s="111" t="n"/>
      <c r="W96" s="111" t="n"/>
      <c r="X96" s="111" t="n"/>
      <c r="Y96" s="111" t="n"/>
      <c r="Z96" s="111" t="n"/>
      <c r="AA96" s="111" t="n"/>
      <c r="AB96" s="111" t="n"/>
      <c r="AC96" s="428" t="n"/>
      <c r="AD96" s="423" t="n"/>
      <c r="AE96" s="61" t="inlineStr">
        <is>
          <t>Primarily dividend upstream to DMRRP INV - I B.V.</t>
        </is>
      </c>
    </row>
    <row r="97" hidden="1" outlineLevel="2">
      <c r="A97" s="12" t="inlineStr">
        <is>
          <t>Cash flow of period</t>
        </is>
      </c>
      <c r="B97" s="12" t="n"/>
      <c r="C97" s="56">
        <f>SUM(C91:C96)</f>
        <v/>
      </c>
      <c r="D97" s="22">
        <f>SUM(D91:D96)</f>
        <v/>
      </c>
      <c r="E97" s="22">
        <f>SUM(E91:E96)</f>
        <v/>
      </c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  <c r="AA97" s="22" t="n"/>
      <c r="AB97" s="22" t="n"/>
      <c r="AC97" s="421" t="n"/>
      <c r="AD97" s="422" t="n"/>
      <c r="AE97" s="61" t="inlineStr">
        <is>
          <t>Primarily dividend upstream to DMRRP INV - I B.V.</t>
        </is>
      </c>
    </row>
    <row r="98" hidden="1" outlineLevel="2">
      <c r="A98" s="12" t="n"/>
      <c r="B98" s="12" t="n"/>
      <c r="C98" s="56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  <c r="AA98" s="22" t="n"/>
      <c r="AB98" s="22" t="n"/>
      <c r="AC98" s="421" t="n"/>
      <c r="AD98" s="422" t="n"/>
      <c r="AE98" s="110" t="n"/>
    </row>
    <row r="99" hidden="1" outlineLevel="2">
      <c r="A99" s="12" t="n"/>
      <c r="B99" s="12" t="n"/>
      <c r="C99" s="56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  <c r="AA99" s="22" t="n"/>
      <c r="AB99" s="22" t="n"/>
      <c r="AC99" s="421" t="n"/>
      <c r="AD99" s="422" t="n"/>
    </row>
    <row r="100" hidden="1" outlineLevel="2">
      <c r="A100" s="12" t="n"/>
      <c r="B100" s="12" t="n"/>
      <c r="C100" s="56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  <c r="AA100" s="22" t="n"/>
      <c r="AB100" s="22" t="n"/>
      <c r="AC100" s="421" t="n"/>
      <c r="AD100" s="422" t="n"/>
    </row>
    <row r="101" hidden="1" outlineLevel="2">
      <c r="A101" s="3" t="n"/>
      <c r="B101" s="3" t="n"/>
      <c r="C101" s="57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  <c r="Z101" s="21" t="n"/>
      <c r="AA101" s="21" t="n"/>
      <c r="AB101" s="21" t="n"/>
      <c r="AC101" s="429" t="n"/>
      <c r="AD101" s="423" t="n"/>
    </row>
    <row r="102" hidden="1" outlineLevel="2">
      <c r="A102" s="24" t="inlineStr">
        <is>
          <t>Cash per start of period</t>
        </is>
      </c>
      <c r="B102" s="25" t="n"/>
      <c r="C102" s="103" t="n">
        <v>1084821</v>
      </c>
      <c r="D102" s="54">
        <f>C104</f>
        <v/>
      </c>
      <c r="E102" s="54">
        <f>'Cijfers QSP - Q1 2019'!C30</f>
        <v/>
      </c>
      <c r="F102" s="54" t="n"/>
      <c r="G102" s="54" t="n"/>
      <c r="H102" s="54" t="n"/>
      <c r="I102" s="54" t="n"/>
      <c r="J102" s="54" t="n"/>
      <c r="K102" s="54" t="n"/>
      <c r="L102" s="54" t="n"/>
      <c r="M102" s="54" t="n"/>
      <c r="N102" s="54" t="n"/>
      <c r="O102" s="54" t="n"/>
      <c r="P102" s="54" t="n"/>
      <c r="Q102" s="54" t="n"/>
      <c r="R102" s="54" t="n"/>
      <c r="S102" s="54" t="n"/>
      <c r="T102" s="54" t="n"/>
      <c r="U102" s="54" t="n"/>
      <c r="V102" s="54" t="n"/>
      <c r="W102" s="54" t="n"/>
      <c r="X102" s="54" t="n"/>
      <c r="Y102" s="54" t="n"/>
      <c r="Z102" s="54" t="n"/>
      <c r="AA102" s="54" t="n"/>
      <c r="AB102" s="54" t="n"/>
      <c r="AC102" s="430" t="n"/>
      <c r="AD102" s="423" t="n"/>
    </row>
    <row r="103" hidden="1" outlineLevel="2">
      <c r="A103" s="26" t="inlineStr">
        <is>
          <t>(+) Cash flow of period</t>
        </is>
      </c>
      <c r="B103" s="27" t="n"/>
      <c r="C103" s="104">
        <f>C104-C102</f>
        <v/>
      </c>
      <c r="D103" s="28">
        <f>D104-D102</f>
        <v/>
      </c>
      <c r="E103" s="28">
        <f>E104-E102</f>
        <v/>
      </c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  <c r="AA103" s="28" t="n"/>
      <c r="AB103" s="28" t="n"/>
      <c r="AC103" s="431" t="n"/>
      <c r="AD103" s="423" t="n"/>
    </row>
    <row r="104" hidden="1" outlineLevel="2">
      <c r="A104" s="29" t="inlineStr">
        <is>
          <t>Cash per period end</t>
        </is>
      </c>
      <c r="B104" s="30" t="n"/>
      <c r="C104" s="105">
        <f>C114</f>
        <v/>
      </c>
      <c r="D104" s="31">
        <f>E9</f>
        <v/>
      </c>
      <c r="E104" s="31">
        <f>D104</f>
        <v/>
      </c>
      <c r="F104" s="31" t="n"/>
      <c r="G104" s="31" t="n"/>
      <c r="H104" s="31" t="n"/>
      <c r="I104" s="31" t="n"/>
      <c r="J104" s="31" t="n"/>
      <c r="K104" s="31" t="n"/>
      <c r="L104" s="31" t="n"/>
      <c r="M104" s="31" t="n"/>
      <c r="N104" s="31" t="n"/>
      <c r="O104" s="31" t="n"/>
      <c r="P104" s="31" t="n"/>
      <c r="Q104" s="31" t="n"/>
      <c r="R104" s="31" t="n"/>
      <c r="S104" s="31" t="n"/>
      <c r="T104" s="31" t="n"/>
      <c r="U104" s="31" t="n"/>
      <c r="V104" s="31" t="n"/>
      <c r="W104" s="31" t="n"/>
      <c r="X104" s="31" t="n"/>
      <c r="Y104" s="31" t="n"/>
      <c r="Z104" s="31" t="n"/>
      <c r="AA104" s="31" t="n"/>
      <c r="AB104" s="31" t="n"/>
      <c r="AC104" s="432" t="n"/>
      <c r="AD104" s="422" t="n"/>
    </row>
    <row r="105" outlineLevel="1" collapsed="1">
      <c r="A105" s="3" t="n"/>
      <c r="B105" s="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  <c r="AA105" s="23" t="n"/>
      <c r="AB105" s="23" t="n"/>
      <c r="AC105" s="425" t="n"/>
      <c r="AD105" s="423" t="n"/>
    </row>
    <row r="106" outlineLevel="1">
      <c r="A106" s="30" t="inlineStr">
        <is>
          <t>Bank account overview</t>
        </is>
      </c>
      <c r="B106" s="30" t="n"/>
      <c r="C106" s="32" t="inlineStr">
        <is>
          <t>Per 31-12-2018</t>
        </is>
      </c>
      <c r="D106" s="32" t="inlineStr">
        <is>
          <t>Per 31-03-2019</t>
        </is>
      </c>
      <c r="E106" s="32" t="n"/>
      <c r="F106" s="32" t="n"/>
      <c r="G106" s="32" t="n"/>
      <c r="H106" s="32" t="n"/>
      <c r="I106" s="32" t="n"/>
      <c r="J106" s="32" t="n"/>
      <c r="K106" s="32" t="n"/>
      <c r="L106" s="32" t="n"/>
      <c r="M106" s="32" t="n"/>
      <c r="N106" s="32" t="n"/>
      <c r="O106" s="32" t="n"/>
      <c r="P106" s="32" t="n"/>
      <c r="Q106" s="32" t="n"/>
      <c r="R106" s="32" t="n"/>
      <c r="S106" s="32" t="n"/>
      <c r="T106" s="32" t="n"/>
      <c r="U106" s="32" t="n"/>
      <c r="V106" s="32" t="n"/>
      <c r="W106" s="32" t="n"/>
      <c r="X106" s="32" t="n"/>
      <c r="Y106" s="32" t="n"/>
      <c r="Z106" s="32" t="n"/>
      <c r="AA106" s="32" t="n"/>
      <c r="AB106" s="32" t="n"/>
      <c r="AC106" s="433" t="n"/>
      <c r="AD106" s="434" t="inlineStr">
        <is>
          <t>Per 31-3-2026</t>
        </is>
      </c>
    </row>
    <row r="107" outlineLevel="1">
      <c r="A107" s="3" t="inlineStr">
        <is>
          <t>ABN AMRO NL46 ABNA 0541 6088 35 RENT</t>
        </is>
      </c>
      <c r="B107" s="3" t="n"/>
      <c r="C107" s="106" t="n">
        <v>415424.01</v>
      </c>
      <c r="D107" s="48">
        <f>'Cijfers QSP - Q1 2019'!P28</f>
        <v/>
      </c>
      <c r="E107" s="48" t="n"/>
      <c r="F107" s="48" t="n"/>
      <c r="G107" s="48" t="n"/>
      <c r="H107" s="48" t="n"/>
      <c r="I107" s="48" t="n"/>
      <c r="J107" s="48" t="n"/>
      <c r="K107" s="48" t="n"/>
      <c r="L107" s="48" t="n"/>
      <c r="M107" s="48" t="n"/>
      <c r="N107" s="48" t="n"/>
      <c r="O107" s="48" t="n"/>
      <c r="P107" s="48" t="n"/>
      <c r="Q107" s="48" t="n"/>
      <c r="R107" s="48" t="n"/>
      <c r="S107" s="48" t="n"/>
      <c r="T107" s="48" t="n"/>
      <c r="U107" s="48" t="n"/>
      <c r="V107" s="48" t="n"/>
      <c r="W107" s="48" t="n"/>
      <c r="X107" s="48" t="n"/>
      <c r="Y107" s="48" t="n"/>
      <c r="Z107" s="48" t="n"/>
      <c r="AA107" s="48" t="n"/>
      <c r="AB107" s="48" t="n"/>
      <c r="AC107" s="429" t="n"/>
      <c r="AD107" s="435">
        <f>'BDO - Q1-26'!H35</f>
        <v/>
      </c>
    </row>
    <row r="108" outlineLevel="1">
      <c r="A108" s="3" t="inlineStr">
        <is>
          <t>ABN AMRO NL04 ABNA 0541 6188 06 MAINT</t>
        </is>
      </c>
      <c r="B108" s="3" t="n"/>
      <c r="C108" s="106" t="n">
        <v>491535.05</v>
      </c>
      <c r="D108" s="48">
        <f>'Cijfers QSP - Q1 2019'!P27</f>
        <v/>
      </c>
      <c r="E108" s="48" t="n"/>
      <c r="F108" s="48" t="n"/>
      <c r="G108" s="48" t="n"/>
      <c r="H108" s="48" t="n"/>
      <c r="I108" s="48" t="n"/>
      <c r="J108" s="48" t="n"/>
      <c r="K108" s="48" t="n"/>
      <c r="L108" s="48" t="n"/>
      <c r="M108" s="48" t="n"/>
      <c r="N108" s="48" t="n"/>
      <c r="O108" s="48" t="n"/>
      <c r="P108" s="48" t="n"/>
      <c r="Q108" s="48" t="n"/>
      <c r="R108" s="48" t="n"/>
      <c r="S108" s="48" t="n"/>
      <c r="T108" s="48" t="n"/>
      <c r="U108" s="48" t="n"/>
      <c r="V108" s="48" t="n"/>
      <c r="W108" s="48" t="n"/>
      <c r="X108" s="48" t="n"/>
      <c r="Y108" s="48" t="n"/>
      <c r="Z108" s="48" t="n"/>
      <c r="AA108" s="48" t="n"/>
      <c r="AB108" s="48" t="n"/>
      <c r="AC108" s="429" t="n"/>
      <c r="AD108" s="435">
        <f>'BDO - Q1-26'!H34</f>
        <v/>
      </c>
    </row>
    <row r="109" outlineLevel="1">
      <c r="A109" s="3" t="inlineStr">
        <is>
          <t>ABN AMRO NL88 ABNA 0541 6205 92 EXP</t>
        </is>
      </c>
      <c r="B109" s="3" t="n"/>
      <c r="C109" s="106" t="n">
        <v>275171.2</v>
      </c>
      <c r="D109" s="48">
        <f>'Cijfers QSP - Q1 2019'!P29+'Cijfers QSP - Q1 2019'!P23</f>
        <v/>
      </c>
      <c r="E109" s="48" t="n"/>
      <c r="F109" s="48" t="n"/>
      <c r="G109" s="48" t="n"/>
      <c r="H109" s="48" t="n"/>
      <c r="I109" s="48" t="n"/>
      <c r="J109" s="48" t="n"/>
      <c r="K109" s="48" t="n"/>
      <c r="L109" s="48" t="n"/>
      <c r="M109" s="48" t="n"/>
      <c r="N109" s="48" t="n"/>
      <c r="O109" s="48" t="n"/>
      <c r="P109" s="48" t="n"/>
      <c r="Q109" s="48" t="n"/>
      <c r="R109" s="48" t="n"/>
      <c r="S109" s="48" t="n"/>
      <c r="T109" s="48" t="n"/>
      <c r="U109" s="48" t="n"/>
      <c r="V109" s="48" t="n"/>
      <c r="W109" s="48" t="n"/>
      <c r="X109" s="48" t="n"/>
      <c r="Y109" s="48" t="n"/>
      <c r="Z109" s="48" t="n"/>
      <c r="AA109" s="48" t="n"/>
      <c r="AB109" s="48" t="n"/>
      <c r="AC109" s="429" t="n"/>
      <c r="AD109" s="435">
        <f>'BDO - Q1-26'!H36</f>
        <v/>
      </c>
    </row>
    <row r="110" outlineLevel="1">
      <c r="A110" s="3" t="inlineStr">
        <is>
          <t>ABN AMRO NL93 ABNA 0541 6132 27 GEN</t>
        </is>
      </c>
      <c r="B110" s="3" t="n"/>
      <c r="C110" s="106" t="n">
        <v>191789.65</v>
      </c>
      <c r="D110" s="48">
        <f>'Cijfers QSP - Q1 2019'!P26</f>
        <v/>
      </c>
      <c r="E110" s="48" t="n"/>
      <c r="F110" s="48" t="n"/>
      <c r="G110" s="48" t="n"/>
      <c r="H110" s="48" t="n"/>
      <c r="I110" s="48" t="n"/>
      <c r="J110" s="48" t="n"/>
      <c r="K110" s="48" t="n"/>
      <c r="L110" s="48" t="n"/>
      <c r="M110" s="48" t="n"/>
      <c r="N110" s="48" t="n"/>
      <c r="O110" s="48" t="n"/>
      <c r="P110" s="48" t="n"/>
      <c r="Q110" s="48" t="n"/>
      <c r="R110" s="48" t="n"/>
      <c r="S110" s="48" t="n"/>
      <c r="T110" s="48" t="n"/>
      <c r="U110" s="48" t="n"/>
      <c r="V110" s="48" t="n"/>
      <c r="W110" s="48" t="n"/>
      <c r="X110" s="48" t="n"/>
      <c r="Y110" s="48" t="n"/>
      <c r="Z110" s="48" t="n"/>
      <c r="AA110" s="48" t="n"/>
      <c r="AB110" s="48" t="n"/>
      <c r="AC110" s="429" t="n"/>
      <c r="AD110" s="435">
        <f>'BDO - Q1-26'!H33</f>
        <v/>
      </c>
    </row>
    <row r="111" outlineLevel="1">
      <c r="A111" s="3" t="inlineStr">
        <is>
          <t>ABN AMRO NL57 ABNA 0541 6205 68 DEP</t>
        </is>
      </c>
      <c r="B111" s="3" t="n"/>
      <c r="C111" s="106" t="n">
        <v>9648.09</v>
      </c>
      <c r="D111" s="48">
        <f>'Cijfers QSP - Q1 2019'!P25</f>
        <v/>
      </c>
      <c r="E111" s="48" t="n"/>
      <c r="F111" s="48" t="n"/>
      <c r="G111" s="48" t="n"/>
      <c r="H111" s="48" t="n"/>
      <c r="I111" s="48" t="n"/>
      <c r="J111" s="48" t="n"/>
      <c r="K111" s="48" t="n"/>
      <c r="L111" s="48" t="n"/>
      <c r="M111" s="48" t="n"/>
      <c r="N111" s="48" t="n"/>
      <c r="O111" s="48" t="n"/>
      <c r="P111" s="48" t="n"/>
      <c r="Q111" s="48" t="n"/>
      <c r="R111" s="48" t="n"/>
      <c r="S111" s="48" t="n"/>
      <c r="T111" s="48" t="n"/>
      <c r="U111" s="48" t="n"/>
      <c r="V111" s="48" t="n"/>
      <c r="W111" s="48" t="n"/>
      <c r="X111" s="48" t="n"/>
      <c r="Y111" s="48" t="n"/>
      <c r="Z111" s="48" t="n"/>
      <c r="AA111" s="48" t="n"/>
      <c r="AB111" s="48" t="n"/>
      <c r="AC111" s="429" t="n"/>
      <c r="AD111" s="435">
        <f>'BDO - Q1-26'!H32</f>
        <v/>
      </c>
    </row>
    <row r="112" outlineLevel="1">
      <c r="A112" s="3" t="inlineStr">
        <is>
          <t xml:space="preserve">ABN AMRO NL11 ABNA 0114 3362 02 CAPEX </t>
        </is>
      </c>
      <c r="B112" s="3" t="n"/>
      <c r="C112" s="106" t="n"/>
      <c r="D112" s="48" t="n"/>
      <c r="E112" s="48" t="n"/>
      <c r="F112" s="48" t="n"/>
      <c r="G112" s="48" t="n"/>
      <c r="H112" s="48" t="n"/>
      <c r="I112" s="48" t="n"/>
      <c r="J112" s="48" t="n"/>
      <c r="K112" s="48" t="n"/>
      <c r="L112" s="48" t="n"/>
      <c r="M112" s="48" t="n"/>
      <c r="N112" s="48" t="n"/>
      <c r="O112" s="48" t="n"/>
      <c r="P112" s="48" t="n"/>
      <c r="Q112" s="48" t="n"/>
      <c r="R112" s="48" t="n"/>
      <c r="S112" s="48" t="n"/>
      <c r="T112" s="48" t="n"/>
      <c r="U112" s="48" t="n"/>
      <c r="V112" s="48" t="n"/>
      <c r="W112" s="48" t="n"/>
      <c r="X112" s="48" t="n"/>
      <c r="Y112" s="48" t="n"/>
      <c r="Z112" s="48" t="n"/>
      <c r="AA112" s="48" t="n"/>
      <c r="AB112" s="48" t="n"/>
      <c r="AC112" s="429" t="n"/>
      <c r="AD112" s="435">
        <f>'BDO - Q1-26'!H37</f>
        <v/>
      </c>
    </row>
    <row r="113" outlineLevel="1">
      <c r="A113" s="27" t="inlineStr">
        <is>
          <t>ABN AMRO NL58 ABNA 0818 9180 39 DISPOSAL</t>
        </is>
      </c>
      <c r="B113" s="27" t="n"/>
      <c r="C113" s="39" t="n">
        <v>679750.9399999999</v>
      </c>
      <c r="D113" s="62">
        <f>'Cijfers QSP - Q1 2019'!P24</f>
        <v/>
      </c>
      <c r="E113" s="62" t="n"/>
      <c r="F113" s="62" t="n"/>
      <c r="G113" s="62" t="n"/>
      <c r="H113" s="62" t="n"/>
      <c r="I113" s="62" t="n"/>
      <c r="J113" s="62" t="n"/>
      <c r="K113" s="62" t="n"/>
      <c r="L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431" t="n"/>
      <c r="AD113" s="435">
        <f>'BDO - Q1-26'!H31</f>
        <v/>
      </c>
    </row>
    <row r="114" outlineLevel="1">
      <c r="A114" s="20" t="inlineStr">
        <is>
          <t>Total</t>
        </is>
      </c>
      <c r="B114" s="20" t="n"/>
      <c r="C114" s="33">
        <f>SUM(C107:C113)</f>
        <v/>
      </c>
      <c r="D114" s="33">
        <f>SUM(D107:D113)</f>
        <v/>
      </c>
      <c r="E114" s="49" t="n"/>
      <c r="F114" s="49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9" t="n"/>
      <c r="Z114" s="49" t="n"/>
      <c r="AA114" s="49" t="n"/>
      <c r="AB114" s="49" t="n"/>
      <c r="AC114" s="436" t="n"/>
      <c r="AD114" s="437">
        <f>SUM(AD107:AD113)</f>
        <v/>
      </c>
    </row>
    <row r="115">
      <c r="AC115" s="224" t="n"/>
      <c r="AD115" s="438" t="n"/>
    </row>
    <row r="116">
      <c r="A116" s="37" t="n"/>
      <c r="AC116" s="224" t="n"/>
      <c r="AD116" s="438" t="n"/>
    </row>
    <row r="117">
      <c r="A117" s="37" t="n"/>
      <c r="AC117" s="224" t="n"/>
      <c r="AD117" s="438" t="n"/>
    </row>
    <row r="118">
      <c r="A118" s="37" t="n"/>
      <c r="AC118" s="224" t="n"/>
      <c r="AD118" s="438" t="n"/>
    </row>
    <row r="119">
      <c r="A119" s="37" t="n"/>
      <c r="AC119" s="224" t="n"/>
      <c r="AD119" s="438" t="n"/>
    </row>
    <row r="120">
      <c r="A120" s="37" t="n"/>
      <c r="AC120" s="224" t="n"/>
      <c r="AD120" s="438" t="n"/>
    </row>
    <row r="121">
      <c r="A121" s="37" t="n"/>
      <c r="AC121" s="224" t="n"/>
      <c r="AD121" s="438" t="n"/>
    </row>
  </sheetData>
  <pageMargins left="0.25" right="0.25" top="0.75" bottom="0.75" header="0.3" footer="0.3"/>
  <pageSetup orientation="landscape" paperSize="9" scale="1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Tim van Rooijen</dc:creator>
  <dcterms:created xmlns:dcterms="http://purl.org/dc/terms/" xmlns:xsi="http://www.w3.org/2001/XMLSchema-instance" xsi:type="dcterms:W3CDTF">2019-01-25T10:03:20Z</dcterms:created>
  <dcterms:modified xmlns:dcterms="http://purl.org/dc/terms/" xmlns:xsi="http://www.w3.org/2001/XMLSchema-instance" xsi:type="dcterms:W3CDTF">2026-06-08T07:41:34Z</dcterms:modified>
  <cp:lastModifiedBy>Quinten Visser</cp:lastModifiedBy>
  <cp:lastPrinted>2025-10-21T12:31:14Z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0x010100B702D542F7F0E847AEA531E2E1FAD41A</vt:lpwstr>
  </property>
  <property name="Order" fmtid="{D5CDD505-2E9C-101B-9397-08002B2CF9AE}" pid="3">
    <vt:r8 xmlns:vt="http://schemas.openxmlformats.org/officeDocument/2006/docPropsVTypes">1111400</vt:r8>
  </property>
  <property name="_dlc_DocIdItemGuid" fmtid="{D5CDD505-2E9C-101B-9397-08002B2CF9AE}" pid="4">
    <vt:lpwstr xmlns:vt="http://schemas.openxmlformats.org/officeDocument/2006/docPropsVTypes">6cab7bdc-f79b-4362-bcae-10ca78c91c82</vt:lpwstr>
  </property>
  <property name="MediaServiceImageTags" fmtid="{D5CDD505-2E9C-101B-9397-08002B2CF9AE}" pid="5">
    <vt:lpwstr xmlns:vt="http://schemas.openxmlformats.org/officeDocument/2006/docPropsVTypes"/>
  </property>
</Properties>
</file>