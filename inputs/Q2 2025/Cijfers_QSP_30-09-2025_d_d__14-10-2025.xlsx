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equity.sharepoint.com/sites/DME/03 Portfolio Companies/I0014 - QSP ESS BV/02. Investment Management/03. Quarterly Reporting ABN/2025 Q3/"/>
    </mc:Choice>
  </mc:AlternateContent>
  <xr:revisionPtr revIDLastSave="0" documentId="8_{C27D4E9E-DC32-46CF-9049-4D9BD7B2A79D}" xr6:coauthVersionLast="47" xr6:coauthVersionMax="47" xr10:uidLastSave="{00000000-0000-0000-0000-000000000000}"/>
  <bookViews>
    <workbookView xWindow="28680" yWindow="-120" windowWidth="51840" windowHeight="21120" xr2:uid="{8FC407B6-1E4D-41DF-8E23-35D8B3766EDC}"/>
  </bookViews>
  <sheets>
    <sheet name="BalansenWinstverliesperperiode" sheetId="1" r:id="rId1"/>
    <sheet name="Kolommenbala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1" l="1"/>
  <c r="H103" i="1"/>
  <c r="H104" i="1"/>
  <c r="H105" i="1"/>
  <c r="H106" i="1"/>
  <c r="H107" i="1"/>
  <c r="H108" i="1"/>
  <c r="H109" i="1"/>
  <c r="H110" i="1"/>
  <c r="H100" i="1"/>
  <c r="H97" i="1"/>
  <c r="H89" i="1"/>
  <c r="H90" i="1"/>
  <c r="H91" i="1"/>
  <c r="H92" i="1"/>
  <c r="H93" i="1"/>
  <c r="H94" i="1"/>
  <c r="H86" i="1"/>
  <c r="H80" i="1"/>
  <c r="H81" i="1"/>
  <c r="H77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46" i="1"/>
  <c r="H47" i="1"/>
  <c r="H41" i="1"/>
  <c r="H42" i="1"/>
  <c r="H10" i="1"/>
  <c r="C127" i="1"/>
  <c r="C42" i="1"/>
  <c r="G125" i="1"/>
  <c r="E125" i="1"/>
  <c r="F125" i="1"/>
  <c r="H125" i="1"/>
  <c r="H123" i="1"/>
  <c r="H122" i="1"/>
  <c r="H118" i="1"/>
  <c r="H119" i="1"/>
  <c r="H120" i="1"/>
  <c r="H116" i="1"/>
  <c r="H115" i="1"/>
  <c r="H114" i="1"/>
  <c r="H113" i="1"/>
  <c r="H99" i="1"/>
  <c r="H96" i="1"/>
  <c r="H76" i="1"/>
  <c r="H45" i="1"/>
  <c r="H40" i="1"/>
  <c r="H33" i="1"/>
  <c r="H29" i="1"/>
  <c r="H26" i="1"/>
  <c r="H25" i="1"/>
  <c r="H23" i="1"/>
  <c r="H22" i="1"/>
  <c r="H21" i="1"/>
  <c r="H19" i="1"/>
  <c r="H16" i="1"/>
  <c r="H15" i="1"/>
  <c r="H14" i="1"/>
  <c r="H13" i="1"/>
  <c r="H9" i="1"/>
  <c r="H8" i="1"/>
  <c r="H7" i="1"/>
  <c r="H6" i="1"/>
  <c r="G127" i="1"/>
  <c r="H117" i="1"/>
  <c r="H102" i="1"/>
  <c r="H88" i="1"/>
  <c r="H85" i="1"/>
  <c r="H83" i="1"/>
  <c r="H79" i="1"/>
  <c r="E63" i="1"/>
  <c r="E59" i="1"/>
  <c r="H50" i="1"/>
  <c r="E47" i="1"/>
  <c r="H37" i="1"/>
  <c r="E36" i="1"/>
  <c r="H36" i="1"/>
  <c r="E35" i="1"/>
  <c r="H35" i="1"/>
  <c r="H34" i="1"/>
  <c r="H32" i="1"/>
  <c r="H31" i="1"/>
  <c r="H30" i="1"/>
  <c r="H24" i="1"/>
  <c r="H20" i="1"/>
  <c r="E15" i="1"/>
  <c r="E72" i="1"/>
  <c r="E127" i="1"/>
  <c r="D71" i="1"/>
  <c r="F127" i="1"/>
  <c r="D125" i="1"/>
  <c r="D127" i="1"/>
  <c r="D58" i="2"/>
  <c r="H127" i="1"/>
</calcChain>
</file>

<file path=xl/sharedStrings.xml><?xml version="1.0" encoding="utf-8"?>
<sst xmlns="http://schemas.openxmlformats.org/spreadsheetml/2006/main" count="345" uniqueCount="205">
  <si>
    <t>LM ABN AMRO Bank Deposit NL57 ABNA 0541 6205 68</t>
  </si>
  <si>
    <t>KLS Te betalen waarborgsommen kortlopend</t>
  </si>
  <si>
    <t>1930200</t>
  </si>
  <si>
    <t>FINBL Rente ABN AMRO Bank NV Senior Facility Agreement</t>
  </si>
  <si>
    <t>FINBL Overige rentelasten</t>
  </si>
  <si>
    <t>4642000</t>
  </si>
  <si>
    <t>2000000</t>
  </si>
  <si>
    <t>2000100</t>
  </si>
  <si>
    <t>2000300</t>
  </si>
  <si>
    <t>LM ABN AMRO Bank SR EXP NL88 ABNA 0541 6205 92</t>
  </si>
  <si>
    <t>LLS Extension fee&amp; professional fees</t>
  </si>
  <si>
    <t>8000004</t>
  </si>
  <si>
    <t>FINBL Overige rentebaten</t>
  </si>
  <si>
    <t>OPB Overige bedrijfsopbrengsten Servicekosten leegstand</t>
  </si>
  <si>
    <t>KLS Crediteuren intercompany</t>
  </si>
  <si>
    <t>LM ABN AMRO Bank Rent NL46 ABNA 0541 6088 35</t>
  </si>
  <si>
    <t>4623001</t>
  </si>
  <si>
    <t>1611003</t>
  </si>
  <si>
    <t>FVA Latente belastingvordering langlopend</t>
  </si>
  <si>
    <t>2300000</t>
  </si>
  <si>
    <t>LM ABN AMRO Bank General NL93 ABNA 0541 6132 27</t>
  </si>
  <si>
    <t>2741004</t>
  </si>
  <si>
    <t>Langlopende schulden</t>
  </si>
  <si>
    <t>9500000</t>
  </si>
  <si>
    <t>2400201</t>
  </si>
  <si>
    <t>2400205</t>
  </si>
  <si>
    <t>4100400</t>
  </si>
  <si>
    <t>LM ABN AMRO Bank Maintres NL04 ABNA 0541 6188 06</t>
  </si>
  <si>
    <t>4501200</t>
  </si>
  <si>
    <t>Waterschapsbelasting</t>
  </si>
  <si>
    <t>4300200</t>
  </si>
  <si>
    <t>2730000</t>
  </si>
  <si>
    <t>2400202</t>
  </si>
  <si>
    <t>4319800</t>
  </si>
  <si>
    <t>KN Administratiekosten</t>
  </si>
  <si>
    <t>LM Kruisposten</t>
  </si>
  <si>
    <t>KN Diverse lasten</t>
  </si>
  <si>
    <t>1100000</t>
  </si>
  <si>
    <t>VG Vastgoedbeleggingen Verkrijgings- of vervaardigingsprijs -</t>
  </si>
  <si>
    <t>KN Overige algemene kosten</t>
  </si>
  <si>
    <t>LM Kruisposten pin</t>
  </si>
  <si>
    <t>BEL Afgedragen/ontvangen BTW</t>
  </si>
  <si>
    <t>4601000</t>
  </si>
  <si>
    <t>Kortlopende schulden</t>
  </si>
  <si>
    <t>LLS Hoofdsom ABN AMRO Bank NV Senior Facility Agreement</t>
  </si>
  <si>
    <t>KN Communicatiekosten</t>
  </si>
  <si>
    <t>2512100</t>
  </si>
  <si>
    <t>1930001</t>
  </si>
  <si>
    <t>2740500</t>
  </si>
  <si>
    <t>4101300</t>
  </si>
  <si>
    <t>2741001</t>
  </si>
  <si>
    <t>2740100</t>
  </si>
  <si>
    <t>KN Accountantskosten</t>
  </si>
  <si>
    <t>KLS Te betalen servicekosten -</t>
  </si>
  <si>
    <t>FVA Vord op DMRRP INV - I BV  aflossingen</t>
  </si>
  <si>
    <t>KN Incassokosten</t>
  </si>
  <si>
    <t>FINBL Rente RC D.M. Equity Partners C.V.</t>
  </si>
  <si>
    <t>Vorderingen</t>
  </si>
  <si>
    <t>VOR Te vorderen waarborgsommen kortlopend</t>
  </si>
  <si>
    <t>OPB Netto-omzet Leegstand huuropbrengsten</t>
  </si>
  <si>
    <t>KN Notariskosten</t>
  </si>
  <si>
    <t>4730200</t>
  </si>
  <si>
    <t>4730000</t>
  </si>
  <si>
    <t>Liquide middelen</t>
  </si>
  <si>
    <t>4310500</t>
  </si>
  <si>
    <t>KLS Crediteuren</t>
  </si>
  <si>
    <t>2400200</t>
  </si>
  <si>
    <t>2400204</t>
  </si>
  <si>
    <t>KN Managementvergoeding</t>
  </si>
  <si>
    <t>2730001</t>
  </si>
  <si>
    <t>KLS Te betalen servicekosten</t>
  </si>
  <si>
    <t>2760000</t>
  </si>
  <si>
    <t>Servicekosten 2020</t>
  </si>
  <si>
    <t>VOR Debiteuren intercompany</t>
  </si>
  <si>
    <t>VOR Debiteuren</t>
  </si>
  <si>
    <t>2620000</t>
  </si>
  <si>
    <t>VG Comm VG in exploitatie Buitengebruikstellingen aanschaffingswaarde</t>
  </si>
  <si>
    <t>VPB Mutatie belastinglatentie Mutatie actieve latentie</t>
  </si>
  <si>
    <t>OPB Netto-omzet Theoretische huuropbrengsten</t>
  </si>
  <si>
    <t>VOR Voorziening dubieuze debiteuren</t>
  </si>
  <si>
    <t>FINBL Rente RC DMRRP INV - I BV</t>
  </si>
  <si>
    <t>4663000</t>
  </si>
  <si>
    <t>VG Comm VG in exploitatie Buitengebruikstellingen cum. afschr. en waardeverm.</t>
  </si>
  <si>
    <t>Gemeentelijke belastingen</t>
  </si>
  <si>
    <t>KN Advieskosten</t>
  </si>
  <si>
    <t>Servicekosten 2022</t>
  </si>
  <si>
    <t>1790000</t>
  </si>
  <si>
    <t>2741000</t>
  </si>
  <si>
    <t>Servicekosten 2023</t>
  </si>
  <si>
    <t>8400700</t>
  </si>
  <si>
    <t>VPB Vennootschapsbelasting VPB huidig jaar</t>
  </si>
  <si>
    <t>VG Vastgoedbeleggingen Cum afschrijvingen en waardeverm -</t>
  </si>
  <si>
    <t>KN Onroerende zaakbelasting</t>
  </si>
  <si>
    <t>4051400</t>
  </si>
  <si>
    <t>KN Afboeking dubieuze debiteuren</t>
  </si>
  <si>
    <t>4310600</t>
  </si>
  <si>
    <t>8000003</t>
  </si>
  <si>
    <t>EV Normale aandelen  Saldo</t>
  </si>
  <si>
    <t>AFKN Boekresultaat -</t>
  </si>
  <si>
    <t>OPB Overige bedrijfsopbrengsten Totale servicekosten</t>
  </si>
  <si>
    <t>4310800</t>
  </si>
  <si>
    <t>4100900</t>
  </si>
  <si>
    <t>1000002</t>
  </si>
  <si>
    <t>4620200</t>
  </si>
  <si>
    <t>FVA Vord op DMRRP INV - I BV  saldo</t>
  </si>
  <si>
    <t>4100410</t>
  </si>
  <si>
    <t>KN Mutatie voorziening dubieuze debiteuren</t>
  </si>
  <si>
    <t>KLS Te betalen accountants- en administratiekosten</t>
  </si>
  <si>
    <t>4312600</t>
  </si>
  <si>
    <t>8400800</t>
  </si>
  <si>
    <t>2740300</t>
  </si>
  <si>
    <t>FVA Swap fee</t>
  </si>
  <si>
    <t>Servicekosten 2021</t>
  </si>
  <si>
    <t>4310400</t>
  </si>
  <si>
    <t>8400600</t>
  </si>
  <si>
    <t>RC Kortlopend DMRRP INV - I BV</t>
  </si>
  <si>
    <t>KLS Vraagposten</t>
  </si>
  <si>
    <t>4300500</t>
  </si>
  <si>
    <t>KLS Vooruitgefactureerde bedragen</t>
  </si>
  <si>
    <t>2741200</t>
  </si>
  <si>
    <t>4501300</t>
  </si>
  <si>
    <t>1760300</t>
  </si>
  <si>
    <t>KN Assurantiepremie algemeen</t>
  </si>
  <si>
    <t>KN Servicekosten leegstand</t>
  </si>
  <si>
    <t>AFKN Afschrijvingskosten -</t>
  </si>
  <si>
    <t>KLS Te betalen Hoen</t>
  </si>
  <si>
    <t>Balans</t>
  </si>
  <si>
    <t>2742000</t>
  </si>
  <si>
    <t>2400203</t>
  </si>
  <si>
    <t>KN Juridische kosten</t>
  </si>
  <si>
    <t>1160000</t>
  </si>
  <si>
    <t>4611000</t>
  </si>
  <si>
    <t>VOR Vooruitbetaalde verzekeringen</t>
  </si>
  <si>
    <t>KLS Saldo lening DMRRP INV - I BV</t>
  </si>
  <si>
    <t>LLS Cum aflossingen ABN AMRO Bank NV Senior Facility Agreement</t>
  </si>
  <si>
    <t>1760000</t>
  </si>
  <si>
    <t>KN Onderhoud gebouwen</t>
  </si>
  <si>
    <t>1930101</t>
  </si>
  <si>
    <t>4311000</t>
  </si>
  <si>
    <t>4101000</t>
  </si>
  <si>
    <t>1600200</t>
  </si>
  <si>
    <t>1600000</t>
  </si>
  <si>
    <t>1790002</t>
  </si>
  <si>
    <t>4311800</t>
  </si>
  <si>
    <t>2040500</t>
  </si>
  <si>
    <t>LM ABN AMRO Bank Capex NL11 ABNA 0114 3362 02</t>
  </si>
  <si>
    <t>2040100</t>
  </si>
  <si>
    <t>FINBL Rente ABN AMRO Bank Disposal NL58 ABNA 0818 9180 39</t>
  </si>
  <si>
    <t>2300001</t>
  </si>
  <si>
    <t>2640000</t>
  </si>
  <si>
    <t>KLS Te betalen overige kosten</t>
  </si>
  <si>
    <t>4101010</t>
  </si>
  <si>
    <t>1610803</t>
  </si>
  <si>
    <t>2040200</t>
  </si>
  <si>
    <t>KN Bankkosten</t>
  </si>
  <si>
    <t>KN Vaste lasten</t>
  </si>
  <si>
    <t>4310700</t>
  </si>
  <si>
    <t>EV Agioreserve Agio aandelen</t>
  </si>
  <si>
    <t>2400206</t>
  </si>
  <si>
    <t>EV Overige reserve Reserve aandelen</t>
  </si>
  <si>
    <t>LM ABN AMRO Bank Disposal NL58 ABNA 0818 9180 39</t>
  </si>
  <si>
    <t>RC Kortlopend D.M. Equity Partners C.V.</t>
  </si>
  <si>
    <t>VOR Nog te factureren bedragen</t>
  </si>
  <si>
    <t>Verhuurdersheffing</t>
  </si>
  <si>
    <t>KN Diensten door derden</t>
  </si>
  <si>
    <t>4311900</t>
  </si>
  <si>
    <t>OPB Overige bedrijfsopbrengsten Gerealiseerde servicekosten</t>
  </si>
  <si>
    <t>4643000</t>
  </si>
  <si>
    <t>4101020</t>
  </si>
  <si>
    <t>FINBL Rente vord DMRRP INV - I BV</t>
  </si>
  <si>
    <t>9510000</t>
  </si>
  <si>
    <t>Winst- en verliesrekening (baten zijn negatief, kosten positief)</t>
  </si>
  <si>
    <t>Eigen vermogen</t>
  </si>
  <si>
    <t>Financiële Vaste Lasten</t>
  </si>
  <si>
    <t>Materiële vaste activa</t>
  </si>
  <si>
    <t>Resultaat na belasting</t>
  </si>
  <si>
    <t>Verschil balans en winst-en-verlies</t>
  </si>
  <si>
    <t>1601000</t>
  </si>
  <si>
    <t>VG Vastgoedbeleggingen Buitengebruikstellingen CA en waardeverm. -</t>
  </si>
  <si>
    <t>2502024</t>
  </si>
  <si>
    <t>Servicekosten 2024</t>
  </si>
  <si>
    <t>VOR Vooruitbetaalde overige kosten</t>
  </si>
  <si>
    <t>RC Kortlopend WPNL- V B.V.</t>
  </si>
  <si>
    <t>CodeGrootboekrekening</t>
  </si>
  <si>
    <t>NaamGrootboekrekening</t>
  </si>
  <si>
    <t>Saldo</t>
  </si>
  <si>
    <t>2040900</t>
  </si>
  <si>
    <t>2502021</t>
  </si>
  <si>
    <t>2502022</t>
  </si>
  <si>
    <t>2502023</t>
  </si>
  <si>
    <t>8000000</t>
  </si>
  <si>
    <t>OPB Netto-omzet</t>
  </si>
  <si>
    <t>ksldfjhosd</t>
  </si>
  <si>
    <t>Mutaties Q4 2024</t>
  </si>
  <si>
    <t>Mutaties Q1 2025</t>
  </si>
  <si>
    <t>Servicekosten 2025</t>
  </si>
  <si>
    <t>FINBL Rente WPNL - V B.V.</t>
  </si>
  <si>
    <t>Mutaties Q2 2025</t>
  </si>
  <si>
    <t>Eindbalans per 30-09-2024</t>
  </si>
  <si>
    <t>100 eu correctie op aansl btw vanuit Hoen</t>
  </si>
  <si>
    <t>Mutaties Q3 2025</t>
  </si>
  <si>
    <t>RC Kortlopend dir. DMEP INV - IX BV</t>
  </si>
  <si>
    <t>VOR Doorbelastingen huurder en overig</t>
  </si>
  <si>
    <t>RC Kortlopend D.M. Equity Management Company BV</t>
  </si>
  <si>
    <t>Saldi per 30-09-2025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</si>
</sst>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5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3" fontId="0" fillId="0" borderId="0" xfId="1" applyFont="1">
      <alignment vertical="center"/>
    </xf>
    <xf numFmtId="165" fontId="0" fillId="0" borderId="0" xfId="1" applyNumberFormat="1" applyFont="1">
      <alignment vertical="center"/>
    </xf>
    <xf numFmtId="0" fontId="2" fillId="0" borderId="0" xfId="0" applyFont="1">
      <alignment vertical="center"/>
    </xf>
    <xf numFmtId="165" fontId="0" fillId="0" borderId="0" xfId="0" applyNumberFormat="1">
      <alignment vertical="center"/>
    </xf>
    <xf numFmtId="0" fontId="3" fillId="0" borderId="0" xfId="0" applyFont="1">
      <alignment vertical="center"/>
    </xf>
    <xf numFmtId="43" fontId="3" fillId="0" borderId="0" xfId="1" applyFont="1" applyFill="1">
      <alignment vertical="center"/>
    </xf>
    <xf numFmtId="165" fontId="0" fillId="0" borderId="0" xfId="1" applyNumberFormat="1" applyFont="1" applyFill="1">
      <alignment vertical="center"/>
    </xf>
    <xf numFmtId="165" fontId="1" fillId="0" borderId="0" xfId="1" applyNumberFormat="1" applyFont="1" applyFill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165" fontId="4" fillId="0" borderId="0" xfId="0" applyNumberFormat="1" applyFont="1">
      <alignment vertical="center"/>
    </xf>
    <xf numFmtId="0" fontId="4" fillId="0" borderId="0" xfId="0" applyFont="1" applyFill="1">
      <alignment vertical="center"/>
    </xf>
    <xf numFmtId="165" fontId="4" fillId="0" borderId="0" xfId="0" applyNumberFormat="1" applyFont="1" applyFill="1">
      <alignment vertical="center"/>
    </xf>
    <xf numFmtId="165" fontId="1" fillId="2" borderId="0" xfId="1" applyNumberFormat="1" applyFont="1" applyFill="1">
      <alignment vertical="center"/>
    </xf>
    <xf numFmtId="165" fontId="4" fillId="0" borderId="0" xfId="1" applyNumberFormat="1" applyFont="1" applyFill="1">
      <alignment vertical="center"/>
    </xf>
    <xf numFmtId="165" fontId="0" fillId="0" borderId="0" xfId="0" applyNumberFormat="1" applyFill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BCAF-B9C8-48B5-9E78-7B2829E7980E}">
  <dimension ref="A1:L127"/>
  <sheetViews>
    <sheetView tabSelected="1" topLeftCell="A67" zoomScaleNormal="100" workbookViewId="0">
      <selection activeCell="H114" sqref="H114"/>
    </sheetView>
  </sheetViews>
  <sheetFormatPr defaultRowHeight="12.75" customHeight="1" x14ac:dyDescent="0.25"/>
  <cols>
    <col min="1" max="1" width="12.88671875" bestFit="1" customWidth="1"/>
    <col min="2" max="2" width="70" bestFit="1" customWidth="1"/>
    <col min="3" max="3" width="26" style="7" bestFit="1" customWidth="1"/>
    <col min="4" max="7" width="17.5546875" style="7" customWidth="1"/>
    <col min="8" max="8" width="20.44140625" bestFit="1" customWidth="1"/>
    <col min="9" max="9" width="11.33203125" bestFit="1" customWidth="1"/>
    <col min="11" max="11" width="10.88671875" bestFit="1" customWidth="1"/>
  </cols>
  <sheetData>
    <row r="1" spans="1:9" ht="12.75" customHeight="1" x14ac:dyDescent="0.25">
      <c r="C1" s="6" t="s">
        <v>198</v>
      </c>
      <c r="D1" s="6" t="s">
        <v>193</v>
      </c>
      <c r="E1" s="6" t="s">
        <v>194</v>
      </c>
      <c r="F1" s="6" t="s">
        <v>197</v>
      </c>
      <c r="G1" s="6" t="s">
        <v>200</v>
      </c>
      <c r="H1" s="6" t="s">
        <v>204</v>
      </c>
    </row>
    <row r="3" spans="1:9" ht="12.75" customHeight="1" x14ac:dyDescent="0.25">
      <c r="A3" s="3" t="s">
        <v>126</v>
      </c>
    </row>
    <row r="4" spans="1:9" ht="12.75" customHeight="1" x14ac:dyDescent="0.25">
      <c r="A4" s="3"/>
    </row>
    <row r="5" spans="1:9" ht="12.75" customHeight="1" x14ac:dyDescent="0.25">
      <c r="A5" s="3" t="s">
        <v>174</v>
      </c>
    </row>
    <row r="6" spans="1:9" ht="12.75" customHeight="1" x14ac:dyDescent="0.25">
      <c r="A6" t="s">
        <v>141</v>
      </c>
      <c r="B6" t="s">
        <v>38</v>
      </c>
      <c r="C6" s="8">
        <v>126105246</v>
      </c>
      <c r="D6" s="8">
        <v>1811633.16</v>
      </c>
      <c r="E6" s="7">
        <v>758835</v>
      </c>
      <c r="F6" s="7">
        <v>400388</v>
      </c>
      <c r="G6" s="7">
        <v>115411</v>
      </c>
      <c r="H6" s="16">
        <f>SUM(C6:G6)</f>
        <v>129191513.16</v>
      </c>
      <c r="I6" s="10"/>
    </row>
    <row r="7" spans="1:9" ht="12.75" customHeight="1" x14ac:dyDescent="0.25">
      <c r="A7" t="s">
        <v>140</v>
      </c>
      <c r="B7" t="s">
        <v>91</v>
      </c>
      <c r="C7" s="7">
        <v>-22331463</v>
      </c>
      <c r="D7" s="7">
        <v>-793542</v>
      </c>
      <c r="E7" s="7">
        <v>-811996</v>
      </c>
      <c r="F7" s="7">
        <v>-822632</v>
      </c>
      <c r="G7" s="7">
        <v>-839833</v>
      </c>
      <c r="H7" s="16">
        <f>SUM(C7:G7)</f>
        <v>-25599466</v>
      </c>
    </row>
    <row r="8" spans="1:9" ht="12.75" customHeight="1" x14ac:dyDescent="0.25">
      <c r="A8" s="1" t="s">
        <v>177</v>
      </c>
      <c r="B8" s="1" t="s">
        <v>178</v>
      </c>
      <c r="C8" s="7">
        <v>-1900847</v>
      </c>
      <c r="D8" s="7">
        <v>0</v>
      </c>
      <c r="E8" s="7">
        <v>-677990</v>
      </c>
      <c r="F8" s="7">
        <v>-237202</v>
      </c>
      <c r="G8" s="7">
        <v>-41440</v>
      </c>
      <c r="H8" s="16">
        <f>SUM(C8:G8)</f>
        <v>-2857479</v>
      </c>
    </row>
    <row r="9" spans="1:9" ht="12.75" customHeight="1" x14ac:dyDescent="0.25">
      <c r="A9" t="s">
        <v>17</v>
      </c>
      <c r="B9" t="s">
        <v>82</v>
      </c>
      <c r="C9" s="7">
        <v>324847</v>
      </c>
      <c r="E9" s="7">
        <v>126494</v>
      </c>
      <c r="F9" s="7">
        <v>41678</v>
      </c>
      <c r="G9" s="7">
        <v>7880</v>
      </c>
      <c r="H9" s="16">
        <f>SUM(C9:G9)</f>
        <v>500899</v>
      </c>
    </row>
    <row r="10" spans="1:9" ht="12.75" customHeight="1" x14ac:dyDescent="0.25">
      <c r="A10" t="s">
        <v>152</v>
      </c>
      <c r="B10" t="s">
        <v>76</v>
      </c>
      <c r="D10" s="7">
        <v>0</v>
      </c>
      <c r="H10" s="16">
        <f>SUM(C10:G10)</f>
        <v>0</v>
      </c>
    </row>
    <row r="11" spans="1:9" ht="12.75" customHeight="1" x14ac:dyDescent="0.25">
      <c r="H11" s="16"/>
    </row>
    <row r="12" spans="1:9" ht="12.75" customHeight="1" x14ac:dyDescent="0.25">
      <c r="A12" s="5" t="s">
        <v>173</v>
      </c>
      <c r="H12" s="16"/>
    </row>
    <row r="13" spans="1:9" ht="12.75" customHeight="1" x14ac:dyDescent="0.25">
      <c r="A13" t="s">
        <v>135</v>
      </c>
      <c r="B13" t="s">
        <v>104</v>
      </c>
      <c r="C13" s="7">
        <v>38320325</v>
      </c>
      <c r="H13" s="16">
        <f>SUM(C13:G13)</f>
        <v>38320325</v>
      </c>
      <c r="I13" s="4"/>
    </row>
    <row r="14" spans="1:9" ht="12.75" customHeight="1" x14ac:dyDescent="0.25">
      <c r="A14" t="s">
        <v>121</v>
      </c>
      <c r="B14" t="s">
        <v>54</v>
      </c>
      <c r="C14" s="7">
        <v>-2359318</v>
      </c>
      <c r="D14" s="7">
        <v>-95800</v>
      </c>
      <c r="E14" s="8">
        <v>-242786</v>
      </c>
      <c r="F14" s="7">
        <v>-243993</v>
      </c>
      <c r="G14" s="7">
        <v>-114687</v>
      </c>
      <c r="H14" s="16">
        <f>SUM(C14:G14)</f>
        <v>-3056584</v>
      </c>
      <c r="I14" s="10"/>
    </row>
    <row r="15" spans="1:9" ht="12.75" customHeight="1" x14ac:dyDescent="0.25">
      <c r="A15" t="s">
        <v>86</v>
      </c>
      <c r="B15" t="s">
        <v>111</v>
      </c>
      <c r="C15" s="7">
        <v>1327805</v>
      </c>
      <c r="D15" s="7">
        <v>-110650</v>
      </c>
      <c r="E15" s="7">
        <f>-110650-5</f>
        <v>-110655</v>
      </c>
      <c r="F15" s="7">
        <v>-110650</v>
      </c>
      <c r="G15" s="7">
        <v>-110650</v>
      </c>
      <c r="H15" s="16">
        <f>SUM(C15:G15)</f>
        <v>885200</v>
      </c>
    </row>
    <row r="16" spans="1:9" ht="12.75" customHeight="1" x14ac:dyDescent="0.25">
      <c r="A16" t="s">
        <v>142</v>
      </c>
      <c r="B16" t="s">
        <v>18</v>
      </c>
      <c r="C16" s="7">
        <v>6873869</v>
      </c>
      <c r="D16" s="8">
        <v>920937</v>
      </c>
      <c r="E16" s="7">
        <v>173840</v>
      </c>
      <c r="F16" s="7">
        <v>200714</v>
      </c>
      <c r="G16" s="7">
        <v>214644</v>
      </c>
      <c r="H16" s="16">
        <f>SUM(C16:G16)</f>
        <v>8384004</v>
      </c>
      <c r="I16" s="10"/>
    </row>
    <row r="17" spans="1:9" ht="12.75" customHeight="1" x14ac:dyDescent="0.25">
      <c r="H17" s="16"/>
    </row>
    <row r="18" spans="1:9" ht="12.75" customHeight="1" x14ac:dyDescent="0.25">
      <c r="A18" s="5" t="s">
        <v>57</v>
      </c>
      <c r="H18" s="16"/>
    </row>
    <row r="19" spans="1:9" ht="12.75" customHeight="1" x14ac:dyDescent="0.25">
      <c r="A19" t="s">
        <v>6</v>
      </c>
      <c r="B19" t="s">
        <v>74</v>
      </c>
      <c r="C19" s="7">
        <v>6274193</v>
      </c>
      <c r="D19" s="7">
        <v>-6054041</v>
      </c>
      <c r="E19" s="7">
        <v>334826</v>
      </c>
      <c r="F19" s="7">
        <v>-339181</v>
      </c>
      <c r="G19" s="7">
        <v>-67350</v>
      </c>
      <c r="H19" s="16">
        <f t="shared" ref="H19:H26" si="0">SUM(C19:G19)</f>
        <v>148447</v>
      </c>
      <c r="I19" s="10"/>
    </row>
    <row r="20" spans="1:9" ht="12.75" customHeight="1" x14ac:dyDescent="0.25">
      <c r="A20" t="s">
        <v>7</v>
      </c>
      <c r="B20" t="s">
        <v>73</v>
      </c>
      <c r="D20" s="7">
        <v>6675101</v>
      </c>
      <c r="E20" s="7">
        <v>493276</v>
      </c>
      <c r="F20" s="7">
        <v>-5914486</v>
      </c>
      <c r="G20" s="7">
        <v>451922</v>
      </c>
      <c r="H20" s="16">
        <f t="shared" si="0"/>
        <v>1705813</v>
      </c>
    </row>
    <row r="21" spans="1:9" ht="12.75" customHeight="1" x14ac:dyDescent="0.25">
      <c r="A21" t="s">
        <v>8</v>
      </c>
      <c r="B21" t="s">
        <v>79</v>
      </c>
      <c r="C21" s="7">
        <v>-8374</v>
      </c>
      <c r="D21" s="8">
        <v>-81794.69</v>
      </c>
      <c r="E21" s="7">
        <v>0</v>
      </c>
      <c r="H21" s="16">
        <f t="shared" si="0"/>
        <v>-90168.69</v>
      </c>
      <c r="I21" s="10"/>
    </row>
    <row r="22" spans="1:9" ht="12.75" customHeight="1" x14ac:dyDescent="0.25">
      <c r="A22" t="s">
        <v>146</v>
      </c>
      <c r="B22" t="s">
        <v>162</v>
      </c>
      <c r="E22" s="7">
        <v>146986</v>
      </c>
      <c r="F22" s="7">
        <v>-146986</v>
      </c>
      <c r="H22" s="16">
        <f t="shared" si="0"/>
        <v>0</v>
      </c>
    </row>
    <row r="23" spans="1:9" ht="12.75" customHeight="1" x14ac:dyDescent="0.25">
      <c r="A23" t="s">
        <v>153</v>
      </c>
      <c r="B23" t="s">
        <v>58</v>
      </c>
      <c r="C23" s="7">
        <v>5000</v>
      </c>
      <c r="H23" s="16">
        <f t="shared" si="0"/>
        <v>5000</v>
      </c>
    </row>
    <row r="24" spans="1:9" ht="12.75" customHeight="1" x14ac:dyDescent="0.25">
      <c r="A24" t="s">
        <v>144</v>
      </c>
      <c r="B24" t="s">
        <v>132</v>
      </c>
      <c r="C24" s="7">
        <v>21432</v>
      </c>
      <c r="D24" s="7">
        <v>-21435</v>
      </c>
      <c r="E24" s="7">
        <v>89982.3</v>
      </c>
      <c r="F24" s="7">
        <v>-29994</v>
      </c>
      <c r="G24" s="7">
        <v>-29994</v>
      </c>
      <c r="H24" s="16">
        <f t="shared" si="0"/>
        <v>29991.300000000003</v>
      </c>
    </row>
    <row r="25" spans="1:9" ht="12.75" customHeight="1" x14ac:dyDescent="0.25">
      <c r="A25" t="s">
        <v>186</v>
      </c>
      <c r="B25" t="s">
        <v>181</v>
      </c>
      <c r="C25" s="7">
        <v>89378</v>
      </c>
      <c r="D25" s="7">
        <v>-89378</v>
      </c>
      <c r="E25" s="8">
        <v>334004</v>
      </c>
      <c r="F25" s="8">
        <v>-111335</v>
      </c>
      <c r="G25" s="7">
        <v>-111334</v>
      </c>
      <c r="H25" s="16">
        <f t="shared" si="0"/>
        <v>111335</v>
      </c>
    </row>
    <row r="26" spans="1:9" ht="12.75" customHeight="1" x14ac:dyDescent="0.25">
      <c r="A26" s="9">
        <v>2040601</v>
      </c>
      <c r="B26" t="s">
        <v>202</v>
      </c>
      <c r="E26" s="15"/>
      <c r="F26" s="15"/>
      <c r="G26" s="7">
        <v>2169</v>
      </c>
      <c r="H26" s="16">
        <f t="shared" si="0"/>
        <v>2169</v>
      </c>
    </row>
    <row r="27" spans="1:9" ht="12.75" customHeight="1" x14ac:dyDescent="0.25">
      <c r="H27" s="16"/>
    </row>
    <row r="28" spans="1:9" ht="12.75" customHeight="1" x14ac:dyDescent="0.25">
      <c r="A28" s="5" t="s">
        <v>63</v>
      </c>
      <c r="H28" s="16"/>
    </row>
    <row r="29" spans="1:9" ht="12.75" customHeight="1" x14ac:dyDescent="0.25">
      <c r="A29" t="s">
        <v>19</v>
      </c>
      <c r="B29" t="s">
        <v>35</v>
      </c>
      <c r="D29" s="8">
        <v>-0.48</v>
      </c>
      <c r="H29" s="16">
        <f t="shared" ref="H29:H37" si="1">SUM(C29:G29)</f>
        <v>-0.48</v>
      </c>
      <c r="I29" s="10"/>
    </row>
    <row r="30" spans="1:9" ht="12.75" customHeight="1" x14ac:dyDescent="0.25">
      <c r="A30" t="s">
        <v>148</v>
      </c>
      <c r="B30" t="s">
        <v>40</v>
      </c>
      <c r="C30" s="7">
        <v>-4951</v>
      </c>
      <c r="D30" s="7">
        <v>4950</v>
      </c>
      <c r="E30" s="7">
        <v>4485</v>
      </c>
      <c r="F30" s="7">
        <v>3544</v>
      </c>
      <c r="G30" s="7">
        <v>3890</v>
      </c>
      <c r="H30" s="16">
        <f t="shared" si="1"/>
        <v>11918</v>
      </c>
    </row>
    <row r="31" spans="1:9" ht="12.75" customHeight="1" x14ac:dyDescent="0.25">
      <c r="A31" t="s">
        <v>66</v>
      </c>
      <c r="B31" t="s">
        <v>160</v>
      </c>
      <c r="D31" s="7">
        <v>0</v>
      </c>
      <c r="E31" s="7">
        <v>194000</v>
      </c>
      <c r="F31" s="7">
        <v>-194000</v>
      </c>
      <c r="G31" s="7">
        <v>0</v>
      </c>
      <c r="H31" s="16">
        <f t="shared" si="1"/>
        <v>0</v>
      </c>
    </row>
    <row r="32" spans="1:9" ht="12.75" customHeight="1" x14ac:dyDescent="0.25">
      <c r="A32" t="s">
        <v>24</v>
      </c>
      <c r="B32" t="s">
        <v>0</v>
      </c>
      <c r="C32" s="7">
        <v>-2439</v>
      </c>
      <c r="D32" s="7">
        <v>-6577.5</v>
      </c>
      <c r="E32" s="7">
        <v>9940.5</v>
      </c>
      <c r="F32" s="7">
        <v>-118</v>
      </c>
      <c r="G32" s="7">
        <v>1</v>
      </c>
      <c r="H32" s="16">
        <f t="shared" si="1"/>
        <v>807</v>
      </c>
    </row>
    <row r="33" spans="1:9" ht="12.75" customHeight="1" x14ac:dyDescent="0.25">
      <c r="A33" t="s">
        <v>32</v>
      </c>
      <c r="B33" t="s">
        <v>20</v>
      </c>
      <c r="C33" s="7">
        <v>27</v>
      </c>
      <c r="G33" s="7">
        <v>0</v>
      </c>
      <c r="H33" s="16">
        <f t="shared" si="1"/>
        <v>27</v>
      </c>
    </row>
    <row r="34" spans="1:9" ht="12.75" customHeight="1" x14ac:dyDescent="0.25">
      <c r="A34" t="s">
        <v>128</v>
      </c>
      <c r="B34" t="s">
        <v>27</v>
      </c>
      <c r="C34" s="7">
        <v>1693</v>
      </c>
      <c r="D34" s="7">
        <v>276826.61</v>
      </c>
      <c r="E34" s="7">
        <v>-271247.90000000002</v>
      </c>
      <c r="F34" s="7">
        <v>6686</v>
      </c>
      <c r="G34" s="7">
        <v>-8069</v>
      </c>
      <c r="H34" s="16">
        <f t="shared" si="1"/>
        <v>5888.7099999999627</v>
      </c>
    </row>
    <row r="35" spans="1:9" ht="12.75" customHeight="1" x14ac:dyDescent="0.25">
      <c r="A35" t="s">
        <v>67</v>
      </c>
      <c r="B35" t="s">
        <v>15</v>
      </c>
      <c r="C35" s="7">
        <v>232944</v>
      </c>
      <c r="D35" s="7">
        <v>22169.18</v>
      </c>
      <c r="E35" s="7">
        <f>92619.86+1</f>
        <v>92620.86</v>
      </c>
      <c r="F35" s="7">
        <v>-282612</v>
      </c>
      <c r="G35" s="7">
        <v>235206</v>
      </c>
      <c r="H35" s="16">
        <f t="shared" si="1"/>
        <v>300328.03999999998</v>
      </c>
    </row>
    <row r="36" spans="1:9" ht="12.75" customHeight="1" x14ac:dyDescent="0.25">
      <c r="A36" t="s">
        <v>25</v>
      </c>
      <c r="B36" t="s">
        <v>9</v>
      </c>
      <c r="C36" s="7">
        <v>3055</v>
      </c>
      <c r="D36" s="7">
        <v>-2980</v>
      </c>
      <c r="E36" s="7">
        <f>5966+1</f>
        <v>5967</v>
      </c>
      <c r="F36" s="7">
        <v>1207</v>
      </c>
      <c r="G36" s="7">
        <v>-1114</v>
      </c>
      <c r="H36" s="16">
        <f t="shared" si="1"/>
        <v>6135</v>
      </c>
    </row>
    <row r="37" spans="1:9" ht="12.75" customHeight="1" x14ac:dyDescent="0.25">
      <c r="A37" t="s">
        <v>158</v>
      </c>
      <c r="B37" t="s">
        <v>145</v>
      </c>
      <c r="C37" s="7">
        <v>-16</v>
      </c>
      <c r="E37" s="7">
        <v>0</v>
      </c>
      <c r="F37" s="7">
        <v>0</v>
      </c>
      <c r="G37" s="7">
        <v>0</v>
      </c>
      <c r="H37" s="16">
        <f t="shared" si="1"/>
        <v>-16</v>
      </c>
    </row>
    <row r="38" spans="1:9" ht="12.75" customHeight="1" x14ac:dyDescent="0.25">
      <c r="H38" s="16"/>
    </row>
    <row r="39" spans="1:9" ht="12.75" customHeight="1" x14ac:dyDescent="0.25">
      <c r="A39" s="5" t="s">
        <v>172</v>
      </c>
      <c r="H39" s="16"/>
    </row>
    <row r="40" spans="1:9" ht="12.75" customHeight="1" x14ac:dyDescent="0.25">
      <c r="A40" t="s">
        <v>102</v>
      </c>
      <c r="B40" t="s">
        <v>97</v>
      </c>
      <c r="C40" s="7">
        <v>-1</v>
      </c>
      <c r="H40" s="16">
        <f>SUM(C40:G40)</f>
        <v>-1</v>
      </c>
    </row>
    <row r="41" spans="1:9" ht="12.75" customHeight="1" x14ac:dyDescent="0.25">
      <c r="A41" t="s">
        <v>37</v>
      </c>
      <c r="B41" t="s">
        <v>157</v>
      </c>
      <c r="C41" s="7">
        <v>-18931219</v>
      </c>
      <c r="F41" s="7">
        <v>4670958</v>
      </c>
      <c r="H41" s="16">
        <f>SUM(C41:G41)</f>
        <v>-14260261</v>
      </c>
    </row>
    <row r="42" spans="1:9" ht="12.75" customHeight="1" x14ac:dyDescent="0.25">
      <c r="A42" t="s">
        <v>130</v>
      </c>
      <c r="B42" t="s">
        <v>159</v>
      </c>
      <c r="C42" s="7">
        <f>2816797-1312124</f>
        <v>1504673</v>
      </c>
      <c r="H42" s="16">
        <f>SUM(C42:G42)</f>
        <v>1504673</v>
      </c>
    </row>
    <row r="43" spans="1:9" ht="12.75" customHeight="1" x14ac:dyDescent="0.25">
      <c r="H43" s="16"/>
    </row>
    <row r="44" spans="1:9" ht="12.75" customHeight="1" x14ac:dyDescent="0.25">
      <c r="A44" s="5" t="s">
        <v>22</v>
      </c>
      <c r="H44" s="16"/>
    </row>
    <row r="45" spans="1:9" ht="12.75" customHeight="1" x14ac:dyDescent="0.25">
      <c r="A45" t="s">
        <v>47</v>
      </c>
      <c r="B45" t="s">
        <v>44</v>
      </c>
      <c r="C45" s="7">
        <v>-169535973</v>
      </c>
      <c r="D45" s="7">
        <v>-875164.8</v>
      </c>
      <c r="E45" s="7">
        <v>-670610.59</v>
      </c>
      <c r="H45" s="16">
        <f>SUM(C45:G45)</f>
        <v>-171081748.39000002</v>
      </c>
    </row>
    <row r="46" spans="1:9" ht="12.75" customHeight="1" x14ac:dyDescent="0.25">
      <c r="A46" t="s">
        <v>137</v>
      </c>
      <c r="B46" t="s">
        <v>134</v>
      </c>
      <c r="C46" s="8">
        <v>36939891</v>
      </c>
      <c r="D46" s="7">
        <v>350000</v>
      </c>
      <c r="E46" s="7">
        <v>887000</v>
      </c>
      <c r="F46" s="7">
        <v>828967</v>
      </c>
      <c r="G46" s="7">
        <v>386788</v>
      </c>
      <c r="H46" s="16">
        <f>SUM(C46:G46)</f>
        <v>39392646</v>
      </c>
      <c r="I46" s="12"/>
    </row>
    <row r="47" spans="1:9" ht="12.75" customHeight="1" x14ac:dyDescent="0.25">
      <c r="A47" t="s">
        <v>2</v>
      </c>
      <c r="B47" t="s">
        <v>10</v>
      </c>
      <c r="C47" s="7">
        <v>348825</v>
      </c>
      <c r="D47" s="7">
        <v>-29069.06</v>
      </c>
      <c r="E47" s="7">
        <f>-29069.05+4</f>
        <v>-29065.05</v>
      </c>
      <c r="F47" s="7">
        <v>-29069</v>
      </c>
      <c r="G47" s="7">
        <v>-29069</v>
      </c>
      <c r="H47" s="16">
        <f>SUM(C47:G47)</f>
        <v>232552.89</v>
      </c>
    </row>
    <row r="48" spans="1:9" ht="12.75" customHeight="1" x14ac:dyDescent="0.25">
      <c r="H48" s="16"/>
    </row>
    <row r="49" spans="1:12" ht="12.75" customHeight="1" x14ac:dyDescent="0.25">
      <c r="A49" s="5" t="s">
        <v>43</v>
      </c>
      <c r="H49" s="16"/>
    </row>
    <row r="50" spans="1:12" ht="12.75" customHeight="1" x14ac:dyDescent="0.25">
      <c r="A50" t="s">
        <v>31</v>
      </c>
      <c r="B50" t="s">
        <v>65</v>
      </c>
      <c r="C50" s="7">
        <v>-5448</v>
      </c>
      <c r="D50" s="7">
        <v>-319583.96000000002</v>
      </c>
      <c r="E50" s="7">
        <v>-521059</v>
      </c>
      <c r="F50" s="7">
        <v>548173</v>
      </c>
      <c r="G50" s="7">
        <v>354718</v>
      </c>
      <c r="H50" s="16">
        <f>SUM(C50:G50)</f>
        <v>56800.040000000037</v>
      </c>
    </row>
    <row r="51" spans="1:12" ht="12.75" customHeight="1" x14ac:dyDescent="0.25">
      <c r="A51" t="s">
        <v>69</v>
      </c>
      <c r="B51" t="s">
        <v>14</v>
      </c>
      <c r="C51" s="7">
        <v>-942580</v>
      </c>
      <c r="D51" s="7">
        <v>0</v>
      </c>
      <c r="E51" s="7">
        <v>-12500</v>
      </c>
      <c r="F51" s="7">
        <v>942580</v>
      </c>
      <c r="G51" s="7">
        <v>0</v>
      </c>
      <c r="H51" s="16">
        <f t="shared" ref="H51:H72" si="2">SUM(C51:G51)</f>
        <v>-12500</v>
      </c>
    </row>
    <row r="52" spans="1:12" ht="12.75" customHeight="1" x14ac:dyDescent="0.25">
      <c r="A52" t="s">
        <v>75</v>
      </c>
      <c r="B52" t="s">
        <v>161</v>
      </c>
      <c r="C52" s="7">
        <v>-551205</v>
      </c>
      <c r="D52" s="8">
        <v>-9557</v>
      </c>
      <c r="G52" s="7">
        <v>-433706</v>
      </c>
      <c r="H52" s="16">
        <f t="shared" si="2"/>
        <v>-994468</v>
      </c>
      <c r="I52" s="10"/>
    </row>
    <row r="53" spans="1:12" ht="12.75" customHeight="1" x14ac:dyDescent="0.25">
      <c r="A53" s="9">
        <v>2630000</v>
      </c>
      <c r="B53" t="s">
        <v>201</v>
      </c>
      <c r="D53" s="8"/>
      <c r="G53" s="7">
        <v>453706</v>
      </c>
      <c r="H53" s="16">
        <f t="shared" si="2"/>
        <v>453706</v>
      </c>
      <c r="I53" s="10"/>
    </row>
    <row r="54" spans="1:12" ht="12.75" customHeight="1" x14ac:dyDescent="0.25">
      <c r="A54" t="s">
        <v>149</v>
      </c>
      <c r="B54" t="s">
        <v>115</v>
      </c>
      <c r="C54" s="7">
        <v>680904</v>
      </c>
      <c r="D54" s="8">
        <v>-1742467</v>
      </c>
      <c r="E54" s="8">
        <v>365128</v>
      </c>
      <c r="F54" s="7">
        <v>1609255</v>
      </c>
      <c r="G54" s="7">
        <v>547692</v>
      </c>
      <c r="H54" s="16">
        <f t="shared" si="2"/>
        <v>1460512</v>
      </c>
      <c r="I54" s="10"/>
      <c r="L54" s="4"/>
    </row>
    <row r="55" spans="1:12" ht="12.75" customHeight="1" x14ac:dyDescent="0.25">
      <c r="A55" s="9">
        <v>2650000</v>
      </c>
      <c r="B55" t="s">
        <v>182</v>
      </c>
      <c r="C55" s="7">
        <v>-500000</v>
      </c>
      <c r="D55" s="8">
        <v>-5000</v>
      </c>
      <c r="H55" s="16">
        <f t="shared" si="2"/>
        <v>-505000</v>
      </c>
      <c r="I55" s="10"/>
    </row>
    <row r="56" spans="1:12" ht="12.75" customHeight="1" x14ac:dyDescent="0.25">
      <c r="A56" s="9">
        <v>2650001</v>
      </c>
      <c r="B56" t="s">
        <v>203</v>
      </c>
      <c r="D56" s="8"/>
      <c r="G56" s="7">
        <v>-275000</v>
      </c>
      <c r="H56" s="16">
        <f t="shared" si="2"/>
        <v>-275000</v>
      </c>
      <c r="I56" s="10"/>
    </row>
    <row r="57" spans="1:12" ht="12.75" customHeight="1" x14ac:dyDescent="0.25">
      <c r="A57" t="s">
        <v>46</v>
      </c>
      <c r="B57" t="s">
        <v>41</v>
      </c>
      <c r="C57" s="7">
        <v>-5628</v>
      </c>
      <c r="D57" s="7">
        <v>-2177</v>
      </c>
      <c r="E57" s="14">
        <v>3078</v>
      </c>
      <c r="F57" s="7">
        <v>-7316</v>
      </c>
      <c r="G57" s="7">
        <v>7261</v>
      </c>
      <c r="H57" s="16">
        <f t="shared" si="2"/>
        <v>-4782</v>
      </c>
      <c r="I57" s="10" t="s">
        <v>199</v>
      </c>
    </row>
    <row r="58" spans="1:12" ht="12.75" customHeight="1" x14ac:dyDescent="0.25">
      <c r="A58" t="s">
        <v>51</v>
      </c>
      <c r="B58" t="s">
        <v>118</v>
      </c>
      <c r="C58" s="7">
        <v>-946590</v>
      </c>
      <c r="D58" s="7">
        <v>1511.29</v>
      </c>
      <c r="E58" s="7">
        <v>-127085</v>
      </c>
      <c r="F58" s="7">
        <v>-3870</v>
      </c>
      <c r="G58" s="7">
        <v>40978</v>
      </c>
      <c r="H58" s="16">
        <f t="shared" si="2"/>
        <v>-1035055.71</v>
      </c>
      <c r="I58" s="10"/>
    </row>
    <row r="59" spans="1:12" ht="12.75" customHeight="1" x14ac:dyDescent="0.25">
      <c r="A59" t="s">
        <v>110</v>
      </c>
      <c r="B59" t="s">
        <v>1</v>
      </c>
      <c r="C59" s="7">
        <v>-953829</v>
      </c>
      <c r="D59" s="7">
        <v>3736</v>
      </c>
      <c r="E59" s="7">
        <f>10637.04+1</f>
        <v>10638.04</v>
      </c>
      <c r="F59" s="7">
        <v>8876</v>
      </c>
      <c r="G59" s="7">
        <v>-3141</v>
      </c>
      <c r="H59" s="16">
        <f t="shared" si="2"/>
        <v>-933719.96</v>
      </c>
    </row>
    <row r="60" spans="1:12" ht="12.75" customHeight="1" x14ac:dyDescent="0.25">
      <c r="A60" t="s">
        <v>48</v>
      </c>
      <c r="B60" t="s">
        <v>107</v>
      </c>
      <c r="C60" s="7">
        <v>-45000</v>
      </c>
      <c r="H60" s="16">
        <f t="shared" si="2"/>
        <v>-45000</v>
      </c>
    </row>
    <row r="61" spans="1:12" ht="12.75" customHeight="1" x14ac:dyDescent="0.25">
      <c r="A61" t="s">
        <v>87</v>
      </c>
      <c r="B61" t="s">
        <v>70</v>
      </c>
      <c r="H61" s="16">
        <f t="shared" si="2"/>
        <v>0</v>
      </c>
    </row>
    <row r="62" spans="1:12" ht="12.75" customHeight="1" x14ac:dyDescent="0.25">
      <c r="A62" t="s">
        <v>50</v>
      </c>
      <c r="B62" t="s">
        <v>53</v>
      </c>
      <c r="H62" s="16">
        <f t="shared" si="2"/>
        <v>0</v>
      </c>
    </row>
    <row r="63" spans="1:12" ht="12.75" customHeight="1" x14ac:dyDescent="0.25">
      <c r="A63" t="s">
        <v>21</v>
      </c>
      <c r="B63" t="s">
        <v>125</v>
      </c>
      <c r="C63" s="7">
        <v>-45388</v>
      </c>
      <c r="D63" s="7">
        <v>-45993.21</v>
      </c>
      <c r="E63" s="7">
        <f>-140627-1</f>
        <v>-140628</v>
      </c>
      <c r="F63" s="7">
        <v>96028</v>
      </c>
      <c r="G63" s="7">
        <v>-139507</v>
      </c>
      <c r="H63" s="16">
        <f t="shared" si="2"/>
        <v>-275488.20999999996</v>
      </c>
    </row>
    <row r="64" spans="1:12" ht="12.75" customHeight="1" x14ac:dyDescent="0.25">
      <c r="A64" t="s">
        <v>119</v>
      </c>
      <c r="B64" t="s">
        <v>150</v>
      </c>
      <c r="C64" s="7">
        <v>30002</v>
      </c>
      <c r="D64" s="8">
        <v>-783782.38</v>
      </c>
      <c r="E64" s="7">
        <v>783782.38</v>
      </c>
      <c r="H64" s="16">
        <f t="shared" si="2"/>
        <v>30002</v>
      </c>
      <c r="I64" s="10"/>
    </row>
    <row r="65" spans="1:9" ht="12.75" customHeight="1" x14ac:dyDescent="0.25">
      <c r="A65" t="s">
        <v>127</v>
      </c>
      <c r="B65" t="s">
        <v>116</v>
      </c>
      <c r="H65" s="16">
        <f t="shared" si="2"/>
        <v>0</v>
      </c>
    </row>
    <row r="66" spans="1:9" ht="12.75" customHeight="1" x14ac:dyDescent="0.25">
      <c r="A66" s="9" t="s">
        <v>71</v>
      </c>
      <c r="B66" t="s">
        <v>133</v>
      </c>
      <c r="H66" s="16">
        <f t="shared" si="2"/>
        <v>0</v>
      </c>
    </row>
    <row r="67" spans="1:9" ht="12.75" customHeight="1" x14ac:dyDescent="0.25">
      <c r="A67" s="9">
        <v>2502020</v>
      </c>
      <c r="B67" t="s">
        <v>72</v>
      </c>
      <c r="C67" s="7">
        <v>789</v>
      </c>
      <c r="D67" s="7">
        <v>-788.66</v>
      </c>
      <c r="H67" s="16">
        <f t="shared" si="2"/>
        <v>0.34000000000003183</v>
      </c>
      <c r="I67" s="4"/>
    </row>
    <row r="68" spans="1:9" ht="12.75" customHeight="1" x14ac:dyDescent="0.25">
      <c r="A68" t="s">
        <v>187</v>
      </c>
      <c r="B68" t="s">
        <v>112</v>
      </c>
      <c r="C68" s="7">
        <v>-4516</v>
      </c>
      <c r="D68" s="8">
        <v>11164.33</v>
      </c>
      <c r="E68" s="7">
        <v>-5932.67</v>
      </c>
      <c r="H68" s="16">
        <f t="shared" si="2"/>
        <v>715.65999999999985</v>
      </c>
      <c r="I68" s="11"/>
    </row>
    <row r="69" spans="1:9" ht="12.75" customHeight="1" x14ac:dyDescent="0.25">
      <c r="A69" t="s">
        <v>188</v>
      </c>
      <c r="B69" t="s">
        <v>85</v>
      </c>
      <c r="C69" s="7">
        <v>-82428</v>
      </c>
      <c r="D69" s="8">
        <v>85939.7</v>
      </c>
      <c r="E69" s="7">
        <v>679.93</v>
      </c>
      <c r="H69" s="16">
        <f t="shared" si="2"/>
        <v>4191.6299999999974</v>
      </c>
      <c r="I69" s="11"/>
    </row>
    <row r="70" spans="1:9" ht="12.75" customHeight="1" x14ac:dyDescent="0.25">
      <c r="A70" t="s">
        <v>189</v>
      </c>
      <c r="B70" t="s">
        <v>88</v>
      </c>
      <c r="C70" s="7">
        <v>-195435</v>
      </c>
      <c r="D70" s="8">
        <v>174386.43</v>
      </c>
      <c r="E70" s="7">
        <v>-5964</v>
      </c>
      <c r="F70" s="7">
        <v>-3879</v>
      </c>
      <c r="H70" s="16">
        <f t="shared" si="2"/>
        <v>-30891.570000000007</v>
      </c>
      <c r="I70" s="11"/>
    </row>
    <row r="71" spans="1:9" ht="12.75" customHeight="1" x14ac:dyDescent="0.25">
      <c r="A71" s="1" t="s">
        <v>179</v>
      </c>
      <c r="B71" s="1" t="s">
        <v>180</v>
      </c>
      <c r="C71" s="7">
        <v>267750</v>
      </c>
      <c r="D71" s="7">
        <f>-187446.25-1</f>
        <v>-187447.25</v>
      </c>
      <c r="E71" s="7">
        <v>63895</v>
      </c>
      <c r="F71" s="7">
        <v>-288810</v>
      </c>
      <c r="G71" s="7">
        <v>-13237</v>
      </c>
      <c r="H71" s="16">
        <f t="shared" si="2"/>
        <v>-157849.25</v>
      </c>
    </row>
    <row r="72" spans="1:9" ht="12.75" customHeight="1" x14ac:dyDescent="0.25">
      <c r="A72" s="1" t="s">
        <v>179</v>
      </c>
      <c r="B72" s="1" t="s">
        <v>195</v>
      </c>
      <c r="E72" s="7">
        <f>23666+2</f>
        <v>23668</v>
      </c>
      <c r="F72" s="7">
        <v>-3049</v>
      </c>
      <c r="G72" s="7">
        <v>-9197</v>
      </c>
      <c r="H72" s="16">
        <f t="shared" si="2"/>
        <v>11422</v>
      </c>
    </row>
    <row r="73" spans="1:9" ht="12.75" customHeight="1" x14ac:dyDescent="0.25">
      <c r="H73" s="16"/>
    </row>
    <row r="74" spans="1:9" ht="12.75" customHeight="1" x14ac:dyDescent="0.25">
      <c r="A74" s="3" t="s">
        <v>171</v>
      </c>
      <c r="H74" s="16"/>
    </row>
    <row r="75" spans="1:9" ht="12.75" customHeight="1" x14ac:dyDescent="0.25">
      <c r="H75" s="4"/>
    </row>
    <row r="76" spans="1:9" ht="12.75" customHeight="1" x14ac:dyDescent="0.25">
      <c r="A76" t="s">
        <v>96</v>
      </c>
      <c r="B76" t="s">
        <v>78</v>
      </c>
      <c r="D76" s="7">
        <v>-3186800.49</v>
      </c>
      <c r="E76" s="7">
        <v>-3209085.09</v>
      </c>
      <c r="F76" s="7">
        <v>-3200539.89</v>
      </c>
      <c r="G76" s="7">
        <v>-3273560</v>
      </c>
      <c r="H76" s="4">
        <f>SUM(C76:G76)</f>
        <v>-12869985.470000001</v>
      </c>
      <c r="I76" s="4"/>
    </row>
    <row r="77" spans="1:9" ht="12.75" customHeight="1" x14ac:dyDescent="0.25">
      <c r="A77" t="s">
        <v>11</v>
      </c>
      <c r="B77" t="s">
        <v>59</v>
      </c>
      <c r="D77" s="7">
        <v>106874.37</v>
      </c>
      <c r="E77" s="7">
        <v>143610.29999999999</v>
      </c>
      <c r="F77" s="7">
        <v>133088.46</v>
      </c>
      <c r="G77" s="7">
        <v>177621</v>
      </c>
      <c r="H77" s="4">
        <f>SUM(C77:G77)</f>
        <v>561194.13</v>
      </c>
      <c r="I77" s="4"/>
    </row>
    <row r="78" spans="1:9" ht="12.75" customHeight="1" x14ac:dyDescent="0.25">
      <c r="H78" s="4"/>
      <c r="I78" s="4"/>
    </row>
    <row r="79" spans="1:9" ht="12.75" customHeight="1" x14ac:dyDescent="0.25">
      <c r="A79" t="s">
        <v>114</v>
      </c>
      <c r="B79" t="s">
        <v>99</v>
      </c>
      <c r="D79" s="7">
        <v>76472.45</v>
      </c>
      <c r="E79" s="7">
        <v>-294</v>
      </c>
      <c r="F79" s="7">
        <v>-301.7</v>
      </c>
      <c r="G79" s="7">
        <v>-4638</v>
      </c>
      <c r="H79" s="4">
        <f>SUM(C79:G79)</f>
        <v>71238.75</v>
      </c>
      <c r="I79" s="4"/>
    </row>
    <row r="80" spans="1:9" ht="12.75" customHeight="1" x14ac:dyDescent="0.25">
      <c r="A80" t="s">
        <v>89</v>
      </c>
      <c r="B80" t="s">
        <v>13</v>
      </c>
      <c r="D80" s="7">
        <v>-167419.98000000001</v>
      </c>
      <c r="E80" s="7">
        <v>8776</v>
      </c>
      <c r="F80" s="7">
        <v>6470.43</v>
      </c>
      <c r="G80" s="7">
        <v>14113</v>
      </c>
      <c r="H80" s="4">
        <f>SUM(C80:G80)</f>
        <v>-138060.55000000002</v>
      </c>
      <c r="I80" s="4"/>
    </row>
    <row r="81" spans="1:10" ht="12.75" customHeight="1" x14ac:dyDescent="0.25">
      <c r="A81" t="s">
        <v>109</v>
      </c>
      <c r="B81" t="s">
        <v>166</v>
      </c>
      <c r="D81" s="8">
        <v>-279511.09999999998</v>
      </c>
      <c r="E81" s="7">
        <v>131053</v>
      </c>
      <c r="F81" s="7">
        <v>164115.12</v>
      </c>
      <c r="G81" s="7">
        <v>3697</v>
      </c>
      <c r="H81" s="4">
        <f>SUM(C81:G81)</f>
        <v>19354.020000000019</v>
      </c>
      <c r="I81" s="11"/>
    </row>
    <row r="82" spans="1:10" ht="12.75" customHeight="1" x14ac:dyDescent="0.25">
      <c r="H82" s="4"/>
      <c r="I82" s="4"/>
    </row>
    <row r="83" spans="1:10" ht="12.75" customHeight="1" x14ac:dyDescent="0.25">
      <c r="A83" t="s">
        <v>93</v>
      </c>
      <c r="B83" t="s">
        <v>164</v>
      </c>
      <c r="D83" s="7">
        <v>135444.14000000001</v>
      </c>
      <c r="E83" s="7">
        <v>137751</v>
      </c>
      <c r="F83" s="7">
        <v>135540.07</v>
      </c>
      <c r="G83" s="7">
        <v>138487</v>
      </c>
      <c r="H83" s="4">
        <f>SUM(C83:G83)</f>
        <v>547222.21</v>
      </c>
      <c r="I83" s="4"/>
    </row>
    <row r="84" spans="1:10" ht="12.75" customHeight="1" x14ac:dyDescent="0.25">
      <c r="H84" s="4"/>
      <c r="I84" s="4"/>
    </row>
    <row r="85" spans="1:10" ht="12.75" customHeight="1" x14ac:dyDescent="0.25">
      <c r="A85" t="s">
        <v>62</v>
      </c>
      <c r="B85" t="s">
        <v>124</v>
      </c>
      <c r="D85" s="7">
        <v>793542</v>
      </c>
      <c r="E85" s="7">
        <v>811996</v>
      </c>
      <c r="F85" s="7">
        <v>822632</v>
      </c>
      <c r="G85" s="7">
        <v>839833</v>
      </c>
      <c r="H85" s="4">
        <f>SUM(C85:G85)</f>
        <v>3268003</v>
      </c>
      <c r="I85" s="4"/>
    </row>
    <row r="86" spans="1:10" ht="12.75" customHeight="1" x14ac:dyDescent="0.25">
      <c r="A86" t="s">
        <v>61</v>
      </c>
      <c r="B86" t="s">
        <v>98</v>
      </c>
      <c r="D86" s="7">
        <v>0</v>
      </c>
      <c r="E86" s="7">
        <v>-1202123</v>
      </c>
      <c r="F86" s="7">
        <v>-566976</v>
      </c>
      <c r="G86" s="7">
        <v>-169995</v>
      </c>
      <c r="H86" s="4">
        <f>SUM(C86:G86)</f>
        <v>-1939094</v>
      </c>
      <c r="I86" s="4"/>
    </row>
    <row r="87" spans="1:10" ht="12.75" customHeight="1" x14ac:dyDescent="0.25">
      <c r="H87" s="4"/>
      <c r="I87" s="4"/>
    </row>
    <row r="88" spans="1:10" ht="12.75" customHeight="1" x14ac:dyDescent="0.25">
      <c r="A88" t="s">
        <v>26</v>
      </c>
      <c r="B88" t="s">
        <v>136</v>
      </c>
      <c r="C88" s="8"/>
      <c r="D88" s="8">
        <v>320115.76</v>
      </c>
      <c r="E88" s="7">
        <v>335314</v>
      </c>
      <c r="F88" s="7">
        <v>297751.92</v>
      </c>
      <c r="G88" s="7">
        <v>244270</v>
      </c>
      <c r="H88" s="4">
        <f t="shared" ref="H88:H94" si="3">SUM(C88:G88)</f>
        <v>1197451.68</v>
      </c>
      <c r="I88" s="10"/>
    </row>
    <row r="89" spans="1:10" ht="12.75" customHeight="1" x14ac:dyDescent="0.25">
      <c r="A89" t="s">
        <v>101</v>
      </c>
      <c r="B89" t="s">
        <v>92</v>
      </c>
      <c r="D89" s="7">
        <v>69696.850000000006</v>
      </c>
      <c r="E89" s="7">
        <v>80016</v>
      </c>
      <c r="F89" s="8">
        <v>39003.589999999997</v>
      </c>
      <c r="G89" s="7">
        <v>94434</v>
      </c>
      <c r="H89" s="4">
        <f t="shared" si="3"/>
        <v>283150.44</v>
      </c>
      <c r="I89" s="4"/>
      <c r="J89" s="4"/>
    </row>
    <row r="90" spans="1:10" ht="12.75" customHeight="1" x14ac:dyDescent="0.25">
      <c r="A90" t="s">
        <v>139</v>
      </c>
      <c r="B90" t="s">
        <v>155</v>
      </c>
      <c r="D90" s="8">
        <v>180464.32</v>
      </c>
      <c r="E90" s="7">
        <v>199784</v>
      </c>
      <c r="F90" s="7">
        <v>182457.86</v>
      </c>
      <c r="G90" s="7">
        <v>125286</v>
      </c>
      <c r="H90" s="4">
        <f t="shared" si="3"/>
        <v>687992.17999999993</v>
      </c>
      <c r="I90" s="10"/>
    </row>
    <row r="91" spans="1:10" ht="12.75" customHeight="1" x14ac:dyDescent="0.25">
      <c r="A91" t="s">
        <v>105</v>
      </c>
      <c r="B91" t="s">
        <v>163</v>
      </c>
      <c r="E91" s="8">
        <v>63619</v>
      </c>
      <c r="F91" s="8">
        <v>63619.5</v>
      </c>
      <c r="G91" s="7">
        <v>0</v>
      </c>
      <c r="H91" s="4">
        <f t="shared" si="3"/>
        <v>127238.5</v>
      </c>
      <c r="I91" s="4"/>
    </row>
    <row r="92" spans="1:10" ht="12.75" customHeight="1" x14ac:dyDescent="0.25">
      <c r="A92" t="s">
        <v>151</v>
      </c>
      <c r="B92" t="s">
        <v>83</v>
      </c>
      <c r="D92" s="8">
        <v>27115.88</v>
      </c>
      <c r="E92" s="7">
        <v>26493</v>
      </c>
      <c r="F92" s="7">
        <v>19625.900000000001</v>
      </c>
      <c r="G92" s="7">
        <v>17307</v>
      </c>
      <c r="H92" s="4">
        <f t="shared" si="3"/>
        <v>90541.78</v>
      </c>
      <c r="I92" s="10"/>
      <c r="J92" s="4"/>
    </row>
    <row r="93" spans="1:10" ht="12.75" customHeight="1" x14ac:dyDescent="0.25">
      <c r="A93" t="s">
        <v>168</v>
      </c>
      <c r="B93" t="s">
        <v>29</v>
      </c>
      <c r="D93" s="8">
        <v>13307.02</v>
      </c>
      <c r="E93" s="7">
        <v>10678.06</v>
      </c>
      <c r="F93" s="7">
        <v>82958.5</v>
      </c>
      <c r="G93" s="7">
        <v>11876</v>
      </c>
      <c r="H93" s="4">
        <f t="shared" si="3"/>
        <v>118819.58</v>
      </c>
      <c r="I93" s="10"/>
    </row>
    <row r="94" spans="1:10" ht="12.75" customHeight="1" x14ac:dyDescent="0.25">
      <c r="A94" t="s">
        <v>49</v>
      </c>
      <c r="B94" t="s">
        <v>123</v>
      </c>
      <c r="E94" s="7">
        <v>-765.02</v>
      </c>
      <c r="F94" s="7">
        <v>-300.33999999999997</v>
      </c>
      <c r="G94" s="7">
        <v>-33</v>
      </c>
      <c r="H94" s="4">
        <f t="shared" si="3"/>
        <v>-1098.3599999999999</v>
      </c>
      <c r="I94" s="4"/>
    </row>
    <row r="95" spans="1:10" ht="12.75" customHeight="1" x14ac:dyDescent="0.25">
      <c r="H95" s="4"/>
      <c r="I95" s="4"/>
    </row>
    <row r="96" spans="1:10" ht="12.75" customHeight="1" x14ac:dyDescent="0.25">
      <c r="A96" t="s">
        <v>28</v>
      </c>
      <c r="B96" t="s">
        <v>106</v>
      </c>
      <c r="D96" s="8">
        <v>81794.69</v>
      </c>
      <c r="E96" s="7">
        <v>0</v>
      </c>
      <c r="F96" s="7">
        <v>0</v>
      </c>
      <c r="G96" s="7">
        <v>0</v>
      </c>
      <c r="H96" s="4">
        <f>SUM(C96:G96)</f>
        <v>81794.69</v>
      </c>
      <c r="I96" s="10"/>
    </row>
    <row r="97" spans="1:10" ht="12.75" customHeight="1" x14ac:dyDescent="0.25">
      <c r="A97" t="s">
        <v>120</v>
      </c>
      <c r="B97" t="s">
        <v>94</v>
      </c>
      <c r="D97" s="7">
        <v>10216.44</v>
      </c>
      <c r="E97" s="7">
        <v>311.29000000000002</v>
      </c>
      <c r="F97" s="7">
        <v>5045.3</v>
      </c>
      <c r="G97" s="7">
        <v>4441</v>
      </c>
      <c r="H97" s="4">
        <f>SUM(C97:G97)</f>
        <v>20014.030000000002</v>
      </c>
      <c r="I97" s="4"/>
    </row>
    <row r="98" spans="1:10" ht="12.75" customHeight="1" x14ac:dyDescent="0.25">
      <c r="H98" s="4"/>
      <c r="I98" s="4"/>
    </row>
    <row r="99" spans="1:10" ht="12.75" customHeight="1" x14ac:dyDescent="0.25">
      <c r="A99" t="s">
        <v>30</v>
      </c>
      <c r="B99" t="s">
        <v>45</v>
      </c>
      <c r="D99" s="7">
        <v>36.630000000000003</v>
      </c>
      <c r="H99" s="4">
        <f>SUM(C99:G99)</f>
        <v>36.630000000000003</v>
      </c>
      <c r="I99" s="4"/>
    </row>
    <row r="100" spans="1:10" ht="12.75" customHeight="1" x14ac:dyDescent="0.25">
      <c r="A100" t="s">
        <v>117</v>
      </c>
      <c r="B100" t="s">
        <v>55</v>
      </c>
      <c r="D100" s="7">
        <v>500</v>
      </c>
      <c r="E100" s="7">
        <v>740</v>
      </c>
      <c r="F100" s="7">
        <v>500</v>
      </c>
      <c r="G100" s="7">
        <v>3850</v>
      </c>
      <c r="H100" s="4">
        <f>SUM(C100:G100)</f>
        <v>5590</v>
      </c>
      <c r="I100" s="4"/>
    </row>
    <row r="101" spans="1:10" ht="12.75" customHeight="1" x14ac:dyDescent="0.25">
      <c r="H101" s="4"/>
      <c r="I101" s="4"/>
    </row>
    <row r="102" spans="1:10" ht="12.75" customHeight="1" x14ac:dyDescent="0.25">
      <c r="A102" t="s">
        <v>113</v>
      </c>
      <c r="B102" t="s">
        <v>122</v>
      </c>
      <c r="D102" s="7">
        <v>18609.21</v>
      </c>
      <c r="E102" s="7">
        <v>29994.09</v>
      </c>
      <c r="F102" s="7">
        <v>47533.15</v>
      </c>
      <c r="G102" s="7">
        <v>28916</v>
      </c>
      <c r="H102" s="4">
        <f>SUM(C102:G102)</f>
        <v>125052.45000000001</v>
      </c>
      <c r="I102" s="4"/>
      <c r="J102" s="4"/>
    </row>
    <row r="103" spans="1:10" ht="12.75" customHeight="1" x14ac:dyDescent="0.25">
      <c r="A103" t="s">
        <v>64</v>
      </c>
      <c r="B103" t="s">
        <v>68</v>
      </c>
      <c r="D103" s="7">
        <v>1500</v>
      </c>
      <c r="E103" s="7">
        <v>1500</v>
      </c>
      <c r="F103" s="7">
        <v>1500</v>
      </c>
      <c r="G103" s="7">
        <v>1500</v>
      </c>
      <c r="H103" s="4">
        <f>SUM(C103:G103)</f>
        <v>6000</v>
      </c>
      <c r="I103" s="4"/>
    </row>
    <row r="104" spans="1:10" ht="12.75" customHeight="1" x14ac:dyDescent="0.25">
      <c r="A104" t="s">
        <v>95</v>
      </c>
      <c r="B104" t="s">
        <v>52</v>
      </c>
      <c r="D104" s="8">
        <v>28685.98</v>
      </c>
      <c r="E104" s="8">
        <v>33105</v>
      </c>
      <c r="F104" s="7">
        <v>42192.41</v>
      </c>
      <c r="G104" s="7">
        <v>1065</v>
      </c>
      <c r="H104" s="4">
        <f t="shared" ref="H104:H110" si="4">SUM(C104:G104)</f>
        <v>105048.39</v>
      </c>
      <c r="I104" s="10"/>
    </row>
    <row r="105" spans="1:10" ht="12.75" customHeight="1" x14ac:dyDescent="0.25">
      <c r="A105" t="s">
        <v>156</v>
      </c>
      <c r="B105" t="s">
        <v>34</v>
      </c>
      <c r="D105" s="7">
        <v>1397.55</v>
      </c>
      <c r="F105" s="7">
        <v>2934.86</v>
      </c>
      <c r="G105" s="7">
        <v>3712</v>
      </c>
      <c r="H105" s="4">
        <f t="shared" si="4"/>
        <v>8044.41</v>
      </c>
      <c r="I105" s="4"/>
    </row>
    <row r="106" spans="1:10" ht="12.75" customHeight="1" x14ac:dyDescent="0.25">
      <c r="A106" t="s">
        <v>100</v>
      </c>
      <c r="B106" t="s">
        <v>60</v>
      </c>
      <c r="D106" s="8">
        <v>40046.620000000003</v>
      </c>
      <c r="E106" s="7">
        <v>62948.91</v>
      </c>
      <c r="F106" s="7">
        <v>33708.660000000003</v>
      </c>
      <c r="G106" s="7">
        <v>15169</v>
      </c>
      <c r="H106" s="4">
        <f t="shared" si="4"/>
        <v>151873.19</v>
      </c>
      <c r="I106" s="10"/>
    </row>
    <row r="107" spans="1:10" ht="12.75" customHeight="1" x14ac:dyDescent="0.25">
      <c r="A107" t="s">
        <v>138</v>
      </c>
      <c r="B107" t="s">
        <v>129</v>
      </c>
      <c r="D107" s="8">
        <v>21661.23</v>
      </c>
      <c r="E107" s="7">
        <v>23359.27</v>
      </c>
      <c r="F107" s="7">
        <v>26403.759999999998</v>
      </c>
      <c r="G107" s="7">
        <v>21247</v>
      </c>
      <c r="H107" s="4">
        <f t="shared" si="4"/>
        <v>92671.26</v>
      </c>
      <c r="I107" s="10"/>
    </row>
    <row r="108" spans="1:10" ht="12.75" customHeight="1" x14ac:dyDescent="0.25">
      <c r="A108" t="s">
        <v>143</v>
      </c>
      <c r="B108" t="s">
        <v>84</v>
      </c>
      <c r="D108" s="8">
        <v>35200</v>
      </c>
      <c r="E108" s="8">
        <v>11000</v>
      </c>
      <c r="F108" s="7">
        <v>66841.5</v>
      </c>
      <c r="G108" s="7">
        <v>89742</v>
      </c>
      <c r="H108" s="4">
        <f t="shared" si="4"/>
        <v>202783.5</v>
      </c>
      <c r="I108" s="10"/>
    </row>
    <row r="109" spans="1:10" ht="12.75" customHeight="1" x14ac:dyDescent="0.25">
      <c r="A109" t="s">
        <v>165</v>
      </c>
      <c r="B109" t="s">
        <v>154</v>
      </c>
      <c r="C109" s="8"/>
      <c r="D109" s="7">
        <v>30061.71</v>
      </c>
      <c r="E109" s="7">
        <v>30747</v>
      </c>
      <c r="F109" s="7">
        <v>30189.5</v>
      </c>
      <c r="G109" s="7">
        <v>30173</v>
      </c>
      <c r="H109" s="4">
        <f t="shared" si="4"/>
        <v>121171.20999999999</v>
      </c>
      <c r="I109" s="11"/>
    </row>
    <row r="110" spans="1:10" ht="12.75" customHeight="1" x14ac:dyDescent="0.25">
      <c r="A110" t="s">
        <v>108</v>
      </c>
      <c r="B110" t="s">
        <v>36</v>
      </c>
      <c r="D110" s="7">
        <v>40000</v>
      </c>
      <c r="G110" s="7">
        <v>0</v>
      </c>
      <c r="H110" s="4">
        <f t="shared" si="4"/>
        <v>40000</v>
      </c>
      <c r="I110" s="4"/>
    </row>
    <row r="111" spans="1:10" ht="12.75" customHeight="1" x14ac:dyDescent="0.25">
      <c r="A111" t="s">
        <v>33</v>
      </c>
      <c r="B111" t="s">
        <v>39</v>
      </c>
      <c r="D111" s="8">
        <v>4048.3</v>
      </c>
      <c r="E111" s="14">
        <v>-716</v>
      </c>
      <c r="F111" s="7">
        <v>-12426</v>
      </c>
      <c r="G111" s="7">
        <v>6643</v>
      </c>
      <c r="H111" s="4">
        <f>SUM(C111:G111)</f>
        <v>-2450.7000000000007</v>
      </c>
      <c r="I111" s="10" t="s">
        <v>199</v>
      </c>
    </row>
    <row r="112" spans="1:10" ht="12.75" customHeight="1" x14ac:dyDescent="0.25">
      <c r="H112" s="4"/>
      <c r="I112" s="4"/>
    </row>
    <row r="113" spans="1:9" ht="12.75" customHeight="1" x14ac:dyDescent="0.25">
      <c r="A113" t="s">
        <v>42</v>
      </c>
      <c r="B113" t="s">
        <v>56</v>
      </c>
      <c r="G113" s="7">
        <v>0</v>
      </c>
      <c r="H113" s="4">
        <f t="shared" ref="H113:H120" si="5">SUM(C113:G113)</f>
        <v>0</v>
      </c>
      <c r="I113" s="4"/>
    </row>
    <row r="114" spans="1:9" ht="12.75" customHeight="1" x14ac:dyDescent="0.25">
      <c r="A114" t="s">
        <v>131</v>
      </c>
      <c r="B114" t="s">
        <v>80</v>
      </c>
      <c r="D114" s="8">
        <v>9557</v>
      </c>
      <c r="G114" s="7">
        <v>0</v>
      </c>
      <c r="H114" s="4">
        <f t="shared" si="5"/>
        <v>9557</v>
      </c>
      <c r="I114" s="10"/>
    </row>
    <row r="115" spans="1:9" ht="12.75" customHeight="1" x14ac:dyDescent="0.25">
      <c r="A115" s="9">
        <v>4613000</v>
      </c>
      <c r="B115" t="s">
        <v>196</v>
      </c>
      <c r="D115" s="8">
        <v>5000</v>
      </c>
      <c r="G115" s="7">
        <v>0</v>
      </c>
      <c r="H115" s="4">
        <f t="shared" si="5"/>
        <v>5000</v>
      </c>
      <c r="I115" s="10"/>
    </row>
    <row r="116" spans="1:9" ht="12.75" customHeight="1" x14ac:dyDescent="0.25">
      <c r="A116" t="s">
        <v>103</v>
      </c>
      <c r="B116" t="s">
        <v>147</v>
      </c>
      <c r="D116" s="7">
        <v>-10316</v>
      </c>
      <c r="E116" s="7">
        <v>88.36</v>
      </c>
      <c r="F116" s="7">
        <v>8.3800000000000008</v>
      </c>
      <c r="G116" s="7">
        <v>0</v>
      </c>
      <c r="H116" s="4">
        <f t="shared" si="5"/>
        <v>-10219.26</v>
      </c>
      <c r="I116" s="4"/>
    </row>
    <row r="117" spans="1:9" ht="12.75" customHeight="1" x14ac:dyDescent="0.25">
      <c r="A117" t="s">
        <v>16</v>
      </c>
      <c r="B117" t="s">
        <v>3</v>
      </c>
      <c r="C117" s="8"/>
      <c r="D117" s="7">
        <v>1738638.91</v>
      </c>
      <c r="E117" s="7">
        <v>1484000.59</v>
      </c>
      <c r="F117" s="7">
        <v>1384964.21</v>
      </c>
      <c r="G117" s="7">
        <v>1264736</v>
      </c>
      <c r="H117" s="4">
        <f t="shared" si="5"/>
        <v>5872339.71</v>
      </c>
      <c r="I117" s="12"/>
    </row>
    <row r="118" spans="1:9" ht="12.75" customHeight="1" x14ac:dyDescent="0.25">
      <c r="A118" t="s">
        <v>167</v>
      </c>
      <c r="B118" t="s">
        <v>4</v>
      </c>
      <c r="C118" s="8"/>
      <c r="D118" s="7">
        <v>-76671.34</v>
      </c>
      <c r="E118" s="7">
        <v>81808</v>
      </c>
      <c r="F118" s="7">
        <v>171938.04</v>
      </c>
      <c r="G118" s="7">
        <v>267049</v>
      </c>
      <c r="H118" s="4">
        <f t="shared" si="5"/>
        <v>444123.7</v>
      </c>
      <c r="I118" s="11"/>
    </row>
    <row r="119" spans="1:9" ht="12.75" customHeight="1" x14ac:dyDescent="0.25">
      <c r="A119" t="s">
        <v>5</v>
      </c>
      <c r="B119" t="s">
        <v>12</v>
      </c>
      <c r="D119" s="8">
        <v>0</v>
      </c>
      <c r="G119" s="7">
        <v>0</v>
      </c>
      <c r="H119" s="4">
        <f t="shared" si="5"/>
        <v>0</v>
      </c>
      <c r="I119" s="13"/>
    </row>
    <row r="120" spans="1:9" ht="12.75" customHeight="1" x14ac:dyDescent="0.25">
      <c r="A120" t="s">
        <v>81</v>
      </c>
      <c r="B120" t="s">
        <v>169</v>
      </c>
      <c r="D120" s="8">
        <v>-468232.28</v>
      </c>
      <c r="E120" s="7">
        <v>-397476.14</v>
      </c>
      <c r="F120" s="7">
        <v>-369637.02</v>
      </c>
      <c r="G120" s="7">
        <v>-337235</v>
      </c>
      <c r="H120" s="4">
        <f t="shared" si="5"/>
        <v>-1572580.44</v>
      </c>
      <c r="I120" s="13"/>
    </row>
    <row r="121" spans="1:9" ht="12.75" customHeight="1" x14ac:dyDescent="0.25">
      <c r="H121" s="4"/>
      <c r="I121" s="4"/>
    </row>
    <row r="122" spans="1:9" ht="12.75" customHeight="1" x14ac:dyDescent="0.25">
      <c r="A122" t="s">
        <v>23</v>
      </c>
      <c r="B122" t="s">
        <v>90</v>
      </c>
      <c r="D122" s="8">
        <v>2238775</v>
      </c>
      <c r="H122" s="4">
        <f>SUM(C122:G122)</f>
        <v>2238775</v>
      </c>
      <c r="I122" s="11"/>
    </row>
    <row r="123" spans="1:9" ht="12.75" customHeight="1" x14ac:dyDescent="0.25">
      <c r="A123" t="s">
        <v>170</v>
      </c>
      <c r="B123" t="s">
        <v>77</v>
      </c>
      <c r="D123" s="8">
        <v>-920937</v>
      </c>
      <c r="E123" s="7">
        <v>-173840</v>
      </c>
      <c r="F123" s="7">
        <v>-200714</v>
      </c>
      <c r="G123" s="7">
        <v>-214644</v>
      </c>
      <c r="H123" s="4">
        <f>SUM(C123:G123)</f>
        <v>-1510135</v>
      </c>
      <c r="I123" s="11"/>
    </row>
    <row r="124" spans="1:9" ht="12.75" customHeight="1" x14ac:dyDescent="0.25">
      <c r="H124" s="4"/>
      <c r="I124" s="4"/>
    </row>
    <row r="125" spans="1:9" ht="12.75" customHeight="1" x14ac:dyDescent="0.25">
      <c r="A125" t="s">
        <v>175</v>
      </c>
      <c r="D125" s="7">
        <f>SUM(D76:D123)</f>
        <v>918873.87000000011</v>
      </c>
      <c r="E125" s="7">
        <f>SUM(E76:E123)</f>
        <v>-1275606.3799999999</v>
      </c>
      <c r="F125" s="7">
        <f>SUM(F76:F123)</f>
        <v>-589871.83000000101</v>
      </c>
      <c r="G125" s="7">
        <f>SUM(G76:G123)</f>
        <v>-594938</v>
      </c>
      <c r="H125" s="4">
        <f>SUM(C125:G125)</f>
        <v>-1541542.3400000008</v>
      </c>
      <c r="I125" s="4"/>
    </row>
    <row r="127" spans="1:9" ht="12.75" customHeight="1" x14ac:dyDescent="0.25">
      <c r="A127" t="s">
        <v>176</v>
      </c>
      <c r="C127" s="7">
        <f t="shared" ref="C127:H127" si="6">SUM(C5:C123)</f>
        <v>0</v>
      </c>
      <c r="D127" s="7">
        <f t="shared" si="6"/>
        <v>-0.42000000132247806</v>
      </c>
      <c r="E127" s="2">
        <f t="shared" si="6"/>
        <v>0.42000000039115548</v>
      </c>
      <c r="F127" s="2">
        <f t="shared" si="6"/>
        <v>0.16999999957624823</v>
      </c>
      <c r="G127" s="2">
        <f t="shared" si="6"/>
        <v>0</v>
      </c>
      <c r="H127" s="2">
        <f t="shared" si="6"/>
        <v>0.17000000574626029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7C9A-B659-4DFC-A637-D8C0D45416BC}">
  <dimension ref="A1:D71"/>
  <sheetViews>
    <sheetView zoomScaleNormal="100" workbookViewId="0">
      <selection activeCell="D2" sqref="D2"/>
    </sheetView>
  </sheetViews>
  <sheetFormatPr defaultRowHeight="12.75" customHeight="1" x14ac:dyDescent="0.25"/>
  <cols>
    <col min="2" max="2" width="21.109375" bestFit="1" customWidth="1"/>
    <col min="3" max="3" width="70" bestFit="1" customWidth="1"/>
    <col min="4" max="4" width="11.5546875" bestFit="1" customWidth="1"/>
  </cols>
  <sheetData>
    <row r="1" spans="1:4" ht="12.75" customHeight="1" x14ac:dyDescent="0.25">
      <c r="A1" t="s">
        <v>192</v>
      </c>
      <c r="B1" t="s">
        <v>183</v>
      </c>
      <c r="C1" t="s">
        <v>184</v>
      </c>
      <c r="D1" t="s">
        <v>185</v>
      </c>
    </row>
    <row r="2" spans="1:4" ht="12.75" customHeight="1" x14ac:dyDescent="0.25">
      <c r="B2" t="s">
        <v>141</v>
      </c>
      <c r="C2" t="s">
        <v>38</v>
      </c>
      <c r="D2">
        <v>229438.2</v>
      </c>
    </row>
    <row r="3" spans="1:4" ht="12.75" customHeight="1" x14ac:dyDescent="0.25">
      <c r="B3" t="s">
        <v>140</v>
      </c>
      <c r="C3" t="s">
        <v>91</v>
      </c>
      <c r="D3">
        <v>-762225</v>
      </c>
    </row>
    <row r="4" spans="1:4" ht="12.75" customHeight="1" x14ac:dyDescent="0.25">
      <c r="B4" t="s">
        <v>177</v>
      </c>
      <c r="C4" t="s">
        <v>178</v>
      </c>
      <c r="D4">
        <v>-556326</v>
      </c>
    </row>
    <row r="5" spans="1:4" ht="12.75" customHeight="1" x14ac:dyDescent="0.25">
      <c r="B5" t="s">
        <v>17</v>
      </c>
      <c r="C5" t="s">
        <v>82</v>
      </c>
      <c r="D5">
        <v>98174</v>
      </c>
    </row>
    <row r="6" spans="1:4" ht="12.75" customHeight="1" x14ac:dyDescent="0.25">
      <c r="B6" t="s">
        <v>121</v>
      </c>
      <c r="C6" t="s">
        <v>54</v>
      </c>
      <c r="D6">
        <v>-394151.1</v>
      </c>
    </row>
    <row r="7" spans="1:4" ht="12.75" customHeight="1" x14ac:dyDescent="0.25">
      <c r="B7" t="s">
        <v>86</v>
      </c>
      <c r="C7" t="s">
        <v>111</v>
      </c>
      <c r="D7">
        <v>-110650</v>
      </c>
    </row>
    <row r="8" spans="1:4" ht="12.75" customHeight="1" x14ac:dyDescent="0.25">
      <c r="B8" t="s">
        <v>142</v>
      </c>
      <c r="C8" t="s">
        <v>18</v>
      </c>
      <c r="D8">
        <v>155489</v>
      </c>
    </row>
    <row r="9" spans="1:4" ht="12.75" customHeight="1" x14ac:dyDescent="0.25">
      <c r="B9" t="s">
        <v>6</v>
      </c>
      <c r="C9" t="s">
        <v>74</v>
      </c>
      <c r="D9">
        <v>423215.73</v>
      </c>
    </row>
    <row r="10" spans="1:4" ht="12.75" customHeight="1" x14ac:dyDescent="0.25">
      <c r="B10" t="s">
        <v>75</v>
      </c>
      <c r="C10" t="s">
        <v>161</v>
      </c>
    </row>
    <row r="11" spans="1:4" ht="12.75" customHeight="1" x14ac:dyDescent="0.25">
      <c r="B11" t="s">
        <v>149</v>
      </c>
      <c r="C11" t="s">
        <v>115</v>
      </c>
      <c r="D11">
        <v>485985</v>
      </c>
    </row>
    <row r="12" spans="1:4" ht="12.75" customHeight="1" x14ac:dyDescent="0.25">
      <c r="B12" t="s">
        <v>146</v>
      </c>
      <c r="C12" t="s">
        <v>162</v>
      </c>
    </row>
    <row r="13" spans="1:4" ht="12.75" customHeight="1" x14ac:dyDescent="0.25">
      <c r="B13" t="s">
        <v>144</v>
      </c>
      <c r="C13" t="s">
        <v>132</v>
      </c>
      <c r="D13">
        <v>-21435</v>
      </c>
    </row>
    <row r="14" spans="1:4" ht="12.75" customHeight="1" x14ac:dyDescent="0.25">
      <c r="B14" t="s">
        <v>186</v>
      </c>
      <c r="C14" t="s">
        <v>181</v>
      </c>
      <c r="D14">
        <v>-89377.98</v>
      </c>
    </row>
    <row r="15" spans="1:4" ht="12.75" customHeight="1" x14ac:dyDescent="0.25">
      <c r="B15" t="s">
        <v>19</v>
      </c>
      <c r="C15" t="s">
        <v>35</v>
      </c>
      <c r="D15">
        <v>-358000</v>
      </c>
    </row>
    <row r="16" spans="1:4" ht="12.75" customHeight="1" x14ac:dyDescent="0.25">
      <c r="B16" t="s">
        <v>148</v>
      </c>
      <c r="C16" t="s">
        <v>40</v>
      </c>
      <c r="D16">
        <v>-1524.6</v>
      </c>
    </row>
    <row r="17" spans="2:4" ht="12.75" customHeight="1" x14ac:dyDescent="0.25">
      <c r="B17" t="s">
        <v>66</v>
      </c>
      <c r="C17" t="s">
        <v>160</v>
      </c>
      <c r="D17">
        <v>0</v>
      </c>
    </row>
    <row r="18" spans="2:4" ht="12.75" customHeight="1" x14ac:dyDescent="0.25">
      <c r="B18" t="s">
        <v>24</v>
      </c>
      <c r="C18" t="s">
        <v>0</v>
      </c>
      <c r="D18">
        <v>-9882.18</v>
      </c>
    </row>
    <row r="19" spans="2:4" ht="12.75" customHeight="1" x14ac:dyDescent="0.25">
      <c r="B19" t="s">
        <v>32</v>
      </c>
      <c r="C19" t="s">
        <v>20</v>
      </c>
    </row>
    <row r="20" spans="2:4" ht="12.75" customHeight="1" x14ac:dyDescent="0.25">
      <c r="B20" t="s">
        <v>128</v>
      </c>
      <c r="C20" t="s">
        <v>27</v>
      </c>
      <c r="D20">
        <v>949.76</v>
      </c>
    </row>
    <row r="21" spans="2:4" ht="12.75" customHeight="1" x14ac:dyDescent="0.25">
      <c r="B21" t="s">
        <v>67</v>
      </c>
      <c r="C21" t="s">
        <v>15</v>
      </c>
      <c r="D21">
        <v>169867.27</v>
      </c>
    </row>
    <row r="22" spans="2:4" ht="12.75" customHeight="1" x14ac:dyDescent="0.25">
      <c r="B22" t="s">
        <v>25</v>
      </c>
      <c r="C22" t="s">
        <v>9</v>
      </c>
      <c r="D22">
        <v>2744.42</v>
      </c>
    </row>
    <row r="23" spans="2:4" ht="12.75" customHeight="1" x14ac:dyDescent="0.25">
      <c r="B23" t="s">
        <v>137</v>
      </c>
      <c r="C23" t="s">
        <v>134</v>
      </c>
      <c r="D23">
        <v>1449881.36</v>
      </c>
    </row>
    <row r="24" spans="2:4" ht="12.75" customHeight="1" x14ac:dyDescent="0.25">
      <c r="B24" t="s">
        <v>2</v>
      </c>
      <c r="C24" t="s">
        <v>10</v>
      </c>
      <c r="D24">
        <v>-29069.05</v>
      </c>
    </row>
    <row r="25" spans="2:4" ht="12.75" customHeight="1" x14ac:dyDescent="0.25">
      <c r="B25" t="s">
        <v>31</v>
      </c>
      <c r="C25" t="s">
        <v>65</v>
      </c>
      <c r="D25">
        <v>277315</v>
      </c>
    </row>
    <row r="26" spans="2:4" ht="12.75" customHeight="1" x14ac:dyDescent="0.25">
      <c r="B26" t="s">
        <v>69</v>
      </c>
      <c r="C26" t="s">
        <v>14</v>
      </c>
      <c r="D26">
        <v>-9900</v>
      </c>
    </row>
    <row r="27" spans="2:4" ht="12.75" customHeight="1" x14ac:dyDescent="0.25">
      <c r="B27" t="s">
        <v>46</v>
      </c>
      <c r="C27" t="s">
        <v>41</v>
      </c>
      <c r="D27">
        <v>-3177.21</v>
      </c>
    </row>
    <row r="28" spans="2:4" ht="12.75" customHeight="1" x14ac:dyDescent="0.25">
      <c r="B28" t="s">
        <v>51</v>
      </c>
      <c r="C28" t="s">
        <v>118</v>
      </c>
      <c r="D28">
        <v>1145.22</v>
      </c>
    </row>
    <row r="29" spans="2:4" ht="12.75" customHeight="1" x14ac:dyDescent="0.25">
      <c r="B29" t="s">
        <v>110</v>
      </c>
      <c r="C29" t="s">
        <v>1</v>
      </c>
      <c r="D29">
        <v>8472.82</v>
      </c>
    </row>
    <row r="30" spans="2:4" ht="12.75" customHeight="1" x14ac:dyDescent="0.25">
      <c r="B30" t="s">
        <v>87</v>
      </c>
      <c r="C30" t="s">
        <v>70</v>
      </c>
    </row>
    <row r="31" spans="2:4" ht="12.75" customHeight="1" x14ac:dyDescent="0.25">
      <c r="B31" t="s">
        <v>21</v>
      </c>
      <c r="C31" t="s">
        <v>125</v>
      </c>
      <c r="D31">
        <v>216412.76</v>
      </c>
    </row>
    <row r="32" spans="2:4" ht="12.75" customHeight="1" x14ac:dyDescent="0.25">
      <c r="B32" t="s">
        <v>119</v>
      </c>
      <c r="C32" t="s">
        <v>150</v>
      </c>
    </row>
    <row r="33" spans="2:4" ht="12.75" customHeight="1" x14ac:dyDescent="0.25">
      <c r="B33" t="s">
        <v>127</v>
      </c>
      <c r="C33" t="s">
        <v>116</v>
      </c>
    </row>
    <row r="34" spans="2:4" ht="12.75" customHeight="1" x14ac:dyDescent="0.25">
      <c r="B34" t="s">
        <v>71</v>
      </c>
      <c r="C34" t="s">
        <v>133</v>
      </c>
      <c r="D34">
        <v>0</v>
      </c>
    </row>
    <row r="35" spans="2:4" ht="12.75" customHeight="1" x14ac:dyDescent="0.25">
      <c r="B35" t="s">
        <v>152</v>
      </c>
      <c r="C35" t="s">
        <v>76</v>
      </c>
    </row>
    <row r="36" spans="2:4" ht="12.75" customHeight="1" x14ac:dyDescent="0.25">
      <c r="B36" t="s">
        <v>187</v>
      </c>
      <c r="C36" t="s">
        <v>112</v>
      </c>
      <c r="D36">
        <v>0</v>
      </c>
    </row>
    <row r="37" spans="2:4" ht="12.75" customHeight="1" x14ac:dyDescent="0.25">
      <c r="B37" t="s">
        <v>188</v>
      </c>
      <c r="C37" t="s">
        <v>85</v>
      </c>
      <c r="D37">
        <v>-516.84</v>
      </c>
    </row>
    <row r="38" spans="2:4" ht="12.75" customHeight="1" x14ac:dyDescent="0.25">
      <c r="B38" t="s">
        <v>189</v>
      </c>
      <c r="C38" t="s">
        <v>88</v>
      </c>
      <c r="D38">
        <v>7601.93</v>
      </c>
    </row>
    <row r="39" spans="2:4" ht="12.75" customHeight="1" x14ac:dyDescent="0.25">
      <c r="B39" t="s">
        <v>179</v>
      </c>
      <c r="C39" t="s">
        <v>180</v>
      </c>
      <c r="D39">
        <v>49344.83</v>
      </c>
    </row>
    <row r="40" spans="2:4" ht="12.75" customHeight="1" x14ac:dyDescent="0.25">
      <c r="B40" t="s">
        <v>190</v>
      </c>
      <c r="C40" t="s">
        <v>191</v>
      </c>
    </row>
    <row r="41" spans="2:4" ht="12.75" customHeight="1" x14ac:dyDescent="0.25">
      <c r="B41" t="s">
        <v>96</v>
      </c>
      <c r="C41" t="s">
        <v>78</v>
      </c>
      <c r="D41">
        <v>-3169839.55</v>
      </c>
    </row>
    <row r="42" spans="2:4" ht="12.75" customHeight="1" x14ac:dyDescent="0.25">
      <c r="B42" t="s">
        <v>11</v>
      </c>
      <c r="C42" t="s">
        <v>59</v>
      </c>
      <c r="D42">
        <v>93311.89</v>
      </c>
    </row>
    <row r="43" spans="2:4" ht="12.75" customHeight="1" x14ac:dyDescent="0.25">
      <c r="B43" t="s">
        <v>114</v>
      </c>
      <c r="C43" t="s">
        <v>99</v>
      </c>
      <c r="D43">
        <v>-76472.45</v>
      </c>
    </row>
    <row r="44" spans="2:4" ht="12.75" customHeight="1" x14ac:dyDescent="0.25">
      <c r="B44" t="s">
        <v>89</v>
      </c>
      <c r="C44" t="s">
        <v>13</v>
      </c>
      <c r="D44">
        <v>10335.44</v>
      </c>
    </row>
    <row r="45" spans="2:4" ht="12.75" customHeight="1" x14ac:dyDescent="0.25">
      <c r="B45" t="s">
        <v>109</v>
      </c>
      <c r="C45" t="s">
        <v>166</v>
      </c>
      <c r="D45">
        <v>77542.210000000006</v>
      </c>
    </row>
    <row r="46" spans="2:4" ht="12.75" customHeight="1" x14ac:dyDescent="0.25">
      <c r="B46" t="s">
        <v>93</v>
      </c>
      <c r="C46" t="s">
        <v>164</v>
      </c>
      <c r="D46">
        <v>134133.54999999999</v>
      </c>
    </row>
    <row r="47" spans="2:4" ht="12.75" customHeight="1" x14ac:dyDescent="0.25">
      <c r="B47" t="s">
        <v>62</v>
      </c>
      <c r="C47" t="s">
        <v>124</v>
      </c>
      <c r="D47">
        <v>762225</v>
      </c>
    </row>
    <row r="48" spans="2:4" ht="12.75" customHeight="1" x14ac:dyDescent="0.25">
      <c r="B48" t="s">
        <v>61</v>
      </c>
      <c r="C48" t="s">
        <v>98</v>
      </c>
      <c r="D48">
        <v>-963848</v>
      </c>
    </row>
    <row r="49" spans="2:4" ht="12.75" customHeight="1" x14ac:dyDescent="0.25">
      <c r="B49" t="s">
        <v>26</v>
      </c>
      <c r="C49" t="s">
        <v>136</v>
      </c>
      <c r="D49">
        <v>308364.09000000003</v>
      </c>
    </row>
    <row r="50" spans="2:4" ht="12.75" customHeight="1" x14ac:dyDescent="0.25">
      <c r="B50" t="s">
        <v>101</v>
      </c>
      <c r="C50" t="s">
        <v>92</v>
      </c>
      <c r="D50">
        <v>66062.67</v>
      </c>
    </row>
    <row r="51" spans="2:4" ht="12.75" customHeight="1" x14ac:dyDescent="0.25">
      <c r="B51" t="s">
        <v>139</v>
      </c>
      <c r="C51" t="s">
        <v>155</v>
      </c>
      <c r="D51">
        <v>188400.11</v>
      </c>
    </row>
    <row r="52" spans="2:4" ht="12.75" customHeight="1" x14ac:dyDescent="0.25">
      <c r="B52" t="s">
        <v>120</v>
      </c>
      <c r="C52" t="s">
        <v>94</v>
      </c>
      <c r="D52">
        <v>10114.98</v>
      </c>
    </row>
    <row r="53" spans="2:4" ht="12.75" customHeight="1" x14ac:dyDescent="0.25">
      <c r="B53" t="s">
        <v>117</v>
      </c>
      <c r="C53" t="s">
        <v>55</v>
      </c>
      <c r="D53">
        <v>600</v>
      </c>
    </row>
    <row r="54" spans="2:4" ht="12.75" customHeight="1" x14ac:dyDescent="0.25">
      <c r="B54" t="s">
        <v>113</v>
      </c>
      <c r="C54" t="s">
        <v>122</v>
      </c>
      <c r="D54">
        <v>21435</v>
      </c>
    </row>
    <row r="55" spans="2:4" ht="12.75" customHeight="1" x14ac:dyDescent="0.25">
      <c r="B55" t="s">
        <v>64</v>
      </c>
      <c r="C55" t="s">
        <v>68</v>
      </c>
      <c r="D55">
        <v>1500</v>
      </c>
    </row>
    <row r="56" spans="2:4" ht="12.75" customHeight="1" x14ac:dyDescent="0.25">
      <c r="B56" t="s">
        <v>95</v>
      </c>
      <c r="C56" t="s">
        <v>52</v>
      </c>
      <c r="D56">
        <v>8698.33</v>
      </c>
    </row>
    <row r="57" spans="2:4" ht="12.75" customHeight="1" x14ac:dyDescent="0.25">
      <c r="B57" t="s">
        <v>156</v>
      </c>
      <c r="C57" t="s">
        <v>34</v>
      </c>
      <c r="D57">
        <v>1397.55</v>
      </c>
    </row>
    <row r="58" spans="2:4" ht="12.75" customHeight="1" x14ac:dyDescent="0.25">
      <c r="B58" t="s">
        <v>100</v>
      </c>
      <c r="C58" t="s">
        <v>60</v>
      </c>
      <c r="D58">
        <f>46295.99+1510.7</f>
        <v>47806.689999999995</v>
      </c>
    </row>
    <row r="59" spans="2:4" ht="12.75" customHeight="1" x14ac:dyDescent="0.25">
      <c r="B59" t="s">
        <v>138</v>
      </c>
      <c r="C59" t="s">
        <v>129</v>
      </c>
      <c r="D59">
        <v>6967.14</v>
      </c>
    </row>
    <row r="60" spans="2:4" ht="12.75" customHeight="1" x14ac:dyDescent="0.25">
      <c r="B60" t="s">
        <v>143</v>
      </c>
      <c r="C60" t="s">
        <v>84</v>
      </c>
      <c r="D60">
        <v>100650</v>
      </c>
    </row>
    <row r="61" spans="2:4" ht="12.75" customHeight="1" x14ac:dyDescent="0.25">
      <c r="B61" t="s">
        <v>165</v>
      </c>
      <c r="C61" t="s">
        <v>154</v>
      </c>
      <c r="D61">
        <v>8473.27</v>
      </c>
    </row>
    <row r="62" spans="2:4" ht="12.75" customHeight="1" x14ac:dyDescent="0.25">
      <c r="B62" t="s">
        <v>108</v>
      </c>
      <c r="C62" t="s">
        <v>36</v>
      </c>
    </row>
    <row r="63" spans="2:4" ht="12.75" customHeight="1" x14ac:dyDescent="0.25">
      <c r="B63" t="s">
        <v>33</v>
      </c>
      <c r="C63" t="s">
        <v>39</v>
      </c>
      <c r="D63">
        <v>-1507.82</v>
      </c>
    </row>
    <row r="64" spans="2:4" ht="12.75" customHeight="1" x14ac:dyDescent="0.25">
      <c r="B64" t="s">
        <v>16</v>
      </c>
      <c r="C64" t="s">
        <v>3</v>
      </c>
      <c r="D64">
        <v>1915107.54</v>
      </c>
    </row>
    <row r="65" spans="2:4" ht="12.75" customHeight="1" x14ac:dyDescent="0.25">
      <c r="B65" t="s">
        <v>167</v>
      </c>
      <c r="C65" t="s">
        <v>4</v>
      </c>
      <c r="D65">
        <v>-159757.35</v>
      </c>
    </row>
    <row r="66" spans="2:4" ht="12.75" customHeight="1" x14ac:dyDescent="0.25">
      <c r="B66" t="s">
        <v>5</v>
      </c>
      <c r="C66" t="s">
        <v>12</v>
      </c>
      <c r="D66">
        <v>51.12</v>
      </c>
    </row>
    <row r="67" spans="2:4" ht="12.75" customHeight="1" x14ac:dyDescent="0.25">
      <c r="B67" t="s">
        <v>81</v>
      </c>
      <c r="C67" t="s">
        <v>169</v>
      </c>
      <c r="D67">
        <v>-519493.62</v>
      </c>
    </row>
    <row r="68" spans="2:4" ht="12.75" customHeight="1" x14ac:dyDescent="0.25">
      <c r="B68" t="s">
        <v>170</v>
      </c>
      <c r="C68" t="s">
        <v>77</v>
      </c>
      <c r="D68">
        <v>-155489</v>
      </c>
    </row>
    <row r="69" spans="2:4" ht="12.75" customHeight="1" x14ac:dyDescent="0.25">
      <c r="B69" t="s">
        <v>151</v>
      </c>
      <c r="C69" t="s">
        <v>83</v>
      </c>
      <c r="D69">
        <v>24496.54</v>
      </c>
    </row>
    <row r="70" spans="2:4" ht="12.75" customHeight="1" x14ac:dyDescent="0.25">
      <c r="B70" t="s">
        <v>168</v>
      </c>
      <c r="C70" t="s">
        <v>29</v>
      </c>
      <c r="D70">
        <v>28932.33</v>
      </c>
    </row>
    <row r="71" spans="2:4" ht="12.75" customHeight="1" x14ac:dyDescent="0.25">
      <c r="B71" t="s">
        <v>49</v>
      </c>
      <c r="C71" t="s">
        <v>123</v>
      </c>
    </row>
  </sheetData>
  <pageMargins left="0.75" right="0.75" top="1" bottom="1" header="0.5" footer="0.5"/>
  <pageSetup paperSize="9" orientation="portrait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02D542F7F0E847AEA531E2E1FAD41A" ma:contentTypeVersion="691" ma:contentTypeDescription="Create a new document." ma:contentTypeScope="" ma:versionID="eba90aec8ca966340e08935ee833c8cc">
  <xsd:schema xmlns:xsd="http://www.w3.org/2001/XMLSchema" xmlns:xs="http://www.w3.org/2001/XMLSchema" xmlns:p="http://schemas.microsoft.com/office/2006/metadata/properties" xmlns:ns2="43f7e5f2-7bff-48cb-9d5f-c2d3a1e49a36" xmlns:ns3="0ad47cc6-ee06-428f-a109-95e0cd5f2128" targetNamespace="http://schemas.microsoft.com/office/2006/metadata/properties" ma:root="true" ma:fieldsID="56db47df3d369b1330e1493e9658cba3" ns2:_="" ns3:_="">
    <xsd:import namespace="43f7e5f2-7bff-48cb-9d5f-c2d3a1e49a36"/>
    <xsd:import namespace="0ad47cc6-ee06-428f-a109-95e0cd5f212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7e5f2-7bff-48cb-9d5f-c2d3a1e49a3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bb5170-d0e5-48b6-ae35-281cc3316d8c}" ma:internalName="TaxCatchAll" ma:showField="CatchAllData" ma:web="43f7e5f2-7bff-48cb-9d5f-c2d3a1e49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47cc6-ee06-428f-a109-95e0cd5f2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d408f6c-e688-47f4-9a82-8760968d7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f7e5f2-7bff-48cb-9d5f-c2d3a1e49a36" xsi:nil="true"/>
    <lcf76f155ced4ddcb4097134ff3c332f xmlns="0ad47cc6-ee06-428f-a109-95e0cd5f2128">
      <Terms xmlns="http://schemas.microsoft.com/office/infopath/2007/PartnerControls"/>
    </lcf76f155ced4ddcb4097134ff3c332f>
    <_dlc_DocId xmlns="43f7e5f2-7bff-48cb-9d5f-c2d3a1e49a36">PZ6C3HYYRRJX-187418651-115906</_dlc_DocId>
    <_dlc_DocIdUrl xmlns="43f7e5f2-7bff-48cb-9d5f-c2d3a1e49a36">
      <Url>https://dmequity.sharepoint.com/sites/DME/_layouts/15/DocIdRedir.aspx?ID=PZ6C3HYYRRJX-187418651-115906</Url>
      <Description>PZ6C3HYYRRJX-187418651-115906</Description>
    </_dlc_DocIdUrl>
  </documentManagement>
</p:properties>
</file>

<file path=customXml/itemProps1.xml><?xml version="1.0" encoding="utf-8"?>
<ds:datastoreItem xmlns:ds="http://schemas.openxmlformats.org/officeDocument/2006/customXml" ds:itemID="{53BD9508-5159-4A74-9DF2-9210A76EB0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7e5f2-7bff-48cb-9d5f-c2d3a1e49a36"/>
    <ds:schemaRef ds:uri="0ad47cc6-ee06-428f-a109-95e0cd5f2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A74513-F51C-45CB-8152-DAACB4DD4F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40A395-D879-40F1-AC5D-80A488960006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3C365AD-A4AA-4177-8A8C-0A672B7E13AF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4409DFB0-27B0-4702-BA88-E1925812159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BalansenWinstverliesperperiode</vt:lpstr>
      <vt:lpstr>Kolommenbalans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van den Eshof</dc:creator>
  <cp:lastModifiedBy>Quinten Visser</cp:lastModifiedBy>
  <dcterms:created xsi:type="dcterms:W3CDTF">2024-04-18T17:53:30Z</dcterms:created>
  <dcterms:modified xsi:type="dcterms:W3CDTF">2025-10-20T08:18:08Z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doAccountName">
    <vt:lpwstr>QSP ESS B.V.</vt:lpwstr>
  </property>
  <property fmtid="{D5CDD505-2E9C-101B-9397-08002B2CF9AE}" pid="3" name="bdoLoS">
    <vt:lpwstr>A&amp;B</vt:lpwstr>
  </property>
  <property fmtid="{D5CDD505-2E9C-101B-9397-08002B2CF9AE}" pid="4" name="bdoEngagement">
    <vt:lpwstr>1;#Co-Sourcing|3684d054-7a67-4bd7-a726-4de6a76e85db</vt:lpwstr>
  </property>
  <property fmtid="{D5CDD505-2E9C-101B-9397-08002B2CF9AE}" pid="5" name="bdoProjectStatus">
    <vt:lpwstr/>
  </property>
  <property fmtid="{D5CDD505-2E9C-101B-9397-08002B2CF9AE}" pid="6" name="bdoDocumentType">
    <vt:lpwstr/>
  </property>
  <property fmtid="{D5CDD505-2E9C-101B-9397-08002B2CF9AE}" pid="7" name="defaultLabelMyBDO">
    <vt:lpwstr>2;#Administratie|26575488-78b8-4440-9349-f76fd6c444fa</vt:lpwstr>
  </property>
  <property fmtid="{D5CDD505-2E9C-101B-9397-08002B2CF9AE}" pid="8" name="i462cf6fb7534b59ab07910e4b85c023">
    <vt:lpwstr>Co-Sourcing|3684d054-7a67-4bd7-a726-4de6a76e85db</vt:lpwstr>
  </property>
  <property fmtid="{D5CDD505-2E9C-101B-9397-08002B2CF9AE}" pid="9" name="bdoPeriod">
    <vt:lpwstr/>
  </property>
  <property fmtid="{D5CDD505-2E9C-101B-9397-08002B2CF9AE}" pid="10" name="p67007ab9c644c8d8543bd01e170bf50">
    <vt:lpwstr/>
  </property>
  <property fmtid="{D5CDD505-2E9C-101B-9397-08002B2CF9AE}" pid="11" name="MediaServiceImageTags">
    <vt:lpwstr/>
  </property>
  <property fmtid="{D5CDD505-2E9C-101B-9397-08002B2CF9AE}" pid="12" name="bdoAccountNumber">
    <vt:lpwstr>1066359</vt:lpwstr>
  </property>
  <property fmtid="{D5CDD505-2E9C-101B-9397-08002B2CF9AE}" pid="13" name="gde9607abc984b37acf1eefc9e670da4">
    <vt:lpwstr>Administratie|26575488-78b8-4440-9349-f76fd6c444fa</vt:lpwstr>
  </property>
  <property fmtid="{D5CDD505-2E9C-101B-9397-08002B2CF9AE}" pid="14" name="oce00429e51b450f8fec9e4e879b329e">
    <vt:lpwstr>2024|ae67a05c-fe08-4765-9c46-327b1ab69e60</vt:lpwstr>
  </property>
  <property fmtid="{D5CDD505-2E9C-101B-9397-08002B2CF9AE}" pid="15" name="bdoFinancialYear">
    <vt:lpwstr>15;#2024|ae67a05c-fe08-4765-9c46-327b1ab69e60</vt:lpwstr>
  </property>
  <property fmtid="{D5CDD505-2E9C-101B-9397-08002B2CF9AE}" pid="16" name="l0c05dc3ab624e2fbab10f4300ef65bc">
    <vt:lpwstr/>
  </property>
  <property fmtid="{D5CDD505-2E9C-101B-9397-08002B2CF9AE}" pid="17" name="labelMyBDO">
    <vt:lpwstr/>
  </property>
  <property fmtid="{D5CDD505-2E9C-101B-9397-08002B2CF9AE}" pid="18" name="h9ff2d0b599144b7baa377fe70439efc">
    <vt:lpwstr/>
  </property>
  <property fmtid="{D5CDD505-2E9C-101B-9397-08002B2CF9AE}" pid="19" name="c23404801d054977aeb186ffb34f4917">
    <vt:lpwstr/>
  </property>
  <property fmtid="{D5CDD505-2E9C-101B-9397-08002B2CF9AE}" pid="20" name="bdoMyBdo">
    <vt:lpwstr/>
  </property>
  <property fmtid="{D5CDD505-2E9C-101B-9397-08002B2CF9AE}" pid="21" name="bdoConfidential">
    <vt:lpwstr/>
  </property>
  <property fmtid="{D5CDD505-2E9C-101B-9397-08002B2CF9AE}" pid="22" name="bdoVault">
    <vt:lpwstr/>
  </property>
  <property fmtid="{D5CDD505-2E9C-101B-9397-08002B2CF9AE}" pid="23" name="bdoProjectNumber">
    <vt:lpwstr/>
  </property>
  <property fmtid="{D5CDD505-2E9C-101B-9397-08002B2CF9AE}" pid="24" name="bdoProjectClosingDate">
    <vt:lpwstr/>
  </property>
  <property fmtid="{D5CDD505-2E9C-101B-9397-08002B2CF9AE}" pid="25" name="_dlc_DocId">
    <vt:lpwstr>PZ6C3HYYRRJX-187418651-115904</vt:lpwstr>
  </property>
  <property fmtid="{D5CDD505-2E9C-101B-9397-08002B2CF9AE}" pid="26" name="_dlc_DocIdItemGuid">
    <vt:lpwstr>2ec7785c-a572-42bf-a897-38b20b97dce5</vt:lpwstr>
  </property>
  <property fmtid="{D5CDD505-2E9C-101B-9397-08002B2CF9AE}" pid="27" name="_dlc_DocIdUrl">
    <vt:lpwstr>https://dmequity.sharepoint.com/sites/DME/_layouts/15/DocIdRedir.aspx?ID=PZ6C3HYYRRJX-187418651-115904, PZ6C3HYYRRJX-187418651-115904</vt:lpwstr>
  </property>
  <property fmtid="{D5CDD505-2E9C-101B-9397-08002B2CF9AE}" pid="28" name="ContentTypeId">
    <vt:lpwstr>0x010100B702D542F7F0E847AEA531E2E1FAD41A</vt:lpwstr>
  </property>
</Properties>
</file>