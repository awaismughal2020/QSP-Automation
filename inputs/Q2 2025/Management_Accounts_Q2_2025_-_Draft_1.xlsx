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5 Q2/Ontvangen BDO/"/>
    </mc:Choice>
  </mc:AlternateContent>
  <xr:revisionPtr revIDLastSave="163" documentId="8_{4F3A1A6B-236E-4420-BE65-C8AED50F459F}" xr6:coauthVersionLast="47" xr6:coauthVersionMax="47" xr10:uidLastSave="{D41394EF-DF44-4B22-9112-1A9C59CC9F7F}"/>
  <bookViews>
    <workbookView xWindow="28680" yWindow="-120" windowWidth="51840" windowHeight="21120" tabRatio="732" firstSheet="17" activeTab="27" xr2:uid="{00000000-000D-0000-FFFF-FFFF00000000}"/>
  </bookViews>
  <sheets>
    <sheet name="BalansenWinstverlies - FY2018" sheetId="2" state="hidden" r:id="rId1"/>
    <sheet name="Cijfers QSP - Q1 2019" sheetId="4" state="hidden" r:id="rId2"/>
    <sheet name="BDO - Q2 2019" sheetId="5" state="hidden" r:id="rId3"/>
    <sheet name="BDO - Q3 2019" sheetId="6" state="hidden" r:id="rId4"/>
    <sheet name="BDO Q4 2019" sheetId="7" state="hidden" r:id="rId5"/>
    <sheet name="BDO - Q1 2020" sheetId="9" state="hidden" r:id="rId6"/>
    <sheet name="BDO - Q2 2020" sheetId="10" r:id="rId7"/>
    <sheet name="BDO - Q3 2020" sheetId="11" r:id="rId8"/>
    <sheet name="BDO - Q4 2020" sheetId="12" r:id="rId9"/>
    <sheet name="BDO - Q1 2021" sheetId="13" r:id="rId10"/>
    <sheet name="BDO - Q2 2021" sheetId="14" r:id="rId11"/>
    <sheet name="BDO - Q3 2021" sheetId="15" r:id="rId12"/>
    <sheet name="BDO - Q4 2021" sheetId="16" r:id="rId13"/>
    <sheet name="BDO - Q1-22" sheetId="18" r:id="rId14"/>
    <sheet name="BDO - Q2-22" sheetId="19" r:id="rId15"/>
    <sheet name="BDO - Q3-22" sheetId="20" r:id="rId16"/>
    <sheet name="BDO - Q4-22" sheetId="21" r:id="rId17"/>
    <sheet name="BDO - Q1-23" sheetId="22" r:id="rId18"/>
    <sheet name="BDO - Q2-23" sheetId="23" r:id="rId19"/>
    <sheet name="BDO - Q3-23" sheetId="24" r:id="rId20"/>
    <sheet name="BDO - Q4-23" sheetId="8" r:id="rId21"/>
    <sheet name="BDO - Q1-24" sheetId="25" r:id="rId22"/>
    <sheet name="BDO - Q2-24" sheetId="26" r:id="rId23"/>
    <sheet name="BDO - Q3-24" sheetId="27" r:id="rId24"/>
    <sheet name="BDO - Q4-24" sheetId="28" r:id="rId25"/>
    <sheet name="BDO - Q1-25" sheetId="29" r:id="rId26"/>
    <sheet name="BDO - Q2-25" sheetId="30" r:id="rId27"/>
    <sheet name="Management Cijfers - Q2 2025" sheetId="1" r:id="rId28"/>
  </sheets>
  <externalReferences>
    <externalReference r:id="rId29"/>
    <externalReference r:id="rId30"/>
    <externalReference r:id="rId31"/>
  </externalReferences>
  <definedNames>
    <definedName name="CIQWBGuid" hidden="1">"2ad02d76-6131-41a9-85de-17d1fe470875"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50" i="1" l="1"/>
  <c r="H38" i="30"/>
  <c r="H39" i="30"/>
  <c r="H40" i="30"/>
  <c r="H41" i="30"/>
  <c r="H42" i="30"/>
  <c r="H43" i="30"/>
  <c r="H44" i="30"/>
  <c r="H45" i="30"/>
  <c r="H47" i="30"/>
  <c r="H48" i="30"/>
  <c r="H53" i="30"/>
  <c r="H57" i="30"/>
  <c r="H59" i="30"/>
  <c r="H64" i="30"/>
  <c r="H69" i="30"/>
  <c r="H11" i="30"/>
  <c r="H12" i="30"/>
  <c r="H13" i="30"/>
  <c r="H17" i="30"/>
  <c r="H18" i="30"/>
  <c r="H20" i="30"/>
  <c r="H21" i="30"/>
  <c r="H23" i="30"/>
  <c r="H26" i="30"/>
  <c r="H27" i="30"/>
  <c r="H36" i="30"/>
  <c r="H37" i="30"/>
  <c r="H10" i="30"/>
  <c r="G132" i="30" l="1"/>
  <c r="F132" i="30"/>
  <c r="E132" i="30"/>
  <c r="G131" i="30"/>
  <c r="G130" i="30"/>
  <c r="Z64" i="1" s="1"/>
  <c r="F130" i="30"/>
  <c r="E130" i="30"/>
  <c r="D130" i="30"/>
  <c r="H129" i="30"/>
  <c r="G129" i="30"/>
  <c r="G133" i="30" s="1"/>
  <c r="F129" i="30"/>
  <c r="E129" i="30"/>
  <c r="E133" i="30" s="1"/>
  <c r="D129" i="30"/>
  <c r="G126" i="30"/>
  <c r="F126" i="30"/>
  <c r="F131" i="30" s="1"/>
  <c r="E126" i="30"/>
  <c r="E131" i="30" s="1"/>
  <c r="D126" i="30"/>
  <c r="D131" i="30" s="1"/>
  <c r="AA112" i="1"/>
  <c r="AA109" i="1"/>
  <c r="AA32" i="1"/>
  <c r="Z67" i="1"/>
  <c r="Z65" i="1"/>
  <c r="Z61" i="1"/>
  <c r="Z60" i="1"/>
  <c r="Z56" i="1"/>
  <c r="Z53" i="1"/>
  <c r="Z47" i="1"/>
  <c r="Z46" i="1"/>
  <c r="Z42" i="1"/>
  <c r="Z41" i="1"/>
  <c r="Z40" i="1"/>
  <c r="Z39" i="1"/>
  <c r="Z38" i="1"/>
  <c r="Z37" i="1"/>
  <c r="Z36" i="1"/>
  <c r="Z34" i="1"/>
  <c r="Z33" i="1"/>
  <c r="Z44" i="1" s="1"/>
  <c r="Z32" i="1"/>
  <c r="Z29" i="1"/>
  <c r="Z28" i="1"/>
  <c r="Z27" i="1"/>
  <c r="Z24" i="1"/>
  <c r="Z25" i="1" s="1"/>
  <c r="Z23" i="1"/>
  <c r="H93" i="30"/>
  <c r="H88" i="30"/>
  <c r="H85" i="30"/>
  <c r="AA12" i="1"/>
  <c r="H6" i="30"/>
  <c r="AA11" i="1"/>
  <c r="AA10" i="1"/>
  <c r="Z30" i="1"/>
  <c r="G124" i="30"/>
  <c r="G122" i="30"/>
  <c r="F122" i="30"/>
  <c r="E122" i="30"/>
  <c r="D120" i="30"/>
  <c r="H120" i="30" s="1"/>
  <c r="AA67" i="1" s="1"/>
  <c r="H119" i="30"/>
  <c r="D117" i="30"/>
  <c r="D132" i="30" s="1"/>
  <c r="H132" i="30" s="1"/>
  <c r="D116" i="30"/>
  <c r="H116" i="30" s="1"/>
  <c r="AA60" i="1" s="1"/>
  <c r="H115" i="30"/>
  <c r="H114" i="30"/>
  <c r="H113" i="30"/>
  <c r="H112" i="30"/>
  <c r="H111" i="30"/>
  <c r="H110" i="30"/>
  <c r="D108" i="30"/>
  <c r="H108" i="30" s="1"/>
  <c r="D107" i="30"/>
  <c r="H107" i="30" s="1"/>
  <c r="AA38" i="1" s="1"/>
  <c r="H106" i="30"/>
  <c r="D105" i="30"/>
  <c r="H105" i="30" s="1"/>
  <c r="AA42" i="1" s="1"/>
  <c r="D104" i="30"/>
  <c r="H104" i="30" s="1"/>
  <c r="D103" i="30"/>
  <c r="H103" i="30" s="1"/>
  <c r="AA39" i="1" s="1"/>
  <c r="D102" i="30"/>
  <c r="H102" i="30" s="1"/>
  <c r="D101" i="30"/>
  <c r="H101" i="30" s="1"/>
  <c r="AA41" i="1" s="1"/>
  <c r="D100" i="30"/>
  <c r="H100" i="30" s="1"/>
  <c r="AA47" i="1" s="1"/>
  <c r="D99" i="30"/>
  <c r="H99" i="30" s="1"/>
  <c r="AA34" i="1" s="1"/>
  <c r="D97" i="30"/>
  <c r="H97" i="30" s="1"/>
  <c r="H96" i="30"/>
  <c r="D94" i="30"/>
  <c r="H94" i="30" s="1"/>
  <c r="D91" i="30"/>
  <c r="H91" i="30" s="1"/>
  <c r="D90" i="30"/>
  <c r="H90" i="30" s="1"/>
  <c r="D89" i="30"/>
  <c r="H89" i="30" s="1"/>
  <c r="D87" i="30"/>
  <c r="H87" i="30" s="1"/>
  <c r="AA33" i="1" s="1"/>
  <c r="D86" i="30"/>
  <c r="H86" i="30" s="1"/>
  <c r="AA36" i="1" s="1"/>
  <c r="D83" i="30"/>
  <c r="H83" i="30" s="1"/>
  <c r="AA53" i="1" s="1"/>
  <c r="AA51" i="1" s="1"/>
  <c r="D82" i="30"/>
  <c r="H82" i="30" s="1"/>
  <c r="AA56" i="1" s="1"/>
  <c r="D80" i="30"/>
  <c r="H80" i="30" s="1"/>
  <c r="AA46" i="1" s="1"/>
  <c r="D78" i="30"/>
  <c r="H78" i="30" s="1"/>
  <c r="AA29" i="1" s="1"/>
  <c r="D77" i="30"/>
  <c r="H77" i="30" s="1"/>
  <c r="AA28" i="1" s="1"/>
  <c r="D76" i="30"/>
  <c r="H76" i="30" s="1"/>
  <c r="AA27" i="1" s="1"/>
  <c r="D74" i="30"/>
  <c r="H74" i="30" s="1"/>
  <c r="AA24" i="1" s="1"/>
  <c r="D73" i="30"/>
  <c r="H73" i="30" s="1"/>
  <c r="AA23" i="1" s="1"/>
  <c r="AA25" i="1" s="1"/>
  <c r="AA26" i="1" s="1"/>
  <c r="F69" i="30"/>
  <c r="E68" i="30"/>
  <c r="E124" i="30" s="1"/>
  <c r="D68" i="30"/>
  <c r="H68" i="30" s="1"/>
  <c r="D67" i="30"/>
  <c r="H67" i="30" s="1"/>
  <c r="D66" i="30"/>
  <c r="H66" i="30" s="1"/>
  <c r="D65" i="30"/>
  <c r="H65" i="30" s="1"/>
  <c r="D63" i="30"/>
  <c r="H63" i="30" s="1"/>
  <c r="D62" i="30"/>
  <c r="H62" i="30" s="1"/>
  <c r="AA7" i="1" s="1"/>
  <c r="D61" i="30"/>
  <c r="H61" i="30" s="1"/>
  <c r="F60" i="30"/>
  <c r="D60" i="30"/>
  <c r="H60" i="30" s="1"/>
  <c r="D58" i="30"/>
  <c r="H58" i="30" s="1"/>
  <c r="F56" i="30"/>
  <c r="D56" i="30"/>
  <c r="H56" i="30" s="1"/>
  <c r="AA17" i="1" s="1"/>
  <c r="D55" i="30"/>
  <c r="H55" i="30" s="1"/>
  <c r="AA18" i="1" s="1"/>
  <c r="F54" i="30"/>
  <c r="D54" i="30"/>
  <c r="H54" i="30" s="1"/>
  <c r="AA16" i="1" s="1"/>
  <c r="D52" i="30"/>
  <c r="H52" i="30" s="1"/>
  <c r="D51" i="30"/>
  <c r="H51" i="30" s="1"/>
  <c r="D50" i="30"/>
  <c r="H50" i="30" s="1"/>
  <c r="AA15" i="1" s="1"/>
  <c r="D49" i="30"/>
  <c r="H49" i="30" s="1"/>
  <c r="AA14" i="1" s="1"/>
  <c r="F46" i="30"/>
  <c r="D46" i="30"/>
  <c r="H46" i="30" s="1"/>
  <c r="AA13" i="1" s="1"/>
  <c r="F35" i="30"/>
  <c r="D35" i="30"/>
  <c r="H35" i="30" s="1"/>
  <c r="F34" i="30"/>
  <c r="D34" i="30"/>
  <c r="H34" i="30" s="1"/>
  <c r="AA108" i="1" s="1"/>
  <c r="D33" i="30"/>
  <c r="H33" i="30" s="1"/>
  <c r="AA111" i="1" s="1"/>
  <c r="D32" i="30"/>
  <c r="H32" i="30" s="1"/>
  <c r="AA110" i="1" s="1"/>
  <c r="D31" i="30"/>
  <c r="H31" i="30" s="1"/>
  <c r="AA113" i="1" s="1"/>
  <c r="D30" i="30"/>
  <c r="H30" i="30" s="1"/>
  <c r="AA107" i="1" s="1"/>
  <c r="D29" i="30"/>
  <c r="H29" i="30" s="1"/>
  <c r="AA8" i="1" s="1"/>
  <c r="D28" i="30"/>
  <c r="H28" i="30" s="1"/>
  <c r="D25" i="30"/>
  <c r="H25" i="30" s="1"/>
  <c r="D24" i="30"/>
  <c r="H24" i="30" s="1"/>
  <c r="D22" i="30"/>
  <c r="H22" i="30" s="1"/>
  <c r="D19" i="30"/>
  <c r="H19" i="30" s="1"/>
  <c r="AA6" i="1" s="1"/>
  <c r="D16" i="30"/>
  <c r="H16" i="30" s="1"/>
  <c r="AA3" i="1" s="1"/>
  <c r="F15" i="30"/>
  <c r="F124" i="30" s="1"/>
  <c r="D15" i="30"/>
  <c r="H15" i="30" s="1"/>
  <c r="D14" i="30"/>
  <c r="H14" i="30" s="1"/>
  <c r="AA5" i="1" s="1"/>
  <c r="D9" i="30"/>
  <c r="H9" i="30" s="1"/>
  <c r="D8" i="30"/>
  <c r="H8" i="30" s="1"/>
  <c r="D7" i="30"/>
  <c r="Y40" i="1"/>
  <c r="Y37" i="1"/>
  <c r="Y34" i="1"/>
  <c r="Y60" i="1"/>
  <c r="Y65" i="1"/>
  <c r="H122" i="29"/>
  <c r="E31" i="29"/>
  <c r="H31" i="29"/>
  <c r="E33" i="29"/>
  <c r="H33" i="29"/>
  <c r="E34" i="29"/>
  <c r="H34" i="29"/>
  <c r="E30" i="29"/>
  <c r="H30" i="29"/>
  <c r="E35" i="29"/>
  <c r="H35" i="29"/>
  <c r="Y67" i="1"/>
  <c r="E117" i="29"/>
  <c r="H117" i="29"/>
  <c r="Y64" i="1"/>
  <c r="Y61" i="1"/>
  <c r="G130" i="29"/>
  <c r="G131" i="29"/>
  <c r="F131" i="29"/>
  <c r="E131" i="29"/>
  <c r="D131" i="29"/>
  <c r="F130" i="29"/>
  <c r="E130" i="29"/>
  <c r="D130" i="29"/>
  <c r="E129" i="29"/>
  <c r="G132" i="29"/>
  <c r="F132" i="29"/>
  <c r="E132" i="29"/>
  <c r="D132" i="29"/>
  <c r="H132" i="29"/>
  <c r="H131" i="29"/>
  <c r="H130" i="29"/>
  <c r="H129" i="29"/>
  <c r="G129" i="29"/>
  <c r="F129" i="29"/>
  <c r="D129" i="29"/>
  <c r="G126" i="29"/>
  <c r="F126" i="29"/>
  <c r="E126" i="29"/>
  <c r="D126" i="29"/>
  <c r="E82" i="29"/>
  <c r="H82" i="29"/>
  <c r="Y56" i="1"/>
  <c r="E83" i="29"/>
  <c r="H83" i="29"/>
  <c r="Y53" i="1"/>
  <c r="Y51" i="1"/>
  <c r="E100" i="29"/>
  <c r="H100" i="29"/>
  <c r="Y47" i="1"/>
  <c r="E80" i="29"/>
  <c r="H80" i="29"/>
  <c r="Y46" i="1"/>
  <c r="E87" i="29"/>
  <c r="H87" i="29"/>
  <c r="E99" i="29"/>
  <c r="H99" i="29"/>
  <c r="E86" i="29"/>
  <c r="H86" i="29"/>
  <c r="E89" i="29"/>
  <c r="H89" i="29"/>
  <c r="E90" i="29"/>
  <c r="H90" i="29"/>
  <c r="E107" i="29"/>
  <c r="H107" i="29"/>
  <c r="E103" i="29"/>
  <c r="H103" i="29"/>
  <c r="E94" i="29"/>
  <c r="H94" i="29"/>
  <c r="E97" i="29"/>
  <c r="H97" i="29"/>
  <c r="E102" i="29"/>
  <c r="H102" i="29"/>
  <c r="E104" i="29"/>
  <c r="H104" i="29"/>
  <c r="E108" i="29"/>
  <c r="H108" i="29"/>
  <c r="E101" i="29"/>
  <c r="H101" i="29"/>
  <c r="E105" i="29"/>
  <c r="H105" i="29"/>
  <c r="Y42" i="1"/>
  <c r="Y41" i="1"/>
  <c r="Y39" i="1"/>
  <c r="Y38" i="1"/>
  <c r="Y36" i="1"/>
  <c r="Y33" i="1"/>
  <c r="Y32" i="1"/>
  <c r="Y44" i="1" s="1"/>
  <c r="E76" i="29"/>
  <c r="H76" i="29"/>
  <c r="E77" i="29"/>
  <c r="H77" i="29"/>
  <c r="E78" i="29"/>
  <c r="H78" i="29"/>
  <c r="Y28" i="1"/>
  <c r="Y29" i="1"/>
  <c r="Y27" i="1"/>
  <c r="E74" i="29"/>
  <c r="H74" i="29"/>
  <c r="E73" i="29"/>
  <c r="H73" i="29"/>
  <c r="Y24" i="1"/>
  <c r="Y25" i="1" s="1"/>
  <c r="Y23" i="1"/>
  <c r="E19" i="29"/>
  <c r="H19" i="29"/>
  <c r="E22" i="29"/>
  <c r="H22" i="29"/>
  <c r="E65" i="29"/>
  <c r="H65" i="29"/>
  <c r="E66" i="29"/>
  <c r="H66" i="29"/>
  <c r="E67" i="29"/>
  <c r="H67" i="29"/>
  <c r="E68" i="29"/>
  <c r="H68" i="29"/>
  <c r="E62" i="29"/>
  <c r="H62" i="29"/>
  <c r="E58" i="29"/>
  <c r="H58" i="29"/>
  <c r="E55" i="29"/>
  <c r="H55" i="29"/>
  <c r="E56" i="29"/>
  <c r="H56" i="29"/>
  <c r="E54" i="29"/>
  <c r="H54" i="29"/>
  <c r="E50" i="29"/>
  <c r="H50" i="29"/>
  <c r="E51" i="29"/>
  <c r="H51" i="29"/>
  <c r="E52" i="29"/>
  <c r="H52" i="29"/>
  <c r="E49" i="29"/>
  <c r="H49" i="29"/>
  <c r="E60" i="29"/>
  <c r="H60" i="29"/>
  <c r="E61" i="29"/>
  <c r="H61" i="29"/>
  <c r="E28" i="29"/>
  <c r="H28" i="29"/>
  <c r="E46" i="29"/>
  <c r="H46" i="29"/>
  <c r="E29" i="29"/>
  <c r="H29" i="29"/>
  <c r="E32" i="29"/>
  <c r="H32" i="29"/>
  <c r="E24" i="29"/>
  <c r="H24" i="29"/>
  <c r="E25" i="29"/>
  <c r="H25" i="29"/>
  <c r="E14" i="29"/>
  <c r="H14" i="29"/>
  <c r="E15" i="29"/>
  <c r="H15" i="29"/>
  <c r="E7" i="29"/>
  <c r="H7" i="29"/>
  <c r="E8" i="29"/>
  <c r="H8" i="29"/>
  <c r="E9" i="29"/>
  <c r="H9" i="29"/>
  <c r="E16" i="29"/>
  <c r="H16" i="29"/>
  <c r="G122" i="29"/>
  <c r="F122" i="29"/>
  <c r="E120" i="29"/>
  <c r="H120" i="29"/>
  <c r="H119" i="29"/>
  <c r="H118" i="29"/>
  <c r="E116" i="29"/>
  <c r="H116" i="29"/>
  <c r="H115" i="29"/>
  <c r="H114" i="29"/>
  <c r="H113" i="29"/>
  <c r="H112" i="29"/>
  <c r="H111" i="29"/>
  <c r="H110" i="29"/>
  <c r="H109" i="29"/>
  <c r="H106" i="29"/>
  <c r="D99" i="29"/>
  <c r="D122" i="29"/>
  <c r="H98" i="29"/>
  <c r="H96" i="29"/>
  <c r="H95" i="29"/>
  <c r="H93" i="29"/>
  <c r="H92" i="29"/>
  <c r="E91" i="29"/>
  <c r="H91" i="29"/>
  <c r="H88" i="29"/>
  <c r="H85" i="29"/>
  <c r="H84" i="29"/>
  <c r="H81" i="29"/>
  <c r="H79" i="29"/>
  <c r="H75" i="29"/>
  <c r="H72" i="29"/>
  <c r="H71" i="29"/>
  <c r="H70" i="29"/>
  <c r="G69" i="29"/>
  <c r="H69" i="29"/>
  <c r="F68" i="29"/>
  <c r="F124" i="29"/>
  <c r="D68" i="29"/>
  <c r="D124" i="29"/>
  <c r="H64" i="29"/>
  <c r="E63" i="29"/>
  <c r="H63" i="29"/>
  <c r="G60" i="29"/>
  <c r="H59" i="29"/>
  <c r="H57" i="29"/>
  <c r="G56" i="29"/>
  <c r="G54" i="29"/>
  <c r="H53" i="29"/>
  <c r="G52" i="29"/>
  <c r="H48" i="29"/>
  <c r="H47" i="29"/>
  <c r="G46" i="29"/>
  <c r="H45" i="29"/>
  <c r="H44" i="29"/>
  <c r="H43" i="29"/>
  <c r="H42" i="29"/>
  <c r="C41" i="29"/>
  <c r="H41" i="29"/>
  <c r="H40" i="29"/>
  <c r="H39" i="29"/>
  <c r="H38" i="29"/>
  <c r="H37" i="29"/>
  <c r="H36" i="29"/>
  <c r="G35" i="29"/>
  <c r="G34" i="29"/>
  <c r="H27" i="29"/>
  <c r="H26" i="29"/>
  <c r="H23" i="29"/>
  <c r="H21" i="29"/>
  <c r="H20" i="29"/>
  <c r="H18" i="29"/>
  <c r="H17" i="29"/>
  <c r="G15" i="29"/>
  <c r="G14" i="29"/>
  <c r="G124" i="29"/>
  <c r="H13" i="29"/>
  <c r="H12" i="29"/>
  <c r="E124" i="29"/>
  <c r="H6" i="29"/>
  <c r="F133" i="29"/>
  <c r="G133" i="29"/>
  <c r="D133" i="29"/>
  <c r="E133" i="29"/>
  <c r="H133" i="29"/>
  <c r="Y30" i="1"/>
  <c r="E122" i="29"/>
  <c r="H124" i="29"/>
  <c r="D128" i="28"/>
  <c r="E128" i="28"/>
  <c r="F128" i="28"/>
  <c r="G128" i="28"/>
  <c r="H128" i="28"/>
  <c r="D127" i="28"/>
  <c r="D124" i="28"/>
  <c r="D129" i="28"/>
  <c r="D130" i="28"/>
  <c r="D131" i="28"/>
  <c r="E127" i="28"/>
  <c r="E124" i="28"/>
  <c r="E129" i="28"/>
  <c r="E130" i="28"/>
  <c r="E131" i="28"/>
  <c r="F124" i="28"/>
  <c r="F129" i="28"/>
  <c r="G127" i="28"/>
  <c r="G124" i="28"/>
  <c r="G129" i="28"/>
  <c r="G130" i="28"/>
  <c r="G131" i="28"/>
  <c r="H129" i="28"/>
  <c r="X67" i="1"/>
  <c r="X65" i="1"/>
  <c r="X64" i="1"/>
  <c r="X61" i="1"/>
  <c r="X60" i="1"/>
  <c r="X56" i="1"/>
  <c r="X53" i="1"/>
  <c r="X47" i="1"/>
  <c r="X46" i="1"/>
  <c r="X42" i="1"/>
  <c r="X41" i="1"/>
  <c r="X40" i="1"/>
  <c r="X39" i="1"/>
  <c r="X38" i="1"/>
  <c r="X37" i="1"/>
  <c r="X36" i="1"/>
  <c r="X35" i="1"/>
  <c r="X34" i="1"/>
  <c r="X33" i="1"/>
  <c r="X32" i="1"/>
  <c r="X44" i="1"/>
  <c r="X45" i="1" s="1"/>
  <c r="X48" i="1" s="1"/>
  <c r="X55" i="1" s="1"/>
  <c r="X57" i="1" s="1"/>
  <c r="X66" i="1" s="1"/>
  <c r="X68" i="1" s="1"/>
  <c r="X29" i="1"/>
  <c r="X28" i="1"/>
  <c r="X27" i="1"/>
  <c r="X30" i="1"/>
  <c r="X24" i="1"/>
  <c r="X23" i="1"/>
  <c r="X25" i="1"/>
  <c r="H6" i="28"/>
  <c r="F7" i="28"/>
  <c r="H7" i="28"/>
  <c r="F8" i="28"/>
  <c r="H8" i="28"/>
  <c r="F9" i="28"/>
  <c r="H9" i="28"/>
  <c r="H12" i="28"/>
  <c r="H13" i="28"/>
  <c r="F14" i="28"/>
  <c r="H14" i="28"/>
  <c r="F15" i="28"/>
  <c r="F122" i="28"/>
  <c r="F16" i="28"/>
  <c r="H16" i="28"/>
  <c r="H17" i="28"/>
  <c r="H18" i="28"/>
  <c r="F19" i="28"/>
  <c r="H19" i="28"/>
  <c r="H20" i="28"/>
  <c r="H21" i="28"/>
  <c r="F22" i="28"/>
  <c r="H22" i="28"/>
  <c r="H23" i="28"/>
  <c r="D24" i="28"/>
  <c r="F24" i="28"/>
  <c r="H24" i="28"/>
  <c r="D25" i="28"/>
  <c r="F25" i="28"/>
  <c r="H25" i="28"/>
  <c r="H26" i="28"/>
  <c r="H27" i="28"/>
  <c r="F28" i="28"/>
  <c r="H28" i="28"/>
  <c r="F29" i="28"/>
  <c r="H29" i="28"/>
  <c r="F30" i="28"/>
  <c r="H30" i="28"/>
  <c r="F31" i="28"/>
  <c r="H31" i="28"/>
  <c r="F32" i="28"/>
  <c r="H32" i="28"/>
  <c r="F33" i="28"/>
  <c r="H33" i="28"/>
  <c r="F34" i="28"/>
  <c r="H34" i="28"/>
  <c r="F35" i="28"/>
  <c r="H35" i="28"/>
  <c r="H36" i="28"/>
  <c r="H37" i="28"/>
  <c r="H38" i="28"/>
  <c r="H39" i="28"/>
  <c r="H40" i="28"/>
  <c r="H41" i="28"/>
  <c r="H42" i="28"/>
  <c r="H43" i="28"/>
  <c r="H44" i="28"/>
  <c r="F45" i="28"/>
  <c r="H45" i="28"/>
  <c r="F46" i="28"/>
  <c r="H46" i="28"/>
  <c r="H47" i="28"/>
  <c r="H48" i="28"/>
  <c r="F49" i="28"/>
  <c r="H49" i="28"/>
  <c r="F50" i="28"/>
  <c r="H50" i="28"/>
  <c r="F51" i="28"/>
  <c r="H51" i="28"/>
  <c r="F52" i="28"/>
  <c r="H52" i="28"/>
  <c r="H53" i="28"/>
  <c r="F54" i="28"/>
  <c r="H54" i="28"/>
  <c r="F55" i="28"/>
  <c r="H55" i="28"/>
  <c r="F56" i="28"/>
  <c r="H56" i="28"/>
  <c r="H57" i="28"/>
  <c r="F58" i="28"/>
  <c r="H58" i="28"/>
  <c r="H59" i="28"/>
  <c r="F60" i="28"/>
  <c r="H60" i="28"/>
  <c r="F61" i="28"/>
  <c r="H61" i="28"/>
  <c r="F62" i="28"/>
  <c r="H62" i="28"/>
  <c r="F63" i="28"/>
  <c r="H63" i="28"/>
  <c r="H64" i="28"/>
  <c r="F65" i="28"/>
  <c r="H65" i="28"/>
  <c r="F66" i="28"/>
  <c r="H66" i="28"/>
  <c r="F67" i="28"/>
  <c r="H67" i="28"/>
  <c r="F68" i="28"/>
  <c r="H68" i="28"/>
  <c r="H69" i="28"/>
  <c r="H70" i="28"/>
  <c r="H71" i="28"/>
  <c r="F72" i="28"/>
  <c r="H72" i="28"/>
  <c r="F73" i="28"/>
  <c r="H73" i="28"/>
  <c r="H74" i="28"/>
  <c r="F75" i="28"/>
  <c r="H75" i="28"/>
  <c r="F76" i="28"/>
  <c r="H76" i="28"/>
  <c r="F77" i="28"/>
  <c r="H77" i="28"/>
  <c r="H78" i="28"/>
  <c r="F79" i="28"/>
  <c r="H79" i="28"/>
  <c r="H80" i="28"/>
  <c r="F81" i="28"/>
  <c r="H81" i="28"/>
  <c r="F82" i="28"/>
  <c r="H82" i="28"/>
  <c r="H83" i="28"/>
  <c r="H84" i="28"/>
  <c r="D85" i="28"/>
  <c r="F85" i="28"/>
  <c r="H85" i="28"/>
  <c r="F86" i="28"/>
  <c r="H86" i="28"/>
  <c r="H87" i="28"/>
  <c r="D88" i="28"/>
  <c r="F88" i="28"/>
  <c r="H88" i="28"/>
  <c r="F89" i="28"/>
  <c r="H89" i="28"/>
  <c r="F90" i="28"/>
  <c r="H90" i="28"/>
  <c r="H91" i="28"/>
  <c r="H92" i="28"/>
  <c r="F93" i="28"/>
  <c r="H93" i="28"/>
  <c r="H94" i="28"/>
  <c r="H95" i="28"/>
  <c r="F96" i="28"/>
  <c r="H96" i="28"/>
  <c r="H97" i="28"/>
  <c r="D98" i="28"/>
  <c r="E98" i="28"/>
  <c r="F98" i="28"/>
  <c r="H98" i="28"/>
  <c r="F99" i="28"/>
  <c r="H99" i="28"/>
  <c r="F100" i="28"/>
  <c r="H100" i="28"/>
  <c r="F101" i="28"/>
  <c r="H101" i="28"/>
  <c r="F102" i="28"/>
  <c r="H102" i="28"/>
  <c r="F103" i="28"/>
  <c r="H103" i="28"/>
  <c r="F104" i="28"/>
  <c r="H104" i="28"/>
  <c r="H105" i="28"/>
  <c r="F106" i="28"/>
  <c r="H106" i="28"/>
  <c r="F107" i="28"/>
  <c r="H107" i="28"/>
  <c r="H108" i="28"/>
  <c r="H109" i="28"/>
  <c r="H110" i="28"/>
  <c r="H111" i="28"/>
  <c r="F112" i="28"/>
  <c r="F127" i="28"/>
  <c r="H112" i="28"/>
  <c r="H113" i="28"/>
  <c r="F114" i="28"/>
  <c r="H114" i="28"/>
  <c r="F115" i="28"/>
  <c r="F130" i="28"/>
  <c r="H130" i="28"/>
  <c r="H115" i="28"/>
  <c r="H116" i="28"/>
  <c r="H117" i="28"/>
  <c r="F118" i="28"/>
  <c r="H118" i="28"/>
  <c r="G122" i="28"/>
  <c r="E122" i="28"/>
  <c r="D122" i="28"/>
  <c r="D120" i="28"/>
  <c r="E120" i="28"/>
  <c r="G120" i="28"/>
  <c r="F20" i="27"/>
  <c r="J73" i="27"/>
  <c r="J72" i="27"/>
  <c r="W60" i="1"/>
  <c r="G135" i="27" s="1"/>
  <c r="G137" i="27" s="1"/>
  <c r="W61" i="1"/>
  <c r="W64" i="1"/>
  <c r="W65" i="1"/>
  <c r="G136" i="27"/>
  <c r="H129" i="27"/>
  <c r="H128" i="27"/>
  <c r="E127" i="27"/>
  <c r="F127" i="27"/>
  <c r="E128" i="27"/>
  <c r="E131" i="27"/>
  <c r="F128" i="27"/>
  <c r="F131" i="27"/>
  <c r="G128" i="27"/>
  <c r="E129" i="27"/>
  <c r="F129" i="27"/>
  <c r="G129" i="27"/>
  <c r="E130" i="27"/>
  <c r="F130" i="27"/>
  <c r="D130" i="27"/>
  <c r="D129" i="27"/>
  <c r="D128" i="27"/>
  <c r="D127" i="27"/>
  <c r="D131" i="27"/>
  <c r="G124" i="27"/>
  <c r="F124" i="27"/>
  <c r="E124" i="27"/>
  <c r="D124" i="27"/>
  <c r="W35" i="1"/>
  <c r="F124" i="26"/>
  <c r="F128" i="26"/>
  <c r="F127" i="26"/>
  <c r="V53" i="1"/>
  <c r="V51" i="1" s="1"/>
  <c r="V24" i="1"/>
  <c r="D120" i="27"/>
  <c r="H117" i="27"/>
  <c r="H116" i="27"/>
  <c r="G130" i="27"/>
  <c r="H130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W34" i="1"/>
  <c r="F98" i="27"/>
  <c r="F122" i="27"/>
  <c r="E98" i="27"/>
  <c r="H97" i="27"/>
  <c r="H96" i="27"/>
  <c r="H95" i="27"/>
  <c r="H94" i="27"/>
  <c r="H93" i="27"/>
  <c r="H92" i="27"/>
  <c r="H91" i="27"/>
  <c r="H90" i="27"/>
  <c r="H89" i="27"/>
  <c r="E88" i="27"/>
  <c r="H87" i="27"/>
  <c r="H86" i="27"/>
  <c r="H85" i="27"/>
  <c r="E85" i="27"/>
  <c r="E120" i="27"/>
  <c r="H84" i="27"/>
  <c r="H83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D61" i="27"/>
  <c r="D122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E25" i="27"/>
  <c r="H25" i="27"/>
  <c r="E24" i="27"/>
  <c r="H23" i="27"/>
  <c r="H22" i="27"/>
  <c r="H21" i="27"/>
  <c r="H20" i="27"/>
  <c r="H18" i="27"/>
  <c r="H17" i="27"/>
  <c r="H16" i="27"/>
  <c r="H15" i="27"/>
  <c r="H14" i="27"/>
  <c r="H13" i="27"/>
  <c r="H12" i="27"/>
  <c r="H9" i="27"/>
  <c r="H8" i="27"/>
  <c r="H7" i="27"/>
  <c r="H127" i="26"/>
  <c r="E127" i="26"/>
  <c r="V67" i="1"/>
  <c r="V65" i="1"/>
  <c r="V64" i="1"/>
  <c r="V60" i="1"/>
  <c r="V61" i="1"/>
  <c r="H19" i="27"/>
  <c r="H82" i="27"/>
  <c r="W53" i="1"/>
  <c r="W51" i="1" s="1"/>
  <c r="G127" i="27"/>
  <c r="W37" i="1"/>
  <c r="H118" i="27"/>
  <c r="W67" i="1"/>
  <c r="H98" i="27"/>
  <c r="H127" i="27"/>
  <c r="G131" i="27"/>
  <c r="H131" i="27"/>
  <c r="H115" i="27"/>
  <c r="G122" i="27"/>
  <c r="H24" i="27"/>
  <c r="H88" i="27"/>
  <c r="W27" i="1"/>
  <c r="W28" i="1"/>
  <c r="W29" i="1"/>
  <c r="W30" i="1"/>
  <c r="W56" i="1"/>
  <c r="W32" i="1"/>
  <c r="W33" i="1"/>
  <c r="W36" i="1"/>
  <c r="W44" i="1" s="1"/>
  <c r="W38" i="1"/>
  <c r="W39" i="1"/>
  <c r="W40" i="1"/>
  <c r="W41" i="1"/>
  <c r="W23" i="1"/>
  <c r="W42" i="1"/>
  <c r="W24" i="1"/>
  <c r="W25" i="1" s="1"/>
  <c r="W46" i="1"/>
  <c r="W47" i="1"/>
  <c r="F120" i="27"/>
  <c r="H120" i="27"/>
  <c r="E122" i="27"/>
  <c r="H6" i="27"/>
  <c r="V40" i="1"/>
  <c r="D131" i="26"/>
  <c r="H130" i="26"/>
  <c r="G130" i="26"/>
  <c r="F130" i="26"/>
  <c r="E130" i="26"/>
  <c r="D130" i="26"/>
  <c r="D129" i="26"/>
  <c r="G128" i="26"/>
  <c r="E128" i="26"/>
  <c r="D128" i="26"/>
  <c r="G127" i="26"/>
  <c r="D127" i="26"/>
  <c r="G124" i="26"/>
  <c r="G129" i="26"/>
  <c r="F129" i="26"/>
  <c r="E124" i="26"/>
  <c r="E129" i="26"/>
  <c r="D124" i="26"/>
  <c r="V56" i="1"/>
  <c r="V47" i="1"/>
  <c r="V46" i="1"/>
  <c r="V42" i="1"/>
  <c r="V41" i="1"/>
  <c r="V39" i="1"/>
  <c r="V38" i="1"/>
  <c r="V37" i="1"/>
  <c r="V36" i="1"/>
  <c r="V35" i="1"/>
  <c r="V34" i="1"/>
  <c r="V33" i="1"/>
  <c r="V32" i="1"/>
  <c r="V44" i="1" s="1"/>
  <c r="V29" i="1"/>
  <c r="V28" i="1"/>
  <c r="V27" i="1"/>
  <c r="V30" i="1"/>
  <c r="V23" i="1"/>
  <c r="V25" i="1" s="1"/>
  <c r="H19" i="26"/>
  <c r="G20" i="26"/>
  <c r="H122" i="27"/>
  <c r="G131" i="26"/>
  <c r="H128" i="26"/>
  <c r="F131" i="26"/>
  <c r="H129" i="26"/>
  <c r="E131" i="26"/>
  <c r="H131" i="26"/>
  <c r="G120" i="26"/>
  <c r="G122" i="26"/>
  <c r="F120" i="26"/>
  <c r="F122" i="26"/>
  <c r="E120" i="26"/>
  <c r="E122" i="26"/>
  <c r="D120" i="26"/>
  <c r="D122" i="26"/>
  <c r="H118" i="26"/>
  <c r="H117" i="26"/>
  <c r="H115" i="26"/>
  <c r="H114" i="26"/>
  <c r="H113" i="26"/>
  <c r="H112" i="26"/>
  <c r="H111" i="26"/>
  <c r="H110" i="26"/>
  <c r="H109" i="26"/>
  <c r="H107" i="26"/>
  <c r="H106" i="26"/>
  <c r="H105" i="26"/>
  <c r="H104" i="26"/>
  <c r="H103" i="26"/>
  <c r="H102" i="26"/>
  <c r="H101" i="26"/>
  <c r="H100" i="26"/>
  <c r="H99" i="26"/>
  <c r="H98" i="26"/>
  <c r="H96" i="26"/>
  <c r="H95" i="26"/>
  <c r="H93" i="26"/>
  <c r="H92" i="26"/>
  <c r="H90" i="26"/>
  <c r="H89" i="26"/>
  <c r="H88" i="26"/>
  <c r="H87" i="26"/>
  <c r="H86" i="26"/>
  <c r="H85" i="26"/>
  <c r="H84" i="26"/>
  <c r="H82" i="26"/>
  <c r="H81" i="26"/>
  <c r="H79" i="26"/>
  <c r="H77" i="26"/>
  <c r="H76" i="26"/>
  <c r="H75" i="26"/>
  <c r="H73" i="26"/>
  <c r="H72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6" i="26"/>
  <c r="H45" i="26"/>
  <c r="H44" i="26"/>
  <c r="H41" i="26"/>
  <c r="H40" i="26"/>
  <c r="H39" i="26"/>
  <c r="H36" i="26"/>
  <c r="H35" i="26"/>
  <c r="H34" i="26"/>
  <c r="H33" i="26"/>
  <c r="H32" i="26"/>
  <c r="H31" i="26"/>
  <c r="H30" i="26"/>
  <c r="H29" i="26"/>
  <c r="H28" i="26"/>
  <c r="H25" i="26"/>
  <c r="H24" i="26"/>
  <c r="H23" i="26"/>
  <c r="H22" i="26"/>
  <c r="H21" i="26"/>
  <c r="H20" i="26"/>
  <c r="H16" i="26"/>
  <c r="H15" i="26"/>
  <c r="H14" i="26"/>
  <c r="H13" i="26"/>
  <c r="H10" i="26"/>
  <c r="H9" i="26"/>
  <c r="H8" i="26"/>
  <c r="H7" i="26"/>
  <c r="H6" i="26"/>
  <c r="T29" i="1"/>
  <c r="T30" i="1" s="1"/>
  <c r="T28" i="1"/>
  <c r="S27" i="1"/>
  <c r="S30" i="1" s="1"/>
  <c r="T27" i="1"/>
  <c r="G104" i="25"/>
  <c r="H104" i="25"/>
  <c r="G135" i="25"/>
  <c r="G134" i="25"/>
  <c r="E121" i="25"/>
  <c r="D121" i="25"/>
  <c r="E119" i="25"/>
  <c r="D119" i="25"/>
  <c r="H117" i="25"/>
  <c r="H116" i="25"/>
  <c r="H114" i="25"/>
  <c r="H113" i="25"/>
  <c r="H112" i="25"/>
  <c r="H111" i="25"/>
  <c r="H110" i="25"/>
  <c r="H109" i="25"/>
  <c r="H108" i="25"/>
  <c r="H106" i="25"/>
  <c r="H105" i="25"/>
  <c r="H103" i="25"/>
  <c r="H102" i="25"/>
  <c r="H101" i="25"/>
  <c r="H100" i="25"/>
  <c r="H99" i="25"/>
  <c r="H98" i="25"/>
  <c r="H97" i="25"/>
  <c r="H95" i="25"/>
  <c r="H94" i="25"/>
  <c r="H92" i="25"/>
  <c r="H91" i="25"/>
  <c r="H89" i="25"/>
  <c r="H88" i="25"/>
  <c r="H87" i="25"/>
  <c r="H86" i="25"/>
  <c r="H85" i="25"/>
  <c r="H84" i="25"/>
  <c r="H83" i="25"/>
  <c r="H81" i="25"/>
  <c r="H80" i="25"/>
  <c r="H78" i="25"/>
  <c r="F76" i="25"/>
  <c r="F119" i="25"/>
  <c r="H75" i="25"/>
  <c r="H74" i="25"/>
  <c r="H72" i="25"/>
  <c r="H71" i="25"/>
  <c r="H67" i="25"/>
  <c r="G66" i="25"/>
  <c r="F66" i="25"/>
  <c r="H66" i="25"/>
  <c r="H65" i="25"/>
  <c r="H64" i="25"/>
  <c r="H63" i="25"/>
  <c r="H62" i="25"/>
  <c r="H61" i="25"/>
  <c r="F60" i="25"/>
  <c r="F121" i="25"/>
  <c r="H59" i="25"/>
  <c r="H58" i="25"/>
  <c r="H57" i="25"/>
  <c r="H56" i="25"/>
  <c r="H55" i="25"/>
  <c r="H54" i="25"/>
  <c r="H53" i="25"/>
  <c r="H52" i="25"/>
  <c r="H51" i="25"/>
  <c r="H50" i="25"/>
  <c r="H49" i="25"/>
  <c r="G46" i="25"/>
  <c r="H45" i="25"/>
  <c r="H44" i="25"/>
  <c r="C41" i="25"/>
  <c r="H41" i="25"/>
  <c r="H40" i="25"/>
  <c r="H39" i="25"/>
  <c r="H36" i="25"/>
  <c r="H35" i="25"/>
  <c r="H34" i="25"/>
  <c r="H33" i="25"/>
  <c r="H32" i="25"/>
  <c r="H31" i="25"/>
  <c r="H30" i="25"/>
  <c r="H29" i="25"/>
  <c r="H28" i="25"/>
  <c r="H25" i="25"/>
  <c r="H24" i="25"/>
  <c r="H23" i="25"/>
  <c r="H22" i="25"/>
  <c r="H21" i="25"/>
  <c r="H20" i="25"/>
  <c r="H19" i="25"/>
  <c r="H16" i="25"/>
  <c r="H15" i="25"/>
  <c r="H14" i="25"/>
  <c r="H13" i="25"/>
  <c r="H10" i="25"/>
  <c r="H9" i="25"/>
  <c r="H8" i="25"/>
  <c r="H7" i="25"/>
  <c r="H6" i="25"/>
  <c r="G126" i="25"/>
  <c r="H126" i="25"/>
  <c r="F126" i="25"/>
  <c r="F129" i="25"/>
  <c r="G129" i="25"/>
  <c r="H120" i="26"/>
  <c r="H122" i="26"/>
  <c r="G119" i="25"/>
  <c r="H119" i="25"/>
  <c r="G121" i="25"/>
  <c r="C121" i="25"/>
  <c r="H76" i="25"/>
  <c r="H60" i="25"/>
  <c r="H46" i="25"/>
  <c r="H121" i="25"/>
  <c r="U60" i="1"/>
  <c r="U40" i="1"/>
  <c r="U67" i="1"/>
  <c r="U64" i="1"/>
  <c r="U61" i="1"/>
  <c r="E129" i="25"/>
  <c r="D129" i="25"/>
  <c r="H129" i="25"/>
  <c r="E126" i="25"/>
  <c r="D126" i="25"/>
  <c r="G128" i="25"/>
  <c r="F128" i="25"/>
  <c r="E128" i="25"/>
  <c r="D128" i="25"/>
  <c r="H128" i="25"/>
  <c r="G127" i="25"/>
  <c r="F127" i="25"/>
  <c r="E127" i="25"/>
  <c r="D127" i="25"/>
  <c r="G123" i="25"/>
  <c r="F123" i="25"/>
  <c r="E123" i="25"/>
  <c r="D123" i="25"/>
  <c r="U65" i="1"/>
  <c r="U56" i="1"/>
  <c r="U53" i="1"/>
  <c r="U51" i="1"/>
  <c r="U47" i="1"/>
  <c r="U46" i="1"/>
  <c r="U42" i="1"/>
  <c r="U41" i="1"/>
  <c r="U39" i="1"/>
  <c r="U38" i="1"/>
  <c r="U37" i="1"/>
  <c r="U36" i="1"/>
  <c r="U35" i="1"/>
  <c r="U34" i="1"/>
  <c r="U33" i="1"/>
  <c r="U32" i="1"/>
  <c r="U44" i="1" s="1"/>
  <c r="U28" i="1"/>
  <c r="U29" i="1"/>
  <c r="U27" i="1"/>
  <c r="U30" i="1" s="1"/>
  <c r="U24" i="1"/>
  <c r="U23" i="1"/>
  <c r="U25" i="1" s="1"/>
  <c r="G130" i="25"/>
  <c r="F130" i="25"/>
  <c r="D130" i="25"/>
  <c r="E130" i="25"/>
  <c r="H127" i="25"/>
  <c r="Q39" i="1"/>
  <c r="R39" i="1"/>
  <c r="R44" i="1" s="1"/>
  <c r="J106" i="23" s="1"/>
  <c r="J107" i="23" s="1"/>
  <c r="S39" i="1"/>
  <c r="T40" i="1"/>
  <c r="T39" i="1"/>
  <c r="H130" i="25"/>
  <c r="G87" i="8"/>
  <c r="I87" i="8"/>
  <c r="T46" i="1"/>
  <c r="T67" i="1"/>
  <c r="H153" i="8"/>
  <c r="H154" i="8"/>
  <c r="H155" i="8"/>
  <c r="H156" i="8"/>
  <c r="H152" i="8"/>
  <c r="T65" i="1"/>
  <c r="G155" i="8"/>
  <c r="G154" i="8"/>
  <c r="G153" i="8"/>
  <c r="T64" i="1"/>
  <c r="G152" i="8"/>
  <c r="G149" i="8"/>
  <c r="F155" i="8"/>
  <c r="E155" i="8"/>
  <c r="D155" i="8"/>
  <c r="F154" i="8"/>
  <c r="E154" i="8"/>
  <c r="F153" i="8"/>
  <c r="E153" i="8"/>
  <c r="D153" i="8"/>
  <c r="F152" i="8"/>
  <c r="F156" i="8"/>
  <c r="E152" i="8"/>
  <c r="E156" i="8"/>
  <c r="D152" i="8"/>
  <c r="F149" i="8"/>
  <c r="E149" i="8"/>
  <c r="D149" i="8"/>
  <c r="D154" i="8"/>
  <c r="T61" i="1"/>
  <c r="T60" i="1"/>
  <c r="T56" i="1"/>
  <c r="T53" i="1"/>
  <c r="T51" i="1" s="1"/>
  <c r="T42" i="1"/>
  <c r="T41" i="1"/>
  <c r="T38" i="1"/>
  <c r="T37" i="1"/>
  <c r="T36" i="1"/>
  <c r="T35" i="1"/>
  <c r="T34" i="1"/>
  <c r="T44" i="1" s="1"/>
  <c r="T33" i="1"/>
  <c r="T32" i="1"/>
  <c r="T24" i="1"/>
  <c r="T23" i="1"/>
  <c r="G143" i="8"/>
  <c r="F143" i="8"/>
  <c r="E143" i="8"/>
  <c r="D143" i="8"/>
  <c r="H142" i="8"/>
  <c r="H141" i="8"/>
  <c r="H140" i="8"/>
  <c r="G138" i="8"/>
  <c r="F138" i="8"/>
  <c r="E138" i="8"/>
  <c r="D138" i="8"/>
  <c r="H137" i="8"/>
  <c r="H136" i="8"/>
  <c r="H135" i="8"/>
  <c r="H134" i="8"/>
  <c r="H133" i="8"/>
  <c r="H132" i="8"/>
  <c r="H131" i="8"/>
  <c r="G129" i="8"/>
  <c r="F129" i="8"/>
  <c r="E129" i="8"/>
  <c r="D129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G116" i="8"/>
  <c r="F116" i="8"/>
  <c r="E116" i="8"/>
  <c r="H115" i="8"/>
  <c r="H114" i="8"/>
  <c r="G112" i="8"/>
  <c r="F112" i="8"/>
  <c r="E112" i="8"/>
  <c r="D112" i="8"/>
  <c r="H111" i="8"/>
  <c r="H110" i="8"/>
  <c r="H109" i="8"/>
  <c r="G107" i="8"/>
  <c r="F107" i="8"/>
  <c r="E107" i="8"/>
  <c r="D107" i="8"/>
  <c r="H107" i="8"/>
  <c r="H106" i="8"/>
  <c r="H105" i="8"/>
  <c r="H104" i="8"/>
  <c r="H103" i="8"/>
  <c r="H102" i="8"/>
  <c r="H101" i="8"/>
  <c r="H100" i="8"/>
  <c r="H99" i="8"/>
  <c r="G97" i="8"/>
  <c r="H97" i="8"/>
  <c r="F97" i="8"/>
  <c r="E97" i="8"/>
  <c r="D97" i="8"/>
  <c r="H96" i="8"/>
  <c r="H95" i="8"/>
  <c r="G93" i="8"/>
  <c r="F93" i="8"/>
  <c r="E93" i="8"/>
  <c r="D93" i="8"/>
  <c r="H92" i="8"/>
  <c r="G90" i="8"/>
  <c r="F90" i="8"/>
  <c r="E90" i="8"/>
  <c r="D90" i="8"/>
  <c r="H89" i="8"/>
  <c r="H88" i="8"/>
  <c r="H87" i="8"/>
  <c r="H86" i="8"/>
  <c r="G84" i="8"/>
  <c r="F84" i="8"/>
  <c r="E84" i="8"/>
  <c r="D84" i="8"/>
  <c r="H84" i="8"/>
  <c r="H83" i="8"/>
  <c r="H82" i="8"/>
  <c r="E77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1" i="8"/>
  <c r="H58" i="8"/>
  <c r="H57" i="8"/>
  <c r="H56" i="8"/>
  <c r="H53" i="8"/>
  <c r="H52" i="8"/>
  <c r="H49" i="8"/>
  <c r="H48" i="8"/>
  <c r="H47" i="8"/>
  <c r="H44" i="8"/>
  <c r="H43" i="8"/>
  <c r="H42" i="8"/>
  <c r="H41" i="8"/>
  <c r="H38" i="8"/>
  <c r="H37" i="8"/>
  <c r="H36" i="8"/>
  <c r="H35" i="8"/>
  <c r="H34" i="8"/>
  <c r="H33" i="8"/>
  <c r="H32" i="8"/>
  <c r="H31" i="8"/>
  <c r="H30" i="8"/>
  <c r="H27" i="8"/>
  <c r="H26" i="8"/>
  <c r="H25" i="8"/>
  <c r="H24" i="8"/>
  <c r="H23" i="8"/>
  <c r="H20" i="8"/>
  <c r="H17" i="8"/>
  <c r="H16" i="8"/>
  <c r="H13" i="8"/>
  <c r="H12" i="8"/>
  <c r="H11" i="8"/>
  <c r="H10" i="8"/>
  <c r="H7" i="8"/>
  <c r="H6" i="8"/>
  <c r="H5" i="8"/>
  <c r="H4" i="8"/>
  <c r="G156" i="8"/>
  <c r="D156" i="8"/>
  <c r="H112" i="8"/>
  <c r="F145" i="8"/>
  <c r="F147" i="8"/>
  <c r="G145" i="8"/>
  <c r="G147" i="8"/>
  <c r="H143" i="8"/>
  <c r="D145" i="8"/>
  <c r="D147" i="8"/>
  <c r="H90" i="8"/>
  <c r="H138" i="8"/>
  <c r="H116" i="8"/>
  <c r="H93" i="8"/>
  <c r="E145" i="8"/>
  <c r="E147" i="8"/>
  <c r="T47" i="1"/>
  <c r="F17" i="24"/>
  <c r="E17" i="24"/>
  <c r="H16" i="24"/>
  <c r="F89" i="24"/>
  <c r="R29" i="1"/>
  <c r="E89" i="24"/>
  <c r="E90" i="24"/>
  <c r="E145" i="24"/>
  <c r="E147" i="24"/>
  <c r="P64" i="1"/>
  <c r="Q64" i="1"/>
  <c r="R64" i="1"/>
  <c r="P67" i="1"/>
  <c r="Q67" i="1"/>
  <c r="R67" i="1"/>
  <c r="P61" i="1"/>
  <c r="Q61" i="1"/>
  <c r="R61" i="1"/>
  <c r="D149" i="24"/>
  <c r="P56" i="1"/>
  <c r="Q56" i="1"/>
  <c r="R56" i="1"/>
  <c r="J93" i="23" s="1"/>
  <c r="S67" i="1"/>
  <c r="S65" i="1"/>
  <c r="G155" i="24"/>
  <c r="F155" i="24"/>
  <c r="E155" i="24"/>
  <c r="H155" i="24"/>
  <c r="F154" i="24"/>
  <c r="D154" i="24"/>
  <c r="G153" i="24"/>
  <c r="S64" i="1"/>
  <c r="F153" i="24"/>
  <c r="E153" i="24"/>
  <c r="H152" i="24"/>
  <c r="G152" i="24"/>
  <c r="F152" i="24"/>
  <c r="E152" i="24"/>
  <c r="D152" i="24"/>
  <c r="D153" i="24"/>
  <c r="G149" i="24"/>
  <c r="G154" i="24"/>
  <c r="F149" i="24"/>
  <c r="E149" i="24"/>
  <c r="E154" i="24"/>
  <c r="P60" i="1"/>
  <c r="Q60" i="1"/>
  <c r="R60" i="1"/>
  <c r="J136" i="23"/>
  <c r="S60" i="1"/>
  <c r="S56" i="1"/>
  <c r="S53" i="1"/>
  <c r="S51" i="1" s="1"/>
  <c r="S47" i="1"/>
  <c r="P46" i="1"/>
  <c r="Q46" i="1"/>
  <c r="R46" i="1"/>
  <c r="J91" i="23" s="1"/>
  <c r="S46" i="1"/>
  <c r="S42" i="1"/>
  <c r="S41" i="1"/>
  <c r="S44" i="1" s="1"/>
  <c r="P40" i="1"/>
  <c r="Q40" i="1"/>
  <c r="R40" i="1"/>
  <c r="S40" i="1"/>
  <c r="S38" i="1"/>
  <c r="S37" i="1"/>
  <c r="P36" i="1"/>
  <c r="Q36" i="1"/>
  <c r="R36" i="1"/>
  <c r="S36" i="1"/>
  <c r="S35" i="1"/>
  <c r="S34" i="1"/>
  <c r="S33" i="1"/>
  <c r="S32" i="1"/>
  <c r="P24" i="1"/>
  <c r="Q24" i="1"/>
  <c r="R24" i="1"/>
  <c r="P23" i="1"/>
  <c r="P25" i="1" s="1"/>
  <c r="Q23" i="1"/>
  <c r="Q25" i="1" s="1"/>
  <c r="R23" i="1"/>
  <c r="R25" i="1"/>
  <c r="P29" i="1"/>
  <c r="P28" i="1"/>
  <c r="Q28" i="1"/>
  <c r="R28" i="1"/>
  <c r="S29" i="1"/>
  <c r="S28" i="1"/>
  <c r="S24" i="1"/>
  <c r="S23" i="1"/>
  <c r="S25" i="1" s="1"/>
  <c r="H144" i="24"/>
  <c r="G143" i="24"/>
  <c r="F143" i="24"/>
  <c r="E143" i="24"/>
  <c r="D143" i="24"/>
  <c r="H143" i="24"/>
  <c r="H142" i="24"/>
  <c r="H141" i="24"/>
  <c r="H140" i="24"/>
  <c r="H139" i="24"/>
  <c r="G138" i="24"/>
  <c r="F138" i="24"/>
  <c r="E138" i="24"/>
  <c r="D138" i="24"/>
  <c r="H138" i="24"/>
  <c r="H137" i="24"/>
  <c r="H136" i="24"/>
  <c r="H135" i="24"/>
  <c r="H134" i="24"/>
  <c r="H133" i="24"/>
  <c r="H132" i="24"/>
  <c r="H131" i="24"/>
  <c r="H130" i="24"/>
  <c r="G129" i="24"/>
  <c r="E129" i="24"/>
  <c r="D129" i="24"/>
  <c r="H128" i="24"/>
  <c r="H127" i="24"/>
  <c r="F126" i="24"/>
  <c r="H126" i="24"/>
  <c r="H125" i="24"/>
  <c r="H124" i="24"/>
  <c r="H123" i="24"/>
  <c r="H122" i="24"/>
  <c r="H121" i="24"/>
  <c r="H120" i="24"/>
  <c r="H119" i="24"/>
  <c r="H118" i="24"/>
  <c r="H117" i="24"/>
  <c r="G115" i="24"/>
  <c r="F115" i="24"/>
  <c r="H115" i="24"/>
  <c r="H114" i="24"/>
  <c r="H113" i="24"/>
  <c r="G112" i="24"/>
  <c r="F112" i="24"/>
  <c r="E112" i="24"/>
  <c r="D112" i="24"/>
  <c r="H112" i="24"/>
  <c r="H111" i="24"/>
  <c r="H110" i="24"/>
  <c r="H109" i="24"/>
  <c r="G107" i="24"/>
  <c r="F107" i="24"/>
  <c r="E107" i="24"/>
  <c r="D107" i="24"/>
  <c r="H107" i="24"/>
  <c r="H106" i="24"/>
  <c r="H105" i="24"/>
  <c r="H104" i="24"/>
  <c r="H103" i="24"/>
  <c r="H102" i="24"/>
  <c r="H101" i="24"/>
  <c r="H100" i="24"/>
  <c r="H99" i="24"/>
  <c r="G97" i="24"/>
  <c r="F97" i="24"/>
  <c r="H97" i="24"/>
  <c r="E97" i="24"/>
  <c r="D97" i="24"/>
  <c r="H96" i="24"/>
  <c r="H95" i="24"/>
  <c r="G93" i="24"/>
  <c r="F93" i="24"/>
  <c r="E93" i="24"/>
  <c r="D93" i="24"/>
  <c r="H93" i="24"/>
  <c r="H92" i="24"/>
  <c r="G90" i="24"/>
  <c r="G145" i="24"/>
  <c r="G147" i="24"/>
  <c r="F90" i="24"/>
  <c r="D90" i="24"/>
  <c r="D145" i="24"/>
  <c r="H88" i="24"/>
  <c r="H87" i="24"/>
  <c r="H86" i="24"/>
  <c r="G84" i="24"/>
  <c r="F84" i="24"/>
  <c r="E84" i="24"/>
  <c r="D84" i="24"/>
  <c r="H84" i="24"/>
  <c r="H83" i="24"/>
  <c r="H82" i="24"/>
  <c r="F77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F64" i="24"/>
  <c r="H64" i="24"/>
  <c r="H61" i="24"/>
  <c r="H58" i="24"/>
  <c r="H57" i="24"/>
  <c r="H56" i="24"/>
  <c r="H53" i="24"/>
  <c r="H52" i="24"/>
  <c r="H49" i="24"/>
  <c r="H48" i="24"/>
  <c r="H47" i="24"/>
  <c r="H44" i="24"/>
  <c r="H43" i="24"/>
  <c r="H42" i="24"/>
  <c r="H41" i="24"/>
  <c r="H38" i="24"/>
  <c r="H37" i="24"/>
  <c r="H36" i="24"/>
  <c r="H35" i="24"/>
  <c r="H34" i="24"/>
  <c r="H33" i="24"/>
  <c r="H32" i="24"/>
  <c r="H31" i="24"/>
  <c r="H30" i="24"/>
  <c r="H27" i="24"/>
  <c r="H26" i="24"/>
  <c r="H25" i="24"/>
  <c r="H24" i="24"/>
  <c r="H23" i="24"/>
  <c r="D20" i="24"/>
  <c r="H20" i="24"/>
  <c r="H17" i="24"/>
  <c r="H13" i="24"/>
  <c r="H12" i="24"/>
  <c r="G11" i="24"/>
  <c r="H11" i="24"/>
  <c r="H10" i="24"/>
  <c r="H7" i="24"/>
  <c r="H6" i="24"/>
  <c r="H5" i="24"/>
  <c r="H4" i="24"/>
  <c r="H150" i="23"/>
  <c r="H154" i="23"/>
  <c r="H153" i="23"/>
  <c r="H152" i="23"/>
  <c r="H151" i="23"/>
  <c r="E154" i="23"/>
  <c r="F154" i="23"/>
  <c r="G154" i="23"/>
  <c r="D154" i="23"/>
  <c r="F153" i="23"/>
  <c r="G153" i="23"/>
  <c r="E153" i="23"/>
  <c r="E152" i="23"/>
  <c r="F152" i="23"/>
  <c r="G152" i="23"/>
  <c r="D152" i="23"/>
  <c r="E151" i="23"/>
  <c r="F151" i="23"/>
  <c r="G151" i="23"/>
  <c r="D151" i="23"/>
  <c r="E150" i="23"/>
  <c r="F150" i="23"/>
  <c r="G150" i="23"/>
  <c r="D150" i="23"/>
  <c r="D148" i="23"/>
  <c r="G147" i="23"/>
  <c r="F147" i="23"/>
  <c r="E147" i="23"/>
  <c r="H145" i="8"/>
  <c r="H147" i="8"/>
  <c r="T25" i="1"/>
  <c r="T26" i="1" s="1"/>
  <c r="Q29" i="1"/>
  <c r="H89" i="24"/>
  <c r="F156" i="24"/>
  <c r="H153" i="24"/>
  <c r="S61" i="1"/>
  <c r="G156" i="24"/>
  <c r="H154" i="24"/>
  <c r="D156" i="24"/>
  <c r="E156" i="24"/>
  <c r="F145" i="24"/>
  <c r="F147" i="24"/>
  <c r="D147" i="24"/>
  <c r="F129" i="24"/>
  <c r="H129" i="24"/>
  <c r="H90" i="24"/>
  <c r="G4" i="23"/>
  <c r="G97" i="23"/>
  <c r="J105" i="23"/>
  <c r="G143" i="23"/>
  <c r="R33" i="1"/>
  <c r="R47" i="1"/>
  <c r="R65" i="1"/>
  <c r="R42" i="1"/>
  <c r="R41" i="1"/>
  <c r="R53" i="1"/>
  <c r="J94" i="23"/>
  <c r="R38" i="1"/>
  <c r="R37" i="1"/>
  <c r="R35" i="1"/>
  <c r="R34" i="1"/>
  <c r="R32" i="1"/>
  <c r="R27" i="1"/>
  <c r="R30" i="1" s="1"/>
  <c r="H142" i="23"/>
  <c r="G141" i="23"/>
  <c r="F141" i="23"/>
  <c r="E141" i="23"/>
  <c r="D141" i="23"/>
  <c r="H141" i="23"/>
  <c r="H140" i="23"/>
  <c r="H139" i="23"/>
  <c r="H138" i="23"/>
  <c r="H137" i="23"/>
  <c r="G136" i="23"/>
  <c r="F136" i="23"/>
  <c r="E136" i="23"/>
  <c r="D136" i="23"/>
  <c r="H136" i="23"/>
  <c r="H135" i="23"/>
  <c r="H134" i="23"/>
  <c r="H133" i="23"/>
  <c r="H132" i="23"/>
  <c r="H131" i="23"/>
  <c r="H130" i="23"/>
  <c r="H129" i="23"/>
  <c r="H128" i="23"/>
  <c r="G127" i="23"/>
  <c r="F127" i="23"/>
  <c r="E127" i="23"/>
  <c r="D127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G113" i="23"/>
  <c r="D113" i="23"/>
  <c r="H113" i="23"/>
  <c r="H112" i="23"/>
  <c r="H111" i="23"/>
  <c r="H110" i="23"/>
  <c r="G110" i="23"/>
  <c r="F110" i="23"/>
  <c r="E110" i="23"/>
  <c r="D110" i="23"/>
  <c r="H109" i="23"/>
  <c r="H108" i="23"/>
  <c r="H107" i="23"/>
  <c r="H106" i="23"/>
  <c r="G105" i="23"/>
  <c r="F105" i="23"/>
  <c r="E105" i="23"/>
  <c r="H105" i="23"/>
  <c r="D105" i="23"/>
  <c r="H104" i="23"/>
  <c r="H103" i="23"/>
  <c r="H102" i="23"/>
  <c r="H101" i="23"/>
  <c r="H100" i="23"/>
  <c r="H99" i="23"/>
  <c r="H98" i="23"/>
  <c r="H97" i="23"/>
  <c r="H96" i="23"/>
  <c r="G95" i="23"/>
  <c r="F95" i="23"/>
  <c r="E95" i="23"/>
  <c r="D95" i="23"/>
  <c r="H95" i="23"/>
  <c r="H94" i="23"/>
  <c r="H93" i="23"/>
  <c r="H92" i="23"/>
  <c r="G91" i="23"/>
  <c r="F91" i="23"/>
  <c r="H91" i="23"/>
  <c r="E91" i="23"/>
  <c r="D91" i="23"/>
  <c r="H90" i="23"/>
  <c r="H89" i="23"/>
  <c r="G88" i="23"/>
  <c r="F88" i="23"/>
  <c r="E88" i="23"/>
  <c r="E143" i="23"/>
  <c r="E145" i="23"/>
  <c r="D88" i="23"/>
  <c r="H88" i="23"/>
  <c r="H87" i="23"/>
  <c r="H86" i="23"/>
  <c r="H85" i="23"/>
  <c r="H84" i="23"/>
  <c r="H83" i="23"/>
  <c r="H82" i="23"/>
  <c r="G82" i="23"/>
  <c r="F82" i="23"/>
  <c r="F143" i="23"/>
  <c r="F145" i="23"/>
  <c r="E82" i="23"/>
  <c r="D82" i="23"/>
  <c r="D143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156" i="24"/>
  <c r="H145" i="24"/>
  <c r="H147" i="24"/>
  <c r="G145" i="23"/>
  <c r="D145" i="23"/>
  <c r="H143" i="23"/>
  <c r="H145" i="23"/>
  <c r="R51" i="1"/>
  <c r="G92" i="22"/>
  <c r="H92" i="22"/>
  <c r="C46" i="22"/>
  <c r="N41" i="22"/>
  <c r="H13" i="22"/>
  <c r="Q63" i="1"/>
  <c r="P63" i="1"/>
  <c r="P65" i="1"/>
  <c r="P43" i="1"/>
  <c r="P53" i="1"/>
  <c r="P47" i="1"/>
  <c r="P27" i="1"/>
  <c r="P30" i="1" s="1"/>
  <c r="P32" i="1"/>
  <c r="P33" i="1"/>
  <c r="P34" i="1"/>
  <c r="P35" i="1"/>
  <c r="P37" i="1"/>
  <c r="P38" i="1"/>
  <c r="P39" i="1"/>
  <c r="P41" i="1"/>
  <c r="P42" i="1"/>
  <c r="Q65" i="1"/>
  <c r="Q32" i="1"/>
  <c r="Q44" i="1"/>
  <c r="Q33" i="1"/>
  <c r="Q34" i="1"/>
  <c r="Q35" i="1"/>
  <c r="Q37" i="1"/>
  <c r="Q38" i="1"/>
  <c r="Q41" i="1"/>
  <c r="Q42" i="1"/>
  <c r="Q27" i="1"/>
  <c r="Q30" i="1" s="1"/>
  <c r="Q47" i="1"/>
  <c r="Q53" i="1"/>
  <c r="Q51" i="1"/>
  <c r="O41" i="1"/>
  <c r="H141" i="22"/>
  <c r="G140" i="22"/>
  <c r="F140" i="22"/>
  <c r="E140" i="22"/>
  <c r="D140" i="22"/>
  <c r="D142" i="22"/>
  <c r="H139" i="22"/>
  <c r="H138" i="22"/>
  <c r="H137" i="22"/>
  <c r="H136" i="22"/>
  <c r="H135" i="22"/>
  <c r="G135" i="22"/>
  <c r="F135" i="22"/>
  <c r="E135" i="22"/>
  <c r="D135" i="22"/>
  <c r="H134" i="22"/>
  <c r="H133" i="22"/>
  <c r="H132" i="22"/>
  <c r="H131" i="22"/>
  <c r="H130" i="22"/>
  <c r="H129" i="22"/>
  <c r="H128" i="22"/>
  <c r="H127" i="22"/>
  <c r="H126" i="22"/>
  <c r="G126" i="22"/>
  <c r="F126" i="22"/>
  <c r="E126" i="22"/>
  <c r="D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E112" i="22"/>
  <c r="D112" i="22"/>
  <c r="H112" i="22"/>
  <c r="H111" i="22"/>
  <c r="H110" i="22"/>
  <c r="G109" i="22"/>
  <c r="F109" i="22"/>
  <c r="E109" i="22"/>
  <c r="D109" i="22"/>
  <c r="H109" i="22"/>
  <c r="H108" i="22"/>
  <c r="H107" i="22"/>
  <c r="H106" i="22"/>
  <c r="H105" i="22"/>
  <c r="H104" i="22"/>
  <c r="G104" i="22"/>
  <c r="F104" i="22"/>
  <c r="E104" i="22"/>
  <c r="D104" i="22"/>
  <c r="H103" i="22"/>
  <c r="H102" i="22"/>
  <c r="H101" i="22"/>
  <c r="H100" i="22"/>
  <c r="H99" i="22"/>
  <c r="H98" i="22"/>
  <c r="H97" i="22"/>
  <c r="H96" i="22"/>
  <c r="H95" i="22"/>
  <c r="F94" i="22"/>
  <c r="E94" i="22"/>
  <c r="D94" i="22"/>
  <c r="H93" i="22"/>
  <c r="H91" i="22"/>
  <c r="G90" i="22"/>
  <c r="F90" i="22"/>
  <c r="E90" i="22"/>
  <c r="D90" i="22"/>
  <c r="H90" i="22"/>
  <c r="H89" i="22"/>
  <c r="H88" i="22"/>
  <c r="G87" i="22"/>
  <c r="F87" i="22"/>
  <c r="E87" i="22"/>
  <c r="H87" i="22"/>
  <c r="D87" i="22"/>
  <c r="H86" i="22"/>
  <c r="H85" i="22"/>
  <c r="H84" i="22"/>
  <c r="H83" i="22"/>
  <c r="H82" i="22"/>
  <c r="G81" i="22"/>
  <c r="F81" i="22"/>
  <c r="F142" i="22"/>
  <c r="F144" i="22"/>
  <c r="E81" i="22"/>
  <c r="E142" i="22"/>
  <c r="E144" i="22"/>
  <c r="D81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8" i="22"/>
  <c r="H17" i="22"/>
  <c r="H16" i="22"/>
  <c r="H14" i="22"/>
  <c r="H12" i="22"/>
  <c r="H11" i="22"/>
  <c r="H10" i="22"/>
  <c r="H9" i="22"/>
  <c r="H8" i="22"/>
  <c r="H7" i="22"/>
  <c r="H6" i="22"/>
  <c r="H5" i="22"/>
  <c r="H4" i="22"/>
  <c r="G93" i="21"/>
  <c r="G4" i="21"/>
  <c r="L2" i="21"/>
  <c r="G118" i="21"/>
  <c r="G122" i="21"/>
  <c r="M119" i="21"/>
  <c r="M32" i="1"/>
  <c r="M44" i="1" s="1"/>
  <c r="N32" i="1"/>
  <c r="O32" i="1"/>
  <c r="M37" i="1"/>
  <c r="P51" i="1"/>
  <c r="M35" i="1"/>
  <c r="N35" i="1"/>
  <c r="M34" i="1"/>
  <c r="H135" i="21"/>
  <c r="G134" i="21"/>
  <c r="F134" i="21"/>
  <c r="E134" i="21"/>
  <c r="D134" i="21"/>
  <c r="H134" i="21"/>
  <c r="H133" i="21"/>
  <c r="H132" i="21"/>
  <c r="H131" i="21"/>
  <c r="H130" i="21"/>
  <c r="G129" i="21"/>
  <c r="F129" i="21"/>
  <c r="E129" i="21"/>
  <c r="D129" i="21"/>
  <c r="H129" i="21"/>
  <c r="H128" i="21"/>
  <c r="H127" i="21"/>
  <c r="G127" i="21"/>
  <c r="H126" i="21"/>
  <c r="H125" i="21"/>
  <c r="H124" i="21"/>
  <c r="H123" i="21"/>
  <c r="F122" i="21"/>
  <c r="E122" i="21"/>
  <c r="D122" i="21"/>
  <c r="H121" i="21"/>
  <c r="H120" i="21"/>
  <c r="H119" i="21"/>
  <c r="H117" i="21"/>
  <c r="H116" i="21"/>
  <c r="H115" i="21"/>
  <c r="H114" i="21"/>
  <c r="H113" i="21"/>
  <c r="H112" i="21"/>
  <c r="H111" i="21"/>
  <c r="H110" i="21"/>
  <c r="F109" i="21"/>
  <c r="H109" i="21"/>
  <c r="E109" i="21"/>
  <c r="D109" i="21"/>
  <c r="H108" i="21"/>
  <c r="H107" i="21"/>
  <c r="G106" i="21"/>
  <c r="F106" i="21"/>
  <c r="E106" i="21"/>
  <c r="H106" i="21"/>
  <c r="D106" i="21"/>
  <c r="H105" i="21"/>
  <c r="H104" i="21"/>
  <c r="H103" i="21"/>
  <c r="F101" i="21"/>
  <c r="E101" i="21"/>
  <c r="D101" i="21"/>
  <c r="H100" i="21"/>
  <c r="H99" i="21"/>
  <c r="H98" i="21"/>
  <c r="H97" i="21"/>
  <c r="H96" i="21"/>
  <c r="H95" i="21"/>
  <c r="H94" i="21"/>
  <c r="G91" i="21"/>
  <c r="F91" i="21"/>
  <c r="E91" i="21"/>
  <c r="D91" i="21"/>
  <c r="H91" i="21"/>
  <c r="H90" i="21"/>
  <c r="H89" i="21"/>
  <c r="H88" i="21"/>
  <c r="G87" i="21"/>
  <c r="F87" i="21"/>
  <c r="E87" i="21"/>
  <c r="D87" i="21"/>
  <c r="H87" i="21"/>
  <c r="H86" i="21"/>
  <c r="H85" i="21"/>
  <c r="G84" i="21"/>
  <c r="F84" i="21"/>
  <c r="E84" i="21"/>
  <c r="D84" i="21"/>
  <c r="H84" i="21"/>
  <c r="H83" i="21"/>
  <c r="H82" i="21"/>
  <c r="H81" i="21"/>
  <c r="H80" i="21"/>
  <c r="H79" i="21"/>
  <c r="G78" i="21"/>
  <c r="F78" i="21"/>
  <c r="F136" i="21"/>
  <c r="F138" i="21"/>
  <c r="E78" i="21"/>
  <c r="E136" i="21"/>
  <c r="E138" i="21"/>
  <c r="D78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6" i="21"/>
  <c r="H15" i="21"/>
  <c r="H14" i="21"/>
  <c r="H12" i="21"/>
  <c r="H11" i="21"/>
  <c r="H10" i="21"/>
  <c r="H9" i="21"/>
  <c r="H8" i="21"/>
  <c r="H7" i="21"/>
  <c r="H6" i="21"/>
  <c r="H5" i="21"/>
  <c r="H4" i="21"/>
  <c r="G88" i="20"/>
  <c r="F88" i="20"/>
  <c r="E88" i="20"/>
  <c r="D88" i="20"/>
  <c r="D144" i="22"/>
  <c r="H140" i="22"/>
  <c r="G101" i="21"/>
  <c r="H101" i="21"/>
  <c r="H93" i="21"/>
  <c r="H118" i="21"/>
  <c r="G136" i="21"/>
  <c r="G138" i="21"/>
  <c r="H122" i="21"/>
  <c r="D136" i="21"/>
  <c r="O67" i="1"/>
  <c r="O64" i="1"/>
  <c r="O63" i="1"/>
  <c r="O60" i="1"/>
  <c r="O56" i="1"/>
  <c r="O53" i="1"/>
  <c r="O51" i="1"/>
  <c r="O47" i="1"/>
  <c r="O46" i="1"/>
  <c r="O42" i="1"/>
  <c r="O40" i="1"/>
  <c r="O39" i="1"/>
  <c r="O38" i="1"/>
  <c r="O37" i="1"/>
  <c r="O36" i="1"/>
  <c r="O35" i="1"/>
  <c r="O34" i="1"/>
  <c r="O44" i="1" s="1"/>
  <c r="O33" i="1"/>
  <c r="O29" i="1"/>
  <c r="O28" i="1"/>
  <c r="O30" i="1" s="1"/>
  <c r="O27" i="1"/>
  <c r="O24" i="1"/>
  <c r="O25" i="1"/>
  <c r="O23" i="1"/>
  <c r="N23" i="1"/>
  <c r="N21" i="1"/>
  <c r="H132" i="20"/>
  <c r="H130" i="20"/>
  <c r="G129" i="20"/>
  <c r="F129" i="20"/>
  <c r="E129" i="20"/>
  <c r="D129" i="20"/>
  <c r="H129" i="20"/>
  <c r="H128" i="20"/>
  <c r="H127" i="20"/>
  <c r="H126" i="20"/>
  <c r="H125" i="20"/>
  <c r="G124" i="20"/>
  <c r="H124" i="20"/>
  <c r="F124" i="20"/>
  <c r="E124" i="20"/>
  <c r="D124" i="20"/>
  <c r="H123" i="20"/>
  <c r="H122" i="20"/>
  <c r="H121" i="20"/>
  <c r="H120" i="20"/>
  <c r="H119" i="20"/>
  <c r="H118" i="20"/>
  <c r="G117" i="20"/>
  <c r="F117" i="20"/>
  <c r="H117" i="20"/>
  <c r="E117" i="20"/>
  <c r="D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G104" i="20"/>
  <c r="H104" i="20"/>
  <c r="F104" i="20"/>
  <c r="E104" i="20"/>
  <c r="D104" i="20"/>
  <c r="H103" i="20"/>
  <c r="H102" i="20"/>
  <c r="G101" i="20"/>
  <c r="F101" i="20"/>
  <c r="E101" i="20"/>
  <c r="D101" i="20"/>
  <c r="H101" i="20"/>
  <c r="H100" i="20"/>
  <c r="H99" i="20"/>
  <c r="H98" i="20"/>
  <c r="G96" i="20"/>
  <c r="F96" i="20"/>
  <c r="E96" i="20"/>
  <c r="D96" i="20"/>
  <c r="H95" i="20"/>
  <c r="H94" i="20"/>
  <c r="H93" i="20"/>
  <c r="H92" i="20"/>
  <c r="H91" i="20"/>
  <c r="H90" i="20"/>
  <c r="H89" i="20"/>
  <c r="H88" i="20"/>
  <c r="H87" i="20"/>
  <c r="G86" i="20"/>
  <c r="F86" i="20"/>
  <c r="E86" i="20"/>
  <c r="D86" i="20"/>
  <c r="H86" i="20"/>
  <c r="H85" i="20"/>
  <c r="H84" i="20"/>
  <c r="H83" i="20"/>
  <c r="H82" i="20"/>
  <c r="G82" i="20"/>
  <c r="F82" i="20"/>
  <c r="E82" i="20"/>
  <c r="D82" i="20"/>
  <c r="H81" i="20"/>
  <c r="H80" i="20"/>
  <c r="G79" i="20"/>
  <c r="F79" i="20"/>
  <c r="E79" i="20"/>
  <c r="D79" i="20"/>
  <c r="H79" i="20"/>
  <c r="H78" i="20"/>
  <c r="H77" i="20"/>
  <c r="H76" i="20"/>
  <c r="H75" i="20"/>
  <c r="H74" i="20"/>
  <c r="G73" i="20"/>
  <c r="F73" i="20"/>
  <c r="F131" i="20"/>
  <c r="F133" i="20"/>
  <c r="E73" i="20"/>
  <c r="E131" i="20"/>
  <c r="E133" i="20"/>
  <c r="D73" i="20"/>
  <c r="H73" i="20"/>
  <c r="H72" i="20"/>
  <c r="H71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1" i="20"/>
  <c r="H50" i="20"/>
  <c r="H49" i="20"/>
  <c r="H46" i="20"/>
  <c r="H45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D138" i="21"/>
  <c r="H138" i="21"/>
  <c r="H136" i="21"/>
  <c r="H96" i="20"/>
  <c r="G131" i="20"/>
  <c r="G133" i="20"/>
  <c r="D131" i="20"/>
  <c r="D133" i="20"/>
  <c r="H133" i="20"/>
  <c r="H131" i="20"/>
  <c r="H4" i="19"/>
  <c r="G89" i="19"/>
  <c r="F89" i="19"/>
  <c r="E89" i="19"/>
  <c r="D89" i="19"/>
  <c r="H125" i="19"/>
  <c r="N67" i="1"/>
  <c r="M67" i="1"/>
  <c r="N64" i="1"/>
  <c r="M64" i="1"/>
  <c r="N63" i="1"/>
  <c r="M63" i="1"/>
  <c r="N60" i="1"/>
  <c r="M60" i="1"/>
  <c r="N56" i="1"/>
  <c r="M56" i="1"/>
  <c r="N53" i="1"/>
  <c r="N51" i="1" s="1"/>
  <c r="M53" i="1"/>
  <c r="M51" i="1" s="1"/>
  <c r="N47" i="1"/>
  <c r="M47" i="1"/>
  <c r="N46" i="1"/>
  <c r="M46" i="1"/>
  <c r="N42" i="1"/>
  <c r="M42" i="1"/>
  <c r="N41" i="1"/>
  <c r="M41" i="1"/>
  <c r="N40" i="1"/>
  <c r="M40" i="1"/>
  <c r="N39" i="1"/>
  <c r="N44" i="1" s="1"/>
  <c r="M39" i="1"/>
  <c r="N38" i="1"/>
  <c r="M38" i="1"/>
  <c r="N37" i="1"/>
  <c r="N36" i="1"/>
  <c r="M36" i="1"/>
  <c r="N34" i="1"/>
  <c r="N33" i="1"/>
  <c r="M33" i="1"/>
  <c r="N29" i="1"/>
  <c r="M29" i="1"/>
  <c r="N28" i="1"/>
  <c r="M28" i="1"/>
  <c r="N27" i="1"/>
  <c r="M27" i="1"/>
  <c r="M30" i="1"/>
  <c r="M45" i="1" s="1"/>
  <c r="M48" i="1" s="1"/>
  <c r="M55" i="1" s="1"/>
  <c r="M57" i="1" s="1"/>
  <c r="M66" i="1" s="1"/>
  <c r="M68" i="1" s="1"/>
  <c r="N24" i="1"/>
  <c r="M24" i="1"/>
  <c r="M23" i="1"/>
  <c r="M20" i="1"/>
  <c r="H131" i="19"/>
  <c r="G130" i="19"/>
  <c r="F130" i="19"/>
  <c r="E130" i="19"/>
  <c r="D130" i="19"/>
  <c r="H129" i="19"/>
  <c r="H128" i="19"/>
  <c r="H127" i="19"/>
  <c r="G125" i="19"/>
  <c r="F125" i="19"/>
  <c r="E125" i="19"/>
  <c r="D125" i="19"/>
  <c r="H124" i="19"/>
  <c r="H123" i="19"/>
  <c r="H122" i="19"/>
  <c r="H121" i="19"/>
  <c r="H120" i="19"/>
  <c r="G118" i="19"/>
  <c r="F118" i="19"/>
  <c r="E118" i="19"/>
  <c r="D117" i="19"/>
  <c r="D118" i="19"/>
  <c r="H116" i="19"/>
  <c r="H115" i="19"/>
  <c r="H114" i="19"/>
  <c r="H113" i="19"/>
  <c r="H112" i="19"/>
  <c r="H111" i="19"/>
  <c r="H110" i="19"/>
  <c r="H109" i="19"/>
  <c r="H108" i="19"/>
  <c r="H107" i="19"/>
  <c r="G105" i="19"/>
  <c r="F105" i="19"/>
  <c r="E105" i="19"/>
  <c r="H105" i="19"/>
  <c r="D105" i="19"/>
  <c r="H104" i="19"/>
  <c r="G102" i="19"/>
  <c r="F102" i="19"/>
  <c r="E102" i="19"/>
  <c r="D102" i="19"/>
  <c r="H101" i="19"/>
  <c r="H100" i="19"/>
  <c r="H99" i="19"/>
  <c r="G97" i="19"/>
  <c r="F97" i="19"/>
  <c r="E97" i="19"/>
  <c r="D97" i="19"/>
  <c r="H96" i="19"/>
  <c r="H95" i="19"/>
  <c r="H94" i="19"/>
  <c r="D94" i="19"/>
  <c r="H93" i="19"/>
  <c r="H92" i="19"/>
  <c r="H91" i="19"/>
  <c r="H90" i="19"/>
  <c r="H89" i="19"/>
  <c r="G87" i="19"/>
  <c r="F87" i="19"/>
  <c r="E87" i="19"/>
  <c r="D87" i="19"/>
  <c r="H86" i="19"/>
  <c r="H85" i="19"/>
  <c r="G83" i="19"/>
  <c r="F83" i="19"/>
  <c r="E83" i="19"/>
  <c r="D83" i="19"/>
  <c r="H83" i="19"/>
  <c r="H82" i="19"/>
  <c r="G80" i="19"/>
  <c r="F80" i="19"/>
  <c r="E80" i="19"/>
  <c r="D80" i="19"/>
  <c r="H79" i="19"/>
  <c r="H78" i="19"/>
  <c r="H77" i="19"/>
  <c r="H76" i="19"/>
  <c r="G74" i="19"/>
  <c r="F74" i="19"/>
  <c r="E74" i="19"/>
  <c r="D74" i="19"/>
  <c r="H74" i="19"/>
  <c r="H73" i="19"/>
  <c r="H72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2" i="19"/>
  <c r="H51" i="19"/>
  <c r="H50" i="19"/>
  <c r="H49" i="19"/>
  <c r="D49" i="19"/>
  <c r="H47" i="19"/>
  <c r="H46" i="19"/>
  <c r="H45" i="19"/>
  <c r="H43" i="19"/>
  <c r="H42" i="19"/>
  <c r="H41" i="19"/>
  <c r="H39" i="19"/>
  <c r="H38" i="19"/>
  <c r="H37" i="19"/>
  <c r="H36" i="19"/>
  <c r="H35" i="19"/>
  <c r="H33" i="19"/>
  <c r="H32" i="19"/>
  <c r="H31" i="19"/>
  <c r="H30" i="19"/>
  <c r="H29" i="19"/>
  <c r="H28" i="19"/>
  <c r="H27" i="19"/>
  <c r="H26" i="19"/>
  <c r="H24" i="19"/>
  <c r="H23" i="19"/>
  <c r="D23" i="19"/>
  <c r="H22" i="19"/>
  <c r="H21" i="19"/>
  <c r="H20" i="19"/>
  <c r="H18" i="19"/>
  <c r="H17" i="19"/>
  <c r="H15" i="19"/>
  <c r="H14" i="19"/>
  <c r="H13" i="19"/>
  <c r="H11" i="19"/>
  <c r="H10" i="19"/>
  <c r="H8" i="19"/>
  <c r="H7" i="19"/>
  <c r="H6" i="19"/>
  <c r="H5" i="19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73" i="18"/>
  <c r="N74" i="18"/>
  <c r="N75" i="18"/>
  <c r="N76" i="18"/>
  <c r="N77" i="18"/>
  <c r="N78" i="18"/>
  <c r="N79" i="18"/>
  <c r="N80" i="18"/>
  <c r="N72" i="18"/>
  <c r="E13" i="18"/>
  <c r="Q4" i="18"/>
  <c r="F4" i="18"/>
  <c r="H4" i="18"/>
  <c r="H89" i="18"/>
  <c r="G89" i="18"/>
  <c r="G97" i="18"/>
  <c r="F89" i="18"/>
  <c r="E89" i="18"/>
  <c r="D89" i="18"/>
  <c r="N7" i="16"/>
  <c r="H131" i="18"/>
  <c r="G130" i="18"/>
  <c r="F130" i="18"/>
  <c r="E130" i="18"/>
  <c r="D130" i="18"/>
  <c r="H130" i="18"/>
  <c r="H129" i="18"/>
  <c r="H128" i="18"/>
  <c r="H127" i="18"/>
  <c r="G125" i="18"/>
  <c r="F125" i="18"/>
  <c r="E125" i="18"/>
  <c r="D125" i="18"/>
  <c r="H124" i="18"/>
  <c r="H123" i="18"/>
  <c r="H122" i="18"/>
  <c r="H121" i="18"/>
  <c r="H120" i="18"/>
  <c r="G118" i="18"/>
  <c r="F118" i="18"/>
  <c r="E117" i="18"/>
  <c r="H117" i="18"/>
  <c r="H116" i="18"/>
  <c r="D115" i="18"/>
  <c r="H115" i="18"/>
  <c r="H114" i="18"/>
  <c r="H113" i="18"/>
  <c r="H112" i="18"/>
  <c r="H111" i="18"/>
  <c r="H110" i="18"/>
  <c r="H109" i="18"/>
  <c r="H108" i="18"/>
  <c r="H107" i="18"/>
  <c r="G105" i="18"/>
  <c r="F105" i="18"/>
  <c r="E105" i="18"/>
  <c r="D105" i="18"/>
  <c r="H105" i="18"/>
  <c r="H104" i="18"/>
  <c r="G102" i="18"/>
  <c r="F102" i="18"/>
  <c r="E102" i="18"/>
  <c r="D102" i="18"/>
  <c r="H101" i="18"/>
  <c r="H100" i="18"/>
  <c r="E97" i="18"/>
  <c r="D97" i="18"/>
  <c r="H96" i="18"/>
  <c r="H95" i="18"/>
  <c r="E94" i="18"/>
  <c r="D94" i="18"/>
  <c r="H94" i="18"/>
  <c r="H93" i="18"/>
  <c r="H92" i="18"/>
  <c r="H91" i="18"/>
  <c r="H90" i="18"/>
  <c r="G87" i="18"/>
  <c r="F87" i="18"/>
  <c r="E87" i="18"/>
  <c r="D87" i="18"/>
  <c r="H87" i="18"/>
  <c r="H86" i="18"/>
  <c r="H85" i="18"/>
  <c r="G83" i="18"/>
  <c r="F83" i="18"/>
  <c r="E83" i="18"/>
  <c r="D83" i="18"/>
  <c r="H82" i="18"/>
  <c r="G80" i="18"/>
  <c r="F80" i="18"/>
  <c r="E80" i="18"/>
  <c r="D80" i="18"/>
  <c r="H80" i="18"/>
  <c r="H79" i="18"/>
  <c r="H78" i="18"/>
  <c r="H77" i="18"/>
  <c r="H76" i="18"/>
  <c r="H75" i="18"/>
  <c r="G74" i="18"/>
  <c r="F74" i="18"/>
  <c r="E74" i="18"/>
  <c r="D74" i="18"/>
  <c r="H73" i="18"/>
  <c r="H72" i="18"/>
  <c r="H66" i="18"/>
  <c r="H65" i="18"/>
  <c r="H64" i="18"/>
  <c r="H63" i="18"/>
  <c r="H62" i="18"/>
  <c r="H61" i="18"/>
  <c r="H60" i="18"/>
  <c r="H59" i="18"/>
  <c r="H58" i="18"/>
  <c r="H57" i="18"/>
  <c r="H56" i="18"/>
  <c r="D55" i="18"/>
  <c r="H55" i="18"/>
  <c r="H54" i="18"/>
  <c r="H52" i="18"/>
  <c r="H51" i="18"/>
  <c r="H50" i="18"/>
  <c r="E49" i="18"/>
  <c r="H49" i="18"/>
  <c r="H47" i="18"/>
  <c r="H46" i="18"/>
  <c r="H45" i="18"/>
  <c r="H43" i="18"/>
  <c r="H42" i="18"/>
  <c r="H41" i="18"/>
  <c r="H39" i="18"/>
  <c r="H38" i="18"/>
  <c r="H37" i="18"/>
  <c r="H36" i="18"/>
  <c r="H35" i="18"/>
  <c r="H33" i="18"/>
  <c r="H32" i="18"/>
  <c r="H31" i="18"/>
  <c r="H30" i="18"/>
  <c r="H29" i="18"/>
  <c r="H28" i="18"/>
  <c r="H27" i="18"/>
  <c r="H26" i="18"/>
  <c r="H24" i="18"/>
  <c r="E23" i="18"/>
  <c r="D23" i="18"/>
  <c r="H23" i="18"/>
  <c r="H22" i="18"/>
  <c r="H21" i="18"/>
  <c r="H20" i="18"/>
  <c r="H18" i="18"/>
  <c r="H17" i="18"/>
  <c r="H15" i="18"/>
  <c r="H14" i="18"/>
  <c r="H13" i="18"/>
  <c r="H11" i="18"/>
  <c r="H10" i="18"/>
  <c r="H8" i="18"/>
  <c r="H7" i="18"/>
  <c r="H6" i="18"/>
  <c r="H5" i="18"/>
  <c r="H139" i="19"/>
  <c r="H118" i="19"/>
  <c r="F132" i="19"/>
  <c r="F134" i="19"/>
  <c r="H130" i="19"/>
  <c r="G132" i="19"/>
  <c r="G134" i="19"/>
  <c r="E132" i="19"/>
  <c r="E134" i="19"/>
  <c r="H102" i="19"/>
  <c r="H87" i="19"/>
  <c r="H80" i="19"/>
  <c r="H97" i="19"/>
  <c r="H132" i="19"/>
  <c r="H117" i="19"/>
  <c r="D132" i="19"/>
  <c r="I32" i="18"/>
  <c r="F97" i="18"/>
  <c r="F132" i="18"/>
  <c r="F134" i="18"/>
  <c r="G132" i="18"/>
  <c r="G134" i="18"/>
  <c r="H125" i="18"/>
  <c r="H74" i="18"/>
  <c r="H83" i="18"/>
  <c r="H102" i="18"/>
  <c r="D118" i="18"/>
  <c r="H118" i="18"/>
  <c r="E118" i="18"/>
  <c r="E132" i="18"/>
  <c r="E134" i="18"/>
  <c r="H134" i="19"/>
  <c r="H142" i="19"/>
  <c r="D134" i="19"/>
  <c r="H136" i="19"/>
  <c r="H97" i="18"/>
  <c r="D132" i="18"/>
  <c r="D134" i="18"/>
  <c r="H132" i="18"/>
  <c r="H134" i="18"/>
  <c r="L29" i="1"/>
  <c r="L28" i="1"/>
  <c r="L27" i="1"/>
  <c r="L30" i="1"/>
  <c r="L23" i="1"/>
  <c r="L90" i="16"/>
  <c r="L92" i="16"/>
  <c r="G88" i="16"/>
  <c r="F88" i="16"/>
  <c r="E88" i="16"/>
  <c r="D88" i="16"/>
  <c r="H116" i="16"/>
  <c r="H101" i="16"/>
  <c r="H100" i="16"/>
  <c r="H124" i="16"/>
  <c r="H123" i="16"/>
  <c r="H122" i="16"/>
  <c r="H121" i="16"/>
  <c r="H120" i="16"/>
  <c r="H114" i="16"/>
  <c r="H93" i="16"/>
  <c r="L67" i="1"/>
  <c r="L64" i="1"/>
  <c r="L63" i="1"/>
  <c r="L60" i="1"/>
  <c r="L56" i="1"/>
  <c r="L53" i="1"/>
  <c r="L51" i="1" s="1"/>
  <c r="L47" i="1"/>
  <c r="L46" i="1"/>
  <c r="L42" i="1"/>
  <c r="L41" i="1"/>
  <c r="L40" i="1"/>
  <c r="L39" i="1"/>
  <c r="L38" i="1"/>
  <c r="L37" i="1"/>
  <c r="L36" i="1"/>
  <c r="L35" i="1"/>
  <c r="L34" i="1"/>
  <c r="L33" i="1"/>
  <c r="L32" i="1"/>
  <c r="L44" i="1" s="1"/>
  <c r="L24" i="1"/>
  <c r="L25" i="1" s="1"/>
  <c r="H130" i="16"/>
  <c r="H129" i="16"/>
  <c r="G129" i="16"/>
  <c r="F129" i="16"/>
  <c r="E129" i="16"/>
  <c r="D129" i="16"/>
  <c r="H128" i="16"/>
  <c r="H127" i="16"/>
  <c r="H126" i="16"/>
  <c r="H125" i="16"/>
  <c r="G124" i="16"/>
  <c r="F124" i="16"/>
  <c r="E124" i="16"/>
  <c r="D124" i="16"/>
  <c r="H119" i="16"/>
  <c r="H118" i="16"/>
  <c r="G117" i="16"/>
  <c r="F117" i="16"/>
  <c r="E117" i="16"/>
  <c r="D117" i="16"/>
  <c r="H117" i="16"/>
  <c r="F116" i="16"/>
  <c r="H115" i="16"/>
  <c r="E114" i="16"/>
  <c r="H113" i="16"/>
  <c r="H112" i="16"/>
  <c r="H111" i="16"/>
  <c r="H110" i="16"/>
  <c r="H109" i="16"/>
  <c r="H108" i="16"/>
  <c r="H107" i="16"/>
  <c r="G104" i="16"/>
  <c r="F104" i="16"/>
  <c r="E104" i="16"/>
  <c r="D104" i="16"/>
  <c r="H104" i="16"/>
  <c r="H103" i="16"/>
  <c r="G101" i="16"/>
  <c r="F101" i="16"/>
  <c r="E101" i="16"/>
  <c r="D101" i="16"/>
  <c r="H99" i="16"/>
  <c r="H98" i="16"/>
  <c r="G96" i="16"/>
  <c r="H95" i="16"/>
  <c r="H94" i="16"/>
  <c r="F93" i="16"/>
  <c r="F96" i="16"/>
  <c r="E93" i="16"/>
  <c r="E96" i="16"/>
  <c r="D93" i="16"/>
  <c r="H92" i="16"/>
  <c r="D91" i="16"/>
  <c r="H91" i="16"/>
  <c r="H90" i="16"/>
  <c r="H89" i="16"/>
  <c r="H88" i="16"/>
  <c r="G86" i="16"/>
  <c r="F86" i="16"/>
  <c r="E86" i="16"/>
  <c r="D86" i="16"/>
  <c r="H86" i="16"/>
  <c r="H85" i="16"/>
  <c r="H84" i="16"/>
  <c r="G82" i="16"/>
  <c r="F82" i="16"/>
  <c r="E82" i="16"/>
  <c r="H82" i="16"/>
  <c r="D82" i="16"/>
  <c r="H81" i="16"/>
  <c r="G79" i="16"/>
  <c r="F79" i="16"/>
  <c r="E79" i="16"/>
  <c r="D79" i="16"/>
  <c r="H79" i="16"/>
  <c r="H78" i="16"/>
  <c r="H77" i="16"/>
  <c r="H76" i="16"/>
  <c r="G74" i="16"/>
  <c r="F74" i="16"/>
  <c r="E74" i="16"/>
  <c r="H74" i="16"/>
  <c r="D74" i="16"/>
  <c r="H73" i="16"/>
  <c r="H72" i="16"/>
  <c r="H67" i="16"/>
  <c r="H66" i="16"/>
  <c r="H65" i="16"/>
  <c r="H64" i="16"/>
  <c r="H63" i="16"/>
  <c r="H62" i="16"/>
  <c r="H61" i="16"/>
  <c r="H60" i="16"/>
  <c r="H59" i="16"/>
  <c r="H58" i="16"/>
  <c r="H57" i="16"/>
  <c r="E56" i="16"/>
  <c r="H56" i="16"/>
  <c r="D56" i="16"/>
  <c r="G55" i="16"/>
  <c r="F55" i="16"/>
  <c r="H55" i="16"/>
  <c r="H52" i="16"/>
  <c r="H51" i="16"/>
  <c r="F50" i="16"/>
  <c r="H50" i="16"/>
  <c r="H47" i="16"/>
  <c r="D46" i="16"/>
  <c r="H46" i="16"/>
  <c r="H43" i="16"/>
  <c r="H42" i="16"/>
  <c r="H39" i="16"/>
  <c r="H38" i="16"/>
  <c r="H37" i="16"/>
  <c r="H36" i="16"/>
  <c r="H33" i="16"/>
  <c r="H32" i="16"/>
  <c r="H31" i="16"/>
  <c r="H30" i="16"/>
  <c r="H29" i="16"/>
  <c r="H28" i="16"/>
  <c r="H27" i="16"/>
  <c r="F24" i="16"/>
  <c r="E24" i="16"/>
  <c r="D24" i="16"/>
  <c r="H24" i="16"/>
  <c r="H23" i="16"/>
  <c r="H22" i="16"/>
  <c r="H21" i="16"/>
  <c r="H18" i="16"/>
  <c r="H15" i="16"/>
  <c r="H14" i="16"/>
  <c r="H13" i="16"/>
  <c r="H10" i="16"/>
  <c r="H7" i="16"/>
  <c r="H6" i="16"/>
  <c r="H5" i="16"/>
  <c r="H4" i="16"/>
  <c r="K72" i="15"/>
  <c r="F70" i="15"/>
  <c r="G70" i="15"/>
  <c r="G131" i="16"/>
  <c r="G133" i="16"/>
  <c r="F131" i="16"/>
  <c r="F133" i="16"/>
  <c r="E131" i="16"/>
  <c r="E133" i="16"/>
  <c r="D96" i="16"/>
  <c r="H96" i="16"/>
  <c r="G88" i="15"/>
  <c r="F88" i="15"/>
  <c r="E88" i="15"/>
  <c r="D88" i="15"/>
  <c r="K28" i="1"/>
  <c r="H42" i="15"/>
  <c r="D131" i="16"/>
  <c r="D133" i="16"/>
  <c r="K23" i="1"/>
  <c r="H131" i="16"/>
  <c r="H133" i="16"/>
  <c r="H130" i="15"/>
  <c r="G129" i="15"/>
  <c r="F129" i="15"/>
  <c r="E129" i="15"/>
  <c r="H128" i="15"/>
  <c r="D127" i="15"/>
  <c r="D129" i="15"/>
  <c r="H129" i="15"/>
  <c r="H126" i="15"/>
  <c r="H125" i="15"/>
  <c r="G124" i="15"/>
  <c r="F124" i="15"/>
  <c r="E124" i="15"/>
  <c r="D124" i="15"/>
  <c r="H124" i="15"/>
  <c r="H123" i="15"/>
  <c r="H122" i="15"/>
  <c r="H121" i="15"/>
  <c r="H120" i="15"/>
  <c r="H119" i="15"/>
  <c r="H118" i="15"/>
  <c r="G117" i="15"/>
  <c r="F117" i="15"/>
  <c r="E117" i="15"/>
  <c r="D117" i="15"/>
  <c r="H117" i="15"/>
  <c r="H116" i="15"/>
  <c r="G116" i="15"/>
  <c r="H115" i="15"/>
  <c r="F114" i="15"/>
  <c r="H114" i="15"/>
  <c r="H113" i="15"/>
  <c r="H112" i="15"/>
  <c r="H111" i="15"/>
  <c r="H110" i="15"/>
  <c r="H109" i="15"/>
  <c r="H108" i="15"/>
  <c r="H107" i="15"/>
  <c r="H104" i="15"/>
  <c r="G104" i="15"/>
  <c r="F104" i="15"/>
  <c r="E104" i="15"/>
  <c r="D104" i="15"/>
  <c r="H103" i="15"/>
  <c r="G101" i="15"/>
  <c r="F101" i="15"/>
  <c r="E101" i="15"/>
  <c r="D101" i="15"/>
  <c r="H101" i="15"/>
  <c r="H100" i="15"/>
  <c r="H99" i="15"/>
  <c r="H98" i="15"/>
  <c r="D94" i="15"/>
  <c r="D96" i="15"/>
  <c r="G93" i="15"/>
  <c r="G96" i="15"/>
  <c r="F93" i="15"/>
  <c r="F96" i="15"/>
  <c r="E93" i="15"/>
  <c r="E96" i="15"/>
  <c r="H92" i="15"/>
  <c r="E91" i="15"/>
  <c r="D91" i="15"/>
  <c r="H91" i="15"/>
  <c r="H90" i="15"/>
  <c r="H89" i="15"/>
  <c r="H88" i="15"/>
  <c r="G86" i="15"/>
  <c r="F86" i="15"/>
  <c r="E86" i="15"/>
  <c r="D86" i="15"/>
  <c r="H86" i="15"/>
  <c r="H85" i="15"/>
  <c r="H84" i="15"/>
  <c r="G82" i="15"/>
  <c r="F82" i="15"/>
  <c r="E82" i="15"/>
  <c r="D82" i="15"/>
  <c r="H82" i="15"/>
  <c r="H81" i="15"/>
  <c r="G79" i="15"/>
  <c r="F79" i="15"/>
  <c r="E79" i="15"/>
  <c r="H79" i="15"/>
  <c r="D79" i="15"/>
  <c r="H78" i="15"/>
  <c r="H77" i="15"/>
  <c r="H76" i="15"/>
  <c r="G74" i="15"/>
  <c r="G131" i="15"/>
  <c r="G133" i="15"/>
  <c r="F74" i="15"/>
  <c r="E74" i="15"/>
  <c r="E131" i="15"/>
  <c r="E133" i="15"/>
  <c r="D74" i="15"/>
  <c r="H74" i="15"/>
  <c r="H73" i="15"/>
  <c r="H72" i="15"/>
  <c r="H67" i="15"/>
  <c r="H66" i="15"/>
  <c r="H65" i="15"/>
  <c r="H64" i="15"/>
  <c r="H63" i="15"/>
  <c r="H62" i="15"/>
  <c r="H61" i="15"/>
  <c r="H60" i="15"/>
  <c r="H59" i="15"/>
  <c r="H58" i="15"/>
  <c r="H57" i="15"/>
  <c r="F56" i="15"/>
  <c r="H56" i="15"/>
  <c r="E56" i="15"/>
  <c r="H55" i="15"/>
  <c r="H54" i="15"/>
  <c r="H53" i="15"/>
  <c r="H52" i="15"/>
  <c r="H51" i="15"/>
  <c r="G50" i="15"/>
  <c r="H50" i="15"/>
  <c r="H47" i="15"/>
  <c r="E46" i="15"/>
  <c r="D46" i="15"/>
  <c r="H46" i="15"/>
  <c r="H45" i="15"/>
  <c r="H44" i="15"/>
  <c r="H43" i="15"/>
  <c r="H41" i="15"/>
  <c r="H40" i="15"/>
  <c r="H39" i="15"/>
  <c r="H38" i="15"/>
  <c r="H37" i="15"/>
  <c r="H36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G13" i="15"/>
  <c r="H13" i="15"/>
  <c r="H10" i="15"/>
  <c r="H7" i="15"/>
  <c r="H6" i="15"/>
  <c r="H5" i="15"/>
  <c r="H4" i="15"/>
  <c r="E85" i="14"/>
  <c r="G85" i="14"/>
  <c r="F85" i="14"/>
  <c r="F131" i="15"/>
  <c r="F133" i="15"/>
  <c r="H96" i="15"/>
  <c r="H93" i="15"/>
  <c r="D131" i="15"/>
  <c r="H94" i="15"/>
  <c r="H127" i="15"/>
  <c r="K40" i="1"/>
  <c r="H101" i="14"/>
  <c r="K63" i="1"/>
  <c r="K67" i="1"/>
  <c r="K64" i="1"/>
  <c r="K60" i="1"/>
  <c r="K56" i="1"/>
  <c r="K53" i="1"/>
  <c r="K51" i="1"/>
  <c r="K47" i="1"/>
  <c r="K46" i="1"/>
  <c r="K42" i="1"/>
  <c r="K41" i="1"/>
  <c r="K39" i="1"/>
  <c r="K38" i="1"/>
  <c r="K37" i="1"/>
  <c r="K36" i="1"/>
  <c r="K35" i="1"/>
  <c r="K34" i="1"/>
  <c r="K33" i="1"/>
  <c r="K32" i="1"/>
  <c r="K44" i="1" s="1"/>
  <c r="K45" i="1" s="1"/>
  <c r="K48" i="1" s="1"/>
  <c r="K55" i="1" s="1"/>
  <c r="K57" i="1" s="1"/>
  <c r="K66" i="1" s="1"/>
  <c r="K68" i="1" s="1"/>
  <c r="K70" i="1" s="1"/>
  <c r="K29" i="1"/>
  <c r="K27" i="1"/>
  <c r="K30" i="1"/>
  <c r="K24" i="1"/>
  <c r="D128" i="14"/>
  <c r="D130" i="14"/>
  <c r="G126" i="14"/>
  <c r="F126" i="14"/>
  <c r="D126" i="14"/>
  <c r="H125" i="14"/>
  <c r="E124" i="14"/>
  <c r="E126" i="14"/>
  <c r="H126" i="14"/>
  <c r="H123" i="14"/>
  <c r="H121" i="14"/>
  <c r="G121" i="14"/>
  <c r="F121" i="14"/>
  <c r="E121" i="14"/>
  <c r="D121" i="14"/>
  <c r="H120" i="14"/>
  <c r="H119" i="14"/>
  <c r="H118" i="14"/>
  <c r="H117" i="14"/>
  <c r="H116" i="14"/>
  <c r="G114" i="14"/>
  <c r="F114" i="14"/>
  <c r="E114" i="14"/>
  <c r="D114" i="14"/>
  <c r="H113" i="14"/>
  <c r="H112" i="14"/>
  <c r="G111" i="14"/>
  <c r="H111" i="14"/>
  <c r="H110" i="14"/>
  <c r="H109" i="14"/>
  <c r="H108" i="14"/>
  <c r="H107" i="14"/>
  <c r="H106" i="14"/>
  <c r="H105" i="14"/>
  <c r="H114" i="14"/>
  <c r="H104" i="14"/>
  <c r="H103" i="14"/>
  <c r="G101" i="14"/>
  <c r="F101" i="14"/>
  <c r="E101" i="14"/>
  <c r="D101" i="14"/>
  <c r="H100" i="14"/>
  <c r="G98" i="14"/>
  <c r="F98" i="14"/>
  <c r="E98" i="14"/>
  <c r="D98" i="14"/>
  <c r="H97" i="14"/>
  <c r="H96" i="14"/>
  <c r="H95" i="14"/>
  <c r="H98" i="14"/>
  <c r="G93" i="14"/>
  <c r="D93" i="14"/>
  <c r="H92" i="14"/>
  <c r="E91" i="14"/>
  <c r="E93" i="14"/>
  <c r="H90" i="14"/>
  <c r="H89" i="14"/>
  <c r="F88" i="14"/>
  <c r="F93" i="14"/>
  <c r="F128" i="14"/>
  <c r="F130" i="14"/>
  <c r="E88" i="14"/>
  <c r="H87" i="14"/>
  <c r="H86" i="14"/>
  <c r="H85" i="14"/>
  <c r="G83" i="14"/>
  <c r="F83" i="14"/>
  <c r="E83" i="14"/>
  <c r="D83" i="14"/>
  <c r="H82" i="14"/>
  <c r="H81" i="14"/>
  <c r="H83" i="14"/>
  <c r="H79" i="14"/>
  <c r="G79" i="14"/>
  <c r="F79" i="14"/>
  <c r="E79" i="14"/>
  <c r="D79" i="14"/>
  <c r="H78" i="14"/>
  <c r="G76" i="14"/>
  <c r="F76" i="14"/>
  <c r="E76" i="14"/>
  <c r="D76" i="14"/>
  <c r="H75" i="14"/>
  <c r="H74" i="14"/>
  <c r="H76" i="14"/>
  <c r="H73" i="14"/>
  <c r="G71" i="14"/>
  <c r="F71" i="14"/>
  <c r="E71" i="14"/>
  <c r="D71" i="14"/>
  <c r="H70" i="14"/>
  <c r="H69" i="14"/>
  <c r="H71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G53" i="14"/>
  <c r="F53" i="14"/>
  <c r="H50" i="14"/>
  <c r="H49" i="14"/>
  <c r="H48" i="14"/>
  <c r="H45" i="14"/>
  <c r="F44" i="14"/>
  <c r="E44" i="14"/>
  <c r="H44" i="14"/>
  <c r="H41" i="14"/>
  <c r="H40" i="14"/>
  <c r="H37" i="14"/>
  <c r="C36" i="14"/>
  <c r="H36" i="14"/>
  <c r="H35" i="14"/>
  <c r="H34" i="14"/>
  <c r="H31" i="14"/>
  <c r="H30" i="14"/>
  <c r="H29" i="14"/>
  <c r="H28" i="14"/>
  <c r="H27" i="14"/>
  <c r="H26" i="14"/>
  <c r="H25" i="14"/>
  <c r="H22" i="14"/>
  <c r="H21" i="14"/>
  <c r="H20" i="14"/>
  <c r="H17" i="14"/>
  <c r="H14" i="14"/>
  <c r="H13" i="14"/>
  <c r="H10" i="14"/>
  <c r="H7" i="14"/>
  <c r="H6" i="14"/>
  <c r="H5" i="14"/>
  <c r="H4" i="14"/>
  <c r="F85" i="13"/>
  <c r="F93" i="13"/>
  <c r="G85" i="13"/>
  <c r="G93" i="13"/>
  <c r="G126" i="13"/>
  <c r="F126" i="13"/>
  <c r="E126" i="13"/>
  <c r="D126" i="13"/>
  <c r="H125" i="13"/>
  <c r="H124" i="13"/>
  <c r="H123" i="13"/>
  <c r="H126" i="13"/>
  <c r="H121" i="13"/>
  <c r="G121" i="13"/>
  <c r="F121" i="13"/>
  <c r="E121" i="13"/>
  <c r="D121" i="13"/>
  <c r="H120" i="13"/>
  <c r="H119" i="13"/>
  <c r="H118" i="13"/>
  <c r="H117" i="13"/>
  <c r="H116" i="13"/>
  <c r="G114" i="13"/>
  <c r="F114" i="13"/>
  <c r="E114" i="13"/>
  <c r="D114" i="13"/>
  <c r="H113" i="13"/>
  <c r="H112" i="13"/>
  <c r="H111" i="13"/>
  <c r="H110" i="13"/>
  <c r="H109" i="13"/>
  <c r="H108" i="13"/>
  <c r="H107" i="13"/>
  <c r="H106" i="13"/>
  <c r="H105" i="13"/>
  <c r="H104" i="13"/>
  <c r="H103" i="13"/>
  <c r="H114" i="13"/>
  <c r="H101" i="13"/>
  <c r="G101" i="13"/>
  <c r="F101" i="13"/>
  <c r="E101" i="13"/>
  <c r="D101" i="13"/>
  <c r="H100" i="13"/>
  <c r="G98" i="13"/>
  <c r="F98" i="13"/>
  <c r="E98" i="13"/>
  <c r="D98" i="13"/>
  <c r="H97" i="13"/>
  <c r="H96" i="13"/>
  <c r="H95" i="13"/>
  <c r="H98" i="13"/>
  <c r="E93" i="13"/>
  <c r="D93" i="13"/>
  <c r="H92" i="13"/>
  <c r="H91" i="13"/>
  <c r="H90" i="13"/>
  <c r="H89" i="13"/>
  <c r="H88" i="13"/>
  <c r="H87" i="13"/>
  <c r="H86" i="13"/>
  <c r="D85" i="13"/>
  <c r="G83" i="13"/>
  <c r="F83" i="13"/>
  <c r="E83" i="13"/>
  <c r="H82" i="13"/>
  <c r="D81" i="13"/>
  <c r="D83" i="13"/>
  <c r="H79" i="13"/>
  <c r="G79" i="13"/>
  <c r="F79" i="13"/>
  <c r="E79" i="13"/>
  <c r="D79" i="13"/>
  <c r="H78" i="13"/>
  <c r="G76" i="13"/>
  <c r="F76" i="13"/>
  <c r="E76" i="13"/>
  <c r="D76" i="13"/>
  <c r="H75" i="13"/>
  <c r="H74" i="13"/>
  <c r="H73" i="13"/>
  <c r="H76" i="13"/>
  <c r="G71" i="13"/>
  <c r="F71" i="13"/>
  <c r="E71" i="13"/>
  <c r="D71" i="13"/>
  <c r="D128" i="13"/>
  <c r="D130" i="13"/>
  <c r="H70" i="13"/>
  <c r="H69" i="13"/>
  <c r="H71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G53" i="13"/>
  <c r="H50" i="13"/>
  <c r="H49" i="13"/>
  <c r="H48" i="13"/>
  <c r="H45" i="13"/>
  <c r="H44" i="13"/>
  <c r="H41" i="13"/>
  <c r="H40" i="13"/>
  <c r="H37" i="13"/>
  <c r="H36" i="13"/>
  <c r="H35" i="13"/>
  <c r="H34" i="13"/>
  <c r="H31" i="13"/>
  <c r="H30" i="13"/>
  <c r="H29" i="13"/>
  <c r="H28" i="13"/>
  <c r="H27" i="13"/>
  <c r="H26" i="13"/>
  <c r="H25" i="13"/>
  <c r="H22" i="13"/>
  <c r="H21" i="13"/>
  <c r="H20" i="13"/>
  <c r="H17" i="13"/>
  <c r="H14" i="13"/>
  <c r="H13" i="13"/>
  <c r="H10" i="13"/>
  <c r="H7" i="13"/>
  <c r="H6" i="13"/>
  <c r="D5" i="13"/>
  <c r="H5" i="13"/>
  <c r="H4" i="13"/>
  <c r="D133" i="15"/>
  <c r="H131" i="15"/>
  <c r="H133" i="15"/>
  <c r="E128" i="14"/>
  <c r="E130" i="14"/>
  <c r="G128" i="14"/>
  <c r="G130" i="14"/>
  <c r="H88" i="14"/>
  <c r="H93" i="14"/>
  <c r="H128" i="14"/>
  <c r="H130" i="14"/>
  <c r="H124" i="14"/>
  <c r="H91" i="14"/>
  <c r="E128" i="13"/>
  <c r="E130" i="13"/>
  <c r="F128" i="13"/>
  <c r="F130" i="13"/>
  <c r="G128" i="13"/>
  <c r="G130" i="13"/>
  <c r="H85" i="13"/>
  <c r="J15" i="13"/>
  <c r="H81" i="13"/>
  <c r="H83" i="13"/>
  <c r="H93" i="13"/>
  <c r="H128" i="13"/>
  <c r="H130" i="13"/>
  <c r="G125" i="12"/>
  <c r="F127" i="12"/>
  <c r="F129" i="12"/>
  <c r="D127" i="12"/>
  <c r="D129" i="12"/>
  <c r="H125" i="12"/>
  <c r="G127" i="12"/>
  <c r="G129" i="12"/>
  <c r="F125" i="12"/>
  <c r="E125" i="12"/>
  <c r="D125" i="12"/>
  <c r="H124" i="12"/>
  <c r="H123" i="12"/>
  <c r="H122" i="12"/>
  <c r="G120" i="12"/>
  <c r="F120" i="12"/>
  <c r="E120" i="12"/>
  <c r="D120" i="12"/>
  <c r="H119" i="12"/>
  <c r="H120" i="12"/>
  <c r="H118" i="12"/>
  <c r="H117" i="12"/>
  <c r="H116" i="12"/>
  <c r="G114" i="12"/>
  <c r="F114" i="12"/>
  <c r="E114" i="12"/>
  <c r="D114" i="12"/>
  <c r="H113" i="12"/>
  <c r="H112" i="12"/>
  <c r="H111" i="12"/>
  <c r="H110" i="12"/>
  <c r="H109" i="12"/>
  <c r="H108" i="12"/>
  <c r="H107" i="12"/>
  <c r="H106" i="12"/>
  <c r="H105" i="12"/>
  <c r="H104" i="12"/>
  <c r="H103" i="12"/>
  <c r="H114" i="12"/>
  <c r="H101" i="12"/>
  <c r="G101" i="12"/>
  <c r="F101" i="12"/>
  <c r="E101" i="12"/>
  <c r="D101" i="12"/>
  <c r="H100" i="12"/>
  <c r="G98" i="12"/>
  <c r="F98" i="12"/>
  <c r="E98" i="12"/>
  <c r="D98" i="12"/>
  <c r="H97" i="12"/>
  <c r="H96" i="12"/>
  <c r="H95" i="12"/>
  <c r="H98" i="12"/>
  <c r="G93" i="12"/>
  <c r="F93" i="12"/>
  <c r="D93" i="12"/>
  <c r="H92" i="12"/>
  <c r="H91" i="12"/>
  <c r="H90" i="12"/>
  <c r="H89" i="12"/>
  <c r="H88" i="12"/>
  <c r="H87" i="12"/>
  <c r="H86" i="12"/>
  <c r="E85" i="12"/>
  <c r="E93" i="12"/>
  <c r="G83" i="12"/>
  <c r="F83" i="12"/>
  <c r="D83" i="12"/>
  <c r="H82" i="12"/>
  <c r="E81" i="12"/>
  <c r="E83" i="12"/>
  <c r="H79" i="12"/>
  <c r="G79" i="12"/>
  <c r="F79" i="12"/>
  <c r="E79" i="12"/>
  <c r="D79" i="12"/>
  <c r="H78" i="12"/>
  <c r="G76" i="12"/>
  <c r="F76" i="12"/>
  <c r="E76" i="12"/>
  <c r="D76" i="12"/>
  <c r="H75" i="12"/>
  <c r="H74" i="12"/>
  <c r="H73" i="12"/>
  <c r="H76" i="12"/>
  <c r="H71" i="12"/>
  <c r="G71" i="12"/>
  <c r="F71" i="12"/>
  <c r="E71" i="12"/>
  <c r="D71" i="12"/>
  <c r="H70" i="12"/>
  <c r="H69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0" i="12"/>
  <c r="H49" i="12"/>
  <c r="H48" i="12"/>
  <c r="H45" i="12"/>
  <c r="H44" i="12"/>
  <c r="H41" i="12"/>
  <c r="H40" i="12"/>
  <c r="H37" i="12"/>
  <c r="H36" i="12"/>
  <c r="H35" i="12"/>
  <c r="H34" i="12"/>
  <c r="H31" i="12"/>
  <c r="H30" i="12"/>
  <c r="H29" i="12"/>
  <c r="H28" i="12"/>
  <c r="H27" i="12"/>
  <c r="H26" i="12"/>
  <c r="H25" i="12"/>
  <c r="H22" i="12"/>
  <c r="H21" i="12"/>
  <c r="H20" i="12"/>
  <c r="H17" i="12"/>
  <c r="H14" i="12"/>
  <c r="H13" i="12"/>
  <c r="H10" i="12"/>
  <c r="H7" i="12"/>
  <c r="H6" i="12"/>
  <c r="E5" i="12"/>
  <c r="H5" i="12"/>
  <c r="H4" i="12"/>
  <c r="H68" i="11"/>
  <c r="E68" i="11"/>
  <c r="F68" i="11"/>
  <c r="G68" i="11"/>
  <c r="I64" i="12"/>
  <c r="E127" i="12"/>
  <c r="E129" i="12"/>
  <c r="H85" i="12"/>
  <c r="H93" i="12"/>
  <c r="H81" i="12"/>
  <c r="H83" i="12"/>
  <c r="H127" i="12"/>
  <c r="H129" i="12"/>
  <c r="E73" i="11"/>
  <c r="J40" i="1"/>
  <c r="H134" i="11"/>
  <c r="G128" i="11"/>
  <c r="F128" i="11"/>
  <c r="E128" i="11"/>
  <c r="D128" i="11"/>
  <c r="H127" i="11"/>
  <c r="H126" i="11"/>
  <c r="H125" i="11"/>
  <c r="H128" i="11"/>
  <c r="G123" i="11"/>
  <c r="F123" i="11"/>
  <c r="E123" i="11"/>
  <c r="D123" i="11"/>
  <c r="H122" i="11"/>
  <c r="H123" i="11"/>
  <c r="H121" i="11"/>
  <c r="H120" i="11"/>
  <c r="H119" i="11"/>
  <c r="H118" i="11"/>
  <c r="H117" i="11"/>
  <c r="G115" i="11"/>
  <c r="F115" i="11"/>
  <c r="E115" i="11"/>
  <c r="D115" i="11"/>
  <c r="H114" i="11"/>
  <c r="H113" i="11"/>
  <c r="H112" i="11"/>
  <c r="H111" i="11"/>
  <c r="H110" i="11"/>
  <c r="H109" i="11"/>
  <c r="H108" i="11"/>
  <c r="H107" i="11"/>
  <c r="H106" i="11"/>
  <c r="H105" i="11"/>
  <c r="H115" i="11"/>
  <c r="H104" i="11"/>
  <c r="G102" i="11"/>
  <c r="F102" i="11"/>
  <c r="E102" i="11"/>
  <c r="D102" i="11"/>
  <c r="H101" i="11"/>
  <c r="H102" i="11"/>
  <c r="G99" i="11"/>
  <c r="F99" i="11"/>
  <c r="E99" i="11"/>
  <c r="D99" i="11"/>
  <c r="H98" i="11"/>
  <c r="H97" i="11"/>
  <c r="H96" i="11"/>
  <c r="H99" i="11"/>
  <c r="G94" i="11"/>
  <c r="E94" i="11"/>
  <c r="D94" i="11"/>
  <c r="H93" i="11"/>
  <c r="H92" i="11"/>
  <c r="H91" i="11"/>
  <c r="H90" i="11"/>
  <c r="H89" i="11"/>
  <c r="H88" i="11"/>
  <c r="H87" i="11"/>
  <c r="H86" i="11"/>
  <c r="H94" i="11"/>
  <c r="F86" i="11"/>
  <c r="F94" i="11"/>
  <c r="D86" i="11"/>
  <c r="G84" i="11"/>
  <c r="F84" i="11"/>
  <c r="E84" i="11"/>
  <c r="D84" i="11"/>
  <c r="H83" i="11"/>
  <c r="F82" i="11"/>
  <c r="H82" i="11"/>
  <c r="H84" i="11"/>
  <c r="H80" i="11"/>
  <c r="G80" i="11"/>
  <c r="F80" i="11"/>
  <c r="E80" i="11"/>
  <c r="D80" i="11"/>
  <c r="H79" i="11"/>
  <c r="G77" i="11"/>
  <c r="F77" i="11"/>
  <c r="F130" i="11"/>
  <c r="F132" i="11"/>
  <c r="E77" i="11"/>
  <c r="D77" i="11"/>
  <c r="H76" i="11"/>
  <c r="H75" i="11"/>
  <c r="H74" i="11"/>
  <c r="H77" i="11"/>
  <c r="G72" i="11"/>
  <c r="F72" i="11"/>
  <c r="E72" i="11"/>
  <c r="E130" i="11"/>
  <c r="E132" i="11"/>
  <c r="D72" i="11"/>
  <c r="D130" i="11"/>
  <c r="D132" i="11"/>
  <c r="H71" i="11"/>
  <c r="H70" i="11"/>
  <c r="H72" i="11"/>
  <c r="H65" i="11"/>
  <c r="H64" i="11"/>
  <c r="H63" i="11"/>
  <c r="H62" i="11"/>
  <c r="H61" i="11"/>
  <c r="H60" i="11"/>
  <c r="H59" i="11"/>
  <c r="H58" i="11"/>
  <c r="H56" i="11"/>
  <c r="H55" i="11"/>
  <c r="H54" i="11"/>
  <c r="H50" i="11"/>
  <c r="H49" i="11"/>
  <c r="H48" i="11"/>
  <c r="H46" i="11"/>
  <c r="H45" i="11"/>
  <c r="H42" i="11"/>
  <c r="H41" i="11"/>
  <c r="H40" i="11"/>
  <c r="H37" i="11"/>
  <c r="H36" i="11"/>
  <c r="H35" i="11"/>
  <c r="H34" i="11"/>
  <c r="H31" i="11"/>
  <c r="H30" i="11"/>
  <c r="H29" i="11"/>
  <c r="H28" i="11"/>
  <c r="H27" i="11"/>
  <c r="H26" i="11"/>
  <c r="H25" i="11"/>
  <c r="H22" i="11"/>
  <c r="H21" i="11"/>
  <c r="H20" i="11"/>
  <c r="H17" i="11"/>
  <c r="H14" i="11"/>
  <c r="H13" i="11"/>
  <c r="H10" i="11"/>
  <c r="H7" i="11"/>
  <c r="H6" i="11"/>
  <c r="F5" i="11"/>
  <c r="H5" i="11"/>
  <c r="H4" i="11"/>
  <c r="G130" i="11"/>
  <c r="G132" i="11"/>
  <c r="H130" i="11"/>
  <c r="J63" i="1"/>
  <c r="J67" i="1"/>
  <c r="J64" i="1"/>
  <c r="J60" i="1"/>
  <c r="J56" i="1"/>
  <c r="J47" i="1"/>
  <c r="J46" i="1"/>
  <c r="J42" i="1"/>
  <c r="J41" i="1"/>
  <c r="J39" i="1"/>
  <c r="J38" i="1"/>
  <c r="J37" i="1"/>
  <c r="J36" i="1"/>
  <c r="J35" i="1"/>
  <c r="J34" i="1"/>
  <c r="J33" i="1"/>
  <c r="J32" i="1"/>
  <c r="J29" i="1"/>
  <c r="J28" i="1"/>
  <c r="J30" i="1" s="1"/>
  <c r="J45" i="1" s="1"/>
  <c r="J48" i="1" s="1"/>
  <c r="J55" i="1" s="1"/>
  <c r="J57" i="1" s="1"/>
  <c r="J66" i="1" s="1"/>
  <c r="J68" i="1" s="1"/>
  <c r="J70" i="1" s="1"/>
  <c r="J27" i="1"/>
  <c r="J24" i="1"/>
  <c r="J23" i="1"/>
  <c r="J25" i="1"/>
  <c r="H135" i="11"/>
  <c r="H136" i="11"/>
  <c r="H138" i="11"/>
  <c r="H132" i="11"/>
  <c r="J53" i="1"/>
  <c r="J51" i="1"/>
  <c r="H129" i="10"/>
  <c r="H126" i="10"/>
  <c r="H125" i="10"/>
  <c r="G2" i="10"/>
  <c r="F2" i="10"/>
  <c r="E2" i="10"/>
  <c r="D2" i="10"/>
  <c r="C2" i="10"/>
  <c r="G131" i="10"/>
  <c r="H127" i="10"/>
  <c r="G86" i="10"/>
  <c r="G84" i="10"/>
  <c r="E86" i="10"/>
  <c r="G129" i="10"/>
  <c r="G127" i="10"/>
  <c r="G82" i="10"/>
  <c r="G22" i="10"/>
  <c r="I113" i="10"/>
  <c r="G113" i="10"/>
  <c r="G105" i="10"/>
  <c r="G91" i="10"/>
  <c r="G90" i="10"/>
  <c r="I105" i="10"/>
  <c r="I91" i="10"/>
  <c r="I90" i="10"/>
  <c r="I88" i="10"/>
  <c r="G88" i="10"/>
  <c r="I64" i="1"/>
  <c r="I60" i="1"/>
  <c r="I56" i="1"/>
  <c r="I53" i="1"/>
  <c r="I51" i="1" s="1"/>
  <c r="I47" i="1"/>
  <c r="I46" i="1"/>
  <c r="I42" i="1"/>
  <c r="I41" i="1"/>
  <c r="I40" i="1"/>
  <c r="I38" i="1"/>
  <c r="I37" i="1"/>
  <c r="I36" i="1"/>
  <c r="I35" i="1"/>
  <c r="I34" i="1"/>
  <c r="I33" i="1"/>
  <c r="I29" i="1"/>
  <c r="I28" i="1"/>
  <c r="H35" i="10"/>
  <c r="H128" i="10"/>
  <c r="F127" i="10"/>
  <c r="E127" i="10"/>
  <c r="D127" i="10"/>
  <c r="G122" i="10"/>
  <c r="F122" i="10"/>
  <c r="E122" i="10"/>
  <c r="D122" i="10"/>
  <c r="H122" i="10"/>
  <c r="H121" i="10"/>
  <c r="H120" i="10"/>
  <c r="H119" i="10"/>
  <c r="H118" i="10"/>
  <c r="H117" i="10"/>
  <c r="G115" i="10"/>
  <c r="H115" i="10"/>
  <c r="F115" i="10"/>
  <c r="E115" i="10"/>
  <c r="D115" i="10"/>
  <c r="H114" i="10"/>
  <c r="H113" i="10"/>
  <c r="H112" i="10"/>
  <c r="H111" i="10"/>
  <c r="H110" i="10"/>
  <c r="H109" i="10"/>
  <c r="H108" i="10"/>
  <c r="H107" i="10"/>
  <c r="H106" i="10"/>
  <c r="H105" i="10"/>
  <c r="H104" i="10"/>
  <c r="G102" i="10"/>
  <c r="F102" i="10"/>
  <c r="H102" i="10"/>
  <c r="E102" i="10"/>
  <c r="D102" i="10"/>
  <c r="H101" i="10"/>
  <c r="G99" i="10"/>
  <c r="F99" i="10"/>
  <c r="H99" i="10"/>
  <c r="E99" i="10"/>
  <c r="D99" i="10"/>
  <c r="H98" i="10"/>
  <c r="H97" i="10"/>
  <c r="H96" i="10"/>
  <c r="G94" i="10"/>
  <c r="F94" i="10"/>
  <c r="E94" i="10"/>
  <c r="D94" i="10"/>
  <c r="H93" i="10"/>
  <c r="H92" i="10"/>
  <c r="H91" i="10"/>
  <c r="H90" i="10"/>
  <c r="H89" i="10"/>
  <c r="H88" i="10"/>
  <c r="H87" i="10"/>
  <c r="H86" i="10"/>
  <c r="F84" i="10"/>
  <c r="E84" i="10"/>
  <c r="D84" i="10"/>
  <c r="H84" i="10"/>
  <c r="H83" i="10"/>
  <c r="H82" i="10"/>
  <c r="G80" i="10"/>
  <c r="F80" i="10"/>
  <c r="E80" i="10"/>
  <c r="D80" i="10"/>
  <c r="H80" i="10"/>
  <c r="H79" i="10"/>
  <c r="G77" i="10"/>
  <c r="F77" i="10"/>
  <c r="E77" i="10"/>
  <c r="D77" i="10"/>
  <c r="H77" i="10"/>
  <c r="H76" i="10"/>
  <c r="H75" i="10"/>
  <c r="H74" i="10"/>
  <c r="G72" i="10"/>
  <c r="F72" i="10"/>
  <c r="F69" i="10"/>
  <c r="E72" i="10"/>
  <c r="D72" i="10"/>
  <c r="H71" i="10"/>
  <c r="H70" i="10"/>
  <c r="G69" i="10"/>
  <c r="G68" i="10"/>
  <c r="D65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1" i="10"/>
  <c r="H50" i="10"/>
  <c r="H49" i="10"/>
  <c r="H48" i="10"/>
  <c r="H46" i="10"/>
  <c r="H45" i="10"/>
  <c r="H42" i="10"/>
  <c r="H41" i="10"/>
  <c r="H40" i="10"/>
  <c r="H37" i="10"/>
  <c r="H36" i="10"/>
  <c r="H34" i="10"/>
  <c r="H31" i="10"/>
  <c r="H30" i="10"/>
  <c r="H29" i="10"/>
  <c r="H28" i="10"/>
  <c r="H27" i="10"/>
  <c r="H26" i="10"/>
  <c r="H25" i="10"/>
  <c r="H22" i="10"/>
  <c r="H21" i="10"/>
  <c r="H20" i="10"/>
  <c r="H17" i="10"/>
  <c r="H14" i="10"/>
  <c r="H13" i="10"/>
  <c r="H10" i="10"/>
  <c r="H7" i="10"/>
  <c r="H6" i="10"/>
  <c r="H5" i="10"/>
  <c r="H4" i="10"/>
  <c r="H94" i="10"/>
  <c r="E129" i="10"/>
  <c r="E131" i="10"/>
  <c r="D129" i="10"/>
  <c r="F129" i="10"/>
  <c r="F131" i="10"/>
  <c r="H72" i="10"/>
  <c r="I23" i="1"/>
  <c r="I24" i="1"/>
  <c r="I27" i="1"/>
  <c r="I30" i="1" s="1"/>
  <c r="I32" i="1"/>
  <c r="I44" i="1" s="1"/>
  <c r="I39" i="1"/>
  <c r="D131" i="10"/>
  <c r="H131" i="10"/>
  <c r="H127" i="9"/>
  <c r="G126" i="9"/>
  <c r="I67" i="1"/>
  <c r="F126" i="9"/>
  <c r="E126" i="9"/>
  <c r="D126" i="9"/>
  <c r="H126" i="9"/>
  <c r="H125" i="9"/>
  <c r="H124" i="9"/>
  <c r="G122" i="9"/>
  <c r="F122" i="9"/>
  <c r="E122" i="9"/>
  <c r="D122" i="9"/>
  <c r="H122" i="9"/>
  <c r="H121" i="9"/>
  <c r="H120" i="9"/>
  <c r="H119" i="9"/>
  <c r="H118" i="9"/>
  <c r="H117" i="9"/>
  <c r="G115" i="9"/>
  <c r="F115" i="9"/>
  <c r="E115" i="9"/>
  <c r="H115" i="9"/>
  <c r="D115" i="9"/>
  <c r="H114" i="9"/>
  <c r="H113" i="9"/>
  <c r="H112" i="9"/>
  <c r="H111" i="9"/>
  <c r="H110" i="9"/>
  <c r="H109" i="9"/>
  <c r="H108" i="9"/>
  <c r="H107" i="9"/>
  <c r="H106" i="9"/>
  <c r="H105" i="9"/>
  <c r="H104" i="9"/>
  <c r="G102" i="9"/>
  <c r="F102" i="9"/>
  <c r="E102" i="9"/>
  <c r="H102" i="9"/>
  <c r="H101" i="9"/>
  <c r="G99" i="9"/>
  <c r="F99" i="9"/>
  <c r="E99" i="9"/>
  <c r="D99" i="9"/>
  <c r="H98" i="9"/>
  <c r="H97" i="9"/>
  <c r="H96" i="9"/>
  <c r="G94" i="9"/>
  <c r="F94" i="9"/>
  <c r="E94" i="9"/>
  <c r="D94" i="9"/>
  <c r="H93" i="9"/>
  <c r="H92" i="9"/>
  <c r="H91" i="9"/>
  <c r="H90" i="9"/>
  <c r="H89" i="9"/>
  <c r="H88" i="9"/>
  <c r="H87" i="9"/>
  <c r="H86" i="9"/>
  <c r="G84" i="9"/>
  <c r="F84" i="9"/>
  <c r="E84" i="9"/>
  <c r="D84" i="9"/>
  <c r="H84" i="9"/>
  <c r="H83" i="9"/>
  <c r="H82" i="9"/>
  <c r="G80" i="9"/>
  <c r="F80" i="9"/>
  <c r="E80" i="9"/>
  <c r="D80" i="9"/>
  <c r="H79" i="9"/>
  <c r="G77" i="9"/>
  <c r="F77" i="9"/>
  <c r="E77" i="9"/>
  <c r="D77" i="9"/>
  <c r="H76" i="9"/>
  <c r="H75" i="9"/>
  <c r="H74" i="9"/>
  <c r="G72" i="9"/>
  <c r="I25" i="1"/>
  <c r="F72" i="9"/>
  <c r="E72" i="9"/>
  <c r="D72" i="9"/>
  <c r="H71" i="9"/>
  <c r="H70" i="9"/>
  <c r="E65" i="9"/>
  <c r="H65" i="9"/>
  <c r="H64" i="9"/>
  <c r="H63" i="9"/>
  <c r="H62" i="9"/>
  <c r="H61" i="9"/>
  <c r="H60" i="9"/>
  <c r="H59" i="9"/>
  <c r="H58" i="9"/>
  <c r="H57" i="9"/>
  <c r="H56" i="9"/>
  <c r="H55" i="9"/>
  <c r="H54" i="9"/>
  <c r="H51" i="9"/>
  <c r="H50" i="9"/>
  <c r="H49" i="9"/>
  <c r="H48" i="9"/>
  <c r="H46" i="9"/>
  <c r="H45" i="9"/>
  <c r="H42" i="9"/>
  <c r="H41" i="9"/>
  <c r="H40" i="9"/>
  <c r="H37" i="9"/>
  <c r="C36" i="9"/>
  <c r="H36" i="9"/>
  <c r="H35" i="9"/>
  <c r="H34" i="9"/>
  <c r="H31" i="9"/>
  <c r="H30" i="9"/>
  <c r="H29" i="9"/>
  <c r="H28" i="9"/>
  <c r="H27" i="9"/>
  <c r="H26" i="9"/>
  <c r="H25" i="9"/>
  <c r="H22" i="9"/>
  <c r="H21" i="9"/>
  <c r="H20" i="9"/>
  <c r="H17" i="9"/>
  <c r="H14" i="9"/>
  <c r="H13" i="9"/>
  <c r="H10" i="9"/>
  <c r="H7" i="9"/>
  <c r="H6" i="9"/>
  <c r="H5" i="9"/>
  <c r="H4" i="9"/>
  <c r="H77" i="9"/>
  <c r="H94" i="9"/>
  <c r="E128" i="9"/>
  <c r="E130" i="9"/>
  <c r="F128" i="9"/>
  <c r="F130" i="9"/>
  <c r="H80" i="9"/>
  <c r="H99" i="9"/>
  <c r="D128" i="9"/>
  <c r="H128" i="9"/>
  <c r="H130" i="9"/>
  <c r="G128" i="9"/>
  <c r="G130" i="9"/>
  <c r="H72" i="9"/>
  <c r="D130" i="9"/>
  <c r="H6" i="7"/>
  <c r="H23" i="1"/>
  <c r="H24" i="1"/>
  <c r="H27" i="1"/>
  <c r="H28" i="1"/>
  <c r="H29" i="1"/>
  <c r="H30" i="1" s="1"/>
  <c r="H45" i="1" s="1"/>
  <c r="H48" i="1" s="1"/>
  <c r="H55" i="1" s="1"/>
  <c r="H57" i="1" s="1"/>
  <c r="H66" i="1" s="1"/>
  <c r="H68" i="1" s="1"/>
  <c r="H32" i="1"/>
  <c r="H33" i="1"/>
  <c r="H34" i="1"/>
  <c r="H35" i="1"/>
  <c r="H36" i="1"/>
  <c r="H37" i="1"/>
  <c r="H38" i="1"/>
  <c r="H39" i="1"/>
  <c r="H41" i="1"/>
  <c r="H42" i="1"/>
  <c r="H46" i="1"/>
  <c r="H47" i="1"/>
  <c r="H53" i="1"/>
  <c r="H51" i="1" s="1"/>
  <c r="H56" i="1"/>
  <c r="H60" i="1"/>
  <c r="H64" i="1"/>
  <c r="H101" i="7"/>
  <c r="H127" i="7"/>
  <c r="G126" i="7"/>
  <c r="H67" i="1"/>
  <c r="F126" i="7"/>
  <c r="E126" i="7"/>
  <c r="D126" i="7"/>
  <c r="H125" i="7"/>
  <c r="H124" i="7"/>
  <c r="H123" i="7"/>
  <c r="G122" i="7"/>
  <c r="F122" i="7"/>
  <c r="E122" i="7"/>
  <c r="D122" i="7"/>
  <c r="H121" i="7"/>
  <c r="H120" i="7"/>
  <c r="H119" i="7"/>
  <c r="H118" i="7"/>
  <c r="H117" i="7"/>
  <c r="H116" i="7"/>
  <c r="F115" i="7"/>
  <c r="D115" i="7"/>
  <c r="E114" i="7"/>
  <c r="H114" i="7"/>
  <c r="H113" i="7"/>
  <c r="H112" i="7"/>
  <c r="G112" i="7"/>
  <c r="H111" i="7"/>
  <c r="H110" i="7"/>
  <c r="H109" i="7"/>
  <c r="H108" i="7"/>
  <c r="H107" i="7"/>
  <c r="H106" i="7"/>
  <c r="H105" i="7"/>
  <c r="H104" i="7"/>
  <c r="H103" i="7"/>
  <c r="F102" i="7"/>
  <c r="D102" i="7"/>
  <c r="H102" i="7"/>
  <c r="H100" i="7"/>
  <c r="G99" i="7"/>
  <c r="F99" i="7"/>
  <c r="E99" i="7"/>
  <c r="D99" i="7"/>
  <c r="H98" i="7"/>
  <c r="H97" i="7"/>
  <c r="H96" i="7"/>
  <c r="H95" i="7"/>
  <c r="G94" i="7"/>
  <c r="F94" i="7"/>
  <c r="E94" i="7"/>
  <c r="D94" i="7"/>
  <c r="H93" i="7"/>
  <c r="H92" i="7"/>
  <c r="H91" i="7"/>
  <c r="H90" i="7"/>
  <c r="H89" i="7"/>
  <c r="H88" i="7"/>
  <c r="H87" i="7"/>
  <c r="H86" i="7"/>
  <c r="H85" i="7"/>
  <c r="G84" i="7"/>
  <c r="F84" i="7"/>
  <c r="E84" i="7"/>
  <c r="D84" i="7"/>
  <c r="H84" i="7"/>
  <c r="H83" i="7"/>
  <c r="H82" i="7"/>
  <c r="H81" i="7"/>
  <c r="G80" i="7"/>
  <c r="F80" i="7"/>
  <c r="E80" i="7"/>
  <c r="D80" i="7"/>
  <c r="H80" i="7"/>
  <c r="H79" i="7"/>
  <c r="H78" i="7"/>
  <c r="G77" i="7"/>
  <c r="F77" i="7"/>
  <c r="E77" i="7"/>
  <c r="D77" i="7"/>
  <c r="H77" i="7"/>
  <c r="H76" i="7"/>
  <c r="H75" i="7"/>
  <c r="H74" i="7"/>
  <c r="H73" i="7"/>
  <c r="G72" i="7"/>
  <c r="F72" i="7"/>
  <c r="E72" i="7"/>
  <c r="D72" i="7"/>
  <c r="H71" i="7"/>
  <c r="H70" i="7"/>
  <c r="F65" i="7"/>
  <c r="H65" i="7"/>
  <c r="E64" i="7"/>
  <c r="D64" i="7"/>
  <c r="H63" i="7"/>
  <c r="H62" i="7"/>
  <c r="H61" i="7"/>
  <c r="H60" i="7"/>
  <c r="H59" i="7"/>
  <c r="H58" i="7"/>
  <c r="H57" i="7"/>
  <c r="H56" i="7"/>
  <c r="H55" i="7"/>
  <c r="G54" i="7"/>
  <c r="H54" i="7"/>
  <c r="H51" i="7"/>
  <c r="H50" i="7"/>
  <c r="H49" i="7"/>
  <c r="H48" i="7"/>
  <c r="H46" i="7"/>
  <c r="H45" i="7"/>
  <c r="H42" i="7"/>
  <c r="H41" i="7"/>
  <c r="H40" i="7"/>
  <c r="H39" i="7"/>
  <c r="H37" i="7"/>
  <c r="C36" i="7"/>
  <c r="H36" i="7"/>
  <c r="H35" i="7"/>
  <c r="H34" i="7"/>
  <c r="H31" i="7"/>
  <c r="H30" i="7"/>
  <c r="H29" i="7"/>
  <c r="H28" i="7"/>
  <c r="H27" i="7"/>
  <c r="H26" i="7"/>
  <c r="H25" i="7"/>
  <c r="H22" i="7"/>
  <c r="H21" i="7"/>
  <c r="H20" i="7"/>
  <c r="H17" i="7"/>
  <c r="H14" i="7"/>
  <c r="H13" i="7"/>
  <c r="H10" i="7"/>
  <c r="H7" i="7"/>
  <c r="C5" i="7"/>
  <c r="H5" i="7"/>
  <c r="H4" i="7"/>
  <c r="C4" i="7"/>
  <c r="F128" i="7"/>
  <c r="F130" i="7"/>
  <c r="H99" i="7"/>
  <c r="H126" i="7"/>
  <c r="H64" i="7"/>
  <c r="H94" i="7"/>
  <c r="G115" i="7"/>
  <c r="H40" i="1"/>
  <c r="G128" i="7"/>
  <c r="G130" i="7"/>
  <c r="H25" i="1"/>
  <c r="H26" i="1" s="1"/>
  <c r="H122" i="7"/>
  <c r="E115" i="7"/>
  <c r="H115" i="7"/>
  <c r="H72" i="7"/>
  <c r="D128" i="7"/>
  <c r="D36" i="6"/>
  <c r="F36" i="6"/>
  <c r="C35" i="6"/>
  <c r="F35" i="6"/>
  <c r="F34" i="6"/>
  <c r="F33" i="6"/>
  <c r="E128" i="7"/>
  <c r="E130" i="7"/>
  <c r="H128" i="7"/>
  <c r="H132" i="7"/>
  <c r="D130" i="7"/>
  <c r="H130" i="7"/>
  <c r="F82" i="6"/>
  <c r="F13" i="6"/>
  <c r="D13" i="6"/>
  <c r="C13" i="6"/>
  <c r="F7" i="6"/>
  <c r="F5" i="6"/>
  <c r="C5" i="6"/>
  <c r="G42" i="1"/>
  <c r="F23" i="1"/>
  <c r="F24" i="1"/>
  <c r="F25" i="1" s="1"/>
  <c r="F27" i="1"/>
  <c r="F30" i="1" s="1"/>
  <c r="F28" i="1"/>
  <c r="F29" i="1"/>
  <c r="F32" i="1"/>
  <c r="F44" i="1" s="1"/>
  <c r="F33" i="1"/>
  <c r="F34" i="1"/>
  <c r="F35" i="1"/>
  <c r="F36" i="1"/>
  <c r="F37" i="1"/>
  <c r="F39" i="1"/>
  <c r="F41" i="1"/>
  <c r="F42" i="1"/>
  <c r="F46" i="1"/>
  <c r="F47" i="1"/>
  <c r="F53" i="1"/>
  <c r="F51" i="1"/>
  <c r="F56" i="1"/>
  <c r="F60" i="1"/>
  <c r="F64" i="1"/>
  <c r="F67" i="1"/>
  <c r="G53" i="1"/>
  <c r="G51" i="1" s="1"/>
  <c r="G47" i="1"/>
  <c r="G64" i="1"/>
  <c r="G60" i="1"/>
  <c r="G56" i="1"/>
  <c r="G35" i="1"/>
  <c r="G46" i="1"/>
  <c r="G41" i="1"/>
  <c r="G39" i="1"/>
  <c r="G38" i="1"/>
  <c r="G28" i="1"/>
  <c r="G37" i="1"/>
  <c r="G36" i="1"/>
  <c r="G34" i="1"/>
  <c r="G33" i="1"/>
  <c r="G32" i="1"/>
  <c r="G29" i="1"/>
  <c r="G27" i="1"/>
  <c r="G24" i="1"/>
  <c r="G23" i="1"/>
  <c r="G25" i="1" s="1"/>
  <c r="G45" i="1" s="1"/>
  <c r="G48" i="1" s="1"/>
  <c r="G55" i="1" s="1"/>
  <c r="G57" i="1" s="1"/>
  <c r="G66" i="1" s="1"/>
  <c r="G68" i="1" s="1"/>
  <c r="G99" i="5"/>
  <c r="H125" i="6"/>
  <c r="G67" i="1"/>
  <c r="E125" i="6"/>
  <c r="D125" i="6"/>
  <c r="F125" i="6"/>
  <c r="F124" i="6"/>
  <c r="F123" i="6"/>
  <c r="H121" i="6"/>
  <c r="E121" i="6"/>
  <c r="D121" i="6"/>
  <c r="F121" i="6"/>
  <c r="F120" i="6"/>
  <c r="F119" i="6"/>
  <c r="F118" i="6"/>
  <c r="F117" i="6"/>
  <c r="F116" i="6"/>
  <c r="H114" i="6"/>
  <c r="E114" i="6"/>
  <c r="D114" i="6"/>
  <c r="F113" i="6"/>
  <c r="F112" i="6"/>
  <c r="F111" i="6"/>
  <c r="F110" i="6"/>
  <c r="F109" i="6"/>
  <c r="F108" i="6"/>
  <c r="F107" i="6"/>
  <c r="F106" i="6"/>
  <c r="F105" i="6"/>
  <c r="F104" i="6"/>
  <c r="F103" i="6"/>
  <c r="H101" i="6"/>
  <c r="G40" i="1"/>
  <c r="E101" i="6"/>
  <c r="D101" i="6"/>
  <c r="F101" i="6"/>
  <c r="F100" i="6"/>
  <c r="H98" i="6"/>
  <c r="E98" i="6"/>
  <c r="D98" i="6"/>
  <c r="F98" i="6"/>
  <c r="F97" i="6"/>
  <c r="F96" i="6"/>
  <c r="F95" i="6"/>
  <c r="H93" i="6"/>
  <c r="E93" i="6"/>
  <c r="D93" i="6"/>
  <c r="F93" i="6"/>
  <c r="F92" i="6"/>
  <c r="F91" i="6"/>
  <c r="F90" i="6"/>
  <c r="F89" i="6"/>
  <c r="F88" i="6"/>
  <c r="F87" i="6"/>
  <c r="F86" i="6"/>
  <c r="F85" i="6"/>
  <c r="H83" i="6"/>
  <c r="E83" i="6"/>
  <c r="D83" i="6"/>
  <c r="F81" i="6"/>
  <c r="H79" i="6"/>
  <c r="E79" i="6"/>
  <c r="D79" i="6"/>
  <c r="F79" i="6"/>
  <c r="F78" i="6"/>
  <c r="H76" i="6"/>
  <c r="E76" i="6"/>
  <c r="D76" i="6"/>
  <c r="F75" i="6"/>
  <c r="F74" i="6"/>
  <c r="F73" i="6"/>
  <c r="H71" i="6"/>
  <c r="I71" i="6"/>
  <c r="J71" i="6"/>
  <c r="E71" i="6"/>
  <c r="D71" i="6"/>
  <c r="F70" i="6"/>
  <c r="I69" i="6"/>
  <c r="J69" i="6"/>
  <c r="F69" i="6"/>
  <c r="E65" i="6"/>
  <c r="D65" i="6"/>
  <c r="C65" i="6"/>
  <c r="H64" i="6"/>
  <c r="H65" i="6"/>
  <c r="F64" i="6"/>
  <c r="F63" i="6"/>
  <c r="F62" i="6"/>
  <c r="F61" i="6"/>
  <c r="F60" i="6"/>
  <c r="F59" i="6"/>
  <c r="F58" i="6"/>
  <c r="F57" i="6"/>
  <c r="F56" i="6"/>
  <c r="F55" i="6"/>
  <c r="F54" i="6"/>
  <c r="F53" i="6"/>
  <c r="H51" i="6"/>
  <c r="E51" i="6"/>
  <c r="D51" i="6"/>
  <c r="C51" i="6"/>
  <c r="F50" i="6"/>
  <c r="F49" i="6"/>
  <c r="F48" i="6"/>
  <c r="H46" i="6"/>
  <c r="E46" i="6"/>
  <c r="D46" i="6"/>
  <c r="C46" i="6"/>
  <c r="F45" i="6"/>
  <c r="F44" i="6"/>
  <c r="H42" i="6"/>
  <c r="E42" i="6"/>
  <c r="D42" i="6"/>
  <c r="F41" i="6"/>
  <c r="F40" i="6"/>
  <c r="F39" i="6"/>
  <c r="C39" i="6"/>
  <c r="C42" i="6"/>
  <c r="H37" i="6"/>
  <c r="E37" i="6"/>
  <c r="D37" i="6"/>
  <c r="C37" i="6"/>
  <c r="H31" i="6"/>
  <c r="E31" i="6"/>
  <c r="D31" i="6"/>
  <c r="C31" i="6"/>
  <c r="F31" i="6"/>
  <c r="F30" i="6"/>
  <c r="F29" i="6"/>
  <c r="F28" i="6"/>
  <c r="F27" i="6"/>
  <c r="F26" i="6"/>
  <c r="F25" i="6"/>
  <c r="F24" i="6"/>
  <c r="H22" i="6"/>
  <c r="E22" i="6"/>
  <c r="D22" i="6"/>
  <c r="C22" i="6"/>
  <c r="F21" i="6"/>
  <c r="F20" i="6"/>
  <c r="H18" i="6"/>
  <c r="E18" i="6"/>
  <c r="D18" i="6"/>
  <c r="C18" i="6"/>
  <c r="F17" i="6"/>
  <c r="H15" i="6"/>
  <c r="E15" i="6"/>
  <c r="D15" i="6"/>
  <c r="C15" i="6"/>
  <c r="F14" i="6"/>
  <c r="H11" i="6"/>
  <c r="E11" i="6"/>
  <c r="D11" i="6"/>
  <c r="C11" i="6"/>
  <c r="F10" i="6"/>
  <c r="H8" i="6"/>
  <c r="E8" i="6"/>
  <c r="D8" i="6"/>
  <c r="C8" i="6"/>
  <c r="F6" i="6"/>
  <c r="F4" i="6"/>
  <c r="F51" i="6"/>
  <c r="F114" i="6"/>
  <c r="F46" i="6"/>
  <c r="F76" i="6"/>
  <c r="F18" i="6"/>
  <c r="F37" i="6"/>
  <c r="F11" i="6"/>
  <c r="F42" i="6"/>
  <c r="H129" i="6"/>
  <c r="D127" i="6"/>
  <c r="F22" i="6"/>
  <c r="F65" i="6"/>
  <c r="E127" i="6"/>
  <c r="H127" i="6"/>
  <c r="F83" i="6"/>
  <c r="F15" i="6"/>
  <c r="F8" i="6"/>
  <c r="F71" i="6"/>
  <c r="F67" i="6"/>
  <c r="F127" i="6"/>
  <c r="D121" i="5"/>
  <c r="C121" i="5"/>
  <c r="D114" i="5"/>
  <c r="C114" i="5"/>
  <c r="D102" i="5"/>
  <c r="C102" i="5"/>
  <c r="D99" i="5"/>
  <c r="F40" i="1"/>
  <c r="C99" i="5"/>
  <c r="D95" i="5"/>
  <c r="C95" i="5"/>
  <c r="D85" i="5"/>
  <c r="C85" i="5"/>
  <c r="D81" i="5"/>
  <c r="C81" i="5"/>
  <c r="D78" i="5"/>
  <c r="C78" i="5"/>
  <c r="D73" i="5"/>
  <c r="C73" i="5"/>
  <c r="D68" i="5"/>
  <c r="C68" i="5"/>
  <c r="D52" i="5"/>
  <c r="C52" i="5"/>
  <c r="D46" i="5"/>
  <c r="C46" i="5"/>
  <c r="D42" i="5"/>
  <c r="C42" i="5"/>
  <c r="D37" i="5"/>
  <c r="C37" i="5"/>
  <c r="D31" i="5"/>
  <c r="C31" i="5"/>
  <c r="D22" i="5"/>
  <c r="C22" i="5"/>
  <c r="D19" i="5"/>
  <c r="C19" i="5"/>
  <c r="D15" i="5"/>
  <c r="C15" i="5"/>
  <c r="D11" i="5"/>
  <c r="D7" i="5"/>
  <c r="C7" i="5"/>
  <c r="G5" i="5"/>
  <c r="D126" i="5"/>
  <c r="C126" i="5"/>
  <c r="H99" i="5"/>
  <c r="D80" i="1"/>
  <c r="K71" i="4"/>
  <c r="D89" i="1"/>
  <c r="E8" i="1"/>
  <c r="D40" i="1"/>
  <c r="D82" i="1" s="1"/>
  <c r="D42" i="1"/>
  <c r="D84" i="1" s="1"/>
  <c r="D109" i="1"/>
  <c r="E89" i="1"/>
  <c r="D111" i="1"/>
  <c r="D113" i="1"/>
  <c r="D110" i="1"/>
  <c r="D108" i="1"/>
  <c r="D107" i="1"/>
  <c r="D114" i="1" s="1"/>
  <c r="E95" i="1"/>
  <c r="E80" i="1"/>
  <c r="C94" i="1"/>
  <c r="E94" i="1"/>
  <c r="D28" i="1"/>
  <c r="D37" i="1"/>
  <c r="D79" i="1" s="1"/>
  <c r="D67" i="1"/>
  <c r="D64" i="1"/>
  <c r="D60" i="1"/>
  <c r="D56" i="1"/>
  <c r="E51" i="1"/>
  <c r="D51" i="1" s="1"/>
  <c r="L87" i="4"/>
  <c r="M87" i="4"/>
  <c r="R87" i="4"/>
  <c r="D53" i="1"/>
  <c r="D36" i="1"/>
  <c r="D78" i="1"/>
  <c r="D33" i="1"/>
  <c r="D75" i="1" s="1"/>
  <c r="D47" i="1"/>
  <c r="D86" i="1"/>
  <c r="D46" i="1"/>
  <c r="D85" i="1"/>
  <c r="D41" i="1"/>
  <c r="D83" i="1"/>
  <c r="D39" i="1"/>
  <c r="D81" i="1"/>
  <c r="D35" i="1"/>
  <c r="D77" i="1"/>
  <c r="D34" i="1"/>
  <c r="D76" i="1" s="1"/>
  <c r="D32" i="1"/>
  <c r="D74" i="1"/>
  <c r="D29" i="1"/>
  <c r="D27" i="1"/>
  <c r="D24" i="1"/>
  <c r="D25" i="1" s="1"/>
  <c r="D23" i="1"/>
  <c r="E18" i="1"/>
  <c r="E17" i="1"/>
  <c r="E16" i="1"/>
  <c r="E14" i="1"/>
  <c r="E11" i="1"/>
  <c r="E3" i="1"/>
  <c r="L126" i="4"/>
  <c r="I126" i="4"/>
  <c r="C126" i="4"/>
  <c r="F126" i="4"/>
  <c r="L125" i="4"/>
  <c r="M125" i="4"/>
  <c r="N125" i="4"/>
  <c r="I125" i="4"/>
  <c r="C125" i="4"/>
  <c r="F125" i="4"/>
  <c r="L124" i="4"/>
  <c r="I124" i="4"/>
  <c r="C124" i="4"/>
  <c r="F124" i="4"/>
  <c r="L123" i="4"/>
  <c r="I123" i="4"/>
  <c r="C123" i="4"/>
  <c r="F123" i="4"/>
  <c r="L122" i="4"/>
  <c r="I122" i="4"/>
  <c r="C122" i="4"/>
  <c r="F122" i="4"/>
  <c r="L121" i="4"/>
  <c r="I121" i="4"/>
  <c r="C121" i="4"/>
  <c r="F121" i="4"/>
  <c r="L120" i="4"/>
  <c r="I120" i="4"/>
  <c r="C120" i="4"/>
  <c r="F120" i="4"/>
  <c r="L119" i="4"/>
  <c r="I119" i="4"/>
  <c r="C119" i="4"/>
  <c r="F119" i="4"/>
  <c r="L118" i="4"/>
  <c r="I118" i="4"/>
  <c r="C118" i="4"/>
  <c r="F118" i="4"/>
  <c r="L117" i="4"/>
  <c r="I117" i="4"/>
  <c r="M117" i="4"/>
  <c r="N117" i="4"/>
  <c r="C117" i="4"/>
  <c r="F117" i="4"/>
  <c r="L116" i="4"/>
  <c r="I116" i="4"/>
  <c r="C116" i="4"/>
  <c r="F116" i="4"/>
  <c r="L115" i="4"/>
  <c r="I115" i="4"/>
  <c r="R115" i="4"/>
  <c r="C115" i="4"/>
  <c r="F115" i="4"/>
  <c r="L114" i="4"/>
  <c r="I114" i="4"/>
  <c r="F114" i="4"/>
  <c r="C114" i="4"/>
  <c r="L113" i="4"/>
  <c r="I113" i="4"/>
  <c r="C113" i="4"/>
  <c r="F113" i="4"/>
  <c r="L112" i="4"/>
  <c r="M112" i="4"/>
  <c r="N112" i="4"/>
  <c r="I112" i="4"/>
  <c r="C112" i="4"/>
  <c r="F112" i="4"/>
  <c r="L111" i="4"/>
  <c r="I111" i="4"/>
  <c r="C111" i="4"/>
  <c r="F111" i="4"/>
  <c r="L110" i="4"/>
  <c r="I110" i="4"/>
  <c r="C110" i="4"/>
  <c r="F110" i="4"/>
  <c r="L109" i="4"/>
  <c r="I109" i="4"/>
  <c r="C109" i="4"/>
  <c r="F109" i="4"/>
  <c r="M109" i="4"/>
  <c r="N109" i="4"/>
  <c r="L108" i="4"/>
  <c r="I108" i="4"/>
  <c r="C108" i="4"/>
  <c r="F108" i="4"/>
  <c r="L107" i="4"/>
  <c r="I107" i="4"/>
  <c r="C107" i="4"/>
  <c r="F107" i="4"/>
  <c r="L106" i="4"/>
  <c r="I106" i="4"/>
  <c r="C106" i="4"/>
  <c r="F106" i="4"/>
  <c r="L105" i="4"/>
  <c r="I105" i="4"/>
  <c r="C105" i="4"/>
  <c r="F105" i="4"/>
  <c r="L104" i="4"/>
  <c r="I104" i="4"/>
  <c r="C104" i="4"/>
  <c r="F104" i="4"/>
  <c r="L103" i="4"/>
  <c r="I103" i="4"/>
  <c r="C103" i="4"/>
  <c r="F103" i="4"/>
  <c r="L102" i="4"/>
  <c r="I102" i="4"/>
  <c r="C102" i="4"/>
  <c r="F102" i="4"/>
  <c r="L101" i="4"/>
  <c r="I101" i="4"/>
  <c r="C101" i="4"/>
  <c r="F101" i="4"/>
  <c r="L100" i="4"/>
  <c r="I100" i="4"/>
  <c r="C100" i="4"/>
  <c r="F100" i="4"/>
  <c r="L99" i="4"/>
  <c r="I99" i="4"/>
  <c r="C99" i="4"/>
  <c r="F99" i="4"/>
  <c r="R99" i="4"/>
  <c r="L98" i="4"/>
  <c r="I98" i="4"/>
  <c r="C98" i="4"/>
  <c r="F98" i="4"/>
  <c r="L97" i="4"/>
  <c r="I97" i="4"/>
  <c r="C97" i="4"/>
  <c r="F97" i="4"/>
  <c r="L96" i="4"/>
  <c r="I96" i="4"/>
  <c r="C96" i="4"/>
  <c r="F96" i="4"/>
  <c r="L95" i="4"/>
  <c r="I95" i="4"/>
  <c r="C95" i="4"/>
  <c r="F95" i="4"/>
  <c r="L94" i="4"/>
  <c r="I94" i="4"/>
  <c r="C94" i="4"/>
  <c r="F94" i="4"/>
  <c r="R94" i="4"/>
  <c r="L93" i="4"/>
  <c r="I93" i="4"/>
  <c r="C93" i="4"/>
  <c r="F93" i="4"/>
  <c r="L92" i="4"/>
  <c r="I92" i="4"/>
  <c r="C92" i="4"/>
  <c r="F92" i="4"/>
  <c r="L91" i="4"/>
  <c r="I91" i="4"/>
  <c r="C91" i="4"/>
  <c r="F91" i="4"/>
  <c r="L90" i="4"/>
  <c r="I90" i="4"/>
  <c r="F90" i="4"/>
  <c r="R90" i="4"/>
  <c r="E32" i="1"/>
  <c r="E74" i="1"/>
  <c r="C90" i="4"/>
  <c r="L89" i="4"/>
  <c r="M89" i="4"/>
  <c r="N89" i="4"/>
  <c r="I89" i="4"/>
  <c r="C89" i="4"/>
  <c r="F89" i="4"/>
  <c r="L88" i="4"/>
  <c r="I88" i="4"/>
  <c r="C88" i="4"/>
  <c r="F88" i="4"/>
  <c r="I87" i="4"/>
  <c r="C87" i="4"/>
  <c r="F87" i="4"/>
  <c r="L86" i="4"/>
  <c r="I86" i="4"/>
  <c r="C86" i="4"/>
  <c r="F86" i="4"/>
  <c r="R86" i="4"/>
  <c r="E56" i="1"/>
  <c r="L85" i="4"/>
  <c r="I85" i="4"/>
  <c r="C85" i="4"/>
  <c r="F85" i="4"/>
  <c r="L84" i="4"/>
  <c r="I84" i="4"/>
  <c r="C84" i="4"/>
  <c r="F84" i="4"/>
  <c r="L83" i="4"/>
  <c r="I83" i="4"/>
  <c r="C83" i="4"/>
  <c r="F83" i="4"/>
  <c r="L82" i="4"/>
  <c r="I82" i="4"/>
  <c r="F82" i="4"/>
  <c r="C82" i="4"/>
  <c r="L81" i="4"/>
  <c r="M81" i="4"/>
  <c r="N81" i="4"/>
  <c r="I81" i="4"/>
  <c r="C81" i="4"/>
  <c r="F81" i="4"/>
  <c r="L80" i="4"/>
  <c r="I80" i="4"/>
  <c r="J80" i="4"/>
  <c r="C80" i="4"/>
  <c r="F80" i="4"/>
  <c r="L79" i="4"/>
  <c r="I79" i="4"/>
  <c r="J79" i="4"/>
  <c r="C79" i="4"/>
  <c r="F79" i="4"/>
  <c r="L78" i="4"/>
  <c r="I78" i="4"/>
  <c r="C78" i="4"/>
  <c r="F78" i="4"/>
  <c r="L77" i="4"/>
  <c r="I77" i="4"/>
  <c r="C77" i="4"/>
  <c r="F77" i="4"/>
  <c r="L76" i="4"/>
  <c r="I76" i="4"/>
  <c r="C76" i="4"/>
  <c r="F76" i="4"/>
  <c r="M76" i="4"/>
  <c r="N76" i="4"/>
  <c r="L75" i="4"/>
  <c r="I75" i="4"/>
  <c r="C75" i="4"/>
  <c r="F75" i="4"/>
  <c r="L74" i="4"/>
  <c r="I74" i="4"/>
  <c r="F74" i="4"/>
  <c r="C74" i="4"/>
  <c r="P71" i="4"/>
  <c r="C71" i="4"/>
  <c r="E70" i="4"/>
  <c r="H70" i="4"/>
  <c r="E69" i="4"/>
  <c r="H69" i="4"/>
  <c r="H68" i="4"/>
  <c r="H67" i="4"/>
  <c r="E67" i="4"/>
  <c r="E66" i="4"/>
  <c r="H66" i="4"/>
  <c r="E65" i="4"/>
  <c r="H65" i="4"/>
  <c r="E64" i="4"/>
  <c r="H64" i="4"/>
  <c r="E63" i="4"/>
  <c r="H63" i="4"/>
  <c r="E62" i="4"/>
  <c r="H62" i="4"/>
  <c r="E61" i="4"/>
  <c r="H61" i="4"/>
  <c r="E60" i="4"/>
  <c r="H60" i="4"/>
  <c r="E59" i="4"/>
  <c r="H59" i="4"/>
  <c r="E58" i="4"/>
  <c r="H58" i="4"/>
  <c r="E57" i="4"/>
  <c r="H57" i="4"/>
  <c r="P55" i="4"/>
  <c r="K55" i="4"/>
  <c r="C55" i="4"/>
  <c r="E54" i="4"/>
  <c r="H53" i="4"/>
  <c r="E53" i="4"/>
  <c r="E52" i="4"/>
  <c r="H52" i="4"/>
  <c r="E51" i="4"/>
  <c r="H51" i="4"/>
  <c r="P49" i="4"/>
  <c r="K49" i="4"/>
  <c r="C49" i="4"/>
  <c r="H48" i="4"/>
  <c r="E47" i="4"/>
  <c r="E49" i="4"/>
  <c r="P45" i="4"/>
  <c r="E12" i="1"/>
  <c r="K45" i="4"/>
  <c r="C45" i="4"/>
  <c r="E42" i="4"/>
  <c r="E45" i="4"/>
  <c r="H41" i="4"/>
  <c r="P36" i="4"/>
  <c r="E10" i="1"/>
  <c r="K36" i="4"/>
  <c r="C34" i="4"/>
  <c r="E34" i="4"/>
  <c r="H34" i="4"/>
  <c r="E33" i="4"/>
  <c r="H33" i="4"/>
  <c r="E32" i="4"/>
  <c r="H32" i="4"/>
  <c r="P30" i="4"/>
  <c r="E9" i="1"/>
  <c r="D104" i="1"/>
  <c r="K30" i="4"/>
  <c r="C30" i="4"/>
  <c r="E102" i="1"/>
  <c r="E29" i="4"/>
  <c r="H29" i="4"/>
  <c r="E28" i="4"/>
  <c r="H28" i="4"/>
  <c r="H27" i="4"/>
  <c r="E27" i="4"/>
  <c r="E26" i="4"/>
  <c r="H26" i="4"/>
  <c r="E25" i="4"/>
  <c r="H24" i="4"/>
  <c r="P21" i="4"/>
  <c r="K21" i="4"/>
  <c r="C21" i="4"/>
  <c r="E20" i="4"/>
  <c r="E21" i="4"/>
  <c r="P18" i="4"/>
  <c r="K18" i="4"/>
  <c r="H18" i="4"/>
  <c r="E18" i="4"/>
  <c r="C18" i="4"/>
  <c r="P14" i="4"/>
  <c r="E6" i="1"/>
  <c r="K14" i="4"/>
  <c r="C14" i="4"/>
  <c r="E13" i="4"/>
  <c r="H13" i="4"/>
  <c r="E12" i="4"/>
  <c r="P10" i="4"/>
  <c r="K10" i="4"/>
  <c r="C10" i="4"/>
  <c r="E9" i="4"/>
  <c r="E10" i="4"/>
  <c r="P7" i="4"/>
  <c r="E4" i="1"/>
  <c r="E19" i="1" s="1"/>
  <c r="K7" i="4"/>
  <c r="C7" i="4"/>
  <c r="E5" i="4"/>
  <c r="H5" i="4"/>
  <c r="E4" i="4"/>
  <c r="J81" i="4"/>
  <c r="M85" i="4"/>
  <c r="N85" i="4"/>
  <c r="M93" i="4"/>
  <c r="N93" i="4"/>
  <c r="R123" i="4"/>
  <c r="H20" i="4"/>
  <c r="H21" i="4"/>
  <c r="E14" i="4"/>
  <c r="M97" i="4"/>
  <c r="N97" i="4"/>
  <c r="M105" i="4"/>
  <c r="N105" i="4"/>
  <c r="M121" i="4"/>
  <c r="N121" i="4"/>
  <c r="C36" i="4"/>
  <c r="R79" i="4"/>
  <c r="M113" i="4"/>
  <c r="N113" i="4"/>
  <c r="R95" i="4"/>
  <c r="R103" i="4"/>
  <c r="H9" i="4"/>
  <c r="H10" i="4"/>
  <c r="M77" i="4"/>
  <c r="N77" i="4"/>
  <c r="M80" i="4"/>
  <c r="N80" i="4"/>
  <c r="M88" i="4"/>
  <c r="N88" i="4"/>
  <c r="M108" i="4"/>
  <c r="N108" i="4"/>
  <c r="R111" i="4"/>
  <c r="R92" i="4"/>
  <c r="E36" i="1"/>
  <c r="E78" i="1" s="1"/>
  <c r="M96" i="4"/>
  <c r="N96" i="4"/>
  <c r="M104" i="4"/>
  <c r="N104" i="4"/>
  <c r="E37" i="1"/>
  <c r="E79" i="1" s="1"/>
  <c r="R102" i="4"/>
  <c r="M118" i="4"/>
  <c r="N118" i="4"/>
  <c r="M126" i="4"/>
  <c r="N126" i="4"/>
  <c r="H42" i="4"/>
  <c r="H45" i="4"/>
  <c r="R74" i="4"/>
  <c r="E23" i="1"/>
  <c r="R78" i="4"/>
  <c r="E27" i="1"/>
  <c r="J78" i="4"/>
  <c r="R82" i="4"/>
  <c r="R110" i="4"/>
  <c r="E39" i="1"/>
  <c r="E81" i="1" s="1"/>
  <c r="E36" i="4"/>
  <c r="H47" i="4"/>
  <c r="H49" i="4"/>
  <c r="R75" i="4"/>
  <c r="E24" i="1"/>
  <c r="M84" i="4"/>
  <c r="N84" i="4"/>
  <c r="M92" i="4"/>
  <c r="N92" i="4"/>
  <c r="R98" i="4"/>
  <c r="M101" i="4"/>
  <c r="N101" i="4"/>
  <c r="R107" i="4"/>
  <c r="E47" i="1"/>
  <c r="M114" i="4"/>
  <c r="N114" i="4"/>
  <c r="R119" i="4"/>
  <c r="M122" i="4"/>
  <c r="N122" i="4"/>
  <c r="R106" i="4"/>
  <c r="E34" i="1"/>
  <c r="E76" i="1" s="1"/>
  <c r="R114" i="4"/>
  <c r="R122" i="4"/>
  <c r="H36" i="4"/>
  <c r="E55" i="4"/>
  <c r="H71" i="4"/>
  <c r="R83" i="4"/>
  <c r="R91" i="4"/>
  <c r="E35" i="1"/>
  <c r="E77" i="1" s="1"/>
  <c r="M100" i="4"/>
  <c r="N100" i="4"/>
  <c r="R118" i="4"/>
  <c r="E60" i="1"/>
  <c r="R126" i="4"/>
  <c r="R116" i="4"/>
  <c r="M116" i="4"/>
  <c r="N116" i="4"/>
  <c r="R124" i="4"/>
  <c r="M124" i="4"/>
  <c r="N124" i="4"/>
  <c r="H55" i="4"/>
  <c r="M115" i="4"/>
  <c r="N115" i="4"/>
  <c r="M123" i="4"/>
  <c r="N123" i="4"/>
  <c r="E30" i="4"/>
  <c r="R120" i="4"/>
  <c r="M120" i="4"/>
  <c r="N120" i="4"/>
  <c r="E7" i="4"/>
  <c r="H25" i="4"/>
  <c r="H30" i="4"/>
  <c r="M119" i="4"/>
  <c r="N119" i="4"/>
  <c r="E71" i="4"/>
  <c r="M74" i="4"/>
  <c r="N74" i="4"/>
  <c r="M78" i="4"/>
  <c r="N78" i="4"/>
  <c r="M82" i="4"/>
  <c r="N82" i="4"/>
  <c r="M86" i="4"/>
  <c r="N86" i="4"/>
  <c r="M90" i="4"/>
  <c r="N90" i="4"/>
  <c r="M94" i="4"/>
  <c r="N94" i="4"/>
  <c r="M98" i="4"/>
  <c r="N98" i="4"/>
  <c r="M102" i="4"/>
  <c r="N102" i="4"/>
  <c r="M106" i="4"/>
  <c r="N106" i="4"/>
  <c r="M110" i="4"/>
  <c r="N110" i="4"/>
  <c r="M75" i="4"/>
  <c r="N75" i="4"/>
  <c r="R76" i="4"/>
  <c r="R77" i="4"/>
  <c r="M79" i="4"/>
  <c r="N79" i="4"/>
  <c r="R80" i="4"/>
  <c r="E29" i="1"/>
  <c r="R81" i="4"/>
  <c r="M83" i="4"/>
  <c r="N83" i="4"/>
  <c r="R84" i="4"/>
  <c r="R85" i="4"/>
  <c r="N87" i="4"/>
  <c r="R88" i="4"/>
  <c r="R89" i="4"/>
  <c r="M91" i="4"/>
  <c r="N91" i="4"/>
  <c r="R93" i="4"/>
  <c r="E33" i="1"/>
  <c r="E75" i="1" s="1"/>
  <c r="M95" i="4"/>
  <c r="N95" i="4"/>
  <c r="R96" i="4"/>
  <c r="R97" i="4"/>
  <c r="E46" i="1"/>
  <c r="E85" i="1"/>
  <c r="M99" i="4"/>
  <c r="N99" i="4"/>
  <c r="R100" i="4"/>
  <c r="R101" i="4"/>
  <c r="M103" i="4"/>
  <c r="N103" i="4"/>
  <c r="R104" i="4"/>
  <c r="R105" i="4"/>
  <c r="M107" i="4"/>
  <c r="N107" i="4"/>
  <c r="R108" i="4"/>
  <c r="R109" i="4"/>
  <c r="M111" i="4"/>
  <c r="N111" i="4"/>
  <c r="R112" i="4"/>
  <c r="E42" i="1"/>
  <c r="E84" i="1" s="1"/>
  <c r="R113" i="4"/>
  <c r="R117" i="4"/>
  <c r="R121" i="4"/>
  <c r="E64" i="1"/>
  <c r="R125" i="4"/>
  <c r="E67" i="1"/>
  <c r="H4" i="4"/>
  <c r="H7" i="4"/>
  <c r="H12" i="4"/>
  <c r="H14" i="4"/>
  <c r="C61" i="1"/>
  <c r="C60" i="1"/>
  <c r="C114" i="1"/>
  <c r="C104" i="1" s="1"/>
  <c r="C89" i="1"/>
  <c r="C80" i="1"/>
  <c r="C14" i="1"/>
  <c r="C10" i="1"/>
  <c r="C67" i="1"/>
  <c r="C62" i="1"/>
  <c r="C63" i="1"/>
  <c r="C93" i="1" s="1"/>
  <c r="C64" i="1"/>
  <c r="C59" i="1"/>
  <c r="C56" i="1"/>
  <c r="C53" i="1"/>
  <c r="C40" i="1"/>
  <c r="C82" i="1" s="1"/>
  <c r="C39" i="1"/>
  <c r="C81" i="1" s="1"/>
  <c r="C47" i="1"/>
  <c r="C86" i="1" s="1"/>
  <c r="C46" i="1"/>
  <c r="C85" i="1"/>
  <c r="C42" i="1"/>
  <c r="C84" i="1" s="1"/>
  <c r="C41" i="1"/>
  <c r="C83" i="1"/>
  <c r="C37" i="1"/>
  <c r="C79" i="1" s="1"/>
  <c r="C36" i="1"/>
  <c r="C78" i="1"/>
  <c r="C35" i="1"/>
  <c r="C77" i="1" s="1"/>
  <c r="C34" i="1"/>
  <c r="C33" i="1"/>
  <c r="C32" i="1"/>
  <c r="C74" i="1" s="1"/>
  <c r="C28" i="1"/>
  <c r="C29" i="1"/>
  <c r="C27" i="1"/>
  <c r="C30" i="1" s="1"/>
  <c r="C73" i="1" s="1"/>
  <c r="C24" i="1"/>
  <c r="C25" i="1" s="1"/>
  <c r="C23" i="1"/>
  <c r="C9" i="1"/>
  <c r="C18" i="1"/>
  <c r="C17" i="1"/>
  <c r="C16" i="1"/>
  <c r="C12" i="1"/>
  <c r="C11" i="1"/>
  <c r="C6" i="1"/>
  <c r="C4" i="1"/>
  <c r="C3" i="1"/>
  <c r="C19" i="1" s="1"/>
  <c r="E28" i="1"/>
  <c r="E30" i="1" s="1"/>
  <c r="E41" i="1"/>
  <c r="E83" i="1"/>
  <c r="E40" i="1"/>
  <c r="E82" i="1" s="1"/>
  <c r="H46" i="22"/>
  <c r="N42" i="22"/>
  <c r="N43" i="22"/>
  <c r="D93" i="1"/>
  <c r="G30" i="1"/>
  <c r="H44" i="1"/>
  <c r="D26" i="1"/>
  <c r="E93" i="1"/>
  <c r="N30" i="1"/>
  <c r="E25" i="1"/>
  <c r="D30" i="1"/>
  <c r="D73" i="1"/>
  <c r="N25" i="1"/>
  <c r="N26" i="1" s="1"/>
  <c r="C75" i="1"/>
  <c r="G94" i="22"/>
  <c r="H147" i="22"/>
  <c r="G142" i="22"/>
  <c r="G144" i="22"/>
  <c r="H144" i="22"/>
  <c r="H94" i="22"/>
  <c r="H142" i="22"/>
  <c r="H148" i="22"/>
  <c r="O26" i="1"/>
  <c r="X26" i="1"/>
  <c r="X51" i="1"/>
  <c r="R26" i="1"/>
  <c r="J82" i="23"/>
  <c r="J139" i="23"/>
  <c r="G44" i="1"/>
  <c r="P44" i="1"/>
  <c r="E72" i="1"/>
  <c r="J44" i="1"/>
  <c r="K25" i="1"/>
  <c r="D44" i="1"/>
  <c r="C76" i="1"/>
  <c r="C44" i="1"/>
  <c r="E104" i="1"/>
  <c r="E103" i="1"/>
  <c r="E44" i="1"/>
  <c r="M25" i="1"/>
  <c r="F131" i="28"/>
  <c r="H131" i="28"/>
  <c r="H127" i="28"/>
  <c r="F120" i="28"/>
  <c r="H120" i="28"/>
  <c r="H15" i="28"/>
  <c r="H122" i="28"/>
  <c r="M26" i="1"/>
  <c r="AA40" i="1" l="1"/>
  <c r="AA114" i="1"/>
  <c r="AA30" i="1"/>
  <c r="AA37" i="1"/>
  <c r="AA44" i="1" s="1"/>
  <c r="AA45" i="1" s="1"/>
  <c r="AA48" i="1" s="1"/>
  <c r="AA55" i="1" s="1"/>
  <c r="AA57" i="1" s="1"/>
  <c r="D124" i="30"/>
  <c r="H7" i="30"/>
  <c r="AA4" i="1" s="1"/>
  <c r="J16" i="13" s="1"/>
  <c r="J17" i="13" s="1"/>
  <c r="H117" i="30"/>
  <c r="AA65" i="1" s="1"/>
  <c r="D133" i="30"/>
  <c r="H130" i="30"/>
  <c r="AA64" i="1" s="1"/>
  <c r="F133" i="30"/>
  <c r="H133" i="30"/>
  <c r="H131" i="30"/>
  <c r="AA61" i="1" s="1"/>
  <c r="AA9" i="1"/>
  <c r="AA19" i="1"/>
  <c r="I65" i="10" s="1"/>
  <c r="D72" i="1"/>
  <c r="D87" i="1" s="1"/>
  <c r="D91" i="1" s="1"/>
  <c r="D45" i="1"/>
  <c r="D48" i="1" s="1"/>
  <c r="D55" i="1" s="1"/>
  <c r="D57" i="1" s="1"/>
  <c r="D66" i="1" s="1"/>
  <c r="D68" i="1" s="1"/>
  <c r="I45" i="1"/>
  <c r="I48" i="1" s="1"/>
  <c r="I55" i="1" s="1"/>
  <c r="I57" i="1" s="1"/>
  <c r="I66" i="1" s="1"/>
  <c r="I68" i="1" s="1"/>
  <c r="P26" i="1"/>
  <c r="P45" i="1"/>
  <c r="P48" i="1" s="1"/>
  <c r="P55" i="1" s="1"/>
  <c r="P57" i="1" s="1"/>
  <c r="P66" i="1" s="1"/>
  <c r="P68" i="1" s="1"/>
  <c r="V45" i="1"/>
  <c r="V48" i="1" s="1"/>
  <c r="V55" i="1" s="1"/>
  <c r="V57" i="1" s="1"/>
  <c r="V66" i="1" s="1"/>
  <c r="V68" i="1" s="1"/>
  <c r="V26" i="1"/>
  <c r="J88" i="23"/>
  <c r="R45" i="1"/>
  <c r="R48" i="1" s="1"/>
  <c r="R55" i="1" s="1"/>
  <c r="R57" i="1" s="1"/>
  <c r="R66" i="1" s="1"/>
  <c r="R68" i="1" s="1"/>
  <c r="U45" i="1"/>
  <c r="U48" i="1" s="1"/>
  <c r="U55" i="1" s="1"/>
  <c r="U57" i="1" s="1"/>
  <c r="U66" i="1" s="1"/>
  <c r="U68" i="1" s="1"/>
  <c r="U26" i="1"/>
  <c r="E73" i="1"/>
  <c r="E87" i="1" s="1"/>
  <c r="E91" i="1" s="1"/>
  <c r="E45" i="1"/>
  <c r="E48" i="1" s="1"/>
  <c r="N45" i="1"/>
  <c r="N48" i="1" s="1"/>
  <c r="N55" i="1" s="1"/>
  <c r="N57" i="1" s="1"/>
  <c r="N66" i="1" s="1"/>
  <c r="N68" i="1" s="1"/>
  <c r="S45" i="1"/>
  <c r="S48" i="1" s="1"/>
  <c r="S55" i="1" s="1"/>
  <c r="S57" i="1" s="1"/>
  <c r="S66" i="1" s="1"/>
  <c r="S68" i="1" s="1"/>
  <c r="S26" i="1"/>
  <c r="F45" i="1"/>
  <c r="F48" i="1" s="1"/>
  <c r="F55" i="1" s="1"/>
  <c r="F57" i="1" s="1"/>
  <c r="F66" i="1" s="1"/>
  <c r="F68" i="1" s="1"/>
  <c r="T45" i="1"/>
  <c r="T48" i="1" s="1"/>
  <c r="T55" i="1" s="1"/>
  <c r="T57" i="1" s="1"/>
  <c r="T66" i="1" s="1"/>
  <c r="T68" i="1" s="1"/>
  <c r="Z45" i="1"/>
  <c r="Z48" i="1" s="1"/>
  <c r="Z55" i="1" s="1"/>
  <c r="Z57" i="1" s="1"/>
  <c r="Z66" i="1" s="1"/>
  <c r="Z68" i="1" s="1"/>
  <c r="Z26" i="1"/>
  <c r="C103" i="1"/>
  <c r="D102" i="1"/>
  <c r="D103" i="1" s="1"/>
  <c r="D96" i="1" s="1"/>
  <c r="W45" i="1"/>
  <c r="W48" i="1" s="1"/>
  <c r="W55" i="1" s="1"/>
  <c r="W57" i="1" s="1"/>
  <c r="W66" i="1" s="1"/>
  <c r="W68" i="1" s="1"/>
  <c r="W26" i="1"/>
  <c r="C72" i="1"/>
  <c r="C87" i="1" s="1"/>
  <c r="C91" i="1" s="1"/>
  <c r="C45" i="1"/>
  <c r="C48" i="1" s="1"/>
  <c r="C55" i="1" s="1"/>
  <c r="C57" i="1" s="1"/>
  <c r="C66" i="1" s="1"/>
  <c r="C68" i="1" s="1"/>
  <c r="L45" i="1"/>
  <c r="L48" i="1" s="1"/>
  <c r="L55" i="1" s="1"/>
  <c r="L57" i="1" s="1"/>
  <c r="L66" i="1" s="1"/>
  <c r="L68" i="1" s="1"/>
  <c r="L26" i="1"/>
  <c r="Y26" i="1"/>
  <c r="Y45" i="1"/>
  <c r="Y48" i="1" s="1"/>
  <c r="Y55" i="1" s="1"/>
  <c r="Y57" i="1" s="1"/>
  <c r="Y66" i="1" s="1"/>
  <c r="Y68" i="1" s="1"/>
  <c r="O45" i="1"/>
  <c r="O48" i="1" s="1"/>
  <c r="O55" i="1" s="1"/>
  <c r="O57" i="1" s="1"/>
  <c r="O66" i="1" s="1"/>
  <c r="O68" i="1" s="1"/>
  <c r="Q45" i="1"/>
  <c r="Q48" i="1" s="1"/>
  <c r="Q55" i="1" s="1"/>
  <c r="Q57" i="1" s="1"/>
  <c r="Q66" i="1" s="1"/>
  <c r="Q68" i="1" s="1"/>
  <c r="Q26" i="1"/>
  <c r="E53" i="1"/>
  <c r="E86" i="1"/>
  <c r="Z51" i="1"/>
  <c r="D122" i="30"/>
  <c r="H122" i="30" s="1"/>
  <c r="H124" i="30" l="1"/>
  <c r="AA66" i="1"/>
  <c r="AA68" i="1" s="1"/>
  <c r="E96" i="1"/>
  <c r="E97" i="1" s="1"/>
  <c r="E55" i="1"/>
  <c r="E57" i="1" s="1"/>
  <c r="E66" i="1" s="1"/>
  <c r="E68" i="1" s="1"/>
  <c r="C96" i="1"/>
  <c r="C97" i="1" s="1"/>
  <c r="D97" i="1"/>
</calcChain>
</file>

<file path=xl/sharedStrings.xml><?xml version="1.0" encoding="utf-8"?>
<sst xmlns="http://schemas.openxmlformats.org/spreadsheetml/2006/main" count="6196" uniqueCount="715">
  <si>
    <t>CodeAdministratie</t>
  </si>
  <si>
    <t>NaamAdministratie</t>
  </si>
  <si>
    <t>CodeDimensietype</t>
  </si>
  <si>
    <t>NaamDimensietype</t>
  </si>
  <si>
    <t>CodeRapportagestructuurgroep1</t>
  </si>
  <si>
    <t>NaamRapportagestructuurgroep2</t>
  </si>
  <si>
    <t>CodeRapportagestructuurgroep3</t>
  </si>
  <si>
    <t>NaamRapportagestructuurgroep4</t>
  </si>
  <si>
    <t>CodeRapportagestructuurgroep5</t>
  </si>
  <si>
    <t>NaamRapportagestructuurgroep6</t>
  </si>
  <si>
    <t>CodeGrootboekrekening</t>
  </si>
  <si>
    <t>NaamGrootboekrekening</t>
  </si>
  <si>
    <t>Saldo</t>
  </si>
  <si>
    <t>041066359000</t>
  </si>
  <si>
    <t>QSP ESS B.V.</t>
  </si>
  <si>
    <t>BAS</t>
  </si>
  <si>
    <t>Balans</t>
  </si>
  <si>
    <t>GLB15</t>
  </si>
  <si>
    <t>Vastgoedbeleggingen</t>
  </si>
  <si>
    <t>SLB2510</t>
  </si>
  <si>
    <t/>
  </si>
  <si>
    <t>1600000</t>
  </si>
  <si>
    <t>VG Vastgoedbeleggingen Verkrijgings- of vervaardigingsprijs</t>
  </si>
  <si>
    <t>1600200</t>
  </si>
  <si>
    <t>VG Vastgoedbeleggingen Cum afschrijvingen en waardeverm</t>
  </si>
  <si>
    <t>1610803</t>
  </si>
  <si>
    <t>VG Comm VG in exploitatie Buitengebruikstellingen aanschaffingswaarde</t>
  </si>
  <si>
    <t>GLB20</t>
  </si>
  <si>
    <t>Financiële vaste activa</t>
  </si>
  <si>
    <t>SLB2020</t>
  </si>
  <si>
    <t>Overige deelneming</t>
  </si>
  <si>
    <t>1710004</t>
  </si>
  <si>
    <t>FVA Deelneming VvE portefeuille Vivare II</t>
  </si>
  <si>
    <t>SLB2100</t>
  </si>
  <si>
    <t>Overige vorderingen</t>
  </si>
  <si>
    <t>1790002</t>
  </si>
  <si>
    <t>FVA Latente belastingvordering langlopend</t>
  </si>
  <si>
    <t>GLB40</t>
  </si>
  <si>
    <t>Vorderingen</t>
  </si>
  <si>
    <t>SLB4010</t>
  </si>
  <si>
    <t>Debiteuren</t>
  </si>
  <si>
    <t>2000000</t>
  </si>
  <si>
    <t>VOR Debiteuren</t>
  </si>
  <si>
    <t>2000300</t>
  </si>
  <si>
    <t>VOR Voorziening dubieuze debiteuren</t>
  </si>
  <si>
    <t>SLB4076</t>
  </si>
  <si>
    <t>Rekening-courant aandeelhouder</t>
  </si>
  <si>
    <t>2640000</t>
  </si>
  <si>
    <t>RC Kortlopend DMRRP INV - I BV</t>
  </si>
  <si>
    <t>2640001</t>
  </si>
  <si>
    <t>RC Kortlopend QSPESS Limited</t>
  </si>
  <si>
    <t>SLB4080</t>
  </si>
  <si>
    <t>Overige vorderingen en overlopende activa</t>
  </si>
  <si>
    <t>2040700</t>
  </si>
  <si>
    <t>VOR Vooruitbetaalde servicekosten</t>
  </si>
  <si>
    <t>2040900</t>
  </si>
  <si>
    <t>VOR Vooruitbetaalde overige kosten</t>
  </si>
  <si>
    <t>GLB50</t>
  </si>
  <si>
    <t>Liquide middelen</t>
  </si>
  <si>
    <t>SLB5020</t>
  </si>
  <si>
    <t>Kruisposten</t>
  </si>
  <si>
    <t>2300000</t>
  </si>
  <si>
    <t>LM Kruisposten</t>
  </si>
  <si>
    <t>SLB5096</t>
  </si>
  <si>
    <t>Banken</t>
  </si>
  <si>
    <t>2400200</t>
  </si>
  <si>
    <t>LM ABN AMRO Bank Disposal NL58 ABNA 0818 9180 39</t>
  </si>
  <si>
    <t>2400201</t>
  </si>
  <si>
    <t>LM ABN AMRO Bank Deposit NL57 ABNA 0541 6205 68</t>
  </si>
  <si>
    <t>2400202</t>
  </si>
  <si>
    <t>LM ABN AMRO Bank General NL93 ABNA 0541 6132 27</t>
  </si>
  <si>
    <t>2400203</t>
  </si>
  <si>
    <t>LM ABN AMRO Bank Maintres NL04 ABNA 0541 6188 06</t>
  </si>
  <si>
    <t>2400204</t>
  </si>
  <si>
    <t>LM ABN AMRO Bank Rent NL46 ABNA 0541 6088 35</t>
  </si>
  <si>
    <t>2400205</t>
  </si>
  <si>
    <t>LM ABN AMRO Bank SR EXP NL88 ABNA 0541 6205 92</t>
  </si>
  <si>
    <t>GLB60</t>
  </si>
  <si>
    <t>Aandelenkapitaal</t>
  </si>
  <si>
    <t>SLB6010</t>
  </si>
  <si>
    <t>Normale aandelen</t>
  </si>
  <si>
    <t>1000002</t>
  </si>
  <si>
    <t>EV Normale aandelen  Saldo</t>
  </si>
  <si>
    <t>GLB62</t>
  </si>
  <si>
    <t>Reserves</t>
  </si>
  <si>
    <t>SLB6210</t>
  </si>
  <si>
    <t>Agioreserve</t>
  </si>
  <si>
    <t>1100000</t>
  </si>
  <si>
    <t>EV Agioreserve  Agio aandelen</t>
  </si>
  <si>
    <t>1100100</t>
  </si>
  <si>
    <t>EV Agioreserve  Storting door aandeelhouders aandelen</t>
  </si>
  <si>
    <t>SLB6270</t>
  </si>
  <si>
    <t>Overige reserve</t>
  </si>
  <si>
    <t>1160000</t>
  </si>
  <si>
    <t>EV Overige reserve Reserve aandelen</t>
  </si>
  <si>
    <t>1160100</t>
  </si>
  <si>
    <t>EV Overige reserve  Dividenduitkeringen aandelen</t>
  </si>
  <si>
    <t>GLB70</t>
  </si>
  <si>
    <t>Langlopende schulden</t>
  </si>
  <si>
    <t>SLB7040</t>
  </si>
  <si>
    <t>Hypotheek</t>
  </si>
  <si>
    <t>1930000</t>
  </si>
  <si>
    <t>LLS Hoofdsom ABN AMRO Bank NV leningen</t>
  </si>
  <si>
    <t>1930001</t>
  </si>
  <si>
    <t>LLS Hoofdsom ABN AMRO Bank NV Senior Facility Agreement</t>
  </si>
  <si>
    <t>1930100</t>
  </si>
  <si>
    <t>LLS Cum aflossingen ABN AMRO Bank NV leningen</t>
  </si>
  <si>
    <t>1930101</t>
  </si>
  <si>
    <t>LLS Cum aflossingen ABN AMRO Bank NV Senior Facility Agreement</t>
  </si>
  <si>
    <t>1930201</t>
  </si>
  <si>
    <t>LLS Kortlopend deel ABN AMRO Bank NV Senior Facility Agreement</t>
  </si>
  <si>
    <t>SLB7100</t>
  </si>
  <si>
    <t>Aandeelhouder</t>
  </si>
  <si>
    <t>1990001</t>
  </si>
  <si>
    <t>LLS Hoofdsom QSPESS Limited</t>
  </si>
  <si>
    <t>1990101</t>
  </si>
  <si>
    <t>LLS Cum aflossingen QSPESS Limited</t>
  </si>
  <si>
    <t>GLB80</t>
  </si>
  <si>
    <t>Kortlopende schulden</t>
  </si>
  <si>
    <t>SLB8025</t>
  </si>
  <si>
    <t>Schulden aan lev en handelskred</t>
  </si>
  <si>
    <t>2730000</t>
  </si>
  <si>
    <t>KLS Crediteuren</t>
  </si>
  <si>
    <t>2730001</t>
  </si>
  <si>
    <t>KLS Crediteuren intercompany</t>
  </si>
  <si>
    <t>SLB8060</t>
  </si>
  <si>
    <t>Belastingen en pensioen</t>
  </si>
  <si>
    <t>SLB80601</t>
  </si>
  <si>
    <t>Omzetbelasting</t>
  </si>
  <si>
    <t>2512100</t>
  </si>
  <si>
    <t>BEL Afgedragen/ontvangen BTW</t>
  </si>
  <si>
    <t>SLB80603</t>
  </si>
  <si>
    <t>Vennootschapsbelasting</t>
  </si>
  <si>
    <t>2530000</t>
  </si>
  <si>
    <t>BEL Te betalen vennootschapsbelasting</t>
  </si>
  <si>
    <t>SLB80606</t>
  </si>
  <si>
    <t>Overige belastingen</t>
  </si>
  <si>
    <t>2550000</t>
  </si>
  <si>
    <t>BEL Te betalen overige belastingen</t>
  </si>
  <si>
    <t>SLB8065</t>
  </si>
  <si>
    <t>Overige schulden</t>
  </si>
  <si>
    <t>2740300</t>
  </si>
  <si>
    <t>KLS Te betalen waarborgsommen kortlopend</t>
  </si>
  <si>
    <t>2740500</t>
  </si>
  <si>
    <t>KLS Te betalen accountants- en administratiekosten</t>
  </si>
  <si>
    <t>2740600</t>
  </si>
  <si>
    <t>KLS Te betalen rente</t>
  </si>
  <si>
    <t>2741000</t>
  </si>
  <si>
    <t>KLS Te betalen servicekosten</t>
  </si>
  <si>
    <t>2741001</t>
  </si>
  <si>
    <t>KLS Te betalen exploitatiekosten</t>
  </si>
  <si>
    <t>2741002</t>
  </si>
  <si>
    <t>KLS Te betalen VVE</t>
  </si>
  <si>
    <t>2741003</t>
  </si>
  <si>
    <t>KLS Te betalen Wieglia</t>
  </si>
  <si>
    <t>2741004</t>
  </si>
  <si>
    <t>KLS Te betalen Hoen</t>
  </si>
  <si>
    <t>2741005</t>
  </si>
  <si>
    <t>KLS Te betalen managementvergoedingen</t>
  </si>
  <si>
    <t>2741200</t>
  </si>
  <si>
    <t>KLS Te betalen overige kosten</t>
  </si>
  <si>
    <t>2741900</t>
  </si>
  <si>
    <t>KLS Nog uit te zoeken posten MT940</t>
  </si>
  <si>
    <t>2742200</t>
  </si>
  <si>
    <t>KLS Vooruitontvangen bedragen</t>
  </si>
  <si>
    <t>2749800</t>
  </si>
  <si>
    <t>KLS Diverse overige schulden</t>
  </si>
  <si>
    <t>PNL</t>
  </si>
  <si>
    <t>Winst &amp; verlies</t>
  </si>
  <si>
    <t>GLP00</t>
  </si>
  <si>
    <t>Netto-omzet</t>
  </si>
  <si>
    <t>SLP0010</t>
  </si>
  <si>
    <t>8000000</t>
  </si>
  <si>
    <t>OPB Netto-omzet</t>
  </si>
  <si>
    <t>8000003</t>
  </si>
  <si>
    <t>OPB Netto-omzet Theoretische huuropbrengsten</t>
  </si>
  <si>
    <t>8000004</t>
  </si>
  <si>
    <t>OPB Netto-omzet Leegstand huuropbrengsten</t>
  </si>
  <si>
    <t>SLP0050</t>
  </si>
  <si>
    <t>Overige bedrijfsopbrengsten</t>
  </si>
  <si>
    <t>8400400</t>
  </si>
  <si>
    <t>OPB Overige bedrijfsopbrengsten</t>
  </si>
  <si>
    <t>8400600</t>
  </si>
  <si>
    <t>OPB Overige bedrijfsopbrengsten Totale servicekosten</t>
  </si>
  <si>
    <t>8400700</t>
  </si>
  <si>
    <t>OPB Overige bedrijfsopbrengsten Servicekosten leegstand</t>
  </si>
  <si>
    <t>8400800</t>
  </si>
  <si>
    <t>OPB Overige bedrijfsopbrengsten Gerealiseerde servicekosten</t>
  </si>
  <si>
    <t>GLP10</t>
  </si>
  <si>
    <t>Kostprijs van de omzet</t>
  </si>
  <si>
    <t>SLP1010</t>
  </si>
  <si>
    <t>Inkoopwaarde omzet</t>
  </si>
  <si>
    <t>7000000</t>
  </si>
  <si>
    <t>KP Inkoopwaarde omzet</t>
  </si>
  <si>
    <t>GLP20</t>
  </si>
  <si>
    <t>Bedrijfslasten</t>
  </si>
  <si>
    <t>SLP2025</t>
  </si>
  <si>
    <t>Overige personeelskosten</t>
  </si>
  <si>
    <t>4051400</t>
  </si>
  <si>
    <t>KN Diensten door derden</t>
  </si>
  <si>
    <t>SLP2030</t>
  </si>
  <si>
    <t>Afschrijvingen</t>
  </si>
  <si>
    <t>SLP20303</t>
  </si>
  <si>
    <t>Afschrijvingen VG</t>
  </si>
  <si>
    <t>4730000</t>
  </si>
  <si>
    <t>AFKN Afschrijvingskosten Vastgoedbeleggingen</t>
  </si>
  <si>
    <t>4730200</t>
  </si>
  <si>
    <t>AFKN Boekresultaat Vastgoedbeleggingen</t>
  </si>
  <si>
    <t>SLP2040</t>
  </si>
  <si>
    <t>Huisvestingskosten</t>
  </si>
  <si>
    <t>4100400</t>
  </si>
  <si>
    <t>KN Onderhoud gebouwen</t>
  </si>
  <si>
    <t>4100410</t>
  </si>
  <si>
    <t>Verhuurdersheffing</t>
  </si>
  <si>
    <t>4100900</t>
  </si>
  <si>
    <t>KN Onroerende zaakbelasting</t>
  </si>
  <si>
    <t>4101000</t>
  </si>
  <si>
    <t>KN VvE-kosten</t>
  </si>
  <si>
    <t>4101010</t>
  </si>
  <si>
    <t>Gemeentelijke belastingen</t>
  </si>
  <si>
    <t>4101020</t>
  </si>
  <si>
    <t>Waterschapsbelasting</t>
  </si>
  <si>
    <t>4101400</t>
  </si>
  <si>
    <t>KN Kosten vereniging van eigenaren</t>
  </si>
  <si>
    <t>SLP2050</t>
  </si>
  <si>
    <t>Verkoopkosten</t>
  </si>
  <si>
    <t>4501300</t>
  </si>
  <si>
    <t>KN Afboeking dubieuze debiteuren</t>
  </si>
  <si>
    <t>SLP2060</t>
  </si>
  <si>
    <t>Kantoorkosten</t>
  </si>
  <si>
    <t>4300500</t>
  </si>
  <si>
    <t>KN Incassokosten</t>
  </si>
  <si>
    <t>SLP2065</t>
  </si>
  <si>
    <t>Algemene kosten</t>
  </si>
  <si>
    <t>4310400</t>
  </si>
  <si>
    <t>KN Assurantiepremie algemeen</t>
  </si>
  <si>
    <t>4310500</t>
  </si>
  <si>
    <t>KN Managementvergoeding</t>
  </si>
  <si>
    <t>4310600</t>
  </si>
  <si>
    <t>KN Accountantskosten</t>
  </si>
  <si>
    <t>4310700</t>
  </si>
  <si>
    <t>KN Administratiekosten</t>
  </si>
  <si>
    <t>4310800</t>
  </si>
  <si>
    <t>KN Makelaarskosten</t>
  </si>
  <si>
    <t>4311000</t>
  </si>
  <si>
    <t>KN Juridische kosten</t>
  </si>
  <si>
    <t>4311800</t>
  </si>
  <si>
    <t>KN Advieskosten</t>
  </si>
  <si>
    <t>4311900</t>
  </si>
  <si>
    <t>KN Bankkosten</t>
  </si>
  <si>
    <t>4319800</t>
  </si>
  <si>
    <t>KN Overige algemene kosten</t>
  </si>
  <si>
    <t>GLP25</t>
  </si>
  <si>
    <t>Financiële baten en lasten</t>
  </si>
  <si>
    <t>GLP30</t>
  </si>
  <si>
    <t>Andere rentebaten/-lasten en soortgelijken opbrengsten/kosten</t>
  </si>
  <si>
    <t>SLP3025</t>
  </si>
  <si>
    <t>Overige rentelasten</t>
  </si>
  <si>
    <t>4623000</t>
  </si>
  <si>
    <t>FINBL Rente ABN AMRO Bank NV leningen</t>
  </si>
  <si>
    <t>4623001</t>
  </si>
  <si>
    <t>FINBL Rente ABN AMRO Bank NV Senior Facility Agreement</t>
  </si>
  <si>
    <t>4628001</t>
  </si>
  <si>
    <t>FINBL Rente LLS QSPESS Limited</t>
  </si>
  <si>
    <t>4630000</t>
  </si>
  <si>
    <t>FINBL Rente belastingen</t>
  </si>
  <si>
    <t>4643000</t>
  </si>
  <si>
    <t>FINBL Overige rentelasten</t>
  </si>
  <si>
    <t>GLP55</t>
  </si>
  <si>
    <t>Belastingen</t>
  </si>
  <si>
    <t>SLP5520</t>
  </si>
  <si>
    <t>Mutatie belastinglatentie</t>
  </si>
  <si>
    <t>9510000</t>
  </si>
  <si>
    <t>VPB Mutatie belastinglatentie Mutatie actieve latentie</t>
  </si>
  <si>
    <t>Balance sheet</t>
  </si>
  <si>
    <t>Real estate</t>
  </si>
  <si>
    <t>Accounts receivable</t>
  </si>
  <si>
    <t>Prepaid expenses</t>
  </si>
  <si>
    <t>Cash</t>
  </si>
  <si>
    <t>Equity</t>
  </si>
  <si>
    <t>Bank loan</t>
  </si>
  <si>
    <t>Accounts payable</t>
  </si>
  <si>
    <t>VAT payable</t>
  </si>
  <si>
    <t>Deposits</t>
  </si>
  <si>
    <t>Total</t>
  </si>
  <si>
    <t>Profit &amp; Loss</t>
  </si>
  <si>
    <t>(Financial vacancy)</t>
  </si>
  <si>
    <t>Gross rental income</t>
  </si>
  <si>
    <t>Service costs charged (100% occupancy)</t>
  </si>
  <si>
    <t>(Vacancy costs)</t>
  </si>
  <si>
    <t xml:space="preserve">Service charges </t>
  </si>
  <si>
    <t>(Maintenance &amp; repair costs actual)</t>
  </si>
  <si>
    <t>(Owners society costs (VVE))</t>
  </si>
  <si>
    <t>(Insurance costs)</t>
  </si>
  <si>
    <t>(Landlord costs)</t>
  </si>
  <si>
    <t>(Property tax)</t>
  </si>
  <si>
    <t>(Water collection, sewerage costs)</t>
  </si>
  <si>
    <t>(Agent costs)</t>
  </si>
  <si>
    <t>(Other costs)</t>
  </si>
  <si>
    <t>Property related expenses</t>
  </si>
  <si>
    <t>Net rental income</t>
  </si>
  <si>
    <t>(Management fees)</t>
  </si>
  <si>
    <t>Cash proceeds sale</t>
  </si>
  <si>
    <t>(Cost of sales)</t>
  </si>
  <si>
    <t>(Brokerage costs)</t>
  </si>
  <si>
    <t>(Net interest expenses)</t>
  </si>
  <si>
    <t>EBT</t>
  </si>
  <si>
    <t>Direct result</t>
  </si>
  <si>
    <t>Cash Flow statement</t>
  </si>
  <si>
    <t>Rental income in period</t>
  </si>
  <si>
    <t>Cash from Sales</t>
  </si>
  <si>
    <t>Total cash flow from operations</t>
  </si>
  <si>
    <t>Cash flow of period</t>
  </si>
  <si>
    <t>Cash per start of period</t>
  </si>
  <si>
    <t>(+) Cash flow of period</t>
  </si>
  <si>
    <t>Cash per period end</t>
  </si>
  <si>
    <t>ABN AMRO NL04 ABNA 0541 6188 06 MAINT</t>
  </si>
  <si>
    <t>ABN AMRO NL88 ABNA 0541 6205 92 EXP</t>
  </si>
  <si>
    <t>ABN AMRO NL93 ABNA 0541 6132 27 GEN</t>
  </si>
  <si>
    <t>ABN AMRO NL57 ABNA 0541 6205 68 DEP</t>
  </si>
  <si>
    <t>ABN AMRO NL58 ABNA 0818 9180 39 DISPOSAL</t>
  </si>
  <si>
    <t>Gross Theoretical rental income</t>
  </si>
  <si>
    <t>2018 - Actual</t>
  </si>
  <si>
    <t>AC Shareholder</t>
  </si>
  <si>
    <t>(Accountant costs)</t>
  </si>
  <si>
    <t>(Advisory costs)</t>
  </si>
  <si>
    <t>(Management fee Shareholder)</t>
  </si>
  <si>
    <t>EBITDA from Sales</t>
  </si>
  <si>
    <t>Included above</t>
  </si>
  <si>
    <t>Total EBITDA</t>
  </si>
  <si>
    <t>(Depreciation)</t>
  </si>
  <si>
    <t>EBIT</t>
  </si>
  <si>
    <t>(Net interest expenses - QSPESS Limited)</t>
  </si>
  <si>
    <t>(Net interest expenses - SFA)</t>
  </si>
  <si>
    <t>(Net interest expenses - Hedge)</t>
  </si>
  <si>
    <t>Service Charge Income</t>
  </si>
  <si>
    <t>Cash flow from rent</t>
  </si>
  <si>
    <t>(Debt redemption from sales)</t>
  </si>
  <si>
    <t>(Debt redemption SFA)</t>
  </si>
  <si>
    <t>(Other movements)</t>
  </si>
  <si>
    <t>Per 31-12-2018</t>
  </si>
  <si>
    <t>Commentary</t>
  </si>
  <si>
    <t>EBITDA rental operation</t>
  </si>
  <si>
    <t>(Service costs)</t>
  </si>
  <si>
    <t>Deferred Tax Asset</t>
  </si>
  <si>
    <t>Total (Equity Movement)</t>
  </si>
  <si>
    <t>Beginbalans (01-04-2018)</t>
  </si>
  <si>
    <t>Balans per 30-06-2018</t>
  </si>
  <si>
    <t>Balans per 30-09-2018</t>
  </si>
  <si>
    <t>Balans per 31-12-2018</t>
  </si>
  <si>
    <t>Balans per 31-03-2019</t>
  </si>
  <si>
    <t>Totaal Vastgoedbeleggingen</t>
  </si>
  <si>
    <t>Totaal Financiële vaste activa</t>
  </si>
  <si>
    <t>Totaal Debiteuren</t>
  </si>
  <si>
    <t xml:space="preserve">VOR Vooruitbetaalde servicekosten </t>
  </si>
  <si>
    <t xml:space="preserve">VOR Vooruitbetaalde overige kosten </t>
  </si>
  <si>
    <t>Totaal Overige vorderingen en overlopende activa</t>
  </si>
  <si>
    <t>Totaal Rekening-courant aandeelhouder</t>
  </si>
  <si>
    <t>Totaal Liquide middelen</t>
  </si>
  <si>
    <t>Totaal Eigen vermogen</t>
  </si>
  <si>
    <t xml:space="preserve">LLS Hoofdsom ABN AMRO Bank NV leningen </t>
  </si>
  <si>
    <t xml:space="preserve">LLS Cum aflossingen ABN AMRO Bank NV leningen </t>
  </si>
  <si>
    <t>Totaal Langlopende schulden</t>
  </si>
  <si>
    <t>Totaal Crediteuren</t>
  </si>
  <si>
    <t>2511000</t>
  </si>
  <si>
    <t>BEL BTW te vorderen hoog</t>
  </si>
  <si>
    <t>Totaal Belastingen</t>
  </si>
  <si>
    <t>2740700</t>
  </si>
  <si>
    <t>KLS Te betalen verzekeringen</t>
  </si>
  <si>
    <t>Totaal Overige schulden</t>
  </si>
  <si>
    <t>Winst- en verliesrekening (baten zijn positief, kosten negatief)</t>
  </si>
  <si>
    <t>Q1 - Actuals</t>
  </si>
  <si>
    <t>Q2 - Cumulatief</t>
  </si>
  <si>
    <t>Q2 - Actuals</t>
  </si>
  <si>
    <t>Q3 - Cumulatief</t>
  </si>
  <si>
    <t>Q3 - Actuals</t>
  </si>
  <si>
    <t>Q4 - Cumulatief</t>
  </si>
  <si>
    <t>Q4 - Actuals</t>
  </si>
  <si>
    <t>Check</t>
  </si>
  <si>
    <t>Q1 2019 - Actuals</t>
  </si>
  <si>
    <t>Q2-2018 tm Q1 2019</t>
  </si>
  <si>
    <t>Totaal Netto-omzet</t>
  </si>
  <si>
    <t>Totaal Overige bedrijfsopbrengsten</t>
  </si>
  <si>
    <t>Totaal Inkoopwaarde omzet</t>
  </si>
  <si>
    <t>Totaal Afschrijvingen vastgoedbeleggingen</t>
  </si>
  <si>
    <t>4101300</t>
  </si>
  <si>
    <t>KN Servicekosten leegstand</t>
  </si>
  <si>
    <t>Totaal Huisvestingskosten</t>
  </si>
  <si>
    <t>Totaal Verkoopkosten</t>
  </si>
  <si>
    <t>Totaal Kantoorkosten</t>
  </si>
  <si>
    <t xml:space="preserve">KN Advieskosten </t>
  </si>
  <si>
    <t>Totaal Algemene kosten</t>
  </si>
  <si>
    <t xml:space="preserve">FINBL Rente ABN AMRO Bank NV leningen </t>
  </si>
  <si>
    <t>Totaal Financiële baten en lasten</t>
  </si>
  <si>
    <t>VPB Vennootschapsbelasting VPB huidig jaar</t>
  </si>
  <si>
    <t>Resultaat voor vennootschapsbelasting</t>
  </si>
  <si>
    <t>Q1 2019</t>
  </si>
  <si>
    <t>Q2 2018 - Q1 2019 - LTM</t>
  </si>
  <si>
    <t>Book value real estate</t>
  </si>
  <si>
    <t>Per 31-03-2019</t>
  </si>
  <si>
    <t>ABN AMRO NL46 ABNA 0541 6088 35 RENT</t>
  </si>
  <si>
    <t>Primarily dividend upstream to DMRRP INV - I B.V.</t>
  </si>
  <si>
    <t>ABN AMRO deducted the redemption amount per 04-04-2018</t>
  </si>
  <si>
    <t xml:space="preserve">ABN redeemed the Disposals account per 04-04-2019 for EUR 799k, also including the Haagbeukhof sale </t>
  </si>
  <si>
    <t>Incl. prepayed amount recorded in balance sheet</t>
  </si>
  <si>
    <t>Bank account overview</t>
  </si>
  <si>
    <t>Commentary on balance sheet</t>
  </si>
  <si>
    <t>Totaal overige vorderingen</t>
  </si>
  <si>
    <t>Totaal overige personeelskosten</t>
  </si>
  <si>
    <t>Resultaat voor acute vennootschapsbelasting</t>
  </si>
  <si>
    <t>FVA Deelneming VvE Portefeuille Vivare II</t>
  </si>
  <si>
    <t>Diensten door derden</t>
  </si>
  <si>
    <t>KN Overige huisvestingskosten</t>
  </si>
  <si>
    <t>KN Mutatie voorziening dubieuze debiteuren</t>
  </si>
  <si>
    <t>KN Abonnementen en contributies</t>
  </si>
  <si>
    <t xml:space="preserve">FINBL Rente ABN AMRO Bank NV Leningen </t>
  </si>
  <si>
    <t>Saldi per 30-06-2019</t>
  </si>
  <si>
    <t>Included Above</t>
  </si>
  <si>
    <t>-</t>
  </si>
  <si>
    <t>Mutaties Q1 2019</t>
  </si>
  <si>
    <t>Mutaties Q2 2019</t>
  </si>
  <si>
    <t>Q2 2019</t>
  </si>
  <si>
    <t>Eindbalans 30-09-2018</t>
  </si>
  <si>
    <t>Mutaties periode Q4 2018</t>
  </si>
  <si>
    <t>Mutaties Q1 t/m Q3 2019</t>
  </si>
  <si>
    <t>Saldi per 30-09-2019</t>
  </si>
  <si>
    <t>Mutaties Q3 2019</t>
  </si>
  <si>
    <t>1611003</t>
  </si>
  <si>
    <t>VG Comm VG in exploitatie Buitengebruikstellingen cum. afschr. en waardeverm.</t>
  </si>
  <si>
    <t>EV Normale aandelen Saldo</t>
  </si>
  <si>
    <t>EV Agioreserve Agio aandelen</t>
  </si>
  <si>
    <t>4109800</t>
  </si>
  <si>
    <t>4500400</t>
  </si>
  <si>
    <t>KN Representatiekosten</t>
  </si>
  <si>
    <t>4501200</t>
  </si>
  <si>
    <t>4310000</t>
  </si>
  <si>
    <t>4312600</t>
  </si>
  <si>
    <t>KN Agent Fee facility</t>
  </si>
  <si>
    <t>VPB Vennootschapsbelasting VPB voorgaande jaren</t>
  </si>
  <si>
    <t>Totaal vennootschapsbelasting</t>
  </si>
  <si>
    <t>Resultaat na belasting</t>
  </si>
  <si>
    <t>Q3 2019</t>
  </si>
  <si>
    <t>Q4 2019</t>
  </si>
  <si>
    <t>Eindbalans 31-12-2018</t>
  </si>
  <si>
    <t>Mutaties periode Q1 2019</t>
  </si>
  <si>
    <t>Mutaties Q4 2019</t>
  </si>
  <si>
    <t>Saldi per 31-12-2019</t>
  </si>
  <si>
    <t>VOR Te vorderen waarborgsommen kortlopen</t>
  </si>
  <si>
    <t>Eindbalans 31-03-2019</t>
  </si>
  <si>
    <t>Mutaties Q1 2020</t>
  </si>
  <si>
    <t>Saldi per 31-03-2020</t>
  </si>
  <si>
    <t>Q1 2020</t>
  </si>
  <si>
    <t>(Landlord tax costs)</t>
  </si>
  <si>
    <t>Eindbalans 30-06-2019</t>
  </si>
  <si>
    <t>Mutaties Q2 2020</t>
  </si>
  <si>
    <t>Saldi per 30-06-2020</t>
  </si>
  <si>
    <t>VPB Vennootschapsbelasting VPB Huidg jaar</t>
  </si>
  <si>
    <t>Correctie ketels</t>
  </si>
  <si>
    <t>(Delta DTA &amp; CIT)</t>
  </si>
  <si>
    <t>Eindbalans 30-09-2019</t>
  </si>
  <si>
    <t>Mutaties Q3</t>
  </si>
  <si>
    <t>Saldi per 30-09-2020</t>
  </si>
  <si>
    <t>FINBL overige rentebaten</t>
  </si>
  <si>
    <t>Q3 2020</t>
  </si>
  <si>
    <t>V</t>
  </si>
  <si>
    <t>Resultaat Twinfield</t>
  </si>
  <si>
    <t>Resultaat Rapportage</t>
  </si>
  <si>
    <t>Verschil</t>
  </si>
  <si>
    <t>Corr activeren OH 2019</t>
  </si>
  <si>
    <t>Eindbalans 31-12-2019</t>
  </si>
  <si>
    <t>Mutaties Q4</t>
  </si>
  <si>
    <t>Saldi per 31-12-2020</t>
  </si>
  <si>
    <t>Eindbalans 31-01-2020</t>
  </si>
  <si>
    <t>Mutaties Q3 2020</t>
  </si>
  <si>
    <t>Mutaties Q4 2020</t>
  </si>
  <si>
    <t>Mutaties Q1 2021</t>
  </si>
  <si>
    <t>Saldi per 31-03-2021</t>
  </si>
  <si>
    <t>FINBL Rente RC DMRRP INV - I BV</t>
  </si>
  <si>
    <t>(Net interest expenses - Tax/other)</t>
  </si>
  <si>
    <t>Q4</t>
  </si>
  <si>
    <t>Q3</t>
  </si>
  <si>
    <t>Relates to the CIT payment by DMRRP INV - I B.V., for which funds from QSP ESS B.V. are transferred to DMRRP INV - I</t>
  </si>
  <si>
    <t>Eindbalans per 30-06-2020</t>
  </si>
  <si>
    <t>Mutaties Q2 2021</t>
  </si>
  <si>
    <t>Saldi per 30-06-2021</t>
  </si>
  <si>
    <t>Q2 2021</t>
  </si>
  <si>
    <t>Eindbalans per 30-09-2020</t>
  </si>
  <si>
    <t>Mutaties Q3 2021</t>
  </si>
  <si>
    <t>Saldi per 30-09-2021</t>
  </si>
  <si>
    <t>Vooruitontvangen op debiteuren</t>
  </si>
  <si>
    <t>VOR Vooruitbetaalde verzekeringen</t>
  </si>
  <si>
    <t>Correctie betreft waterschapsbelasting, welke in Q3 betaald is over de hele periode van 2021. Deze kosten zijn verdeeld over 4 kwartalen.</t>
  </si>
  <si>
    <t>KLS Vooruitgefactureerde huur</t>
  </si>
  <si>
    <t>Correctie betreft Verhuurdersheffing, welke in Q3 betaald is over de hele periode van 2021. Deze kosten zijn verdeeld over 4 kwartalen.</t>
  </si>
  <si>
    <t>KLS Te betalen agency fee</t>
  </si>
  <si>
    <t xml:space="preserve">                                  -  </t>
  </si>
  <si>
    <t>Rent roll oct 21 / 4</t>
  </si>
  <si>
    <t>Eindbalans per 31-12-2020</t>
  </si>
  <si>
    <t>Saldi per 31-12-2021</t>
  </si>
  <si>
    <t>Herpresentatie debiteuren &gt; betreft achterstand</t>
  </si>
  <si>
    <t>Herpresentatie debiteuren &gt; betreft voorstand</t>
  </si>
  <si>
    <t>Q4 2021</t>
  </si>
  <si>
    <t>Mutaties Q4 2021</t>
  </si>
  <si>
    <t>ENVASTGOED IN KOSTEN</t>
  </si>
  <si>
    <t>Tax asset resulting from different deprecation treatment for fiscal and commercial accounting purposes</t>
  </si>
  <si>
    <t>Eindbalans per 31-03-2021</t>
  </si>
  <si>
    <t>Mutaties Q1 2022</t>
  </si>
  <si>
    <t>Saldi per 31-03-2022</t>
  </si>
  <si>
    <t>Aanpassing ivm jaarrekening: Nagekomen facturen 2021 vanuit Hoen</t>
  </si>
  <si>
    <t>Aanpassing ivm jaarrekening: resultaat is aangepast, waardoor latentie ook</t>
  </si>
  <si>
    <t>Aanpassing ivm jaarrekening: rente + boeking vpb</t>
  </si>
  <si>
    <t>Betreft vooruitbetaalde OZB/gemeentelijke belastingen 2022</t>
  </si>
  <si>
    <t>Aanpassing ivm jaarrekening: afboeking rest kruisposten</t>
  </si>
  <si>
    <t>Aanpassing ivm jaarrekening: Overloop</t>
  </si>
  <si>
    <t>Aanpassing ivm jaarrekening</t>
  </si>
  <si>
    <t xml:space="preserve">OPB Overige bedrijfsopbrengsten </t>
  </si>
  <si>
    <t>Aanpassing ivm jaarrekening: VPB boeking</t>
  </si>
  <si>
    <t>Q1 2022</t>
  </si>
  <si>
    <t>Eindbalans per 30-06-2021</t>
  </si>
  <si>
    <t>Mutaties Q2 2022</t>
  </si>
  <si>
    <t>Saldi per 30-06-2022</t>
  </si>
  <si>
    <t>Correctie nav definitieve jaarrekening</t>
  </si>
  <si>
    <t>Verdelen verzekering over heel 2022</t>
  </si>
  <si>
    <t>Kosten verdelen over heel 2022</t>
  </si>
  <si>
    <t>Afronding</t>
  </si>
  <si>
    <t>Q2 2022</t>
  </si>
  <si>
    <t>Eindbalans per 30-09-2021</t>
  </si>
  <si>
    <t>Mutaties Q3 2022</t>
  </si>
  <si>
    <t>Saldi per 30-09-2022</t>
  </si>
  <si>
    <t>Verdelen over periodes</t>
  </si>
  <si>
    <t>Q3 2022</t>
  </si>
  <si>
    <t>Rent Invoiced in advance</t>
  </si>
  <si>
    <t>Eindbalans per 31-12-2021</t>
  </si>
  <si>
    <t>Mutaties Q4 2022</t>
  </si>
  <si>
    <t>Saldi per 31-12-2022</t>
  </si>
  <si>
    <t>FVA Hoofdsom lening DMRRP INV - I BV</t>
  </si>
  <si>
    <t>Nog geen rente over berekend. Opgevraagd bij Folkert.</t>
  </si>
  <si>
    <t xml:space="preserve">Opgevraagd bij Hoen, wordt beboekt bij de jaarrekening. </t>
  </si>
  <si>
    <t>LLS ABN AMRO Bank NV leningen SWAP + extension fee</t>
  </si>
  <si>
    <t>Nagekomen factuur Lexence 200103508</t>
  </si>
  <si>
    <t>Specificatie crediteuren sluit nog niet aan met cijfers. Opgevraagd Hoen 24-1</t>
  </si>
  <si>
    <t>Aangifte btw 4e kwartaal nog niet ontvangen, opgevraagd Hoen 24-1</t>
  </si>
  <si>
    <t>KLS Rekening-courant CV I</t>
  </si>
  <si>
    <t>Totaal Rekening-courant groepsmaatschappij</t>
  </si>
  <si>
    <t>Ontbreekt 1 factuur, opgevraagd bij Hoen</t>
  </si>
  <si>
    <t>Wordt nog berekend bij het opstellen van de jaarrekening.</t>
  </si>
  <si>
    <t>Current account</t>
  </si>
  <si>
    <t>Financial fixed assets</t>
  </si>
  <si>
    <t>Intercompany current account</t>
  </si>
  <si>
    <t>Q4 2022</t>
  </si>
  <si>
    <t xml:space="preserve">ABN AMRO NL11 ABNA 0114 3362 02 CAPEX </t>
  </si>
  <si>
    <t>=</t>
  </si>
  <si>
    <t>(Intercompany costs)</t>
  </si>
  <si>
    <t>EN VASTGOED</t>
  </si>
  <si>
    <t>Eindbalans per 31-03-2022</t>
  </si>
  <si>
    <t>Mutaties Q1 2023</t>
  </si>
  <si>
    <t>Saldi per 31-03-2023</t>
  </si>
  <si>
    <t>Correcties nav jaarrekening</t>
  </si>
  <si>
    <t>FVA Swap fee</t>
  </si>
  <si>
    <t>FVA Aflossingen lening DMRRP INV - I BV</t>
  </si>
  <si>
    <t>LM ABN AMRO Bank Capex NL11 ABNA 0114 3362 02</t>
  </si>
  <si>
    <t>LLS Extension fee &amp; professional fees</t>
  </si>
  <si>
    <t>KN Notariskosten</t>
  </si>
  <si>
    <t>FINBL Rente ABN AMRO Bank</t>
  </si>
  <si>
    <t>FINBL Rente vord DMRRP INV - I BV</t>
  </si>
  <si>
    <t xml:space="preserve">Equals net profit of the period </t>
  </si>
  <si>
    <t>Loan to DMRRP INV I (parrallel loan) and interest Swap</t>
  </si>
  <si>
    <t>Q1 2023</t>
  </si>
  <si>
    <t>(Net interest income - DMRRP INV I)</t>
  </si>
  <si>
    <t>Interest Income from DMRRP - INV related to the IC loan</t>
  </si>
  <si>
    <t>Amortised fee</t>
  </si>
  <si>
    <t>Amortised extension fee</t>
  </si>
  <si>
    <t>Q2 2023</t>
  </si>
  <si>
    <t>Eindbalans per 30-06-2022</t>
  </si>
  <si>
    <t>Mutaties Q2 2023</t>
  </si>
  <si>
    <t>Saldi per 30-06-2023</t>
  </si>
  <si>
    <t xml:space="preserve">Correctie aflossing Q1 </t>
  </si>
  <si>
    <t>Verdelen over periode</t>
  </si>
  <si>
    <t xml:space="preserve">KLS Nog te factureren bedragen </t>
  </si>
  <si>
    <t>afschrijving SWAP</t>
  </si>
  <si>
    <t>Inkomsten SWAP</t>
  </si>
  <si>
    <t>Rente</t>
  </si>
  <si>
    <t>SWAP</t>
  </si>
  <si>
    <t>Afschrijving prepaid derivatives transaction</t>
  </si>
  <si>
    <t>IC interest</t>
  </si>
  <si>
    <t>(Prepaid derivatives transaction- SFA)</t>
  </si>
  <si>
    <t>Amortisation of the prepaid derivatives transaction at the refinancing (non-cash)</t>
  </si>
  <si>
    <t>Q3 2023</t>
  </si>
  <si>
    <t>Eindbalans per 30-09-2022</t>
  </si>
  <si>
    <t>Mutaties Q3 2023</t>
  </si>
  <si>
    <t>Saldi per 30-09-2023</t>
  </si>
  <si>
    <t xml:space="preserve">Activering van EUR 72.170 aan onderhoudskosten </t>
  </si>
  <si>
    <t>Correctie EUR 616 aan afschrijvingskosten</t>
  </si>
  <si>
    <t>Verderling voor/ achterstanden stonden niet goed. Aangepast.</t>
  </si>
  <si>
    <t>2040100</t>
  </si>
  <si>
    <t>VOR Nog te factureren bedragen</t>
  </si>
  <si>
    <t>LM Kruisposten pin</t>
  </si>
  <si>
    <t>Heemskerk</t>
  </si>
  <si>
    <t>Nieuw Schoonoord</t>
  </si>
  <si>
    <t>Q4 2023</t>
  </si>
  <si>
    <t>Eindbalans per 31-12-2022</t>
  </si>
  <si>
    <t>Mutaties Q4 2023</t>
  </si>
  <si>
    <t>Saldi per 31-12-2023</t>
  </si>
  <si>
    <t>4924 gecrediteerd i.v.m. BTW Q2 QSP</t>
  </si>
  <si>
    <t>4300200</t>
  </si>
  <si>
    <t>KN Communicatiekosten</t>
  </si>
  <si>
    <t>4924 gedebiteerd i.v.m. BTW Q2 QSP</t>
  </si>
  <si>
    <t>CHECK</t>
  </si>
  <si>
    <t>Service costs to be settled</t>
  </si>
  <si>
    <t>Eindbalans per 31-03-2023</t>
  </si>
  <si>
    <t>Mutaties Q1 2024</t>
  </si>
  <si>
    <t>Saldi per 31-03-2024</t>
  </si>
  <si>
    <t>Materiële vaste activa</t>
  </si>
  <si>
    <t>VG Vastgoedbeleggingen Verkrijgings- of vervaardigingsprijs -</t>
  </si>
  <si>
    <t>VG Vastgoedbeleggingen Cum afschrijvingen en waardeverm -</t>
  </si>
  <si>
    <t>1601000</t>
  </si>
  <si>
    <t>VG Vastgoedbeleggingen Buitengebruikstellingen CA en waardeverm. -</t>
  </si>
  <si>
    <t>Financiële Vaste Lasten</t>
  </si>
  <si>
    <t>1760000</t>
  </si>
  <si>
    <t>FVA Vord op DMRRP INV - I BV  saldo</t>
  </si>
  <si>
    <t>1760300</t>
  </si>
  <si>
    <t>FVA Vord op DMRRP INV - I BV  aflossingen</t>
  </si>
  <si>
    <t>1790000</t>
  </si>
  <si>
    <t>2000100</t>
  </si>
  <si>
    <t>VOR Debiteuren intercompany</t>
  </si>
  <si>
    <t>2040200</t>
  </si>
  <si>
    <t>VOR Te vorderen waarborgsommen kortlopend</t>
  </si>
  <si>
    <t>2040500</t>
  </si>
  <si>
    <t>2300001</t>
  </si>
  <si>
    <t>2400206</t>
  </si>
  <si>
    <t>Eigen vermogen</t>
  </si>
  <si>
    <t>1930200</t>
  </si>
  <si>
    <t>LLS Extension fee&amp; professional fees</t>
  </si>
  <si>
    <t>2620000</t>
  </si>
  <si>
    <t>RC Kortlopend D.M. Equity Partners C.V.</t>
  </si>
  <si>
    <t>2740100</t>
  </si>
  <si>
    <t>KLS Vooruitgefactureerde bedragen</t>
  </si>
  <si>
    <t>KLS Te betalen servicekosten -</t>
  </si>
  <si>
    <t>2742000</t>
  </si>
  <si>
    <t>KLS Vraagposten</t>
  </si>
  <si>
    <t>Saldo regultatie 9999999999</t>
  </si>
  <si>
    <t>2760000</t>
  </si>
  <si>
    <t>KLS Saldo lening DMRRP INV - I BV</t>
  </si>
  <si>
    <t>Servicekosten 2020</t>
  </si>
  <si>
    <t>Servicekosten 2021</t>
  </si>
  <si>
    <t>Servicekosten 2022</t>
  </si>
  <si>
    <t>Servicekosten 2023</t>
  </si>
  <si>
    <t>2502024</t>
  </si>
  <si>
    <t>Servicekosten 2024</t>
  </si>
  <si>
    <t>Winst- en verliesrekening (baten zijn negatief, kosten positief)</t>
  </si>
  <si>
    <t>AFKN Afschrijvingskosten -</t>
  </si>
  <si>
    <t>AFKN Boekresultaat -</t>
  </si>
  <si>
    <t>KN Vaste lasten</t>
  </si>
  <si>
    <t>KN Diverse lasten</t>
  </si>
  <si>
    <t>4601000</t>
  </si>
  <si>
    <t>FINBL Rente RC D.M. Equity Partners C.V.</t>
  </si>
  <si>
    <t>4611000</t>
  </si>
  <si>
    <t>4620200</t>
  </si>
  <si>
    <t>FINBL Rente ABN AMRO Bank Disposal NL58 ABNA 0818 9180 39</t>
  </si>
  <si>
    <t>4642000</t>
  </si>
  <si>
    <t>FINBL Overige rentebaten</t>
  </si>
  <si>
    <t>4663000</t>
  </si>
  <si>
    <t>9500000</t>
  </si>
  <si>
    <t>Verschil balans en winst-en-verlies</t>
  </si>
  <si>
    <t>Q1 2024</t>
  </si>
  <si>
    <t>Prepaid yearly property taxes</t>
  </si>
  <si>
    <t>Eindbalans per 30-06-2023</t>
  </si>
  <si>
    <t>Mutaties Q2 2024</t>
  </si>
  <si>
    <t>Saldi per 30-06-2024</t>
  </si>
  <si>
    <t>Opmerkingen</t>
  </si>
  <si>
    <t>RC Kortlopend WPNL- V B.V.</t>
  </si>
  <si>
    <t>Er is hierbij o.a. sprake van afrekeningen. Zou positie niet inmiddels nihil moeten zijn in plaats van verder oplopen?</t>
  </si>
  <si>
    <t>Q2 2024</t>
  </si>
  <si>
    <t>Eindbalans per 30-09-2023</t>
  </si>
  <si>
    <t>Mutaties Q3 2024</t>
  </si>
  <si>
    <t>Saldi per 30-09-2024</t>
  </si>
  <si>
    <t>2502021</t>
  </si>
  <si>
    <t>2502022</t>
  </si>
  <si>
    <t>2502023</t>
  </si>
  <si>
    <t>Q3 2024</t>
  </si>
  <si>
    <t>Eindbalans per 31-12-2023</t>
  </si>
  <si>
    <t>Mutaties Q4 2024</t>
  </si>
  <si>
    <t>Activering onderhoudskosten gebouwen</t>
  </si>
  <si>
    <t>Correctie mutatie voor- en achterstanden debiteuren</t>
  </si>
  <si>
    <t>Onderhoudskosten geactiveerd</t>
  </si>
  <si>
    <t>Correctie SWAP fee naar bankkosten</t>
  </si>
  <si>
    <t>Ovb rente aan DMRRP</t>
  </si>
  <si>
    <t>Q4 2024</t>
  </si>
  <si>
    <t>Eindbalans per 31-03-2024</t>
  </si>
  <si>
    <t>Mutaties Q1 2025</t>
  </si>
  <si>
    <t>Kosten betaald in 2025 voor 2024</t>
  </si>
  <si>
    <t>Latentie inz rente aftrekbeperking</t>
  </si>
  <si>
    <t>Dubieuze debiteuren vanuit Hoen</t>
  </si>
  <si>
    <t>Afboeking van kruisposten</t>
  </si>
  <si>
    <t>Correctie inzake rente ipv aflossing</t>
  </si>
  <si>
    <t>Rente boeking</t>
  </si>
  <si>
    <t>Doorbelasting VPB en rente op RC</t>
  </si>
  <si>
    <t>Aansluiting op cijfers Hoen</t>
  </si>
  <si>
    <t>Servicekosten 2025</t>
  </si>
  <si>
    <t>Kosten betaald in 2025 voor 2024 en afboeking kruisposten</t>
  </si>
  <si>
    <t>FINBL Rente WPNL - V B.V.</t>
  </si>
  <si>
    <t>Overboeking rente DMRRP Q4</t>
  </si>
  <si>
    <t>VPB boeking</t>
  </si>
  <si>
    <t>Q1 2025</t>
  </si>
  <si>
    <t>Eindbalans per 30-06-2024</t>
  </si>
  <si>
    <t>Mutaties Q2 2025</t>
  </si>
  <si>
    <t>Saldi per 30-06-2025</t>
  </si>
  <si>
    <t>Correctie aflossing disposal lening</t>
  </si>
  <si>
    <t>Doorbelasting VPB</t>
  </si>
  <si>
    <t xml:space="preserve">Factuur geboekt door zowel Hoen als BDO </t>
  </si>
  <si>
    <t xml:space="preserve">Herpresentatie </t>
  </si>
  <si>
    <t>Q2 2025</t>
  </si>
  <si>
    <t xml:space="preserve">Management Accounts QSP ESS B.V. - Q2 2025 </t>
  </si>
  <si>
    <t>LTM Q2 2025</t>
  </si>
  <si>
    <t>Per 30-6-2025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</si>
</sst>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0.0%"/>
    <numFmt numFmtId="170" formatCode="_ * #,##0.0_ ;_ * \-#,##0.0_ ;_ * &quot;-&quot;??_ ;_ @_ "/>
    <numFmt numFmtId="171" formatCode="0.000%"/>
    <numFmt numFmtId="172" formatCode="_ * #,##0.000_ ;_ * \-#,##0.000_ ;_ * &quot;-&quot;??_ ;_ 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Avenir"/>
      <family val="2"/>
    </font>
    <font>
      <b/>
      <sz val="12"/>
      <color theme="1"/>
      <name val="Avenir book"/>
    </font>
    <font>
      <sz val="10"/>
      <color theme="1"/>
      <name val="Avenir book"/>
    </font>
    <font>
      <sz val="10"/>
      <color theme="0" tint="-4.9989318521683403E-2"/>
      <name val="Avenir book"/>
    </font>
    <font>
      <sz val="10"/>
      <color rgb="FF000000"/>
      <name val="Avenir book"/>
    </font>
    <font>
      <b/>
      <sz val="10"/>
      <color rgb="FF000000"/>
      <name val="Avenir book"/>
    </font>
    <font>
      <b/>
      <sz val="10"/>
      <color theme="1"/>
      <name val="Avenir book"/>
    </font>
    <font>
      <b/>
      <sz val="10"/>
      <color rgb="FF1D2A39"/>
      <name val="Avenir book"/>
    </font>
    <font>
      <sz val="10"/>
      <color rgb="FF1D2A39"/>
      <name val="Avenir book"/>
    </font>
    <font>
      <sz val="10"/>
      <color theme="4"/>
      <name val="Avenir book"/>
    </font>
    <font>
      <sz val="10"/>
      <color rgb="FF00B050"/>
      <name val="Avenir book"/>
    </font>
    <font>
      <sz val="11"/>
      <color theme="1"/>
      <name val="Avenir"/>
    </font>
    <font>
      <b/>
      <sz val="10"/>
      <color rgb="FF00B050"/>
      <name val="Avenir book"/>
    </font>
    <font>
      <i/>
      <sz val="10"/>
      <color theme="1"/>
      <name val="Avenir book"/>
    </font>
    <font>
      <sz val="10"/>
      <color rgb="FF0070C0"/>
      <name val="Avenir book"/>
    </font>
    <font>
      <sz val="10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0"/>
      <name val="Arial"/>
      <family val="2"/>
    </font>
    <font>
      <sz val="10"/>
      <color rgb="FFFF0000"/>
      <name val="Trebuchet MS"/>
      <family val="2"/>
    </font>
    <font>
      <sz val="10"/>
      <color rgb="FF00B050"/>
      <name val="Trebuchet MS"/>
      <family val="2"/>
    </font>
    <font>
      <sz val="10"/>
      <name val="Avenir book"/>
    </font>
    <font>
      <b/>
      <sz val="10"/>
      <name val="Avenir book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85">
    <xf numFmtId="0" fontId="0" fillId="0" borderId="0" xfId="0"/>
    <xf numFmtId="0" fontId="3" fillId="0" borderId="0" xfId="3">
      <alignment vertical="center"/>
    </xf>
    <xf numFmtId="0" fontId="5" fillId="0" borderId="0" xfId="4" applyFont="1"/>
    <xf numFmtId="0" fontId="6" fillId="0" borderId="0" xfId="4" applyFont="1"/>
    <xf numFmtId="0" fontId="7" fillId="2" borderId="0" xfId="4" applyFont="1" applyFill="1"/>
    <xf numFmtId="14" fontId="7" fillId="2" borderId="0" xfId="4" applyNumberFormat="1" applyFont="1" applyFill="1"/>
    <xf numFmtId="14" fontId="7" fillId="2" borderId="0" xfId="4" applyNumberFormat="1" applyFont="1" applyFill="1" applyAlignment="1">
      <alignment horizontal="right"/>
    </xf>
    <xf numFmtId="0" fontId="8" fillId="0" borderId="0" xfId="4" applyFont="1" applyAlignment="1">
      <alignment horizontal="left" vertical="top"/>
    </xf>
    <xf numFmtId="0" fontId="8" fillId="0" borderId="1" xfId="4" applyFont="1" applyBorder="1" applyAlignment="1">
      <alignment horizontal="left" vertical="top"/>
    </xf>
    <xf numFmtId="0" fontId="9" fillId="0" borderId="0" xfId="4" applyFont="1" applyAlignment="1">
      <alignment horizontal="left" vertical="top"/>
    </xf>
    <xf numFmtId="164" fontId="6" fillId="0" borderId="0" xfId="4" applyNumberFormat="1" applyFont="1"/>
    <xf numFmtId="164" fontId="7" fillId="2" borderId="0" xfId="4" applyNumberFormat="1" applyFont="1" applyFill="1" applyAlignment="1">
      <alignment horizontal="right"/>
    </xf>
    <xf numFmtId="0" fontId="11" fillId="0" borderId="0" xfId="4" applyFont="1"/>
    <xf numFmtId="164" fontId="10" fillId="0" borderId="0" xfId="5" applyNumberFormat="1" applyFont="1" applyAlignment="1">
      <alignment horizontal="right"/>
    </xf>
    <xf numFmtId="0" fontId="12" fillId="0" borderId="0" xfId="4" applyFont="1" applyAlignment="1">
      <alignment horizontal="left" indent="1"/>
    </xf>
    <xf numFmtId="164" fontId="6" fillId="0" borderId="0" xfId="5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0" fontId="12" fillId="0" borderId="0" xfId="4" applyFont="1" applyAlignment="1">
      <alignment horizontal="left" indent="2"/>
    </xf>
    <xf numFmtId="0" fontId="11" fillId="0" borderId="0" xfId="4" applyFont="1" applyAlignment="1">
      <alignment horizontal="left" indent="1"/>
    </xf>
    <xf numFmtId="0" fontId="6" fillId="0" borderId="0" xfId="4" applyFont="1" applyAlignment="1">
      <alignment horizontal="right"/>
    </xf>
    <xf numFmtId="0" fontId="10" fillId="0" borderId="0" xfId="4" applyFont="1"/>
    <xf numFmtId="3" fontId="6" fillId="0" borderId="0" xfId="4" applyNumberFormat="1" applyFont="1"/>
    <xf numFmtId="3" fontId="10" fillId="3" borderId="0" xfId="4" applyNumberFormat="1" applyFont="1" applyFill="1"/>
    <xf numFmtId="3" fontId="6" fillId="3" borderId="0" xfId="4" applyNumberFormat="1" applyFont="1" applyFill="1"/>
    <xf numFmtId="0" fontId="6" fillId="0" borderId="2" xfId="4" applyFont="1" applyBorder="1"/>
    <xf numFmtId="0" fontId="6" fillId="0" borderId="3" xfId="4" applyFont="1" applyBorder="1"/>
    <xf numFmtId="0" fontId="6" fillId="0" borderId="4" xfId="4" applyFont="1" applyBorder="1"/>
    <xf numFmtId="0" fontId="6" fillId="0" borderId="1" xfId="4" applyFont="1" applyBorder="1"/>
    <xf numFmtId="3" fontId="6" fillId="0" borderId="1" xfId="4" applyNumberFormat="1" applyFont="1" applyBorder="1"/>
    <xf numFmtId="0" fontId="10" fillId="0" borderId="4" xfId="4" applyFont="1" applyBorder="1"/>
    <xf numFmtId="0" fontId="10" fillId="0" borderId="1" xfId="4" applyFont="1" applyBorder="1"/>
    <xf numFmtId="3" fontId="10" fillId="0" borderId="1" xfId="4" applyNumberFormat="1" applyFont="1" applyBorder="1"/>
    <xf numFmtId="3" fontId="10" fillId="3" borderId="1" xfId="4" applyNumberFormat="1" applyFont="1" applyFill="1" applyBorder="1" applyAlignment="1">
      <alignment horizontal="right"/>
    </xf>
    <xf numFmtId="3" fontId="10" fillId="3" borderId="0" xfId="5" applyNumberFormat="1" applyFont="1" applyFill="1"/>
    <xf numFmtId="166" fontId="3" fillId="0" borderId="0" xfId="1" applyNumberFormat="1" applyFont="1" applyAlignment="1">
      <alignment vertical="center"/>
    </xf>
    <xf numFmtId="164" fontId="14" fillId="0" borderId="0" xfId="5" applyNumberFormat="1" applyFont="1" applyAlignment="1">
      <alignment horizontal="right"/>
    </xf>
    <xf numFmtId="3" fontId="6" fillId="3" borderId="0" xfId="4" applyNumberFormat="1" applyFont="1" applyFill="1" applyAlignment="1">
      <alignment horizontal="right"/>
    </xf>
    <xf numFmtId="164" fontId="6" fillId="0" borderId="0" xfId="5" applyNumberFormat="1" applyFont="1" applyFill="1"/>
    <xf numFmtId="164" fontId="10" fillId="0" borderId="0" xfId="4" applyNumberFormat="1" applyFont="1"/>
    <xf numFmtId="0" fontId="15" fillId="0" borderId="0" xfId="4" applyFont="1"/>
    <xf numFmtId="3" fontId="13" fillId="3" borderId="0" xfId="5" applyNumberFormat="1" applyFont="1" applyFill="1"/>
    <xf numFmtId="3" fontId="13" fillId="3" borderId="1" xfId="5" applyNumberFormat="1" applyFont="1" applyFill="1" applyBorder="1"/>
    <xf numFmtId="14" fontId="7" fillId="0" borderId="0" xfId="4" applyNumberFormat="1" applyFont="1"/>
    <xf numFmtId="164" fontId="14" fillId="0" borderId="0" xfId="5" applyNumberFormat="1" applyFont="1" applyFill="1"/>
    <xf numFmtId="164" fontId="7" fillId="0" borderId="0" xfId="4" applyNumberFormat="1" applyFont="1" applyAlignment="1">
      <alignment horizontal="right"/>
    </xf>
    <xf numFmtId="164" fontId="10" fillId="0" borderId="0" xfId="5" applyNumberFormat="1" applyFont="1" applyFill="1"/>
    <xf numFmtId="164" fontId="6" fillId="0" borderId="0" xfId="5" applyNumberFormat="1" applyFont="1" applyFill="1" applyBorder="1"/>
    <xf numFmtId="164" fontId="10" fillId="0" borderId="0" xfId="5" applyNumberFormat="1" applyFont="1" applyFill="1" applyBorder="1"/>
    <xf numFmtId="164" fontId="6" fillId="0" borderId="0" xfId="5" applyNumberFormat="1" applyFont="1" applyFill="1" applyAlignment="1">
      <alignment horizontal="right"/>
    </xf>
    <xf numFmtId="164" fontId="10" fillId="0" borderId="0" xfId="5" applyNumberFormat="1" applyFont="1" applyFill="1" applyAlignment="1">
      <alignment horizontal="right"/>
    </xf>
    <xf numFmtId="3" fontId="10" fillId="0" borderId="0" xfId="4" applyNumberFormat="1" applyFont="1"/>
    <xf numFmtId="3" fontId="10" fillId="0" borderId="0" xfId="4" applyNumberFormat="1" applyFont="1" applyAlignment="1">
      <alignment horizontal="right"/>
    </xf>
    <xf numFmtId="3" fontId="6" fillId="0" borderId="0" xfId="5" applyNumberFormat="1" applyFont="1" applyFill="1"/>
    <xf numFmtId="3" fontId="6" fillId="0" borderId="0" xfId="5" applyNumberFormat="1" applyFont="1" applyFill="1" applyBorder="1"/>
    <xf numFmtId="3" fontId="10" fillId="0" borderId="0" xfId="5" applyNumberFormat="1" applyFont="1" applyFill="1"/>
    <xf numFmtId="10" fontId="0" fillId="0" borderId="0" xfId="0" applyNumberFormat="1"/>
    <xf numFmtId="164" fontId="16" fillId="0" borderId="0" xfId="5" applyNumberFormat="1" applyFont="1" applyAlignment="1">
      <alignment horizontal="right"/>
    </xf>
    <xf numFmtId="164" fontId="17" fillId="0" borderId="0" xfId="5" applyNumberFormat="1" applyFont="1" applyAlignment="1">
      <alignment horizontal="right"/>
    </xf>
    <xf numFmtId="3" fontId="18" fillId="3" borderId="0" xfId="4" applyNumberFormat="1" applyFont="1" applyFill="1"/>
    <xf numFmtId="3" fontId="18" fillId="0" borderId="3" xfId="4" applyNumberFormat="1" applyFont="1" applyBorder="1" applyAlignment="1">
      <alignment horizontal="right"/>
    </xf>
    <xf numFmtId="164" fontId="18" fillId="0" borderId="0" xfId="5" applyNumberFormat="1" applyFont="1" applyAlignment="1">
      <alignment horizontal="right"/>
    </xf>
    <xf numFmtId="3" fontId="10" fillId="4" borderId="0" xfId="4" applyNumberFormat="1" applyFont="1" applyFill="1"/>
    <xf numFmtId="3" fontId="6" fillId="4" borderId="0" xfId="4" applyNumberFormat="1" applyFont="1" applyFill="1"/>
    <xf numFmtId="3" fontId="18" fillId="4" borderId="0" xfId="4" applyNumberFormat="1" applyFont="1" applyFill="1"/>
    <xf numFmtId="3" fontId="6" fillId="4" borderId="0" xfId="4" applyNumberFormat="1" applyFont="1" applyFill="1" applyAlignment="1">
      <alignment horizontal="right"/>
    </xf>
    <xf numFmtId="0" fontId="2" fillId="2" borderId="0" xfId="0" applyFont="1" applyFill="1"/>
    <xf numFmtId="0" fontId="0" fillId="5" borderId="5" xfId="0" applyFill="1" applyBorder="1"/>
    <xf numFmtId="3" fontId="6" fillId="0" borderId="1" xfId="5" applyNumberFormat="1" applyFont="1" applyFill="1" applyBorder="1"/>
    <xf numFmtId="0" fontId="19" fillId="0" borderId="0" xfId="6"/>
    <xf numFmtId="0" fontId="20" fillId="0" borderId="0" xfId="6" applyFont="1"/>
    <xf numFmtId="0" fontId="21" fillId="0" borderId="0" xfId="6" applyFont="1" applyAlignment="1">
      <alignment vertical="center"/>
    </xf>
    <xf numFmtId="0" fontId="19" fillId="0" borderId="0" xfId="6" applyAlignment="1">
      <alignment vertical="center"/>
    </xf>
    <xf numFmtId="44" fontId="0" fillId="0" borderId="0" xfId="7" applyFont="1" applyAlignment="1">
      <alignment vertical="center"/>
    </xf>
    <xf numFmtId="167" fontId="0" fillId="0" borderId="0" xfId="7" applyNumberFormat="1" applyFont="1" applyAlignment="1">
      <alignment vertical="center"/>
    </xf>
    <xf numFmtId="167" fontId="19" fillId="0" borderId="0" xfId="6" applyNumberFormat="1"/>
    <xf numFmtId="167" fontId="0" fillId="0" borderId="0" xfId="7" applyNumberFormat="1" applyFont="1"/>
    <xf numFmtId="0" fontId="19" fillId="0" borderId="0" xfId="6" applyAlignment="1">
      <alignment horizontal="left" vertical="center"/>
    </xf>
    <xf numFmtId="168" fontId="19" fillId="0" borderId="0" xfId="6" applyNumberFormat="1"/>
    <xf numFmtId="10" fontId="0" fillId="0" borderId="0" xfId="8" applyNumberFormat="1" applyFont="1"/>
    <xf numFmtId="167" fontId="22" fillId="0" borderId="0" xfId="7" applyNumberFormat="1" applyFont="1"/>
    <xf numFmtId="167" fontId="23" fillId="0" borderId="0" xfId="7" applyNumberFormat="1" applyFont="1"/>
    <xf numFmtId="44" fontId="0" fillId="0" borderId="0" xfId="7" applyFont="1"/>
    <xf numFmtId="167" fontId="19" fillId="6" borderId="0" xfId="6" applyNumberFormat="1" applyFill="1"/>
    <xf numFmtId="164" fontId="24" fillId="0" borderId="0" xfId="5" applyNumberFormat="1" applyFont="1" applyAlignment="1">
      <alignment horizontal="right"/>
    </xf>
    <xf numFmtId="164" fontId="6" fillId="5" borderId="0" xfId="4" applyNumberFormat="1" applyFont="1" applyFill="1"/>
    <xf numFmtId="164" fontId="6" fillId="5" borderId="1" xfId="4" applyNumberFormat="1" applyFont="1" applyFill="1" applyBorder="1"/>
    <xf numFmtId="164" fontId="10" fillId="5" borderId="0" xfId="4" applyNumberFormat="1" applyFont="1" applyFill="1"/>
    <xf numFmtId="164" fontId="14" fillId="4" borderId="0" xfId="5" applyNumberFormat="1" applyFont="1" applyFill="1"/>
    <xf numFmtId="164" fontId="14" fillId="4" borderId="1" xfId="5" applyNumberFormat="1" applyFont="1" applyFill="1" applyBorder="1"/>
    <xf numFmtId="164" fontId="10" fillId="4" borderId="0" xfId="4" applyNumberFormat="1" applyFont="1" applyFill="1"/>
    <xf numFmtId="164" fontId="14" fillId="3" borderId="0" xfId="5" applyNumberFormat="1" applyFont="1" applyFill="1"/>
    <xf numFmtId="164" fontId="14" fillId="3" borderId="1" xfId="5" applyNumberFormat="1" applyFont="1" applyFill="1" applyBorder="1"/>
    <xf numFmtId="164" fontId="10" fillId="3" borderId="0" xfId="4" applyNumberFormat="1" applyFont="1" applyFill="1"/>
    <xf numFmtId="164" fontId="16" fillId="4" borderId="0" xfId="5" applyNumberFormat="1" applyFont="1" applyFill="1" applyAlignment="1">
      <alignment horizontal="right"/>
    </xf>
    <xf numFmtId="164" fontId="14" fillId="4" borderId="0" xfId="5" applyNumberFormat="1" applyFont="1" applyFill="1" applyAlignment="1">
      <alignment horizontal="right"/>
    </xf>
    <xf numFmtId="164" fontId="10" fillId="4" borderId="0" xfId="5" applyNumberFormat="1" applyFont="1" applyFill="1" applyAlignment="1">
      <alignment horizontal="right"/>
    </xf>
    <xf numFmtId="10" fontId="6" fillId="4" borderId="0" xfId="2" applyNumberFormat="1" applyFont="1" applyFill="1" applyAlignment="1">
      <alignment horizontal="right"/>
    </xf>
    <xf numFmtId="164" fontId="6" fillId="4" borderId="0" xfId="5" applyNumberFormat="1" applyFont="1" applyFill="1" applyAlignment="1">
      <alignment horizontal="right"/>
    </xf>
    <xf numFmtId="164" fontId="18" fillId="4" borderId="0" xfId="5" applyNumberFormat="1" applyFont="1" applyFill="1" applyAlignment="1">
      <alignment horizontal="right"/>
    </xf>
    <xf numFmtId="164" fontId="17" fillId="4" borderId="0" xfId="5" applyNumberFormat="1" applyFont="1" applyFill="1" applyAlignment="1">
      <alignment horizontal="right"/>
    </xf>
    <xf numFmtId="164" fontId="16" fillId="5" borderId="0" xfId="5" applyNumberFormat="1" applyFont="1" applyFill="1" applyAlignment="1">
      <alignment horizontal="right"/>
    </xf>
    <xf numFmtId="164" fontId="14" fillId="5" borderId="0" xfId="5" applyNumberFormat="1" applyFont="1" applyFill="1" applyAlignment="1">
      <alignment horizontal="right"/>
    </xf>
    <xf numFmtId="164" fontId="10" fillId="5" borderId="0" xfId="5" applyNumberFormat="1" applyFont="1" applyFill="1" applyAlignment="1">
      <alignment horizontal="right"/>
    </xf>
    <xf numFmtId="10" fontId="6" fillId="5" borderId="0" xfId="2" applyNumberFormat="1" applyFont="1" applyFill="1" applyAlignment="1">
      <alignment horizontal="right"/>
    </xf>
    <xf numFmtId="164" fontId="6" fillId="5" borderId="0" xfId="5" applyNumberFormat="1" applyFont="1" applyFill="1" applyAlignment="1">
      <alignment horizontal="right"/>
    </xf>
    <xf numFmtId="164" fontId="18" fillId="5" borderId="0" xfId="5" applyNumberFormat="1" applyFont="1" applyFill="1" applyAlignment="1">
      <alignment horizontal="right"/>
    </xf>
    <xf numFmtId="164" fontId="17" fillId="5" borderId="0" xfId="5" applyNumberFormat="1" applyFont="1" applyFill="1" applyAlignment="1">
      <alignment horizontal="right"/>
    </xf>
    <xf numFmtId="0" fontId="0" fillId="5" borderId="0" xfId="0" applyFill="1"/>
    <xf numFmtId="3" fontId="18" fillId="4" borderId="3" xfId="4" applyNumberFormat="1" applyFont="1" applyFill="1" applyBorder="1" applyAlignment="1">
      <alignment horizontal="right"/>
    </xf>
    <xf numFmtId="3" fontId="6" fillId="4" borderId="1" xfId="4" applyNumberFormat="1" applyFont="1" applyFill="1" applyBorder="1"/>
    <xf numFmtId="3" fontId="10" fillId="4" borderId="1" xfId="4" applyNumberFormat="1" applyFont="1" applyFill="1" applyBorder="1"/>
    <xf numFmtId="3" fontId="13" fillId="3" borderId="0" xfId="5" applyNumberFormat="1" applyFont="1" applyFill="1" applyBorder="1"/>
    <xf numFmtId="3" fontId="25" fillId="3" borderId="0" xfId="4" applyNumberFormat="1" applyFont="1" applyFill="1"/>
    <xf numFmtId="3" fontId="24" fillId="3" borderId="0" xfId="4" applyNumberFormat="1" applyFont="1" applyFill="1"/>
    <xf numFmtId="166" fontId="3" fillId="0" borderId="0" xfId="3" applyNumberFormat="1">
      <alignment vertical="center"/>
    </xf>
    <xf numFmtId="3" fontId="0" fillId="0" borderId="0" xfId="0" applyNumberFormat="1"/>
    <xf numFmtId="3" fontId="24" fillId="3" borderId="0" xfId="4" applyNumberFormat="1" applyFont="1" applyFill="1" applyAlignment="1">
      <alignment horizontal="right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vertical="center"/>
    </xf>
    <xf numFmtId="167" fontId="0" fillId="0" borderId="0" xfId="9" applyNumberFormat="1" applyFont="1" applyAlignment="1">
      <alignment vertical="center"/>
    </xf>
    <xf numFmtId="164" fontId="6" fillId="0" borderId="0" xfId="4" applyNumberFormat="1" applyFont="1" applyAlignment="1">
      <alignment horizontal="right"/>
    </xf>
    <xf numFmtId="164" fontId="6" fillId="3" borderId="0" xfId="4" applyNumberFormat="1" applyFont="1" applyFill="1"/>
    <xf numFmtId="164" fontId="6" fillId="3" borderId="1" xfId="4" applyNumberFormat="1" applyFont="1" applyFill="1" applyBorder="1"/>
    <xf numFmtId="167" fontId="0" fillId="7" borderId="0" xfId="0" applyNumberFormat="1" applyFill="1" applyAlignment="1">
      <alignment vertical="center"/>
    </xf>
    <xf numFmtId="0" fontId="0" fillId="7" borderId="0" xfId="0" applyFill="1"/>
    <xf numFmtId="167" fontId="0" fillId="0" borderId="0" xfId="0" applyNumberFormat="1"/>
    <xf numFmtId="43" fontId="6" fillId="0" borderId="0" xfId="1" applyFont="1" applyAlignment="1">
      <alignment horizontal="right"/>
    </xf>
    <xf numFmtId="164" fontId="6" fillId="0" borderId="0" xfId="5" applyNumberFormat="1" applyFont="1" applyFill="1" applyAlignment="1">
      <alignment horizontal="left"/>
    </xf>
    <xf numFmtId="167" fontId="0" fillId="8" borderId="0" xfId="7" applyNumberFormat="1" applyFont="1" applyFill="1"/>
    <xf numFmtId="164" fontId="16" fillId="0" borderId="0" xfId="5" applyNumberFormat="1" applyFont="1" applyFill="1" applyAlignment="1">
      <alignment horizontal="right"/>
    </xf>
    <xf numFmtId="10" fontId="6" fillId="0" borderId="0" xfId="2" applyNumberFormat="1" applyFont="1" applyFill="1" applyAlignment="1">
      <alignment horizontal="right"/>
    </xf>
    <xf numFmtId="164" fontId="14" fillId="0" borderId="0" xfId="5" applyNumberFormat="1" applyFont="1" applyFill="1" applyAlignment="1">
      <alignment horizontal="right"/>
    </xf>
    <xf numFmtId="164" fontId="18" fillId="0" borderId="0" xfId="5" applyNumberFormat="1" applyFont="1" applyFill="1" applyAlignment="1">
      <alignment horizontal="right"/>
    </xf>
    <xf numFmtId="164" fontId="17" fillId="0" borderId="0" xfId="5" applyNumberFormat="1" applyFont="1" applyFill="1" applyAlignment="1">
      <alignment horizontal="right"/>
    </xf>
    <xf numFmtId="0" fontId="3" fillId="0" borderId="0" xfId="3" applyAlignment="1">
      <alignment horizontal="left" vertical="center"/>
    </xf>
    <xf numFmtId="166" fontId="0" fillId="0" borderId="0" xfId="10" applyNumberFormat="1" applyFont="1">
      <alignment vertical="center"/>
    </xf>
    <xf numFmtId="0" fontId="21" fillId="0" borderId="0" xfId="3" applyFont="1">
      <alignment vertical="center"/>
    </xf>
    <xf numFmtId="167" fontId="3" fillId="0" borderId="0" xfId="3" applyNumberFormat="1">
      <alignment vertical="center"/>
    </xf>
    <xf numFmtId="166" fontId="3" fillId="0" borderId="0" xfId="3" applyNumberFormat="1" applyAlignment="1">
      <alignment vertical="center" wrapText="1"/>
    </xf>
    <xf numFmtId="43" fontId="3" fillId="0" borderId="0" xfId="3" applyNumberFormat="1">
      <alignment vertical="center"/>
    </xf>
    <xf numFmtId="169" fontId="0" fillId="0" borderId="0" xfId="11" applyNumberFormat="1" applyFont="1">
      <alignment vertical="center"/>
    </xf>
    <xf numFmtId="10" fontId="3" fillId="0" borderId="0" xfId="3" applyNumberFormat="1">
      <alignment vertical="center"/>
    </xf>
    <xf numFmtId="166" fontId="0" fillId="0" borderId="0" xfId="12" applyNumberFormat="1" applyFont="1">
      <alignment vertical="center"/>
    </xf>
    <xf numFmtId="0" fontId="0" fillId="0" borderId="1" xfId="0" applyBorder="1"/>
    <xf numFmtId="170" fontId="0" fillId="0" borderId="0" xfId="10" applyNumberFormat="1" applyFont="1">
      <alignment vertical="center"/>
    </xf>
    <xf numFmtId="43" fontId="0" fillId="0" borderId="0" xfId="10" applyFont="1">
      <alignment vertical="center"/>
    </xf>
    <xf numFmtId="165" fontId="10" fillId="0" borderId="0" xfId="5" applyFont="1" applyFill="1" applyAlignment="1">
      <alignment horizontal="right"/>
    </xf>
    <xf numFmtId="43" fontId="0" fillId="9" borderId="0" xfId="10" applyFont="1" applyFill="1">
      <alignment vertical="center"/>
    </xf>
    <xf numFmtId="166" fontId="3" fillId="10" borderId="0" xfId="3" applyNumberFormat="1" applyFill="1">
      <alignment vertical="center"/>
    </xf>
    <xf numFmtId="3" fontId="10" fillId="5" borderId="1" xfId="4" applyNumberFormat="1" applyFont="1" applyFill="1" applyBorder="1" applyAlignment="1">
      <alignment horizontal="right"/>
    </xf>
    <xf numFmtId="3" fontId="14" fillId="5" borderId="3" xfId="5" applyNumberFormat="1" applyFont="1" applyFill="1" applyBorder="1"/>
    <xf numFmtId="3" fontId="14" fillId="5" borderId="0" xfId="5" applyNumberFormat="1" applyFont="1" applyFill="1" applyBorder="1"/>
    <xf numFmtId="3" fontId="14" fillId="5" borderId="1" xfId="5" applyNumberFormat="1" applyFont="1" applyFill="1" applyBorder="1"/>
    <xf numFmtId="3" fontId="10" fillId="5" borderId="0" xfId="5" applyNumberFormat="1" applyFont="1" applyFill="1"/>
    <xf numFmtId="166" fontId="0" fillId="6" borderId="0" xfId="10" applyNumberFormat="1" applyFont="1" applyFill="1">
      <alignment vertical="center"/>
    </xf>
    <xf numFmtId="166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6" fontId="0" fillId="0" borderId="0" xfId="10" applyNumberFormat="1" applyFont="1" applyFill="1">
      <alignment vertical="center"/>
    </xf>
    <xf numFmtId="166" fontId="0" fillId="0" borderId="0" xfId="0" applyNumberFormat="1" applyAlignment="1">
      <alignment vertical="center"/>
    </xf>
    <xf numFmtId="166" fontId="3" fillId="6" borderId="0" xfId="3" applyNumberFormat="1" applyFill="1">
      <alignment vertical="center"/>
    </xf>
    <xf numFmtId="43" fontId="0" fillId="0" borderId="0" xfId="10" applyFont="1" applyAlignment="1">
      <alignment vertical="center" wrapText="1"/>
    </xf>
    <xf numFmtId="43" fontId="0" fillId="0" borderId="0" xfId="10" applyFont="1" applyAlignment="1">
      <alignment vertical="center"/>
    </xf>
    <xf numFmtId="164" fontId="16" fillId="3" borderId="0" xfId="5" applyNumberFormat="1" applyFont="1" applyFill="1" applyAlignment="1">
      <alignment horizontal="right"/>
    </xf>
    <xf numFmtId="164" fontId="14" fillId="3" borderId="0" xfId="5" applyNumberFormat="1" applyFont="1" applyFill="1" applyAlignment="1">
      <alignment horizontal="right"/>
    </xf>
    <xf numFmtId="164" fontId="10" fillId="3" borderId="0" xfId="5" applyNumberFormat="1" applyFont="1" applyFill="1" applyAlignment="1">
      <alignment horizontal="right"/>
    </xf>
    <xf numFmtId="10" fontId="6" fillId="3" borderId="0" xfId="2" applyNumberFormat="1" applyFont="1" applyFill="1" applyAlignment="1">
      <alignment horizontal="right"/>
    </xf>
    <xf numFmtId="164" fontId="6" fillId="3" borderId="0" xfId="5" applyNumberFormat="1" applyFont="1" applyFill="1" applyAlignment="1">
      <alignment horizontal="right"/>
    </xf>
    <xf numFmtId="164" fontId="18" fillId="3" borderId="0" xfId="5" applyNumberFormat="1" applyFont="1" applyFill="1" applyAlignment="1">
      <alignment horizontal="right"/>
    </xf>
    <xf numFmtId="164" fontId="17" fillId="3" borderId="0" xfId="5" applyNumberFormat="1" applyFont="1" applyFill="1" applyAlignment="1">
      <alignment horizontal="right"/>
    </xf>
    <xf numFmtId="0" fontId="0" fillId="3" borderId="0" xfId="0" applyFill="1"/>
    <xf numFmtId="10" fontId="6" fillId="0" borderId="0" xfId="2" applyNumberFormat="1" applyFont="1"/>
    <xf numFmtId="165" fontId="6" fillId="0" borderId="0" xfId="4" applyNumberFormat="1" applyFont="1"/>
    <xf numFmtId="43" fontId="26" fillId="0" borderId="0" xfId="10" applyFont="1">
      <alignment vertical="center"/>
    </xf>
    <xf numFmtId="43" fontId="0" fillId="0" borderId="0" xfId="10" applyFont="1" applyFill="1">
      <alignment vertical="center"/>
    </xf>
    <xf numFmtId="43" fontId="0" fillId="5" borderId="0" xfId="10" applyFont="1" applyFill="1">
      <alignment vertical="center"/>
    </xf>
    <xf numFmtId="166" fontId="3" fillId="5" borderId="0" xfId="3" applyNumberFormat="1" applyFill="1">
      <alignment vertical="center"/>
    </xf>
    <xf numFmtId="43" fontId="26" fillId="5" borderId="0" xfId="10" applyFont="1" applyFill="1">
      <alignment vertical="center"/>
    </xf>
    <xf numFmtId="43" fontId="27" fillId="5" borderId="0" xfId="10" applyFont="1" applyFill="1">
      <alignment vertical="center"/>
    </xf>
    <xf numFmtId="166" fontId="0" fillId="5" borderId="0" xfId="10" applyNumberFormat="1" applyFont="1" applyFill="1">
      <alignment vertical="center"/>
    </xf>
    <xf numFmtId="43" fontId="6" fillId="0" borderId="0" xfId="1" applyFont="1"/>
    <xf numFmtId="0" fontId="3" fillId="0" borderId="0" xfId="13" applyAlignment="1">
      <alignment horizontal="left" vertical="center"/>
    </xf>
    <xf numFmtId="0" fontId="3" fillId="0" borderId="0" xfId="13">
      <alignment vertical="center"/>
    </xf>
    <xf numFmtId="43" fontId="3" fillId="0" borderId="0" xfId="14" applyFont="1" applyFill="1">
      <alignment vertical="center"/>
    </xf>
    <xf numFmtId="43" fontId="0" fillId="0" borderId="0" xfId="14" applyFont="1">
      <alignment vertical="center"/>
    </xf>
    <xf numFmtId="166" fontId="3" fillId="0" borderId="0" xfId="13" applyNumberFormat="1">
      <alignment vertical="center"/>
    </xf>
    <xf numFmtId="166" fontId="0" fillId="0" borderId="0" xfId="14" applyNumberFormat="1" applyFont="1">
      <alignment vertical="center"/>
    </xf>
    <xf numFmtId="0" fontId="21" fillId="0" borderId="0" xfId="13" applyFont="1">
      <alignment vertical="center"/>
    </xf>
    <xf numFmtId="167" fontId="3" fillId="0" borderId="0" xfId="13" applyNumberFormat="1">
      <alignment vertical="center"/>
    </xf>
    <xf numFmtId="43" fontId="26" fillId="0" borderId="0" xfId="14" applyFont="1">
      <alignment vertical="center"/>
    </xf>
    <xf numFmtId="43" fontId="26" fillId="0" borderId="0" xfId="14" applyFont="1" applyFill="1">
      <alignment vertical="center"/>
    </xf>
    <xf numFmtId="169" fontId="0" fillId="0" borderId="0" xfId="15" applyNumberFormat="1" applyFont="1">
      <alignment vertical="center"/>
    </xf>
    <xf numFmtId="10" fontId="0" fillId="0" borderId="0" xfId="15" applyNumberFormat="1" applyFont="1">
      <alignment vertical="center"/>
    </xf>
    <xf numFmtId="43" fontId="27" fillId="0" borderId="0" xfId="14" applyFont="1">
      <alignment vertical="center"/>
    </xf>
    <xf numFmtId="166" fontId="3" fillId="0" borderId="0" xfId="14" applyNumberFormat="1" applyFont="1" applyFill="1">
      <alignment vertical="center"/>
    </xf>
    <xf numFmtId="166" fontId="26" fillId="11" borderId="0" xfId="13" applyNumberFormat="1" applyFont="1" applyFill="1">
      <alignment vertical="center"/>
    </xf>
    <xf numFmtId="166" fontId="3" fillId="11" borderId="0" xfId="13" applyNumberFormat="1" applyFill="1">
      <alignment vertical="center"/>
    </xf>
    <xf numFmtId="43" fontId="3" fillId="6" borderId="0" xfId="14" applyFont="1" applyFill="1">
      <alignment vertical="center"/>
    </xf>
    <xf numFmtId="43" fontId="3" fillId="6" borderId="0" xfId="13" applyNumberFormat="1" applyFill="1">
      <alignment vertical="center"/>
    </xf>
    <xf numFmtId="166" fontId="3" fillId="6" borderId="0" xfId="13" applyNumberFormat="1" applyFill="1">
      <alignment vertical="center"/>
    </xf>
    <xf numFmtId="0" fontId="12" fillId="0" borderId="0" xfId="4" applyFont="1" applyAlignment="1">
      <alignment horizontal="left" vertical="top"/>
    </xf>
    <xf numFmtId="164" fontId="14" fillId="4" borderId="0" xfId="5" applyNumberFormat="1" applyFont="1" applyFill="1" applyAlignment="1">
      <alignment horizontal="right" vertical="top"/>
    </xf>
    <xf numFmtId="164" fontId="14" fillId="0" borderId="0" xfId="5" applyNumberFormat="1" applyFont="1" applyAlignment="1">
      <alignment horizontal="right" vertical="top"/>
    </xf>
    <xf numFmtId="164" fontId="14" fillId="5" borderId="0" xfId="5" applyNumberFormat="1" applyFont="1" applyFill="1" applyAlignment="1">
      <alignment horizontal="right" vertical="top"/>
    </xf>
    <xf numFmtId="164" fontId="14" fillId="0" borderId="0" xfId="5" applyNumberFormat="1" applyFont="1" applyFill="1" applyAlignment="1">
      <alignment horizontal="right" vertical="top"/>
    </xf>
    <xf numFmtId="164" fontId="14" fillId="3" borderId="0" xfId="5" applyNumberFormat="1" applyFont="1" applyFill="1" applyAlignment="1">
      <alignment horizontal="right" vertical="top"/>
    </xf>
    <xf numFmtId="0" fontId="0" fillId="5" borderId="5" xfId="0" applyFill="1" applyBorder="1" applyAlignment="1">
      <alignment horizontal="left" wrapText="1"/>
    </xf>
    <xf numFmtId="43" fontId="0" fillId="0" borderId="0" xfId="14" applyFont="1" applyFill="1">
      <alignment vertical="center"/>
    </xf>
    <xf numFmtId="43" fontId="3" fillId="0" borderId="0" xfId="14" applyFont="1">
      <alignment vertical="center"/>
    </xf>
    <xf numFmtId="166" fontId="0" fillId="0" borderId="3" xfId="0" applyNumberFormat="1" applyBorder="1" applyAlignment="1">
      <alignment vertical="center"/>
    </xf>
    <xf numFmtId="166" fontId="6" fillId="0" borderId="0" xfId="1" applyNumberFormat="1" applyFont="1" applyFill="1" applyAlignment="1">
      <alignment horizontal="right"/>
    </xf>
    <xf numFmtId="171" fontId="10" fillId="0" borderId="0" xfId="2" applyNumberFormat="1" applyFont="1" applyFill="1"/>
    <xf numFmtId="10" fontId="0" fillId="0" borderId="0" xfId="2" applyNumberFormat="1" applyFont="1" applyAlignment="1">
      <alignment vertical="center"/>
    </xf>
    <xf numFmtId="166" fontId="0" fillId="0" borderId="0" xfId="14" applyNumberFormat="1" applyFont="1" applyBorder="1">
      <alignment vertical="center"/>
    </xf>
    <xf numFmtId="43" fontId="7" fillId="2" borderId="0" xfId="1" applyFont="1" applyFill="1" applyAlignment="1">
      <alignment horizontal="right"/>
    </xf>
    <xf numFmtId="10" fontId="3" fillId="0" borderId="0" xfId="15" applyNumberFormat="1" applyFont="1" applyFill="1">
      <alignment vertical="center"/>
    </xf>
    <xf numFmtId="166" fontId="0" fillId="0" borderId="0" xfId="14" applyNumberFormat="1" applyFont="1" applyFill="1">
      <alignment vertical="center"/>
    </xf>
    <xf numFmtId="14" fontId="7" fillId="2" borderId="0" xfId="4" quotePrefix="1" applyNumberFormat="1" applyFont="1" applyFill="1" applyAlignment="1">
      <alignment horizontal="right"/>
    </xf>
    <xf numFmtId="43" fontId="3" fillId="0" borderId="0" xfId="16" applyFont="1" applyFill="1">
      <alignment vertical="center"/>
    </xf>
    <xf numFmtId="43" fontId="3" fillId="12" borderId="0" xfId="14" applyFont="1" applyFill="1">
      <alignment vertical="center"/>
    </xf>
    <xf numFmtId="166" fontId="6" fillId="3" borderId="0" xfId="1" applyNumberFormat="1" applyFont="1" applyFill="1"/>
    <xf numFmtId="170" fontId="6" fillId="0" borderId="0" xfId="1" applyNumberFormat="1" applyFont="1"/>
    <xf numFmtId="170" fontId="3" fillId="0" borderId="0" xfId="1" applyNumberFormat="1" applyFont="1" applyAlignment="1">
      <alignment vertical="center"/>
    </xf>
    <xf numFmtId="43" fontId="0" fillId="0" borderId="0" xfId="14" applyFont="1" applyAlignment="1"/>
    <xf numFmtId="43" fontId="3" fillId="5" borderId="0" xfId="14" applyFont="1" applyFill="1">
      <alignment vertical="center"/>
    </xf>
    <xf numFmtId="166" fontId="6" fillId="0" borderId="0" xfId="1" applyNumberFormat="1" applyFont="1"/>
    <xf numFmtId="171" fontId="3" fillId="0" borderId="0" xfId="2" applyNumberFormat="1" applyFont="1" applyFill="1" applyAlignment="1">
      <alignment vertical="center"/>
    </xf>
    <xf numFmtId="43" fontId="3" fillId="0" borderId="0" xfId="13" applyNumberFormat="1">
      <alignment vertical="center"/>
    </xf>
    <xf numFmtId="43" fontId="3" fillId="6" borderId="0" xfId="14" applyFont="1" applyFill="1" applyAlignment="1"/>
    <xf numFmtId="0" fontId="3" fillId="6" borderId="0" xfId="13" applyFill="1">
      <alignment vertical="center"/>
    </xf>
    <xf numFmtId="43" fontId="3" fillId="0" borderId="0" xfId="14" applyFont="1" applyFill="1" applyAlignment="1"/>
    <xf numFmtId="43" fontId="10" fillId="0" borderId="0" xfId="1" applyFont="1" applyFill="1" applyBorder="1"/>
    <xf numFmtId="43" fontId="0" fillId="0" borderId="0" xfId="14" applyFont="1" applyFill="1" applyAlignment="1">
      <alignment horizontal="right" vertical="center"/>
    </xf>
    <xf numFmtId="10" fontId="17" fillId="0" borderId="0" xfId="2" applyNumberFormat="1" applyFont="1"/>
    <xf numFmtId="10" fontId="17" fillId="5" borderId="0" xfId="2" applyNumberFormat="1" applyFont="1" applyFill="1"/>
    <xf numFmtId="164" fontId="0" fillId="0" borderId="0" xfId="0" applyNumberFormat="1"/>
    <xf numFmtId="0" fontId="28" fillId="0" borderId="0" xfId="13" applyFont="1">
      <alignment vertical="center"/>
    </xf>
    <xf numFmtId="1" fontId="3" fillId="0" borderId="0" xfId="13" applyNumberFormat="1">
      <alignment vertical="center"/>
    </xf>
    <xf numFmtId="43" fontId="0" fillId="0" borderId="0" xfId="14" applyFont="1" applyFill="1" applyAlignment="1"/>
    <xf numFmtId="43" fontId="3" fillId="13" borderId="0" xfId="14" applyFont="1" applyFill="1" applyAlignment="1"/>
    <xf numFmtId="164" fontId="14" fillId="0" borderId="0" xfId="5" applyNumberFormat="1" applyFont="1" applyFill="1" applyBorder="1"/>
    <xf numFmtId="165" fontId="0" fillId="0" borderId="0" xfId="0" applyNumberFormat="1"/>
    <xf numFmtId="43" fontId="0" fillId="0" borderId="0" xfId="0" applyNumberFormat="1" applyAlignment="1">
      <alignment vertical="center"/>
    </xf>
    <xf numFmtId="170" fontId="3" fillId="0" borderId="0" xfId="14" applyNumberFormat="1" applyFont="1" applyFill="1">
      <alignment vertical="center"/>
    </xf>
    <xf numFmtId="43" fontId="3" fillId="0" borderId="0" xfId="17" applyFont="1" applyFill="1">
      <alignment vertical="center"/>
    </xf>
    <xf numFmtId="43" fontId="3" fillId="0" borderId="0" xfId="10" applyFont="1" applyFill="1">
      <alignment vertical="center"/>
    </xf>
    <xf numFmtId="43" fontId="26" fillId="0" borderId="0" xfId="10" applyFont="1" applyFill="1">
      <alignment vertical="center"/>
    </xf>
    <xf numFmtId="43" fontId="3" fillId="0" borderId="0" xfId="10" applyFont="1" applyFill="1" applyAlignment="1"/>
    <xf numFmtId="43" fontId="0" fillId="0" borderId="0" xfId="10" applyFont="1" applyFill="1" applyAlignment="1"/>
    <xf numFmtId="43" fontId="3" fillId="6" borderId="0" xfId="10" applyFont="1" applyFill="1" applyAlignment="1"/>
    <xf numFmtId="43" fontId="3" fillId="6" borderId="0" xfId="10" applyFont="1" applyFill="1">
      <alignment vertical="center"/>
    </xf>
    <xf numFmtId="166" fontId="3" fillId="0" borderId="0" xfId="10" applyNumberFormat="1" applyFont="1" applyFill="1">
      <alignment vertical="center"/>
    </xf>
    <xf numFmtId="172" fontId="6" fillId="0" borderId="0" xfId="1" applyNumberFormat="1" applyFont="1" applyAlignment="1">
      <alignment horizontal="right"/>
    </xf>
    <xf numFmtId="166" fontId="3" fillId="8" borderId="0" xfId="3" applyNumberFormat="1" applyFill="1">
      <alignment vertical="center"/>
    </xf>
    <xf numFmtId="43" fontId="3" fillId="14" borderId="0" xfId="10" applyFont="1" applyFill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4" fontId="3" fillId="0" borderId="0" xfId="3" applyNumberFormat="1">
      <alignment vertical="center"/>
    </xf>
    <xf numFmtId="166" fontId="3" fillId="15" borderId="0" xfId="3" applyNumberFormat="1" applyFill="1">
      <alignment vertical="center"/>
    </xf>
    <xf numFmtId="166" fontId="3" fillId="3" borderId="0" xfId="3" applyNumberFormat="1" applyFill="1">
      <alignment vertical="center"/>
    </xf>
    <xf numFmtId="166" fontId="3" fillId="0" borderId="0" xfId="1" applyNumberFormat="1" applyFont="1" applyFill="1" applyAlignment="1">
      <alignment vertical="center"/>
    </xf>
    <xf numFmtId="4" fontId="29" fillId="0" borderId="0" xfId="18" applyNumberFormat="1">
      <alignment vertical="center"/>
    </xf>
    <xf numFmtId="166" fontId="3" fillId="13" borderId="0" xfId="3" applyNumberFormat="1" applyFill="1">
      <alignment vertical="center"/>
    </xf>
    <xf numFmtId="43" fontId="3" fillId="13" borderId="0" xfId="10" applyFont="1" applyFill="1">
      <alignment vertical="center"/>
    </xf>
    <xf numFmtId="44" fontId="3" fillId="0" borderId="0" xfId="9" applyFont="1" applyAlignment="1">
      <alignment vertical="center"/>
    </xf>
    <xf numFmtId="43" fontId="28" fillId="0" borderId="0" xfId="10" applyFont="1" applyFill="1">
      <alignment vertical="center"/>
    </xf>
    <xf numFmtId="43" fontId="3" fillId="8" borderId="0" xfId="10" applyFont="1" applyFill="1">
      <alignment vertical="center"/>
    </xf>
    <xf numFmtId="0" fontId="28" fillId="0" borderId="0" xfId="0" applyFont="1" applyAlignment="1">
      <alignment vertical="center"/>
    </xf>
    <xf numFmtId="166" fontId="0" fillId="16" borderId="0" xfId="10" applyNumberFormat="1" applyFont="1" applyFill="1">
      <alignment vertical="center"/>
    </xf>
    <xf numFmtId="0" fontId="28" fillId="0" borderId="0" xfId="3" applyFont="1">
      <alignment vertical="center"/>
    </xf>
    <xf numFmtId="166" fontId="30" fillId="0" borderId="0" xfId="3" applyNumberFormat="1" applyFont="1">
      <alignment vertical="center"/>
    </xf>
    <xf numFmtId="166" fontId="3" fillId="6" borderId="0" xfId="10" applyNumberFormat="1" applyFont="1" applyFill="1">
      <alignment vertical="center"/>
    </xf>
    <xf numFmtId="0" fontId="3" fillId="6" borderId="0" xfId="3" applyFill="1">
      <alignment vertical="center"/>
    </xf>
    <xf numFmtId="43" fontId="3" fillId="0" borderId="0" xfId="1" applyFont="1" applyAlignment="1">
      <alignment vertical="center"/>
    </xf>
    <xf numFmtId="166" fontId="3" fillId="0" borderId="0" xfId="10" applyNumberFormat="1" applyFont="1">
      <alignment vertical="center"/>
    </xf>
    <xf numFmtId="43" fontId="3" fillId="15" borderId="0" xfId="10" applyFont="1" applyFill="1">
      <alignment vertical="center"/>
    </xf>
    <xf numFmtId="165" fontId="6" fillId="3" borderId="0" xfId="4" applyNumberFormat="1" applyFont="1" applyFill="1" applyAlignment="1">
      <alignment horizontal="right"/>
    </xf>
    <xf numFmtId="43" fontId="0" fillId="0" borderId="0" xfId="1" applyFont="1" applyFill="1" applyAlignment="1">
      <alignment vertical="center"/>
    </xf>
    <xf numFmtId="0" fontId="27" fillId="0" borderId="0" xfId="3" applyFont="1">
      <alignment vertical="center"/>
    </xf>
    <xf numFmtId="166" fontId="27" fillId="0" borderId="0" xfId="3" applyNumberFormat="1" applyFont="1">
      <alignment vertical="center"/>
    </xf>
    <xf numFmtId="0" fontId="3" fillId="17" borderId="0" xfId="3" applyFill="1">
      <alignment vertical="center"/>
    </xf>
    <xf numFmtId="3" fontId="3" fillId="0" borderId="0" xfId="3" applyNumberFormat="1">
      <alignment vertical="center"/>
    </xf>
    <xf numFmtId="3" fontId="0" fillId="0" borderId="0" xfId="10" applyNumberFormat="1" applyFont="1">
      <alignment vertical="center"/>
    </xf>
    <xf numFmtId="166" fontId="0" fillId="3" borderId="0" xfId="10" applyNumberFormat="1" applyFont="1" applyFill="1">
      <alignment vertical="center"/>
    </xf>
  </cellXfs>
  <cellStyles count="19">
    <cellStyle name="Comma" xfId="1" builtinId="3"/>
    <cellStyle name="Comma 2" xfId="10" xr:uid="{00000000-0005-0000-0000-000001000000}"/>
    <cellStyle name="Comma 3" xfId="5" xr:uid="{00000000-0005-0000-0000-000002000000}"/>
    <cellStyle name="Currency" xfId="9" builtinId="4"/>
    <cellStyle name="Currency 2" xfId="7" xr:uid="{00000000-0005-0000-0000-000004000000}"/>
    <cellStyle name="Currency 3" xfId="12" xr:uid="{00000000-0005-0000-0000-000005000000}"/>
    <cellStyle name="Hyperlink" xfId="18" builtinId="8"/>
    <cellStyle name="Komma 2" xfId="14" xr:uid="{9B33C3FA-5BB6-429E-9B6B-46F708555F2D}"/>
    <cellStyle name="Komma 3" xfId="16" xr:uid="{54B9BAE5-8E41-4D03-A6F7-4E0489AAE72C}"/>
    <cellStyle name="Komma 4" xfId="17" xr:uid="{DD803AD4-1A7E-4986-BBF1-841FAD2C4665}"/>
    <cellStyle name="Normal" xfId="0" builtinId="0"/>
    <cellStyle name="Normal 2" xfId="3" xr:uid="{00000000-0005-0000-0000-000007000000}"/>
    <cellStyle name="Normal 3" xfId="4" xr:uid="{00000000-0005-0000-0000-000008000000}"/>
    <cellStyle name="Normal 4" xfId="6" xr:uid="{00000000-0005-0000-0000-000009000000}"/>
    <cellStyle name="Percent" xfId="2" builtinId="5"/>
    <cellStyle name="Percent 2" xfId="8" xr:uid="{00000000-0005-0000-0000-00000B000000}"/>
    <cellStyle name="Percent 3" xfId="11" xr:uid="{00000000-0005-0000-0000-00000C000000}"/>
    <cellStyle name="Procent 2" xfId="15" xr:uid="{B03B6F9B-C9D4-4D44-8C8C-84ABC6784451}"/>
    <cellStyle name="Standaard 2" xfId="13" xr:uid="{ED1183A6-35E1-425E-BC86-23D8FB0BB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4-Q4/Ontvangen%20BDO/Cijfers%20QSP%2031-12-2024%20d.d.%2020-01-2025.xls" TargetMode="External"/><Relationship Id="rId1" Type="http://schemas.openxmlformats.org/officeDocument/2006/relationships/externalLinkPath" Target="Cijfers%20QSP%2031-12-2024%20d.d.%2020-01-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5%20Q1/Ontvangen%20BDO/Cijfers%20QSP%2031-03-2025%20d.d.%2018-04-2025.xls" TargetMode="External"/><Relationship Id="rId1" Type="http://schemas.openxmlformats.org/officeDocument/2006/relationships/externalLinkPath" Target="Cijfers%20QSP%2031-03-2025%20d.d.%2018-04-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Relationship Id="rId1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opLeftCell="G31" zoomScaleNormal="100" workbookViewId="0">
      <selection activeCell="H88" sqref="H88"/>
    </sheetView>
  </sheetViews>
  <sheetFormatPr defaultColWidth="9.109375" defaultRowHeight="12.75" customHeight="1"/>
  <cols>
    <col min="1" max="5" width="9.109375" style="1"/>
    <col min="6" max="6" width="28.6640625" style="1" bestFit="1" customWidth="1"/>
    <col min="7" max="9" width="9.109375" style="1"/>
    <col min="10" max="10" width="10.33203125" style="1" customWidth="1"/>
    <col min="11" max="11" width="9.109375" style="1"/>
    <col min="12" max="12" width="63.33203125" style="1" bestFit="1" customWidth="1"/>
    <col min="13" max="13" width="15.5546875" style="34" bestFit="1" customWidth="1"/>
    <col min="14" max="16384" width="9.109375" style="1"/>
  </cols>
  <sheetData>
    <row r="1" spans="1:1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4" t="s">
        <v>12</v>
      </c>
    </row>
    <row r="2" spans="1:13" ht="1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18</v>
      </c>
      <c r="I2" s="1" t="s">
        <v>20</v>
      </c>
      <c r="J2" s="1" t="s">
        <v>20</v>
      </c>
      <c r="K2" s="1" t="s">
        <v>21</v>
      </c>
      <c r="L2" s="1" t="s">
        <v>22</v>
      </c>
      <c r="M2" s="34">
        <v>134929584.62</v>
      </c>
    </row>
    <row r="3" spans="1:13" ht="12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18</v>
      </c>
      <c r="I3" s="1" t="s">
        <v>20</v>
      </c>
      <c r="J3" s="1" t="s">
        <v>20</v>
      </c>
      <c r="K3" s="1" t="s">
        <v>23</v>
      </c>
      <c r="L3" s="1" t="s">
        <v>24</v>
      </c>
      <c r="M3" s="34">
        <v>-8089661.6699999999</v>
      </c>
    </row>
    <row r="4" spans="1:13" ht="12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18</v>
      </c>
      <c r="I4" s="1" t="s">
        <v>20</v>
      </c>
      <c r="J4" s="1" t="s">
        <v>20</v>
      </c>
      <c r="K4" s="1" t="s">
        <v>25</v>
      </c>
      <c r="L4" s="1" t="s">
        <v>26</v>
      </c>
      <c r="M4" s="34">
        <v>-2341968</v>
      </c>
    </row>
    <row r="5" spans="1:13" ht="12.75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20</v>
      </c>
      <c r="J5" s="1" t="s">
        <v>20</v>
      </c>
      <c r="K5" s="1" t="s">
        <v>31</v>
      </c>
      <c r="L5" s="1" t="s">
        <v>32</v>
      </c>
      <c r="M5" s="34">
        <v>-0.24</v>
      </c>
    </row>
    <row r="6" spans="1:13" ht="12.7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27</v>
      </c>
      <c r="F6" s="1" t="s">
        <v>28</v>
      </c>
      <c r="G6" s="1" t="s">
        <v>33</v>
      </c>
      <c r="H6" s="1" t="s">
        <v>34</v>
      </c>
      <c r="I6" s="1" t="s">
        <v>20</v>
      </c>
      <c r="J6" s="1" t="s">
        <v>20</v>
      </c>
      <c r="K6" s="1" t="s">
        <v>35</v>
      </c>
      <c r="L6" s="1" t="s">
        <v>36</v>
      </c>
      <c r="M6" s="34">
        <v>2022416.44</v>
      </c>
    </row>
    <row r="7" spans="1:13" ht="12.75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20</v>
      </c>
      <c r="J7" s="1" t="s">
        <v>20</v>
      </c>
      <c r="K7" s="1" t="s">
        <v>41</v>
      </c>
      <c r="L7" s="1" t="s">
        <v>42</v>
      </c>
      <c r="M7" s="34">
        <v>171593.69</v>
      </c>
    </row>
    <row r="8" spans="1:13" ht="12.7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20</v>
      </c>
      <c r="J8" s="1" t="s">
        <v>20</v>
      </c>
      <c r="K8" s="1" t="s">
        <v>43</v>
      </c>
      <c r="L8" s="1" t="s">
        <v>44</v>
      </c>
      <c r="M8" s="34">
        <v>-14000</v>
      </c>
    </row>
    <row r="9" spans="1:13" ht="12.75" customHeight="1">
      <c r="A9" s="1" t="s">
        <v>13</v>
      </c>
      <c r="B9" s="1" t="s">
        <v>14</v>
      </c>
      <c r="C9" s="1" t="s">
        <v>15</v>
      </c>
      <c r="D9" s="1" t="s">
        <v>16</v>
      </c>
      <c r="E9" s="1" t="s">
        <v>37</v>
      </c>
      <c r="F9" s="1" t="s">
        <v>38</v>
      </c>
      <c r="G9" s="1" t="s">
        <v>45</v>
      </c>
      <c r="H9" s="1" t="s">
        <v>46</v>
      </c>
      <c r="I9" s="1" t="s">
        <v>20</v>
      </c>
      <c r="J9" s="1" t="s">
        <v>20</v>
      </c>
      <c r="K9" s="1" t="s">
        <v>47</v>
      </c>
      <c r="L9" s="1" t="s">
        <v>48</v>
      </c>
      <c r="M9" s="34">
        <v>110497</v>
      </c>
    </row>
    <row r="10" spans="1:13" ht="12.75" customHeight="1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37</v>
      </c>
      <c r="F10" s="1" t="s">
        <v>38</v>
      </c>
      <c r="G10" s="1" t="s">
        <v>45</v>
      </c>
      <c r="H10" s="1" t="s">
        <v>46</v>
      </c>
      <c r="I10" s="1" t="s">
        <v>20</v>
      </c>
      <c r="J10" s="1" t="s">
        <v>20</v>
      </c>
      <c r="K10" s="1" t="s">
        <v>49</v>
      </c>
      <c r="L10" s="1" t="s">
        <v>50</v>
      </c>
      <c r="M10" s="34">
        <v>0</v>
      </c>
    </row>
    <row r="11" spans="1:13" ht="12.75" customHeight="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37</v>
      </c>
      <c r="F11" s="1" t="s">
        <v>38</v>
      </c>
      <c r="G11" s="1" t="s">
        <v>51</v>
      </c>
      <c r="H11" s="1" t="s">
        <v>52</v>
      </c>
      <c r="I11" s="1" t="s">
        <v>20</v>
      </c>
      <c r="J11" s="1" t="s">
        <v>20</v>
      </c>
      <c r="K11" s="1" t="s">
        <v>53</v>
      </c>
      <c r="L11" s="1" t="s">
        <v>54</v>
      </c>
      <c r="M11" s="34">
        <v>0</v>
      </c>
    </row>
    <row r="12" spans="1:13" ht="12.75" customHeight="1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37</v>
      </c>
      <c r="F12" s="1" t="s">
        <v>38</v>
      </c>
      <c r="G12" s="1" t="s">
        <v>51</v>
      </c>
      <c r="H12" s="1" t="s">
        <v>52</v>
      </c>
      <c r="I12" s="1" t="s">
        <v>20</v>
      </c>
      <c r="J12" s="1" t="s">
        <v>20</v>
      </c>
      <c r="K12" s="1" t="s">
        <v>55</v>
      </c>
      <c r="L12" s="1" t="s">
        <v>56</v>
      </c>
      <c r="M12" s="34">
        <v>0</v>
      </c>
    </row>
    <row r="13" spans="1:13" ht="12.75" customHeight="1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57</v>
      </c>
      <c r="F13" s="1" t="s">
        <v>58</v>
      </c>
      <c r="G13" s="1" t="s">
        <v>59</v>
      </c>
      <c r="H13" s="1" t="s">
        <v>60</v>
      </c>
      <c r="I13" s="1" t="s">
        <v>20</v>
      </c>
      <c r="J13" s="1" t="s">
        <v>20</v>
      </c>
      <c r="K13" s="1" t="s">
        <v>61</v>
      </c>
      <c r="L13" s="1" t="s">
        <v>62</v>
      </c>
      <c r="M13" s="34">
        <v>0</v>
      </c>
    </row>
    <row r="14" spans="1:13" ht="12.75" customHeight="1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57</v>
      </c>
      <c r="F14" s="1" t="s">
        <v>58</v>
      </c>
      <c r="G14" s="1" t="s">
        <v>63</v>
      </c>
      <c r="H14" s="1" t="s">
        <v>64</v>
      </c>
      <c r="I14" s="1" t="s">
        <v>20</v>
      </c>
      <c r="J14" s="1" t="s">
        <v>20</v>
      </c>
      <c r="K14" s="1" t="s">
        <v>65</v>
      </c>
      <c r="L14" s="1" t="s">
        <v>66</v>
      </c>
      <c r="M14" s="34">
        <v>986584.53</v>
      </c>
    </row>
    <row r="15" spans="1:13" ht="12.75" customHeight="1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57</v>
      </c>
      <c r="F15" s="1" t="s">
        <v>58</v>
      </c>
      <c r="G15" s="1" t="s">
        <v>63</v>
      </c>
      <c r="H15" s="1" t="s">
        <v>64</v>
      </c>
      <c r="I15" s="1" t="s">
        <v>20</v>
      </c>
      <c r="J15" s="1" t="s">
        <v>20</v>
      </c>
      <c r="K15" s="1" t="s">
        <v>67</v>
      </c>
      <c r="L15" s="1" t="s">
        <v>68</v>
      </c>
      <c r="M15" s="34">
        <v>9648.09</v>
      </c>
    </row>
    <row r="16" spans="1:13" ht="12.75" customHeight="1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57</v>
      </c>
      <c r="F16" s="1" t="s">
        <v>58</v>
      </c>
      <c r="G16" s="1" t="s">
        <v>63</v>
      </c>
      <c r="H16" s="1" t="s">
        <v>64</v>
      </c>
      <c r="I16" s="1" t="s">
        <v>20</v>
      </c>
      <c r="J16" s="1" t="s">
        <v>20</v>
      </c>
      <c r="K16" s="1" t="s">
        <v>69</v>
      </c>
      <c r="L16" s="1" t="s">
        <v>70</v>
      </c>
      <c r="M16" s="34">
        <v>191789.66</v>
      </c>
    </row>
    <row r="17" spans="1:15" ht="12.75" customHeight="1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57</v>
      </c>
      <c r="F17" s="1" t="s">
        <v>58</v>
      </c>
      <c r="G17" s="1" t="s">
        <v>63</v>
      </c>
      <c r="H17" s="1" t="s">
        <v>64</v>
      </c>
      <c r="I17" s="1" t="s">
        <v>20</v>
      </c>
      <c r="J17" s="1" t="s">
        <v>20</v>
      </c>
      <c r="K17" s="1" t="s">
        <v>71</v>
      </c>
      <c r="L17" s="1" t="s">
        <v>72</v>
      </c>
      <c r="M17" s="34">
        <v>491535.05</v>
      </c>
      <c r="O17" s="114"/>
    </row>
    <row r="18" spans="1:15" ht="12.75" customHeight="1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57</v>
      </c>
      <c r="F18" s="1" t="s">
        <v>58</v>
      </c>
      <c r="G18" s="1" t="s">
        <v>63</v>
      </c>
      <c r="H18" s="1" t="s">
        <v>64</v>
      </c>
      <c r="I18" s="1" t="s">
        <v>20</v>
      </c>
      <c r="J18" s="1" t="s">
        <v>20</v>
      </c>
      <c r="K18" s="1" t="s">
        <v>73</v>
      </c>
      <c r="L18" s="1" t="s">
        <v>74</v>
      </c>
      <c r="M18" s="34">
        <v>415424.01</v>
      </c>
    </row>
    <row r="19" spans="1:15" ht="12.75" customHeight="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57</v>
      </c>
      <c r="F19" s="1" t="s">
        <v>58</v>
      </c>
      <c r="G19" s="1" t="s">
        <v>63</v>
      </c>
      <c r="H19" s="1" t="s">
        <v>64</v>
      </c>
      <c r="I19" s="1" t="s">
        <v>20</v>
      </c>
      <c r="J19" s="1" t="s">
        <v>20</v>
      </c>
      <c r="K19" s="1" t="s">
        <v>75</v>
      </c>
      <c r="L19" s="1" t="s">
        <v>76</v>
      </c>
      <c r="M19" s="34">
        <v>275171.20000000001</v>
      </c>
    </row>
    <row r="20" spans="1:15" ht="12.75" customHeigh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77</v>
      </c>
      <c r="F20" s="1" t="s">
        <v>78</v>
      </c>
      <c r="G20" s="1" t="s">
        <v>79</v>
      </c>
      <c r="H20" s="1" t="s">
        <v>80</v>
      </c>
      <c r="I20" s="1" t="s">
        <v>20</v>
      </c>
      <c r="J20" s="1" t="s">
        <v>20</v>
      </c>
      <c r="K20" s="1" t="s">
        <v>81</v>
      </c>
      <c r="L20" s="1" t="s">
        <v>82</v>
      </c>
      <c r="M20" s="34">
        <v>-1</v>
      </c>
    </row>
    <row r="21" spans="1:15" ht="12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20</v>
      </c>
      <c r="J21" s="1" t="s">
        <v>20</v>
      </c>
      <c r="K21" s="1" t="s">
        <v>87</v>
      </c>
      <c r="L21" s="1" t="s">
        <v>88</v>
      </c>
      <c r="M21" s="34">
        <v>-19431219.48</v>
      </c>
    </row>
    <row r="22" spans="1:15" ht="12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20</v>
      </c>
      <c r="J22" s="1" t="s">
        <v>20</v>
      </c>
      <c r="K22" s="1" t="s">
        <v>89</v>
      </c>
      <c r="L22" s="1" t="s">
        <v>90</v>
      </c>
      <c r="M22" s="34">
        <v>0</v>
      </c>
    </row>
    <row r="23" spans="1:15" ht="12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83</v>
      </c>
      <c r="F23" s="1" t="s">
        <v>84</v>
      </c>
      <c r="G23" s="1" t="s">
        <v>91</v>
      </c>
      <c r="H23" s="1" t="s">
        <v>92</v>
      </c>
      <c r="I23" s="1" t="s">
        <v>20</v>
      </c>
      <c r="J23" s="1" t="s">
        <v>20</v>
      </c>
      <c r="K23" s="1" t="s">
        <v>93</v>
      </c>
      <c r="L23" s="1" t="s">
        <v>94</v>
      </c>
      <c r="M23" s="34">
        <v>9899539.1999999993</v>
      </c>
    </row>
    <row r="24" spans="1:15" ht="12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83</v>
      </c>
      <c r="F24" s="1" t="s">
        <v>84</v>
      </c>
      <c r="G24" s="1" t="s">
        <v>91</v>
      </c>
      <c r="H24" s="1" t="s">
        <v>92</v>
      </c>
      <c r="I24" s="1" t="s">
        <v>20</v>
      </c>
      <c r="J24" s="1" t="s">
        <v>20</v>
      </c>
      <c r="K24" s="1" t="s">
        <v>95</v>
      </c>
      <c r="L24" s="1" t="s">
        <v>96</v>
      </c>
      <c r="M24" s="34">
        <v>7727104.0999999996</v>
      </c>
    </row>
    <row r="25" spans="1:15" ht="12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97</v>
      </c>
      <c r="F25" s="1" t="s">
        <v>98</v>
      </c>
      <c r="G25" s="1" t="s">
        <v>99</v>
      </c>
      <c r="H25" s="1" t="s">
        <v>100</v>
      </c>
      <c r="I25" s="1" t="s">
        <v>20</v>
      </c>
      <c r="J25" s="1" t="s">
        <v>20</v>
      </c>
      <c r="K25" s="1" t="s">
        <v>101</v>
      </c>
      <c r="L25" s="1" t="s">
        <v>102</v>
      </c>
      <c r="M25" s="34">
        <v>0</v>
      </c>
    </row>
    <row r="26" spans="1:15" ht="12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97</v>
      </c>
      <c r="F26" s="1" t="s">
        <v>98</v>
      </c>
      <c r="G26" s="1" t="s">
        <v>99</v>
      </c>
      <c r="H26" s="1" t="s">
        <v>100</v>
      </c>
      <c r="I26" s="1" t="s">
        <v>20</v>
      </c>
      <c r="J26" s="1" t="s">
        <v>20</v>
      </c>
      <c r="K26" s="1" t="s">
        <v>103</v>
      </c>
      <c r="L26" s="1" t="s">
        <v>104</v>
      </c>
      <c r="M26" s="34">
        <v>-130000000</v>
      </c>
    </row>
    <row r="27" spans="1:15" ht="12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97</v>
      </c>
      <c r="F27" s="1" t="s">
        <v>98</v>
      </c>
      <c r="G27" s="1" t="s">
        <v>99</v>
      </c>
      <c r="H27" s="1" t="s">
        <v>100</v>
      </c>
      <c r="I27" s="1" t="s">
        <v>20</v>
      </c>
      <c r="J27" s="1" t="s">
        <v>20</v>
      </c>
      <c r="K27" s="1" t="s">
        <v>105</v>
      </c>
      <c r="L27" s="1" t="s">
        <v>106</v>
      </c>
      <c r="M27" s="34">
        <v>0</v>
      </c>
    </row>
    <row r="28" spans="1:15" ht="12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97</v>
      </c>
      <c r="F28" s="1" t="s">
        <v>98</v>
      </c>
      <c r="G28" s="1" t="s">
        <v>99</v>
      </c>
      <c r="H28" s="1" t="s">
        <v>100</v>
      </c>
      <c r="I28" s="1" t="s">
        <v>20</v>
      </c>
      <c r="J28" s="1" t="s">
        <v>20</v>
      </c>
      <c r="K28" s="1" t="s">
        <v>107</v>
      </c>
      <c r="L28" s="1" t="s">
        <v>108</v>
      </c>
      <c r="M28" s="34">
        <v>5070232.5</v>
      </c>
    </row>
    <row r="29" spans="1:15" ht="12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97</v>
      </c>
      <c r="F29" s="1" t="s">
        <v>98</v>
      </c>
      <c r="G29" s="1" t="s">
        <v>99</v>
      </c>
      <c r="H29" s="1" t="s">
        <v>100</v>
      </c>
      <c r="I29" s="1" t="s">
        <v>20</v>
      </c>
      <c r="J29" s="1" t="s">
        <v>20</v>
      </c>
      <c r="K29" s="1" t="s">
        <v>109</v>
      </c>
      <c r="L29" s="1" t="s">
        <v>110</v>
      </c>
      <c r="M29" s="34">
        <v>-306833.59000000003</v>
      </c>
    </row>
    <row r="30" spans="1:15" ht="12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97</v>
      </c>
      <c r="F30" s="1" t="s">
        <v>98</v>
      </c>
      <c r="G30" s="1" t="s">
        <v>111</v>
      </c>
      <c r="H30" s="1" t="s">
        <v>112</v>
      </c>
      <c r="I30" s="1" t="s">
        <v>20</v>
      </c>
      <c r="J30" s="1" t="s">
        <v>20</v>
      </c>
      <c r="K30" s="1" t="s">
        <v>113</v>
      </c>
      <c r="L30" s="1" t="s">
        <v>114</v>
      </c>
      <c r="M30" s="34">
        <v>0</v>
      </c>
    </row>
    <row r="31" spans="1:15" ht="12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97</v>
      </c>
      <c r="F31" s="1" t="s">
        <v>98</v>
      </c>
      <c r="G31" s="1" t="s">
        <v>111</v>
      </c>
      <c r="H31" s="1" t="s">
        <v>112</v>
      </c>
      <c r="I31" s="1" t="s">
        <v>20</v>
      </c>
      <c r="J31" s="1" t="s">
        <v>20</v>
      </c>
      <c r="K31" s="1" t="s">
        <v>115</v>
      </c>
      <c r="L31" s="1" t="s">
        <v>116</v>
      </c>
      <c r="M31" s="34">
        <v>0</v>
      </c>
    </row>
    <row r="32" spans="1:15" ht="12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117</v>
      </c>
      <c r="F32" s="1" t="s">
        <v>118</v>
      </c>
      <c r="G32" s="1" t="s">
        <v>119</v>
      </c>
      <c r="H32" s="1" t="s">
        <v>120</v>
      </c>
      <c r="I32" s="1" t="s">
        <v>20</v>
      </c>
      <c r="J32" s="1" t="s">
        <v>20</v>
      </c>
      <c r="K32" s="1" t="s">
        <v>121</v>
      </c>
      <c r="L32" s="1" t="s">
        <v>122</v>
      </c>
      <c r="M32" s="34">
        <v>-9075.01</v>
      </c>
    </row>
    <row r="33" spans="1:13" ht="12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117</v>
      </c>
      <c r="F33" s="1" t="s">
        <v>118</v>
      </c>
      <c r="G33" s="1" t="s">
        <v>119</v>
      </c>
      <c r="H33" s="1" t="s">
        <v>120</v>
      </c>
      <c r="I33" s="1" t="s">
        <v>20</v>
      </c>
      <c r="J33" s="1" t="s">
        <v>20</v>
      </c>
      <c r="K33" s="1" t="s">
        <v>123</v>
      </c>
      <c r="L33" s="1" t="s">
        <v>124</v>
      </c>
      <c r="M33" s="34">
        <v>0</v>
      </c>
    </row>
    <row r="34" spans="1:13" ht="12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117</v>
      </c>
      <c r="F34" s="1" t="s">
        <v>118</v>
      </c>
      <c r="G34" s="1" t="s">
        <v>125</v>
      </c>
      <c r="H34" s="1" t="s">
        <v>126</v>
      </c>
      <c r="I34" s="1" t="s">
        <v>127</v>
      </c>
      <c r="J34" s="1" t="s">
        <v>128</v>
      </c>
      <c r="K34" s="1" t="s">
        <v>129</v>
      </c>
      <c r="L34" s="1" t="s">
        <v>130</v>
      </c>
      <c r="M34" s="34">
        <v>-6845.46</v>
      </c>
    </row>
    <row r="35" spans="1:13" ht="12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117</v>
      </c>
      <c r="F35" s="1" t="s">
        <v>118</v>
      </c>
      <c r="G35" s="1" t="s">
        <v>125</v>
      </c>
      <c r="H35" s="1" t="s">
        <v>126</v>
      </c>
      <c r="I35" s="1" t="s">
        <v>131</v>
      </c>
      <c r="J35" s="1" t="s">
        <v>132</v>
      </c>
      <c r="K35" s="1" t="s">
        <v>133</v>
      </c>
      <c r="L35" s="1" t="s">
        <v>134</v>
      </c>
      <c r="M35" s="34">
        <v>536277</v>
      </c>
    </row>
    <row r="36" spans="1:13" ht="12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117</v>
      </c>
      <c r="F36" s="1" t="s">
        <v>118</v>
      </c>
      <c r="G36" s="1" t="s">
        <v>125</v>
      </c>
      <c r="H36" s="1" t="s">
        <v>126</v>
      </c>
      <c r="I36" s="1" t="s">
        <v>135</v>
      </c>
      <c r="J36" s="1" t="s">
        <v>136</v>
      </c>
      <c r="K36" s="1" t="s">
        <v>137</v>
      </c>
      <c r="L36" s="1" t="s">
        <v>138</v>
      </c>
      <c r="M36" s="34">
        <v>0</v>
      </c>
    </row>
    <row r="37" spans="1:13" ht="12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117</v>
      </c>
      <c r="F37" s="1" t="s">
        <v>118</v>
      </c>
      <c r="G37" s="1" t="s">
        <v>139</v>
      </c>
      <c r="H37" s="1" t="s">
        <v>140</v>
      </c>
      <c r="I37" s="1" t="s">
        <v>20</v>
      </c>
      <c r="J37" s="1" t="s">
        <v>20</v>
      </c>
      <c r="K37" s="1" t="s">
        <v>141</v>
      </c>
      <c r="L37" s="1" t="s">
        <v>142</v>
      </c>
      <c r="M37" s="34">
        <v>-666513.99</v>
      </c>
    </row>
    <row r="38" spans="1:13" ht="12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117</v>
      </c>
      <c r="F38" s="1" t="s">
        <v>118</v>
      </c>
      <c r="G38" s="1" t="s">
        <v>139</v>
      </c>
      <c r="H38" s="1" t="s">
        <v>140</v>
      </c>
      <c r="I38" s="1" t="s">
        <v>20</v>
      </c>
      <c r="J38" s="1" t="s">
        <v>20</v>
      </c>
      <c r="K38" s="1" t="s">
        <v>143</v>
      </c>
      <c r="L38" s="1" t="s">
        <v>144</v>
      </c>
      <c r="M38" s="34">
        <v>-22500</v>
      </c>
    </row>
    <row r="39" spans="1:13" ht="12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117</v>
      </c>
      <c r="F39" s="1" t="s">
        <v>118</v>
      </c>
      <c r="G39" s="1" t="s">
        <v>139</v>
      </c>
      <c r="H39" s="1" t="s">
        <v>140</v>
      </c>
      <c r="I39" s="1" t="s">
        <v>20</v>
      </c>
      <c r="J39" s="1" t="s">
        <v>20</v>
      </c>
      <c r="K39" s="1" t="s">
        <v>145</v>
      </c>
      <c r="L39" s="1" t="s">
        <v>146</v>
      </c>
      <c r="M39" s="34">
        <v>0</v>
      </c>
    </row>
    <row r="40" spans="1:13" ht="12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117</v>
      </c>
      <c r="F40" s="1" t="s">
        <v>118</v>
      </c>
      <c r="G40" s="1" t="s">
        <v>139</v>
      </c>
      <c r="H40" s="1" t="s">
        <v>140</v>
      </c>
      <c r="I40" s="1" t="s">
        <v>20</v>
      </c>
      <c r="J40" s="1" t="s">
        <v>20</v>
      </c>
      <c r="K40" s="1" t="s">
        <v>147</v>
      </c>
      <c r="L40" s="1" t="s">
        <v>148</v>
      </c>
      <c r="M40" s="34">
        <v>-18117.02</v>
      </c>
    </row>
    <row r="41" spans="1:13" ht="12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117</v>
      </c>
      <c r="F41" s="1" t="s">
        <v>118</v>
      </c>
      <c r="G41" s="1" t="s">
        <v>139</v>
      </c>
      <c r="H41" s="1" t="s">
        <v>140</v>
      </c>
      <c r="I41" s="1" t="s">
        <v>20</v>
      </c>
      <c r="J41" s="1" t="s">
        <v>20</v>
      </c>
      <c r="K41" s="1" t="s">
        <v>149</v>
      </c>
      <c r="L41" s="1" t="s">
        <v>150</v>
      </c>
      <c r="M41" s="34">
        <v>0</v>
      </c>
    </row>
    <row r="42" spans="1:13" ht="12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117</v>
      </c>
      <c r="F42" s="1" t="s">
        <v>118</v>
      </c>
      <c r="G42" s="1" t="s">
        <v>139</v>
      </c>
      <c r="H42" s="1" t="s">
        <v>140</v>
      </c>
      <c r="I42" s="1" t="s">
        <v>20</v>
      </c>
      <c r="J42" s="1" t="s">
        <v>20</v>
      </c>
      <c r="K42" s="1" t="s">
        <v>151</v>
      </c>
      <c r="L42" s="1" t="s">
        <v>152</v>
      </c>
      <c r="M42" s="34">
        <v>0</v>
      </c>
    </row>
    <row r="43" spans="1:13" ht="12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117</v>
      </c>
      <c r="F43" s="1" t="s">
        <v>118</v>
      </c>
      <c r="G43" s="1" t="s">
        <v>139</v>
      </c>
      <c r="H43" s="1" t="s">
        <v>140</v>
      </c>
      <c r="I43" s="1" t="s">
        <v>20</v>
      </c>
      <c r="J43" s="1" t="s">
        <v>20</v>
      </c>
      <c r="K43" s="1" t="s">
        <v>153</v>
      </c>
      <c r="L43" s="1" t="s">
        <v>154</v>
      </c>
      <c r="M43" s="34">
        <v>0</v>
      </c>
    </row>
    <row r="44" spans="1:13" ht="12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117</v>
      </c>
      <c r="F44" s="1" t="s">
        <v>118</v>
      </c>
      <c r="G44" s="1" t="s">
        <v>139</v>
      </c>
      <c r="H44" s="1" t="s">
        <v>140</v>
      </c>
      <c r="I44" s="1" t="s">
        <v>20</v>
      </c>
      <c r="J44" s="1" t="s">
        <v>20</v>
      </c>
      <c r="K44" s="1" t="s">
        <v>155</v>
      </c>
      <c r="L44" s="1" t="s">
        <v>156</v>
      </c>
      <c r="M44" s="34">
        <v>-40157.89</v>
      </c>
    </row>
    <row r="45" spans="1:13" ht="12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117</v>
      </c>
      <c r="F45" s="1" t="s">
        <v>118</v>
      </c>
      <c r="G45" s="1" t="s">
        <v>139</v>
      </c>
      <c r="H45" s="1" t="s">
        <v>140</v>
      </c>
      <c r="I45" s="1" t="s">
        <v>20</v>
      </c>
      <c r="J45" s="1" t="s">
        <v>20</v>
      </c>
      <c r="K45" s="1" t="s">
        <v>157</v>
      </c>
      <c r="L45" s="1" t="s">
        <v>158</v>
      </c>
      <c r="M45" s="34">
        <v>0</v>
      </c>
    </row>
    <row r="46" spans="1:13" ht="12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117</v>
      </c>
      <c r="F46" s="1" t="s">
        <v>118</v>
      </c>
      <c r="G46" s="1" t="s">
        <v>139</v>
      </c>
      <c r="H46" s="1" t="s">
        <v>140</v>
      </c>
      <c r="I46" s="1" t="s">
        <v>20</v>
      </c>
      <c r="J46" s="1" t="s">
        <v>20</v>
      </c>
      <c r="K46" s="1" t="s">
        <v>159</v>
      </c>
      <c r="L46" s="1" t="s">
        <v>160</v>
      </c>
      <c r="M46" s="34">
        <v>-5040</v>
      </c>
    </row>
    <row r="47" spans="1:13" ht="12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117</v>
      </c>
      <c r="F47" s="1" t="s">
        <v>118</v>
      </c>
      <c r="G47" s="1" t="s">
        <v>139</v>
      </c>
      <c r="H47" s="1" t="s">
        <v>140</v>
      </c>
      <c r="I47" s="1" t="s">
        <v>20</v>
      </c>
      <c r="J47" s="1" t="s">
        <v>20</v>
      </c>
      <c r="K47" s="1" t="s">
        <v>161</v>
      </c>
      <c r="L47" s="1" t="s">
        <v>162</v>
      </c>
      <c r="M47" s="34">
        <v>918.63</v>
      </c>
    </row>
    <row r="48" spans="1:13" ht="12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117</v>
      </c>
      <c r="F48" s="1" t="s">
        <v>118</v>
      </c>
      <c r="G48" s="1" t="s">
        <v>139</v>
      </c>
      <c r="H48" s="1" t="s">
        <v>140</v>
      </c>
      <c r="I48" s="1" t="s">
        <v>20</v>
      </c>
      <c r="J48" s="1" t="s">
        <v>20</v>
      </c>
      <c r="K48" s="1" t="s">
        <v>163</v>
      </c>
      <c r="L48" s="1" t="s">
        <v>164</v>
      </c>
      <c r="M48" s="34">
        <v>-146910.69</v>
      </c>
    </row>
    <row r="49" spans="1:13" ht="12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117</v>
      </c>
      <c r="F49" s="1" t="s">
        <v>118</v>
      </c>
      <c r="G49" s="1" t="s">
        <v>139</v>
      </c>
      <c r="H49" s="1" t="s">
        <v>140</v>
      </c>
      <c r="I49" s="1" t="s">
        <v>20</v>
      </c>
      <c r="J49" s="1" t="s">
        <v>20</v>
      </c>
      <c r="K49" s="1" t="s">
        <v>165</v>
      </c>
      <c r="L49" s="1" t="s">
        <v>166</v>
      </c>
      <c r="M49" s="34">
        <v>-3.66</v>
      </c>
    </row>
    <row r="51" spans="1:13" ht="12.75" customHeight="1">
      <c r="A51" s="1" t="s">
        <v>13</v>
      </c>
      <c r="B51" s="1" t="s">
        <v>14</v>
      </c>
      <c r="C51" s="1" t="s">
        <v>167</v>
      </c>
      <c r="D51" s="1" t="s">
        <v>168</v>
      </c>
      <c r="E51" s="1" t="s">
        <v>169</v>
      </c>
      <c r="F51" s="1" t="s">
        <v>170</v>
      </c>
      <c r="G51" s="1" t="s">
        <v>171</v>
      </c>
      <c r="H51" s="1" t="s">
        <v>170</v>
      </c>
      <c r="I51" s="1" t="s">
        <v>20</v>
      </c>
      <c r="J51" s="1" t="s">
        <v>20</v>
      </c>
      <c r="K51" s="1" t="s">
        <v>172</v>
      </c>
      <c r="L51" s="1" t="s">
        <v>173</v>
      </c>
      <c r="M51" s="34">
        <v>0</v>
      </c>
    </row>
    <row r="52" spans="1:13" ht="12.75" customHeight="1">
      <c r="A52" s="1" t="s">
        <v>13</v>
      </c>
      <c r="B52" s="1" t="s">
        <v>14</v>
      </c>
      <c r="C52" s="1" t="s">
        <v>167</v>
      </c>
      <c r="D52" s="1" t="s">
        <v>168</v>
      </c>
      <c r="E52" s="1" t="s">
        <v>169</v>
      </c>
      <c r="F52" s="1" t="s">
        <v>170</v>
      </c>
      <c r="G52" s="1" t="s">
        <v>171</v>
      </c>
      <c r="H52" s="1" t="s">
        <v>170</v>
      </c>
      <c r="I52" s="1" t="s">
        <v>20</v>
      </c>
      <c r="J52" s="1" t="s">
        <v>20</v>
      </c>
      <c r="K52" s="1" t="s">
        <v>174</v>
      </c>
      <c r="L52" s="1" t="s">
        <v>175</v>
      </c>
      <c r="M52" s="34">
        <v>-11116814.02</v>
      </c>
    </row>
    <row r="53" spans="1:13" ht="12.75" customHeight="1">
      <c r="A53" s="1" t="s">
        <v>13</v>
      </c>
      <c r="B53" s="1" t="s">
        <v>14</v>
      </c>
      <c r="C53" s="1" t="s">
        <v>167</v>
      </c>
      <c r="D53" s="1" t="s">
        <v>168</v>
      </c>
      <c r="E53" s="1" t="s">
        <v>169</v>
      </c>
      <c r="F53" s="1" t="s">
        <v>170</v>
      </c>
      <c r="G53" s="1" t="s">
        <v>171</v>
      </c>
      <c r="H53" s="1" t="s">
        <v>170</v>
      </c>
      <c r="I53" s="1" t="s">
        <v>20</v>
      </c>
      <c r="J53" s="1" t="s">
        <v>20</v>
      </c>
      <c r="K53" s="1" t="s">
        <v>176</v>
      </c>
      <c r="L53" s="1" t="s">
        <v>177</v>
      </c>
      <c r="M53" s="34">
        <v>307315.71000000002</v>
      </c>
    </row>
    <row r="54" spans="1:13" ht="12.75" customHeight="1">
      <c r="A54" s="1" t="s">
        <v>13</v>
      </c>
      <c r="B54" s="1" t="s">
        <v>14</v>
      </c>
      <c r="C54" s="1" t="s">
        <v>167</v>
      </c>
      <c r="D54" s="1" t="s">
        <v>168</v>
      </c>
      <c r="E54" s="1" t="s">
        <v>169</v>
      </c>
      <c r="F54" s="1" t="s">
        <v>170</v>
      </c>
      <c r="G54" s="1" t="s">
        <v>178</v>
      </c>
      <c r="H54" s="1" t="s">
        <v>179</v>
      </c>
      <c r="I54" s="1" t="s">
        <v>20</v>
      </c>
      <c r="J54" s="1" t="s">
        <v>20</v>
      </c>
      <c r="K54" s="1" t="s">
        <v>180</v>
      </c>
      <c r="L54" s="1" t="s">
        <v>181</v>
      </c>
      <c r="M54" s="34">
        <v>0</v>
      </c>
    </row>
    <row r="55" spans="1:13" ht="12.75" customHeight="1">
      <c r="A55" s="1" t="s">
        <v>13</v>
      </c>
      <c r="B55" s="1" t="s">
        <v>14</v>
      </c>
      <c r="C55" s="1" t="s">
        <v>167</v>
      </c>
      <c r="D55" s="1" t="s">
        <v>168</v>
      </c>
      <c r="E55" s="1" t="s">
        <v>169</v>
      </c>
      <c r="F55" s="1" t="s">
        <v>170</v>
      </c>
      <c r="G55" s="1" t="s">
        <v>178</v>
      </c>
      <c r="H55" s="1" t="s">
        <v>179</v>
      </c>
      <c r="I55" s="1" t="s">
        <v>20</v>
      </c>
      <c r="J55" s="1" t="s">
        <v>20</v>
      </c>
      <c r="K55" s="1" t="s">
        <v>182</v>
      </c>
      <c r="L55" s="1" t="s">
        <v>183</v>
      </c>
      <c r="M55" s="34">
        <v>-681254.98</v>
      </c>
    </row>
    <row r="56" spans="1:13" ht="12.75" customHeight="1">
      <c r="A56" s="1" t="s">
        <v>13</v>
      </c>
      <c r="B56" s="1" t="s">
        <v>14</v>
      </c>
      <c r="C56" s="1" t="s">
        <v>167</v>
      </c>
      <c r="D56" s="1" t="s">
        <v>168</v>
      </c>
      <c r="E56" s="1" t="s">
        <v>169</v>
      </c>
      <c r="F56" s="1" t="s">
        <v>170</v>
      </c>
      <c r="G56" s="1" t="s">
        <v>178</v>
      </c>
      <c r="H56" s="1" t="s">
        <v>179</v>
      </c>
      <c r="I56" s="1" t="s">
        <v>20</v>
      </c>
      <c r="J56" s="1" t="s">
        <v>20</v>
      </c>
      <c r="K56" s="1" t="s">
        <v>184</v>
      </c>
      <c r="L56" s="1" t="s">
        <v>185</v>
      </c>
      <c r="M56" s="34">
        <v>74071.97</v>
      </c>
    </row>
    <row r="57" spans="1:13" ht="12.75" customHeight="1">
      <c r="A57" s="1" t="s">
        <v>13</v>
      </c>
      <c r="B57" s="1" t="s">
        <v>14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178</v>
      </c>
      <c r="H57" s="1" t="s">
        <v>179</v>
      </c>
      <c r="I57" s="1" t="s">
        <v>20</v>
      </c>
      <c r="J57" s="1" t="s">
        <v>20</v>
      </c>
      <c r="K57" s="1" t="s">
        <v>186</v>
      </c>
      <c r="L57" s="1" t="s">
        <v>187</v>
      </c>
      <c r="M57" s="34">
        <v>561128.36</v>
      </c>
    </row>
    <row r="58" spans="1:13" ht="12.75" customHeight="1">
      <c r="A58" s="1" t="s">
        <v>13</v>
      </c>
      <c r="B58" s="1" t="s">
        <v>14</v>
      </c>
      <c r="C58" s="1" t="s">
        <v>167</v>
      </c>
      <c r="D58" s="1" t="s">
        <v>168</v>
      </c>
      <c r="E58" s="1" t="s">
        <v>188</v>
      </c>
      <c r="F58" s="1" t="s">
        <v>189</v>
      </c>
      <c r="G58" s="1" t="s">
        <v>190</v>
      </c>
      <c r="H58" s="1" t="s">
        <v>191</v>
      </c>
      <c r="I58" s="1" t="s">
        <v>20</v>
      </c>
      <c r="J58" s="1" t="s">
        <v>20</v>
      </c>
      <c r="K58" s="1" t="s">
        <v>192</v>
      </c>
      <c r="L58" s="1" t="s">
        <v>193</v>
      </c>
      <c r="M58" s="34">
        <v>0</v>
      </c>
    </row>
    <row r="59" spans="1:13" ht="12.75" customHeight="1">
      <c r="A59" s="1" t="s">
        <v>13</v>
      </c>
      <c r="B59" s="1" t="s">
        <v>14</v>
      </c>
      <c r="C59" s="1" t="s">
        <v>167</v>
      </c>
      <c r="D59" s="1" t="s">
        <v>168</v>
      </c>
      <c r="E59" s="1" t="s">
        <v>194</v>
      </c>
      <c r="F59" s="1" t="s">
        <v>195</v>
      </c>
      <c r="G59" s="1" t="s">
        <v>196</v>
      </c>
      <c r="H59" s="1" t="s">
        <v>197</v>
      </c>
      <c r="I59" s="1" t="s">
        <v>20</v>
      </c>
      <c r="J59" s="1" t="s">
        <v>20</v>
      </c>
      <c r="K59" s="1" t="s">
        <v>198</v>
      </c>
      <c r="L59" s="1" t="s">
        <v>199</v>
      </c>
      <c r="M59" s="34">
        <v>472384.16</v>
      </c>
    </row>
    <row r="60" spans="1:13" ht="12.75" customHeight="1">
      <c r="A60" s="1" t="s">
        <v>13</v>
      </c>
      <c r="B60" s="1" t="s">
        <v>14</v>
      </c>
      <c r="C60" s="1" t="s">
        <v>167</v>
      </c>
      <c r="D60" s="1" t="s">
        <v>168</v>
      </c>
      <c r="E60" s="1" t="s">
        <v>194</v>
      </c>
      <c r="F60" s="1" t="s">
        <v>195</v>
      </c>
      <c r="G60" s="1" t="s">
        <v>200</v>
      </c>
      <c r="H60" s="1" t="s">
        <v>201</v>
      </c>
      <c r="I60" s="1" t="s">
        <v>202</v>
      </c>
      <c r="J60" s="1" t="s">
        <v>203</v>
      </c>
      <c r="K60" s="1" t="s">
        <v>204</v>
      </c>
      <c r="L60" s="1" t="s">
        <v>205</v>
      </c>
      <c r="M60" s="34">
        <v>2698591.67</v>
      </c>
    </row>
    <row r="61" spans="1:13" ht="12.75" customHeight="1">
      <c r="A61" s="1" t="s">
        <v>13</v>
      </c>
      <c r="B61" s="1" t="s">
        <v>14</v>
      </c>
      <c r="C61" s="1" t="s">
        <v>167</v>
      </c>
      <c r="D61" s="1" t="s">
        <v>168</v>
      </c>
      <c r="E61" s="1" t="s">
        <v>194</v>
      </c>
      <c r="F61" s="1" t="s">
        <v>195</v>
      </c>
      <c r="G61" s="1" t="s">
        <v>200</v>
      </c>
      <c r="H61" s="1" t="s">
        <v>201</v>
      </c>
      <c r="I61" s="1" t="s">
        <v>202</v>
      </c>
      <c r="J61" s="1" t="s">
        <v>203</v>
      </c>
      <c r="K61" s="1" t="s">
        <v>206</v>
      </c>
      <c r="L61" s="1" t="s">
        <v>207</v>
      </c>
      <c r="M61" s="34">
        <v>-1219532</v>
      </c>
    </row>
    <row r="62" spans="1:13" ht="12.75" customHeight="1">
      <c r="A62" s="1" t="s">
        <v>13</v>
      </c>
      <c r="B62" s="1" t="s">
        <v>14</v>
      </c>
      <c r="C62" s="1" t="s">
        <v>167</v>
      </c>
      <c r="D62" s="1" t="s">
        <v>168</v>
      </c>
      <c r="E62" s="1" t="s">
        <v>194</v>
      </c>
      <c r="F62" s="1" t="s">
        <v>195</v>
      </c>
      <c r="G62" s="1" t="s">
        <v>208</v>
      </c>
      <c r="H62" s="1" t="s">
        <v>209</v>
      </c>
      <c r="I62" s="1" t="s">
        <v>20</v>
      </c>
      <c r="J62" s="1" t="s">
        <v>20</v>
      </c>
      <c r="K62" s="1" t="s">
        <v>210</v>
      </c>
      <c r="L62" s="1" t="s">
        <v>211</v>
      </c>
      <c r="M62" s="34">
        <v>1015338.54</v>
      </c>
    </row>
    <row r="63" spans="1:13" ht="12.75" customHeight="1">
      <c r="A63" s="1" t="s">
        <v>13</v>
      </c>
      <c r="B63" s="1" t="s">
        <v>14</v>
      </c>
      <c r="C63" s="1" t="s">
        <v>167</v>
      </c>
      <c r="D63" s="1" t="s">
        <v>168</v>
      </c>
      <c r="E63" s="1" t="s">
        <v>194</v>
      </c>
      <c r="F63" s="1" t="s">
        <v>195</v>
      </c>
      <c r="G63" s="1" t="s">
        <v>208</v>
      </c>
      <c r="H63" s="1" t="s">
        <v>209</v>
      </c>
      <c r="I63" s="1" t="s">
        <v>20</v>
      </c>
      <c r="J63" s="1" t="s">
        <v>20</v>
      </c>
      <c r="K63" s="1" t="s">
        <v>212</v>
      </c>
      <c r="L63" s="1" t="s">
        <v>213</v>
      </c>
      <c r="M63" s="34">
        <v>568182</v>
      </c>
    </row>
    <row r="64" spans="1:13" ht="12.75" customHeight="1">
      <c r="A64" s="1" t="s">
        <v>13</v>
      </c>
      <c r="B64" s="1" t="s">
        <v>14</v>
      </c>
      <c r="C64" s="1" t="s">
        <v>167</v>
      </c>
      <c r="D64" s="1" t="s">
        <v>168</v>
      </c>
      <c r="E64" s="1" t="s">
        <v>194</v>
      </c>
      <c r="F64" s="1" t="s">
        <v>195</v>
      </c>
      <c r="G64" s="1" t="s">
        <v>208</v>
      </c>
      <c r="H64" s="1" t="s">
        <v>209</v>
      </c>
      <c r="I64" s="1" t="s">
        <v>20</v>
      </c>
      <c r="J64" s="1" t="s">
        <v>20</v>
      </c>
      <c r="K64" s="1" t="s">
        <v>214</v>
      </c>
      <c r="L64" s="1" t="s">
        <v>215</v>
      </c>
      <c r="M64" s="34">
        <v>316136.09999999998</v>
      </c>
    </row>
    <row r="65" spans="1:13" ht="12.75" customHeight="1">
      <c r="A65" s="1" t="s">
        <v>13</v>
      </c>
      <c r="B65" s="1" t="s">
        <v>14</v>
      </c>
      <c r="C65" s="1" t="s">
        <v>167</v>
      </c>
      <c r="D65" s="1" t="s">
        <v>168</v>
      </c>
      <c r="E65" s="1" t="s">
        <v>194</v>
      </c>
      <c r="F65" s="1" t="s">
        <v>195</v>
      </c>
      <c r="G65" s="1" t="s">
        <v>208</v>
      </c>
      <c r="H65" s="1" t="s">
        <v>209</v>
      </c>
      <c r="I65" s="1" t="s">
        <v>20</v>
      </c>
      <c r="J65" s="1" t="s">
        <v>20</v>
      </c>
      <c r="K65" s="1" t="s">
        <v>216</v>
      </c>
      <c r="L65" s="1" t="s">
        <v>217</v>
      </c>
      <c r="M65" s="34">
        <v>630780.63</v>
      </c>
    </row>
    <row r="66" spans="1:13" ht="12.75" customHeight="1">
      <c r="A66" s="1" t="s">
        <v>13</v>
      </c>
      <c r="B66" s="1" t="s">
        <v>14</v>
      </c>
      <c r="C66" s="1" t="s">
        <v>167</v>
      </c>
      <c r="D66" s="1" t="s">
        <v>168</v>
      </c>
      <c r="E66" s="1" t="s">
        <v>194</v>
      </c>
      <c r="F66" s="1" t="s">
        <v>195</v>
      </c>
      <c r="G66" s="1" t="s">
        <v>208</v>
      </c>
      <c r="H66" s="1" t="s">
        <v>209</v>
      </c>
      <c r="I66" s="1" t="s">
        <v>20</v>
      </c>
      <c r="J66" s="1" t="s">
        <v>20</v>
      </c>
      <c r="K66" s="1" t="s">
        <v>218</v>
      </c>
      <c r="L66" s="1" t="s">
        <v>219</v>
      </c>
      <c r="M66" s="34">
        <v>1026.53</v>
      </c>
    </row>
    <row r="67" spans="1:13" ht="12.75" customHeight="1">
      <c r="A67" s="1" t="s">
        <v>13</v>
      </c>
      <c r="B67" s="1" t="s">
        <v>14</v>
      </c>
      <c r="C67" s="1" t="s">
        <v>167</v>
      </c>
      <c r="D67" s="1" t="s">
        <v>168</v>
      </c>
      <c r="E67" s="1" t="s">
        <v>194</v>
      </c>
      <c r="F67" s="1" t="s">
        <v>195</v>
      </c>
      <c r="G67" s="1" t="s">
        <v>208</v>
      </c>
      <c r="H67" s="1" t="s">
        <v>209</v>
      </c>
      <c r="I67" s="1" t="s">
        <v>20</v>
      </c>
      <c r="J67" s="1" t="s">
        <v>20</v>
      </c>
      <c r="K67" s="1" t="s">
        <v>220</v>
      </c>
      <c r="L67" s="1" t="s">
        <v>221</v>
      </c>
      <c r="M67" s="34">
        <v>116470.82</v>
      </c>
    </row>
    <row r="68" spans="1:13" ht="12.75" customHeight="1">
      <c r="A68" s="1" t="s">
        <v>13</v>
      </c>
      <c r="B68" s="1" t="s">
        <v>14</v>
      </c>
      <c r="C68" s="1" t="s">
        <v>167</v>
      </c>
      <c r="D68" s="1" t="s">
        <v>168</v>
      </c>
      <c r="E68" s="1" t="s">
        <v>194</v>
      </c>
      <c r="F68" s="1" t="s">
        <v>195</v>
      </c>
      <c r="G68" s="1" t="s">
        <v>208</v>
      </c>
      <c r="H68" s="1" t="s">
        <v>209</v>
      </c>
      <c r="I68" s="1" t="s">
        <v>20</v>
      </c>
      <c r="J68" s="1" t="s">
        <v>20</v>
      </c>
      <c r="K68" s="1" t="s">
        <v>222</v>
      </c>
      <c r="L68" s="1" t="s">
        <v>223</v>
      </c>
      <c r="M68" s="34">
        <v>0</v>
      </c>
    </row>
    <row r="69" spans="1:13" ht="12.75" customHeight="1">
      <c r="A69" s="1" t="s">
        <v>13</v>
      </c>
      <c r="B69" s="1" t="s">
        <v>14</v>
      </c>
      <c r="C69" s="1" t="s">
        <v>167</v>
      </c>
      <c r="D69" s="1" t="s">
        <v>168</v>
      </c>
      <c r="E69" s="1" t="s">
        <v>194</v>
      </c>
      <c r="F69" s="1" t="s">
        <v>195</v>
      </c>
      <c r="G69" s="1" t="s">
        <v>224</v>
      </c>
      <c r="H69" s="1" t="s">
        <v>225</v>
      </c>
      <c r="I69" s="1" t="s">
        <v>20</v>
      </c>
      <c r="J69" s="1" t="s">
        <v>20</v>
      </c>
      <c r="K69" s="1" t="s">
        <v>226</v>
      </c>
      <c r="L69" s="1" t="s">
        <v>227</v>
      </c>
      <c r="M69" s="34">
        <v>1215.23</v>
      </c>
    </row>
    <row r="70" spans="1:13" ht="12.75" customHeight="1">
      <c r="A70" s="1" t="s">
        <v>13</v>
      </c>
      <c r="B70" s="1" t="s">
        <v>14</v>
      </c>
      <c r="C70" s="1" t="s">
        <v>167</v>
      </c>
      <c r="D70" s="1" t="s">
        <v>168</v>
      </c>
      <c r="E70" s="1" t="s">
        <v>194</v>
      </c>
      <c r="F70" s="1" t="s">
        <v>195</v>
      </c>
      <c r="G70" s="1" t="s">
        <v>228</v>
      </c>
      <c r="H70" s="1" t="s">
        <v>229</v>
      </c>
      <c r="I70" s="1" t="s">
        <v>20</v>
      </c>
      <c r="J70" s="1" t="s">
        <v>20</v>
      </c>
      <c r="K70" s="1" t="s">
        <v>230</v>
      </c>
      <c r="L70" s="1" t="s">
        <v>231</v>
      </c>
      <c r="M70" s="34">
        <v>45372.76</v>
      </c>
    </row>
    <row r="71" spans="1:13" ht="12.75" customHeight="1">
      <c r="A71" s="1" t="s">
        <v>13</v>
      </c>
      <c r="B71" s="1" t="s">
        <v>14</v>
      </c>
      <c r="C71" s="1" t="s">
        <v>167</v>
      </c>
      <c r="D71" s="1" t="s">
        <v>168</v>
      </c>
      <c r="E71" s="1" t="s">
        <v>194</v>
      </c>
      <c r="F71" s="1" t="s">
        <v>195</v>
      </c>
      <c r="G71" s="1" t="s">
        <v>232</v>
      </c>
      <c r="H71" s="1" t="s">
        <v>233</v>
      </c>
      <c r="I71" s="1" t="s">
        <v>20</v>
      </c>
      <c r="J71" s="1" t="s">
        <v>20</v>
      </c>
      <c r="K71" s="1" t="s">
        <v>234</v>
      </c>
      <c r="L71" s="1" t="s">
        <v>235</v>
      </c>
      <c r="M71" s="34">
        <v>85028.99</v>
      </c>
    </row>
    <row r="72" spans="1:13" ht="12.75" customHeight="1">
      <c r="A72" s="1" t="s">
        <v>13</v>
      </c>
      <c r="B72" s="1" t="s">
        <v>14</v>
      </c>
      <c r="C72" s="1" t="s">
        <v>167</v>
      </c>
      <c r="D72" s="1" t="s">
        <v>168</v>
      </c>
      <c r="E72" s="1" t="s">
        <v>194</v>
      </c>
      <c r="F72" s="1" t="s">
        <v>195</v>
      </c>
      <c r="G72" s="1" t="s">
        <v>232</v>
      </c>
      <c r="H72" s="1" t="s">
        <v>233</v>
      </c>
      <c r="I72" s="1" t="s">
        <v>20</v>
      </c>
      <c r="J72" s="1" t="s">
        <v>20</v>
      </c>
      <c r="K72" s="1" t="s">
        <v>236</v>
      </c>
      <c r="L72" s="1" t="s">
        <v>237</v>
      </c>
      <c r="M72" s="34">
        <v>16335</v>
      </c>
    </row>
    <row r="73" spans="1:13" ht="12.75" customHeight="1">
      <c r="A73" s="1" t="s">
        <v>13</v>
      </c>
      <c r="B73" s="1" t="s">
        <v>14</v>
      </c>
      <c r="C73" s="1" t="s">
        <v>167</v>
      </c>
      <c r="D73" s="1" t="s">
        <v>168</v>
      </c>
      <c r="E73" s="1" t="s">
        <v>194</v>
      </c>
      <c r="F73" s="1" t="s">
        <v>195</v>
      </c>
      <c r="G73" s="1" t="s">
        <v>232</v>
      </c>
      <c r="H73" s="1" t="s">
        <v>233</v>
      </c>
      <c r="I73" s="1" t="s">
        <v>20</v>
      </c>
      <c r="J73" s="1" t="s">
        <v>20</v>
      </c>
      <c r="K73" s="1" t="s">
        <v>238</v>
      </c>
      <c r="L73" s="1" t="s">
        <v>239</v>
      </c>
      <c r="M73" s="34">
        <v>122608.27</v>
      </c>
    </row>
    <row r="74" spans="1:13" ht="12.75" customHeight="1">
      <c r="A74" s="1" t="s">
        <v>13</v>
      </c>
      <c r="B74" s="1" t="s">
        <v>14</v>
      </c>
      <c r="C74" s="1" t="s">
        <v>167</v>
      </c>
      <c r="D74" s="1" t="s">
        <v>168</v>
      </c>
      <c r="E74" s="1" t="s">
        <v>194</v>
      </c>
      <c r="F74" s="1" t="s">
        <v>195</v>
      </c>
      <c r="G74" s="1" t="s">
        <v>232</v>
      </c>
      <c r="H74" s="1" t="s">
        <v>233</v>
      </c>
      <c r="I74" s="1" t="s">
        <v>20</v>
      </c>
      <c r="J74" s="1" t="s">
        <v>20</v>
      </c>
      <c r="K74" s="1" t="s">
        <v>240</v>
      </c>
      <c r="L74" s="1" t="s">
        <v>241</v>
      </c>
      <c r="M74" s="34">
        <v>3630</v>
      </c>
    </row>
    <row r="75" spans="1:13" ht="12.75" customHeight="1">
      <c r="A75" s="1" t="s">
        <v>13</v>
      </c>
      <c r="B75" s="1" t="s">
        <v>14</v>
      </c>
      <c r="C75" s="1" t="s">
        <v>167</v>
      </c>
      <c r="D75" s="1" t="s">
        <v>168</v>
      </c>
      <c r="E75" s="1" t="s">
        <v>194</v>
      </c>
      <c r="F75" s="1" t="s">
        <v>195</v>
      </c>
      <c r="G75" s="1" t="s">
        <v>232</v>
      </c>
      <c r="H75" s="1" t="s">
        <v>233</v>
      </c>
      <c r="I75" s="1" t="s">
        <v>20</v>
      </c>
      <c r="J75" s="1" t="s">
        <v>20</v>
      </c>
      <c r="K75" s="1" t="s">
        <v>242</v>
      </c>
      <c r="L75" s="1" t="s">
        <v>243</v>
      </c>
      <c r="M75" s="34">
        <v>157427.41</v>
      </c>
    </row>
    <row r="76" spans="1:13" ht="12.75" customHeight="1">
      <c r="A76" s="1" t="s">
        <v>13</v>
      </c>
      <c r="B76" s="1" t="s">
        <v>14</v>
      </c>
      <c r="C76" s="1" t="s">
        <v>167</v>
      </c>
      <c r="D76" s="1" t="s">
        <v>168</v>
      </c>
      <c r="E76" s="1" t="s">
        <v>194</v>
      </c>
      <c r="F76" s="1" t="s">
        <v>195</v>
      </c>
      <c r="G76" s="1" t="s">
        <v>232</v>
      </c>
      <c r="H76" s="1" t="s">
        <v>233</v>
      </c>
      <c r="I76" s="1" t="s">
        <v>20</v>
      </c>
      <c r="J76" s="1" t="s">
        <v>20</v>
      </c>
      <c r="K76" s="1" t="s">
        <v>244</v>
      </c>
      <c r="L76" s="1" t="s">
        <v>245</v>
      </c>
      <c r="M76" s="34">
        <v>50438.06</v>
      </c>
    </row>
    <row r="77" spans="1:13" ht="12.75" customHeight="1">
      <c r="A77" s="1" t="s">
        <v>13</v>
      </c>
      <c r="B77" s="1" t="s">
        <v>14</v>
      </c>
      <c r="C77" s="1" t="s">
        <v>167</v>
      </c>
      <c r="D77" s="1" t="s">
        <v>168</v>
      </c>
      <c r="E77" s="1" t="s">
        <v>194</v>
      </c>
      <c r="F77" s="1" t="s">
        <v>195</v>
      </c>
      <c r="G77" s="1" t="s">
        <v>232</v>
      </c>
      <c r="H77" s="1" t="s">
        <v>233</v>
      </c>
      <c r="I77" s="1" t="s">
        <v>20</v>
      </c>
      <c r="J77" s="1" t="s">
        <v>20</v>
      </c>
      <c r="K77" s="1" t="s">
        <v>246</v>
      </c>
      <c r="L77" s="1" t="s">
        <v>247</v>
      </c>
      <c r="M77" s="34">
        <v>165684.92000000001</v>
      </c>
    </row>
    <row r="78" spans="1:13" ht="12.75" customHeight="1">
      <c r="A78" s="1" t="s">
        <v>13</v>
      </c>
      <c r="B78" s="1" t="s">
        <v>14</v>
      </c>
      <c r="C78" s="1" t="s">
        <v>167</v>
      </c>
      <c r="D78" s="1" t="s">
        <v>168</v>
      </c>
      <c r="E78" s="1" t="s">
        <v>194</v>
      </c>
      <c r="F78" s="1" t="s">
        <v>195</v>
      </c>
      <c r="G78" s="1" t="s">
        <v>232</v>
      </c>
      <c r="H78" s="1" t="s">
        <v>233</v>
      </c>
      <c r="I78" s="1" t="s">
        <v>20</v>
      </c>
      <c r="J78" s="1" t="s">
        <v>20</v>
      </c>
      <c r="K78" s="1" t="s">
        <v>248</v>
      </c>
      <c r="L78" s="1" t="s">
        <v>249</v>
      </c>
      <c r="M78" s="34">
        <v>5040.2299999999996</v>
      </c>
    </row>
    <row r="79" spans="1:13" ht="12.75" customHeight="1">
      <c r="A79" s="1" t="s">
        <v>13</v>
      </c>
      <c r="B79" s="1" t="s">
        <v>14</v>
      </c>
      <c r="C79" s="1" t="s">
        <v>167</v>
      </c>
      <c r="D79" s="1" t="s">
        <v>168</v>
      </c>
      <c r="E79" s="1" t="s">
        <v>194</v>
      </c>
      <c r="F79" s="1" t="s">
        <v>195</v>
      </c>
      <c r="G79" s="1" t="s">
        <v>232</v>
      </c>
      <c r="H79" s="1" t="s">
        <v>233</v>
      </c>
      <c r="I79" s="1" t="s">
        <v>20</v>
      </c>
      <c r="J79" s="1" t="s">
        <v>20</v>
      </c>
      <c r="K79" s="1" t="s">
        <v>250</v>
      </c>
      <c r="L79" s="1" t="s">
        <v>251</v>
      </c>
      <c r="M79" s="34">
        <v>-24.33</v>
      </c>
    </row>
    <row r="80" spans="1:13" ht="12.75" customHeight="1">
      <c r="A80" s="1" t="s">
        <v>13</v>
      </c>
      <c r="B80" s="1" t="s">
        <v>14</v>
      </c>
      <c r="C80" s="1" t="s">
        <v>167</v>
      </c>
      <c r="D80" s="1" t="s">
        <v>168</v>
      </c>
      <c r="E80" s="1" t="s">
        <v>252</v>
      </c>
      <c r="F80" s="1" t="s">
        <v>253</v>
      </c>
      <c r="G80" s="1" t="s">
        <v>254</v>
      </c>
      <c r="H80" s="1" t="s">
        <v>255</v>
      </c>
      <c r="I80" s="1" t="s">
        <v>256</v>
      </c>
      <c r="J80" s="1" t="s">
        <v>257</v>
      </c>
      <c r="K80" s="1" t="s">
        <v>258</v>
      </c>
      <c r="L80" s="1" t="s">
        <v>259</v>
      </c>
      <c r="M80" s="34">
        <v>832383.46</v>
      </c>
    </row>
    <row r="81" spans="1:13" ht="12.75" customHeight="1">
      <c r="A81" s="1" t="s">
        <v>13</v>
      </c>
      <c r="B81" s="1" t="s">
        <v>14</v>
      </c>
      <c r="C81" s="1" t="s">
        <v>167</v>
      </c>
      <c r="D81" s="1" t="s">
        <v>168</v>
      </c>
      <c r="E81" s="1" t="s">
        <v>252</v>
      </c>
      <c r="F81" s="1" t="s">
        <v>253</v>
      </c>
      <c r="G81" s="1" t="s">
        <v>254</v>
      </c>
      <c r="H81" s="1" t="s">
        <v>255</v>
      </c>
      <c r="I81" s="1" t="s">
        <v>256</v>
      </c>
      <c r="J81" s="1" t="s">
        <v>257</v>
      </c>
      <c r="K81" s="1" t="s">
        <v>260</v>
      </c>
      <c r="L81" s="1" t="s">
        <v>261</v>
      </c>
      <c r="M81" s="34">
        <v>2477628.48</v>
      </c>
    </row>
    <row r="82" spans="1:13" ht="12.75" customHeight="1">
      <c r="A82" s="1" t="s">
        <v>13</v>
      </c>
      <c r="B82" s="1" t="s">
        <v>14</v>
      </c>
      <c r="C82" s="1" t="s">
        <v>167</v>
      </c>
      <c r="D82" s="1" t="s">
        <v>168</v>
      </c>
      <c r="E82" s="1" t="s">
        <v>252</v>
      </c>
      <c r="F82" s="1" t="s">
        <v>253</v>
      </c>
      <c r="G82" s="1" t="s">
        <v>254</v>
      </c>
      <c r="H82" s="1" t="s">
        <v>255</v>
      </c>
      <c r="I82" s="1" t="s">
        <v>256</v>
      </c>
      <c r="J82" s="1" t="s">
        <v>257</v>
      </c>
      <c r="K82" s="1" t="s">
        <v>262</v>
      </c>
      <c r="L82" s="1" t="s">
        <v>263</v>
      </c>
      <c r="M82" s="34">
        <v>872526.94</v>
      </c>
    </row>
    <row r="83" spans="1:13" ht="12.75" customHeight="1">
      <c r="A83" s="1" t="s">
        <v>13</v>
      </c>
      <c r="B83" s="1" t="s">
        <v>14</v>
      </c>
      <c r="C83" s="1" t="s">
        <v>167</v>
      </c>
      <c r="D83" s="1" t="s">
        <v>168</v>
      </c>
      <c r="E83" s="1" t="s">
        <v>252</v>
      </c>
      <c r="F83" s="1" t="s">
        <v>253</v>
      </c>
      <c r="G83" s="1" t="s">
        <v>254</v>
      </c>
      <c r="H83" s="1" t="s">
        <v>255</v>
      </c>
      <c r="I83" s="1" t="s">
        <v>256</v>
      </c>
      <c r="J83" s="1" t="s">
        <v>257</v>
      </c>
      <c r="K83" s="1" t="s">
        <v>264</v>
      </c>
      <c r="L83" s="1" t="s">
        <v>265</v>
      </c>
      <c r="M83" s="34">
        <v>18603</v>
      </c>
    </row>
    <row r="84" spans="1:13" ht="12.75" customHeight="1">
      <c r="A84" s="1" t="s">
        <v>13</v>
      </c>
      <c r="B84" s="1" t="s">
        <v>14</v>
      </c>
      <c r="C84" s="1" t="s">
        <v>167</v>
      </c>
      <c r="D84" s="1" t="s">
        <v>168</v>
      </c>
      <c r="E84" s="1" t="s">
        <v>252</v>
      </c>
      <c r="F84" s="1" t="s">
        <v>253</v>
      </c>
      <c r="G84" s="1" t="s">
        <v>254</v>
      </c>
      <c r="H84" s="1" t="s">
        <v>255</v>
      </c>
      <c r="I84" s="1" t="s">
        <v>256</v>
      </c>
      <c r="J84" s="1" t="s">
        <v>257</v>
      </c>
      <c r="K84" s="1" t="s">
        <v>266</v>
      </c>
      <c r="L84" s="1" t="s">
        <v>267</v>
      </c>
      <c r="M84" s="34">
        <v>337456.51</v>
      </c>
    </row>
    <row r="85" spans="1:13" ht="12.75" customHeight="1">
      <c r="A85" s="1" t="s">
        <v>13</v>
      </c>
      <c r="B85" s="1" t="s">
        <v>14</v>
      </c>
      <c r="C85" s="1" t="s">
        <v>167</v>
      </c>
      <c r="D85" s="1" t="s">
        <v>168</v>
      </c>
      <c r="E85" s="1" t="s">
        <v>268</v>
      </c>
      <c r="F85" s="1" t="s">
        <v>269</v>
      </c>
      <c r="G85" s="1" t="s">
        <v>270</v>
      </c>
      <c r="H85" s="1" t="s">
        <v>271</v>
      </c>
      <c r="I85" s="1" t="s">
        <v>20</v>
      </c>
      <c r="J85" s="1" t="s">
        <v>20</v>
      </c>
      <c r="K85" s="1" t="s">
        <v>272</v>
      </c>
      <c r="L85" s="1" t="s">
        <v>273</v>
      </c>
      <c r="M85" s="34">
        <v>-674648.44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defaultColWidth="9" defaultRowHeight="14.4"/>
  <cols>
    <col min="1" max="1" width="9.109375" style="68" customWidth="1"/>
    <col min="2" max="2" width="79.6640625" style="68" customWidth="1"/>
    <col min="3" max="5" width="65.33203125" style="68" customWidth="1"/>
    <col min="6" max="16" width="21.88671875" style="68" customWidth="1"/>
    <col min="17" max="17" width="6.109375" style="68" customWidth="1"/>
    <col min="18" max="18" width="33.88671875" style="68" customWidth="1"/>
    <col min="19" max="19" width="10.44140625" style="68" bestFit="1" customWidth="1"/>
    <col min="20" max="20" width="13.88671875" style="68" bestFit="1" customWidth="1"/>
    <col min="21" max="16384" width="9" style="68"/>
  </cols>
  <sheetData>
    <row r="2" spans="1:16">
      <c r="C2" s="69" t="s">
        <v>346</v>
      </c>
      <c r="D2" s="69"/>
      <c r="E2" s="69" t="s">
        <v>347</v>
      </c>
      <c r="F2" s="69"/>
      <c r="G2" s="69"/>
      <c r="H2" s="69" t="s">
        <v>348</v>
      </c>
      <c r="I2" s="69"/>
      <c r="J2" s="69"/>
      <c r="K2" s="69" t="s">
        <v>349</v>
      </c>
      <c r="L2" s="69"/>
      <c r="M2" s="69"/>
      <c r="N2" s="69"/>
      <c r="O2" s="69"/>
      <c r="P2" s="69" t="s">
        <v>350</v>
      </c>
    </row>
    <row r="3" spans="1:16">
      <c r="A3" s="70" t="s">
        <v>16</v>
      </c>
      <c r="B3" s="71"/>
      <c r="C3" s="72"/>
      <c r="D3" s="72"/>
    </row>
    <row r="4" spans="1:16" ht="15">
      <c r="A4" s="71" t="s">
        <v>21</v>
      </c>
      <c r="B4" s="71" t="s">
        <v>22</v>
      </c>
      <c r="C4" s="73">
        <v>134929584.62</v>
      </c>
      <c r="D4" s="73"/>
      <c r="E4" s="73">
        <f>C4</f>
        <v>134929584.62</v>
      </c>
      <c r="F4" s="73"/>
      <c r="G4" s="73"/>
      <c r="H4" s="73">
        <f>E4</f>
        <v>134929584.62</v>
      </c>
      <c r="I4" s="73"/>
      <c r="J4" s="73"/>
      <c r="K4" s="74">
        <v>134929584.62</v>
      </c>
      <c r="L4" s="74"/>
      <c r="M4" s="74"/>
      <c r="N4" s="74"/>
      <c r="O4" s="74"/>
      <c r="P4" s="75">
        <v>134929585</v>
      </c>
    </row>
    <row r="5" spans="1:16" ht="15">
      <c r="A5" s="71" t="s">
        <v>23</v>
      </c>
      <c r="B5" s="71" t="s">
        <v>24</v>
      </c>
      <c r="C5" s="73">
        <v>-6065717.8899999997</v>
      </c>
      <c r="D5" s="73"/>
      <c r="E5" s="73">
        <f>C5-556672.89</f>
        <v>-6622390.7799999993</v>
      </c>
      <c r="F5" s="73"/>
      <c r="G5" s="73"/>
      <c r="H5" s="73">
        <f>E5-556672.89</f>
        <v>-7179063.669999999</v>
      </c>
      <c r="I5" s="73"/>
      <c r="J5" s="73"/>
      <c r="K5" s="74">
        <v>-8089661.669999999</v>
      </c>
      <c r="L5" s="74"/>
      <c r="M5" s="74"/>
      <c r="N5" s="74"/>
      <c r="O5" s="74"/>
      <c r="P5" s="75">
        <v>-8764309.6699999981</v>
      </c>
    </row>
    <row r="6" spans="1:16" ht="15">
      <c r="A6" s="71" t="s">
        <v>25</v>
      </c>
      <c r="B6" s="71" t="s">
        <v>26</v>
      </c>
      <c r="C6" s="73"/>
      <c r="D6" s="73"/>
      <c r="E6" s="73"/>
      <c r="F6" s="73"/>
      <c r="G6" s="73"/>
      <c r="H6" s="73"/>
      <c r="I6" s="73"/>
      <c r="J6" s="73"/>
      <c r="K6" s="74">
        <v>-2341968</v>
      </c>
      <c r="L6" s="74"/>
      <c r="M6" s="74"/>
      <c r="N6" s="74"/>
      <c r="O6" s="74"/>
      <c r="P6" s="75">
        <v>-2967534</v>
      </c>
    </row>
    <row r="7" spans="1:16">
      <c r="A7" s="71" t="s">
        <v>351</v>
      </c>
      <c r="B7" s="71"/>
      <c r="C7" s="73">
        <f>SUM(C4:C6)</f>
        <v>128863866.73</v>
      </c>
      <c r="D7" s="73"/>
      <c r="E7" s="73">
        <f>SUM(E4:E6)</f>
        <v>128307193.84</v>
      </c>
      <c r="F7" s="73"/>
      <c r="G7" s="73"/>
      <c r="H7" s="73">
        <f>SUM(H4:H6)</f>
        <v>127750520.95</v>
      </c>
      <c r="I7" s="73"/>
      <c r="J7" s="73"/>
      <c r="K7" s="73">
        <f>SUM(K4:K6)</f>
        <v>124497954.95</v>
      </c>
      <c r="L7" s="73"/>
      <c r="M7" s="73"/>
      <c r="N7" s="73"/>
      <c r="O7" s="73"/>
      <c r="P7" s="73">
        <f>SUM(P4:P6)</f>
        <v>123197741.33</v>
      </c>
    </row>
    <row r="8" spans="1:16" ht="15">
      <c r="A8" s="71"/>
      <c r="B8" s="71"/>
      <c r="C8" s="73"/>
      <c r="D8" s="73"/>
      <c r="E8" s="73"/>
      <c r="F8" s="73"/>
      <c r="G8" s="73"/>
      <c r="H8" s="73"/>
      <c r="I8" s="73"/>
      <c r="J8" s="73"/>
      <c r="K8" s="74"/>
      <c r="L8" s="74"/>
      <c r="M8" s="74"/>
      <c r="N8" s="74"/>
      <c r="O8" s="74"/>
      <c r="P8" s="75"/>
    </row>
    <row r="9" spans="1:16" ht="15">
      <c r="A9" s="71" t="s">
        <v>35</v>
      </c>
      <c r="B9" s="71" t="s">
        <v>36</v>
      </c>
      <c r="C9" s="73">
        <v>1516430</v>
      </c>
      <c r="D9" s="73"/>
      <c r="E9" s="73">
        <f>C9</f>
        <v>1516430</v>
      </c>
      <c r="F9" s="73"/>
      <c r="G9" s="73"/>
      <c r="H9" s="73">
        <f>E9+139168.22</f>
        <v>1655598.22</v>
      </c>
      <c r="I9" s="73"/>
      <c r="J9" s="73"/>
      <c r="K9" s="74">
        <v>2051910.22</v>
      </c>
      <c r="L9" s="74"/>
      <c r="M9" s="74"/>
      <c r="N9" s="74"/>
      <c r="O9" s="74"/>
      <c r="P9" s="75">
        <v>2220572.2199999997</v>
      </c>
    </row>
    <row r="10" spans="1:16">
      <c r="A10" s="71" t="s">
        <v>352</v>
      </c>
      <c r="B10" s="71"/>
      <c r="C10" s="73">
        <f>SUM(C9)</f>
        <v>1516430</v>
      </c>
      <c r="D10" s="73"/>
      <c r="E10" s="73">
        <f>SUM(E9)</f>
        <v>1516430</v>
      </c>
      <c r="F10" s="73"/>
      <c r="G10" s="73"/>
      <c r="H10" s="73">
        <f>SUM(H9)</f>
        <v>1655598.22</v>
      </c>
      <c r="I10" s="73"/>
      <c r="J10" s="73"/>
      <c r="K10" s="73">
        <f>SUM(K9)</f>
        <v>2051910.22</v>
      </c>
      <c r="L10" s="73"/>
      <c r="M10" s="73"/>
      <c r="N10" s="73"/>
      <c r="O10" s="73"/>
      <c r="P10" s="73">
        <f>SUM(P9)</f>
        <v>2220572.2199999997</v>
      </c>
    </row>
    <row r="11" spans="1:16" ht="15">
      <c r="A11" s="71"/>
      <c r="B11" s="71"/>
      <c r="C11" s="73"/>
      <c r="D11" s="73"/>
      <c r="E11" s="73"/>
      <c r="F11" s="73"/>
      <c r="G11" s="73"/>
      <c r="H11" s="73"/>
      <c r="I11" s="73"/>
      <c r="J11" s="73"/>
      <c r="K11" s="74"/>
      <c r="L11" s="74"/>
      <c r="M11" s="74"/>
      <c r="N11" s="74"/>
      <c r="O11" s="74"/>
      <c r="P11" s="75"/>
    </row>
    <row r="12" spans="1:16" ht="15">
      <c r="A12" s="71" t="s">
        <v>41</v>
      </c>
      <c r="B12" s="71" t="s">
        <v>42</v>
      </c>
      <c r="C12" s="73">
        <v>101970.5</v>
      </c>
      <c r="D12" s="73"/>
      <c r="E12" s="73">
        <f>C12+142289.81</f>
        <v>244260.31</v>
      </c>
      <c r="F12" s="73"/>
      <c r="G12" s="73"/>
      <c r="H12" s="73">
        <f>E12+271621.52</f>
        <v>515881.83</v>
      </c>
      <c r="I12" s="73"/>
      <c r="J12" s="73"/>
      <c r="K12" s="74">
        <v>171593.69</v>
      </c>
      <c r="L12" s="74"/>
      <c r="M12" s="74"/>
      <c r="N12" s="74"/>
      <c r="O12" s="74"/>
      <c r="P12" s="75">
        <v>329178.26</v>
      </c>
    </row>
    <row r="13" spans="1:16" ht="15">
      <c r="A13" s="71" t="s">
        <v>43</v>
      </c>
      <c r="B13" s="71" t="s">
        <v>44</v>
      </c>
      <c r="C13" s="73">
        <v>-14000</v>
      </c>
      <c r="D13" s="73"/>
      <c r="E13" s="73">
        <f>C13</f>
        <v>-14000</v>
      </c>
      <c r="F13" s="73"/>
      <c r="G13" s="73"/>
      <c r="H13" s="73">
        <f>E13</f>
        <v>-14000</v>
      </c>
      <c r="I13" s="73"/>
      <c r="J13" s="73"/>
      <c r="K13" s="74">
        <v>-14000</v>
      </c>
      <c r="L13" s="74"/>
      <c r="M13" s="74"/>
      <c r="N13" s="74"/>
      <c r="O13" s="74"/>
      <c r="P13" s="75">
        <v>-14000</v>
      </c>
    </row>
    <row r="14" spans="1:16">
      <c r="A14" s="71" t="s">
        <v>353</v>
      </c>
      <c r="B14" s="71"/>
      <c r="C14" s="73">
        <f>SUM(C12:C13)</f>
        <v>87970.5</v>
      </c>
      <c r="D14" s="73"/>
      <c r="E14" s="73">
        <f>SUM(E12:E13)</f>
        <v>230260.31</v>
      </c>
      <c r="F14" s="73"/>
      <c r="G14" s="73"/>
      <c r="H14" s="73">
        <f>SUM(H12:H13)</f>
        <v>501881.83</v>
      </c>
      <c r="I14" s="73"/>
      <c r="J14" s="73"/>
      <c r="K14" s="73">
        <f>SUM(K12:K13)</f>
        <v>157593.69</v>
      </c>
      <c r="L14" s="73"/>
      <c r="M14" s="73"/>
      <c r="N14" s="73"/>
      <c r="O14" s="73"/>
      <c r="P14" s="73">
        <f>SUM(P12:P13)</f>
        <v>315178.26</v>
      </c>
    </row>
    <row r="15" spans="1:16" ht="15">
      <c r="A15" s="76"/>
      <c r="B15" s="71"/>
      <c r="C15" s="73"/>
      <c r="D15" s="73"/>
      <c r="E15" s="73"/>
      <c r="F15" s="73"/>
      <c r="G15" s="73"/>
      <c r="H15" s="73"/>
      <c r="I15" s="73"/>
      <c r="J15" s="73"/>
      <c r="K15" s="74"/>
      <c r="L15" s="74"/>
      <c r="M15" s="74"/>
      <c r="N15" s="74"/>
      <c r="O15" s="74"/>
      <c r="P15" s="75"/>
    </row>
    <row r="16" spans="1:16" ht="15">
      <c r="A16" s="76">
        <v>2040700</v>
      </c>
      <c r="B16" s="71" t="s">
        <v>354</v>
      </c>
      <c r="C16" s="73">
        <v>29258.85</v>
      </c>
      <c r="D16" s="73"/>
      <c r="E16" s="73">
        <v>0</v>
      </c>
      <c r="F16" s="73"/>
      <c r="G16" s="73"/>
      <c r="H16" s="73">
        <v>0</v>
      </c>
      <c r="I16" s="73"/>
      <c r="J16" s="73"/>
      <c r="K16" s="74">
        <v>0</v>
      </c>
      <c r="L16" s="74"/>
      <c r="M16" s="74"/>
      <c r="N16" s="74"/>
      <c r="O16" s="74"/>
      <c r="P16" s="75">
        <v>0</v>
      </c>
    </row>
    <row r="17" spans="1:18" ht="15">
      <c r="A17" s="76">
        <v>2040900</v>
      </c>
      <c r="B17" s="71" t="s">
        <v>355</v>
      </c>
      <c r="C17" s="73">
        <v>51218.7</v>
      </c>
      <c r="D17" s="73"/>
      <c r="E17" s="73">
        <v>0</v>
      </c>
      <c r="F17" s="73"/>
      <c r="G17" s="73"/>
      <c r="H17" s="73">
        <v>0</v>
      </c>
      <c r="I17" s="73"/>
      <c r="J17" s="73"/>
      <c r="K17" s="74">
        <v>0</v>
      </c>
      <c r="L17" s="74"/>
      <c r="M17" s="74"/>
      <c r="N17" s="74"/>
      <c r="O17" s="74"/>
      <c r="P17" s="75">
        <v>0</v>
      </c>
    </row>
    <row r="18" spans="1:18">
      <c r="A18" s="71" t="s">
        <v>356</v>
      </c>
      <c r="B18" s="71"/>
      <c r="C18" s="73">
        <f>SUM(C16:C17)</f>
        <v>80477.549999999988</v>
      </c>
      <c r="D18" s="73"/>
      <c r="E18" s="73">
        <f>SUM(E16:E17)</f>
        <v>0</v>
      </c>
      <c r="F18" s="73"/>
      <c r="G18" s="73"/>
      <c r="H18" s="73">
        <f>SUM(H16:H17)</f>
        <v>0</v>
      </c>
      <c r="I18" s="73"/>
      <c r="J18" s="73"/>
      <c r="K18" s="73">
        <f>SUM(K16:K17)</f>
        <v>0</v>
      </c>
      <c r="L18" s="73"/>
      <c r="M18" s="73"/>
      <c r="N18" s="73"/>
      <c r="O18" s="73"/>
      <c r="P18" s="73">
        <f>SUM(P16:P17)</f>
        <v>0</v>
      </c>
    </row>
    <row r="19" spans="1:18" ht="15">
      <c r="A19" s="71"/>
      <c r="B19" s="71"/>
      <c r="C19" s="73"/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4"/>
      <c r="P19" s="75"/>
    </row>
    <row r="20" spans="1:18" ht="15">
      <c r="A20" s="71" t="s">
        <v>47</v>
      </c>
      <c r="B20" s="71" t="s">
        <v>48</v>
      </c>
      <c r="C20" s="73">
        <v>510497</v>
      </c>
      <c r="D20" s="73"/>
      <c r="E20" s="73">
        <f>C20-400000</f>
        <v>110497</v>
      </c>
      <c r="F20" s="73"/>
      <c r="G20" s="73"/>
      <c r="H20" s="73">
        <f>E20</f>
        <v>110497</v>
      </c>
      <c r="I20" s="73"/>
      <c r="J20" s="73"/>
      <c r="K20" s="74">
        <v>110497</v>
      </c>
      <c r="L20" s="74"/>
      <c r="M20" s="74"/>
      <c r="N20" s="74"/>
      <c r="O20" s="74"/>
      <c r="P20" s="75">
        <v>110497</v>
      </c>
    </row>
    <row r="21" spans="1:18">
      <c r="A21" s="71" t="s">
        <v>357</v>
      </c>
      <c r="B21" s="71"/>
      <c r="C21" s="73">
        <f>C20</f>
        <v>510497</v>
      </c>
      <c r="D21" s="73"/>
      <c r="E21" s="73">
        <f>E20</f>
        <v>110497</v>
      </c>
      <c r="F21" s="73"/>
      <c r="G21" s="73"/>
      <c r="H21" s="73">
        <f>H20</f>
        <v>110497</v>
      </c>
      <c r="I21" s="73"/>
      <c r="J21" s="73"/>
      <c r="K21" s="73">
        <f>K20</f>
        <v>110497</v>
      </c>
      <c r="L21" s="73"/>
      <c r="M21" s="73"/>
      <c r="N21" s="73"/>
      <c r="O21" s="73"/>
      <c r="P21" s="73">
        <f>P20</f>
        <v>110497</v>
      </c>
    </row>
    <row r="22" spans="1:18" ht="15">
      <c r="A22" s="71"/>
      <c r="B22" s="71"/>
      <c r="C22" s="73"/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4"/>
      <c r="P22" s="75"/>
    </row>
    <row r="23" spans="1:18" ht="15">
      <c r="A23" s="71" t="s">
        <v>61</v>
      </c>
      <c r="B23" s="71" t="s">
        <v>62</v>
      </c>
      <c r="C23" s="73">
        <v>0</v>
      </c>
      <c r="D23" s="73"/>
      <c r="E23" s="75">
        <v>0</v>
      </c>
      <c r="F23" s="75"/>
      <c r="G23" s="75"/>
      <c r="H23" s="75">
        <v>0</v>
      </c>
      <c r="I23" s="75"/>
      <c r="J23" s="75"/>
      <c r="K23" s="74">
        <v>0</v>
      </c>
      <c r="L23" s="74"/>
      <c r="M23" s="74"/>
      <c r="N23" s="74"/>
      <c r="O23" s="74"/>
      <c r="P23" s="75">
        <v>671.55</v>
      </c>
    </row>
    <row r="24" spans="1:18" ht="15">
      <c r="A24" s="71" t="s">
        <v>65</v>
      </c>
      <c r="B24" s="71" t="s">
        <v>66</v>
      </c>
      <c r="C24" s="75">
        <v>0</v>
      </c>
      <c r="D24" s="75"/>
      <c r="E24" s="75">
        <v>985.82</v>
      </c>
      <c r="F24" s="75"/>
      <c r="G24" s="75"/>
      <c r="H24" s="75">
        <f>E24+2403985.53</f>
        <v>2404971.3499999996</v>
      </c>
      <c r="I24" s="75"/>
      <c r="J24" s="75"/>
      <c r="K24" s="74">
        <v>986584.52999999956</v>
      </c>
      <c r="L24" s="74"/>
      <c r="M24" s="74"/>
      <c r="N24" s="74"/>
      <c r="O24" s="74"/>
      <c r="P24" s="75">
        <v>538961.8199999996</v>
      </c>
    </row>
    <row r="25" spans="1:18" ht="15">
      <c r="A25" s="71" t="s">
        <v>67</v>
      </c>
      <c r="B25" s="71" t="s">
        <v>68</v>
      </c>
      <c r="C25" s="73">
        <v>17365.7</v>
      </c>
      <c r="D25" s="73"/>
      <c r="E25" s="75">
        <f>C25+101804.22</f>
        <v>119169.92</v>
      </c>
      <c r="F25" s="75"/>
      <c r="G25" s="75"/>
      <c r="H25" s="75">
        <f>E25-101349.86</f>
        <v>17820.059999999998</v>
      </c>
      <c r="I25" s="75"/>
      <c r="J25" s="75"/>
      <c r="K25" s="74">
        <v>9648.0899999999965</v>
      </c>
      <c r="L25" s="74"/>
      <c r="M25" s="74"/>
      <c r="N25" s="74"/>
      <c r="O25" s="74"/>
      <c r="P25" s="75">
        <v>1369615.4000000001</v>
      </c>
    </row>
    <row r="26" spans="1:18" ht="15">
      <c r="A26" s="71" t="s">
        <v>69</v>
      </c>
      <c r="B26" s="71" t="s">
        <v>70</v>
      </c>
      <c r="C26" s="73">
        <v>116513.7</v>
      </c>
      <c r="D26" s="73"/>
      <c r="E26" s="75">
        <f>C26-9646.52</f>
        <v>106867.18</v>
      </c>
      <c r="F26" s="75"/>
      <c r="G26" s="75"/>
      <c r="H26" s="75">
        <f>E26-83687.36</f>
        <v>23179.819999999992</v>
      </c>
      <c r="I26" s="75"/>
      <c r="J26" s="75"/>
      <c r="K26" s="74">
        <v>191789.65999999997</v>
      </c>
      <c r="L26" s="74"/>
      <c r="M26" s="74"/>
      <c r="N26" s="74"/>
      <c r="O26" s="74"/>
      <c r="P26" s="75">
        <v>1034628.1499999999</v>
      </c>
    </row>
    <row r="27" spans="1:18" ht="15">
      <c r="A27" s="71" t="s">
        <v>71</v>
      </c>
      <c r="B27" s="71" t="s">
        <v>72</v>
      </c>
      <c r="C27" s="73">
        <v>12.23</v>
      </c>
      <c r="D27" s="73"/>
      <c r="E27" s="75">
        <f>C27+654441.82</f>
        <v>654454.04999999993</v>
      </c>
      <c r="F27" s="75"/>
      <c r="G27" s="75"/>
      <c r="H27" s="75">
        <f>E27-219333.49</f>
        <v>435120.55999999994</v>
      </c>
      <c r="I27" s="75"/>
      <c r="J27" s="75"/>
      <c r="K27" s="74">
        <v>491535.04999999993</v>
      </c>
      <c r="L27" s="74"/>
      <c r="M27" s="74"/>
      <c r="N27" s="74"/>
      <c r="O27" s="74"/>
      <c r="P27" s="75">
        <v>601349.86</v>
      </c>
      <c r="R27" s="77"/>
    </row>
    <row r="28" spans="1:18" ht="15">
      <c r="A28" s="71" t="s">
        <v>73</v>
      </c>
      <c r="B28" s="71" t="s">
        <v>74</v>
      </c>
      <c r="C28" s="73">
        <v>290930.71999999997</v>
      </c>
      <c r="D28" s="73"/>
      <c r="E28" s="75">
        <f>C28-416085.32</f>
        <v>-125154.60000000003</v>
      </c>
      <c r="F28" s="75"/>
      <c r="G28" s="75"/>
      <c r="H28" s="75">
        <f>E28+374178.16</f>
        <v>249023.55999999994</v>
      </c>
      <c r="I28" s="75"/>
      <c r="J28" s="75"/>
      <c r="K28" s="74">
        <v>415424.00999999995</v>
      </c>
      <c r="L28" s="74"/>
      <c r="M28" s="74"/>
      <c r="N28" s="74"/>
      <c r="O28" s="74"/>
      <c r="P28" s="75">
        <v>499735.94999999995</v>
      </c>
    </row>
    <row r="29" spans="1:18" ht="15">
      <c r="A29" s="71" t="s">
        <v>75</v>
      </c>
      <c r="B29" s="71" t="s">
        <v>76</v>
      </c>
      <c r="C29" s="73">
        <v>10983.92</v>
      </c>
      <c r="D29" s="73"/>
      <c r="E29" s="75">
        <f>C29+200327.39</f>
        <v>211311.31000000003</v>
      </c>
      <c r="F29" s="75"/>
      <c r="G29" s="75"/>
      <c r="H29" s="75">
        <f>E29-61914.41</f>
        <v>149396.90000000002</v>
      </c>
      <c r="I29" s="75"/>
      <c r="J29" s="75"/>
      <c r="K29" s="74">
        <v>275171.20000000001</v>
      </c>
      <c r="L29" s="74"/>
      <c r="M29" s="74"/>
      <c r="N29" s="74"/>
      <c r="O29" s="74"/>
      <c r="P29" s="75">
        <v>58139.790000000008</v>
      </c>
    </row>
    <row r="30" spans="1:18">
      <c r="A30" s="71" t="s">
        <v>358</v>
      </c>
      <c r="B30" s="71"/>
      <c r="C30" s="73">
        <f>SUM(C23:C29)</f>
        <v>435806.26999999996</v>
      </c>
      <c r="D30" s="73"/>
      <c r="E30" s="73">
        <f>SUM(E23:E29)</f>
        <v>967633.67999999993</v>
      </c>
      <c r="F30" s="73"/>
      <c r="G30" s="73"/>
      <c r="H30" s="73">
        <f>SUM(H23:H29)</f>
        <v>3279512.2499999995</v>
      </c>
      <c r="I30" s="73"/>
      <c r="J30" s="73"/>
      <c r="K30" s="73">
        <f>SUM(K23:K29)</f>
        <v>2370152.5399999996</v>
      </c>
      <c r="L30" s="73"/>
      <c r="M30" s="73"/>
      <c r="N30" s="73"/>
      <c r="O30" s="73"/>
      <c r="P30" s="73">
        <f>SUM(P23:P29)</f>
        <v>4103102.5199999996</v>
      </c>
    </row>
    <row r="31" spans="1:18" ht="15">
      <c r="A31" s="71"/>
      <c r="B31" s="71"/>
      <c r="C31" s="73"/>
      <c r="D31" s="73"/>
      <c r="E31" s="73"/>
      <c r="F31" s="73"/>
      <c r="G31" s="73"/>
      <c r="H31" s="73"/>
      <c r="I31" s="73"/>
      <c r="J31" s="73"/>
      <c r="K31" s="74"/>
      <c r="L31" s="74"/>
      <c r="M31" s="74"/>
      <c r="N31" s="74"/>
      <c r="O31" s="74"/>
      <c r="P31" s="75"/>
    </row>
    <row r="32" spans="1:18" ht="15">
      <c r="A32" s="71" t="s">
        <v>81</v>
      </c>
      <c r="B32" s="71" t="s">
        <v>82</v>
      </c>
      <c r="C32" s="73">
        <v>-1</v>
      </c>
      <c r="D32" s="73"/>
      <c r="E32" s="73">
        <f>C32</f>
        <v>-1</v>
      </c>
      <c r="F32" s="73"/>
      <c r="G32" s="73"/>
      <c r="H32" s="73">
        <f>E32</f>
        <v>-1</v>
      </c>
      <c r="I32" s="73"/>
      <c r="J32" s="73"/>
      <c r="K32" s="74">
        <v>-1</v>
      </c>
      <c r="L32" s="74"/>
      <c r="M32" s="74"/>
      <c r="N32" s="74"/>
      <c r="O32" s="74"/>
      <c r="P32" s="75">
        <v>-1</v>
      </c>
    </row>
    <row r="33" spans="1:16" ht="15">
      <c r="A33" s="71" t="s">
        <v>87</v>
      </c>
      <c r="B33" s="71" t="s">
        <v>88</v>
      </c>
      <c r="C33" s="73">
        <v>-19431219.48</v>
      </c>
      <c r="D33" s="73"/>
      <c r="E33" s="73">
        <f>C33</f>
        <v>-19431219.48</v>
      </c>
      <c r="F33" s="73"/>
      <c r="G33" s="73"/>
      <c r="H33" s="73">
        <f>E33</f>
        <v>-19431219.48</v>
      </c>
      <c r="I33" s="73"/>
      <c r="J33" s="73"/>
      <c r="K33" s="74">
        <v>-19431219.48</v>
      </c>
      <c r="L33" s="74"/>
      <c r="M33" s="74"/>
      <c r="N33" s="74"/>
      <c r="O33" s="74"/>
      <c r="P33" s="75">
        <v>-19431219.48</v>
      </c>
    </row>
    <row r="34" spans="1:16" ht="15">
      <c r="A34" s="71" t="s">
        <v>93</v>
      </c>
      <c r="B34" s="71" t="s">
        <v>94</v>
      </c>
      <c r="C34" s="73">
        <f>9890198.2+417450.68</f>
        <v>10307648.879999999</v>
      </c>
      <c r="D34" s="73"/>
      <c r="E34" s="73">
        <f>C34</f>
        <v>10307648.879999999</v>
      </c>
      <c r="F34" s="73"/>
      <c r="G34" s="73"/>
      <c r="H34" s="73">
        <f>E34</f>
        <v>10307648.879999999</v>
      </c>
      <c r="I34" s="73"/>
      <c r="J34" s="73"/>
      <c r="K34" s="74">
        <v>9890198.1999999993</v>
      </c>
      <c r="L34" s="74"/>
      <c r="M34" s="74"/>
      <c r="N34" s="74"/>
      <c r="O34" s="74"/>
      <c r="P34" s="75">
        <v>16135048</v>
      </c>
    </row>
    <row r="35" spans="1:16" ht="15">
      <c r="A35" s="71" t="s">
        <v>95</v>
      </c>
      <c r="B35" s="71" t="s">
        <v>96</v>
      </c>
      <c r="C35" s="73">
        <v>0</v>
      </c>
      <c r="D35" s="73"/>
      <c r="E35" s="73">
        <v>7497104.0999999996</v>
      </c>
      <c r="F35" s="73"/>
      <c r="G35" s="73"/>
      <c r="H35" s="73">
        <v>7497104.0999999996</v>
      </c>
      <c r="I35" s="73"/>
      <c r="J35" s="73"/>
      <c r="K35" s="74">
        <v>7727104.0999999996</v>
      </c>
      <c r="L35" s="74"/>
      <c r="M35" s="74"/>
      <c r="N35" s="74"/>
      <c r="O35" s="74"/>
      <c r="P35" s="75">
        <v>310000</v>
      </c>
    </row>
    <row r="36" spans="1:16">
      <c r="A36" s="71" t="s">
        <v>359</v>
      </c>
      <c r="B36" s="71"/>
      <c r="C36" s="73">
        <f>SUM(C32:C35)</f>
        <v>-9123571.6000000015</v>
      </c>
      <c r="D36" s="73"/>
      <c r="E36" s="73">
        <f>SUM(E32:E35)</f>
        <v>-1626467.5000000019</v>
      </c>
      <c r="F36" s="73"/>
      <c r="G36" s="73"/>
      <c r="H36" s="73">
        <f>SUM(H32:H35)</f>
        <v>-1626467.5000000019</v>
      </c>
      <c r="I36" s="73"/>
      <c r="J36" s="73"/>
      <c r="K36" s="73">
        <f>SUM(K32:K35)</f>
        <v>-1813918.1800000016</v>
      </c>
      <c r="L36" s="73"/>
      <c r="M36" s="73"/>
      <c r="N36" s="73"/>
      <c r="O36" s="73"/>
      <c r="P36" s="73">
        <f>SUM(P32:P35)</f>
        <v>-2986172.4800000004</v>
      </c>
    </row>
    <row r="37" spans="1:16" ht="15">
      <c r="A37" s="71"/>
      <c r="B37" s="71"/>
      <c r="C37" s="73"/>
      <c r="D37" s="73"/>
      <c r="E37" s="73"/>
      <c r="F37" s="73"/>
      <c r="G37" s="73"/>
      <c r="H37" s="73"/>
      <c r="I37" s="73"/>
      <c r="J37" s="73"/>
      <c r="K37" s="74"/>
      <c r="L37" s="74"/>
      <c r="M37" s="74"/>
      <c r="N37" s="74"/>
      <c r="O37" s="74"/>
      <c r="P37" s="75">
        <v>0</v>
      </c>
    </row>
    <row r="38" spans="1:16" ht="15">
      <c r="A38" s="76">
        <v>1930000</v>
      </c>
      <c r="B38" s="71" t="s">
        <v>360</v>
      </c>
      <c r="C38" s="73">
        <v>-86326750</v>
      </c>
      <c r="D38" s="73"/>
      <c r="E38" s="73">
        <v>0</v>
      </c>
      <c r="F38" s="73"/>
      <c r="G38" s="73"/>
      <c r="H38" s="73">
        <v>0</v>
      </c>
      <c r="I38" s="73"/>
      <c r="J38" s="73"/>
      <c r="K38" s="74">
        <v>0</v>
      </c>
      <c r="L38" s="74"/>
      <c r="M38" s="74"/>
      <c r="N38" s="74"/>
      <c r="O38" s="74"/>
      <c r="P38" s="75">
        <v>-130000000</v>
      </c>
    </row>
    <row r="39" spans="1:16" ht="15">
      <c r="A39" s="71" t="s">
        <v>103</v>
      </c>
      <c r="B39" s="71" t="s">
        <v>104</v>
      </c>
      <c r="C39" s="73">
        <v>0</v>
      </c>
      <c r="D39" s="73"/>
      <c r="E39" s="73">
        <v>-130000000</v>
      </c>
      <c r="F39" s="73"/>
      <c r="G39" s="73"/>
      <c r="H39" s="73">
        <v>-130000000</v>
      </c>
      <c r="I39" s="73"/>
      <c r="J39" s="73"/>
      <c r="K39" s="74">
        <v>-130000000</v>
      </c>
      <c r="L39" s="74"/>
      <c r="M39" s="74"/>
      <c r="N39" s="74"/>
      <c r="O39" s="74"/>
      <c r="P39" s="75">
        <v>0</v>
      </c>
    </row>
    <row r="40" spans="1:16" ht="15">
      <c r="A40" s="76">
        <v>1930100</v>
      </c>
      <c r="B40" s="71" t="s">
        <v>361</v>
      </c>
      <c r="C40" s="73">
        <v>759062.18</v>
      </c>
      <c r="D40" s="73"/>
      <c r="E40" s="73">
        <v>0</v>
      </c>
      <c r="F40" s="73"/>
      <c r="G40" s="73"/>
      <c r="H40" s="73">
        <v>0</v>
      </c>
      <c r="I40" s="73"/>
      <c r="J40" s="73"/>
      <c r="K40" s="74">
        <v>0</v>
      </c>
      <c r="L40" s="74"/>
      <c r="M40" s="74"/>
      <c r="N40" s="74"/>
      <c r="O40" s="74"/>
      <c r="P40" s="75">
        <v>5070232.5</v>
      </c>
    </row>
    <row r="41" spans="1:16" ht="15">
      <c r="A41" s="71" t="s">
        <v>107</v>
      </c>
      <c r="B41" s="71" t="s">
        <v>108</v>
      </c>
      <c r="C41" s="73">
        <v>0</v>
      </c>
      <c r="D41" s="73"/>
      <c r="E41" s="73">
        <v>812500</v>
      </c>
      <c r="F41" s="73"/>
      <c r="G41" s="73"/>
      <c r="H41" s="73">
        <f>E41+812500</f>
        <v>1625000</v>
      </c>
      <c r="I41" s="73"/>
      <c r="J41" s="73"/>
      <c r="K41" s="74">
        <v>5070232.5</v>
      </c>
      <c r="L41" s="74"/>
      <c r="M41" s="74"/>
      <c r="N41" s="74"/>
      <c r="O41" s="74"/>
      <c r="P41" s="75">
        <v>0</v>
      </c>
    </row>
    <row r="42" spans="1:16" ht="15">
      <c r="A42" s="76">
        <v>1930201</v>
      </c>
      <c r="B42" s="71" t="s">
        <v>110</v>
      </c>
      <c r="C42" s="73">
        <v>0</v>
      </c>
      <c r="D42" s="73"/>
      <c r="E42" s="73">
        <f>C42</f>
        <v>0</v>
      </c>
      <c r="F42" s="73"/>
      <c r="G42" s="73"/>
      <c r="H42" s="73">
        <f>E42</f>
        <v>0</v>
      </c>
      <c r="I42" s="73"/>
      <c r="J42" s="73"/>
      <c r="K42" s="74">
        <v>-306833.59000000003</v>
      </c>
      <c r="L42" s="74"/>
      <c r="M42" s="74"/>
      <c r="N42" s="74"/>
      <c r="O42" s="74"/>
      <c r="P42" s="75"/>
    </row>
    <row r="43" spans="1:16" ht="15">
      <c r="A43" s="71"/>
      <c r="B43" s="71"/>
      <c r="C43" s="73"/>
      <c r="D43" s="73"/>
      <c r="E43" s="73"/>
      <c r="F43" s="73"/>
      <c r="G43" s="73"/>
      <c r="H43" s="73"/>
      <c r="I43" s="73"/>
      <c r="J43" s="73"/>
      <c r="K43" s="74"/>
      <c r="L43" s="74"/>
      <c r="M43" s="74"/>
      <c r="N43" s="74"/>
      <c r="O43" s="74"/>
      <c r="P43" s="75">
        <v>0</v>
      </c>
    </row>
    <row r="44" spans="1:16" ht="15">
      <c r="A44" s="76">
        <v>1990001</v>
      </c>
      <c r="B44" s="71" t="s">
        <v>114</v>
      </c>
      <c r="C44" s="73">
        <v>-35257824.939999998</v>
      </c>
      <c r="D44" s="73"/>
      <c r="E44" s="73">
        <v>0</v>
      </c>
      <c r="F44" s="73"/>
      <c r="G44" s="73"/>
      <c r="H44" s="73">
        <v>0</v>
      </c>
      <c r="I44" s="73"/>
      <c r="J44" s="73"/>
      <c r="K44" s="74">
        <v>0</v>
      </c>
      <c r="L44" s="74"/>
      <c r="M44" s="74"/>
      <c r="N44" s="74"/>
      <c r="O44" s="74"/>
      <c r="P44" s="75"/>
    </row>
    <row r="45" spans="1:16">
      <c r="A45" s="71" t="s">
        <v>362</v>
      </c>
      <c r="B45" s="71"/>
      <c r="C45" s="73">
        <f>SUM(C38:C44)</f>
        <v>-120825512.75999999</v>
      </c>
      <c r="D45" s="73"/>
      <c r="E45" s="73">
        <f>SUM(E38:E44)</f>
        <v>-129187500</v>
      </c>
      <c r="F45" s="73"/>
      <c r="G45" s="73"/>
      <c r="H45" s="73">
        <f>SUM(H38:H44)</f>
        <v>-128375000</v>
      </c>
      <c r="I45" s="73"/>
      <c r="J45" s="73"/>
      <c r="K45" s="73">
        <f>SUM(K38:K44)</f>
        <v>-125236601.09</v>
      </c>
      <c r="L45" s="73"/>
      <c r="M45" s="73"/>
      <c r="N45" s="73"/>
      <c r="O45" s="73"/>
      <c r="P45" s="73">
        <f>SUM(P38:P44)</f>
        <v>-124929767.5</v>
      </c>
    </row>
    <row r="46" spans="1:16" ht="15">
      <c r="A46" s="71"/>
      <c r="B46" s="71"/>
      <c r="C46" s="73"/>
      <c r="D46" s="73"/>
      <c r="E46" s="73"/>
      <c r="F46" s="73"/>
      <c r="G46" s="73"/>
      <c r="H46" s="73"/>
      <c r="I46" s="73"/>
      <c r="J46" s="73"/>
      <c r="K46" s="74"/>
      <c r="L46" s="74"/>
      <c r="M46" s="74"/>
      <c r="N46" s="74"/>
      <c r="O46" s="74"/>
      <c r="P46" s="75">
        <v>-22162.98</v>
      </c>
    </row>
    <row r="47" spans="1:16" ht="15">
      <c r="A47" s="71" t="s">
        <v>121</v>
      </c>
      <c r="B47" s="71" t="s">
        <v>122</v>
      </c>
      <c r="C47" s="73">
        <v>-143296.28</v>
      </c>
      <c r="D47" s="73"/>
      <c r="E47" s="73">
        <f>C47+137851.28</f>
        <v>-5445</v>
      </c>
      <c r="F47" s="73"/>
      <c r="G47" s="73"/>
      <c r="H47" s="73">
        <f>E47+5444.99</f>
        <v>-1.0000000000218279E-2</v>
      </c>
      <c r="I47" s="73"/>
      <c r="J47" s="73"/>
      <c r="K47" s="74">
        <v>-9075.01</v>
      </c>
      <c r="L47" s="74"/>
      <c r="M47" s="74"/>
      <c r="N47" s="74"/>
      <c r="O47" s="74"/>
      <c r="P47" s="75">
        <v>0</v>
      </c>
    </row>
    <row r="48" spans="1:16" ht="15">
      <c r="A48" s="76">
        <v>2730001</v>
      </c>
      <c r="B48" s="71" t="s">
        <v>124</v>
      </c>
      <c r="C48" s="73">
        <v>0</v>
      </c>
      <c r="D48" s="73"/>
      <c r="E48" s="73">
        <v>5445</v>
      </c>
      <c r="F48" s="73"/>
      <c r="G48" s="73"/>
      <c r="H48" s="73">
        <f>E48-5445</f>
        <v>0</v>
      </c>
      <c r="I48" s="73"/>
      <c r="J48" s="73"/>
      <c r="K48" s="74">
        <v>0</v>
      </c>
      <c r="L48" s="74"/>
      <c r="M48" s="74"/>
      <c r="N48" s="74"/>
      <c r="O48" s="74"/>
      <c r="P48" s="75"/>
    </row>
    <row r="49" spans="1:16">
      <c r="A49" s="71" t="s">
        <v>363</v>
      </c>
      <c r="B49" s="71"/>
      <c r="C49" s="73">
        <f>SUM(C47:C48)</f>
        <v>-143296.28</v>
      </c>
      <c r="D49" s="73"/>
      <c r="E49" s="73">
        <f>SUM(E47:E48)</f>
        <v>0</v>
      </c>
      <c r="F49" s="73"/>
      <c r="G49" s="73"/>
      <c r="H49" s="73">
        <f>SUM(H47:H48)</f>
        <v>-1.0000000000218279E-2</v>
      </c>
      <c r="I49" s="73"/>
      <c r="J49" s="73"/>
      <c r="K49" s="73">
        <f>SUM(K47:K48)</f>
        <v>-9075.01</v>
      </c>
      <c r="L49" s="73"/>
      <c r="M49" s="73"/>
      <c r="N49" s="73"/>
      <c r="O49" s="73"/>
      <c r="P49" s="73">
        <f>SUM(P47:P48)</f>
        <v>0</v>
      </c>
    </row>
    <row r="50" spans="1:16">
      <c r="A50" s="71"/>
      <c r="B50" s="71"/>
      <c r="C50" s="73"/>
      <c r="D50" s="73"/>
      <c r="E50" s="73"/>
      <c r="F50" s="73"/>
      <c r="G50" s="73"/>
      <c r="H50" s="73"/>
      <c r="I50" s="73"/>
      <c r="J50" s="73"/>
      <c r="K50" s="74"/>
      <c r="L50" s="74"/>
      <c r="M50" s="74"/>
      <c r="N50" s="74"/>
      <c r="O50" s="74"/>
    </row>
    <row r="51" spans="1:16" ht="15">
      <c r="A51" s="71" t="s">
        <v>364</v>
      </c>
      <c r="B51" s="71" t="s">
        <v>365</v>
      </c>
      <c r="C51" s="73">
        <v>0</v>
      </c>
      <c r="D51" s="73"/>
      <c r="E51" s="73">
        <f>C51</f>
        <v>0</v>
      </c>
      <c r="F51" s="73"/>
      <c r="G51" s="73"/>
      <c r="H51" s="73">
        <f>E51</f>
        <v>0</v>
      </c>
      <c r="I51" s="73"/>
      <c r="J51" s="73"/>
      <c r="K51" s="74">
        <v>0</v>
      </c>
      <c r="L51" s="74"/>
      <c r="M51" s="74"/>
      <c r="N51" s="74"/>
      <c r="O51" s="74"/>
      <c r="P51" s="75">
        <v>4791.47</v>
      </c>
    </row>
    <row r="52" spans="1:16" ht="15">
      <c r="A52" s="71" t="s">
        <v>129</v>
      </c>
      <c r="B52" s="71" t="s">
        <v>130</v>
      </c>
      <c r="C52" s="73">
        <v>-4583</v>
      </c>
      <c r="D52" s="73"/>
      <c r="E52" s="73">
        <f>C52-2003.99</f>
        <v>-6586.99</v>
      </c>
      <c r="F52" s="73"/>
      <c r="G52" s="73"/>
      <c r="H52" s="73">
        <f>E52-248.2</f>
        <v>-6835.19</v>
      </c>
      <c r="I52" s="73"/>
      <c r="J52" s="73"/>
      <c r="K52" s="74">
        <v>-6845.46</v>
      </c>
      <c r="L52" s="74"/>
      <c r="M52" s="74"/>
      <c r="N52" s="74"/>
      <c r="O52" s="74"/>
      <c r="P52" s="75">
        <v>-2695.96</v>
      </c>
    </row>
    <row r="53" spans="1:16" ht="15">
      <c r="A53" s="71" t="s">
        <v>133</v>
      </c>
      <c r="B53" s="71" t="s">
        <v>134</v>
      </c>
      <c r="C53" s="73">
        <v>-178576</v>
      </c>
      <c r="D53" s="73"/>
      <c r="E53" s="73">
        <f>C53+396906</f>
        <v>218330</v>
      </c>
      <c r="F53" s="73"/>
      <c r="G53" s="73"/>
      <c r="H53" s="73">
        <f>E53+40582</f>
        <v>258912</v>
      </c>
      <c r="I53" s="73"/>
      <c r="J53" s="73"/>
      <c r="K53" s="74">
        <v>258912</v>
      </c>
      <c r="L53" s="74"/>
      <c r="M53" s="74"/>
      <c r="N53" s="74"/>
      <c r="O53" s="74"/>
      <c r="P53" s="75">
        <v>258912</v>
      </c>
    </row>
    <row r="54" spans="1:16" ht="15">
      <c r="A54" s="71" t="s">
        <v>137</v>
      </c>
      <c r="B54" s="71" t="s">
        <v>138</v>
      </c>
      <c r="C54" s="73">
        <v>330803</v>
      </c>
      <c r="D54" s="73"/>
      <c r="E54" s="73">
        <f>C54-330803</f>
        <v>0</v>
      </c>
      <c r="F54" s="73"/>
      <c r="G54" s="73"/>
      <c r="H54" s="73">
        <v>0</v>
      </c>
      <c r="I54" s="73"/>
      <c r="J54" s="73"/>
      <c r="K54" s="74">
        <v>0</v>
      </c>
      <c r="L54" s="74"/>
      <c r="M54" s="74"/>
      <c r="N54" s="74"/>
      <c r="O54" s="74"/>
      <c r="P54" s="75">
        <v>284637.87</v>
      </c>
    </row>
    <row r="55" spans="1:16">
      <c r="A55" s="71" t="s">
        <v>366</v>
      </c>
      <c r="B55" s="71"/>
      <c r="C55" s="73">
        <f>SUM(C51:C54)</f>
        <v>147644</v>
      </c>
      <c r="D55" s="73"/>
      <c r="E55" s="73">
        <f>SUM(E51:E54)</f>
        <v>211743.01</v>
      </c>
      <c r="F55" s="73"/>
      <c r="G55" s="73"/>
      <c r="H55" s="73">
        <f>SUM(H51:H54)</f>
        <v>252076.81</v>
      </c>
      <c r="I55" s="73"/>
      <c r="J55" s="73"/>
      <c r="K55" s="73">
        <f>SUM(K51:K54)</f>
        <v>252066.54</v>
      </c>
      <c r="L55" s="73"/>
      <c r="M55" s="73"/>
      <c r="N55" s="73"/>
      <c r="O55" s="73"/>
      <c r="P55" s="73">
        <f>SUM(P51:P54)</f>
        <v>545645.38</v>
      </c>
    </row>
    <row r="56" spans="1:16">
      <c r="A56" s="71"/>
      <c r="B56" s="71"/>
      <c r="C56" s="73"/>
      <c r="D56" s="73"/>
      <c r="E56" s="73"/>
      <c r="F56" s="73"/>
      <c r="G56" s="73"/>
      <c r="H56" s="73"/>
      <c r="I56" s="73"/>
      <c r="J56" s="73"/>
      <c r="K56" s="74"/>
      <c r="L56" s="74"/>
      <c r="M56" s="74"/>
      <c r="N56" s="74"/>
      <c r="O56" s="74"/>
    </row>
    <row r="57" spans="1:16" ht="15">
      <c r="A57" s="71" t="s">
        <v>141</v>
      </c>
      <c r="B57" s="71" t="s">
        <v>142</v>
      </c>
      <c r="C57" s="73">
        <v>-615377.22</v>
      </c>
      <c r="D57" s="73"/>
      <c r="E57" s="73">
        <f>C57-4490.01</f>
        <v>-619867.23</v>
      </c>
      <c r="F57" s="73"/>
      <c r="G57" s="73"/>
      <c r="H57" s="73">
        <f>E57-14716.27</f>
        <v>-634583.5</v>
      </c>
      <c r="I57" s="73"/>
      <c r="J57" s="73"/>
      <c r="K57" s="74">
        <v>-666513.99</v>
      </c>
      <c r="L57" s="74"/>
      <c r="M57" s="74"/>
      <c r="N57" s="74"/>
      <c r="O57" s="74"/>
      <c r="P57" s="75">
        <v>-678422.47</v>
      </c>
    </row>
    <row r="58" spans="1:16" ht="15">
      <c r="A58" s="71" t="s">
        <v>143</v>
      </c>
      <c r="B58" s="71" t="s">
        <v>144</v>
      </c>
      <c r="C58" s="73">
        <v>-22500</v>
      </c>
      <c r="D58" s="73"/>
      <c r="E58" s="73">
        <f>C58</f>
        <v>-22500</v>
      </c>
      <c r="F58" s="73"/>
      <c r="G58" s="73"/>
      <c r="H58" s="73">
        <f t="shared" ref="H58:H70" si="0">E58</f>
        <v>-22500</v>
      </c>
      <c r="I58" s="73"/>
      <c r="J58" s="73"/>
      <c r="K58" s="74">
        <v>-22500</v>
      </c>
      <c r="L58" s="74"/>
      <c r="M58" s="74"/>
      <c r="N58" s="74"/>
      <c r="O58" s="74"/>
      <c r="P58" s="75">
        <v>-22500</v>
      </c>
    </row>
    <row r="59" spans="1:16" ht="15">
      <c r="A59" s="71" t="s">
        <v>145</v>
      </c>
      <c r="B59" s="71" t="s">
        <v>146</v>
      </c>
      <c r="C59" s="73">
        <v>-405058</v>
      </c>
      <c r="D59" s="73"/>
      <c r="E59" s="73">
        <f>C59+405058</f>
        <v>0</v>
      </c>
      <c r="F59" s="73"/>
      <c r="G59" s="73"/>
      <c r="H59" s="73">
        <f t="shared" si="0"/>
        <v>0</v>
      </c>
      <c r="I59" s="73"/>
      <c r="J59" s="73"/>
      <c r="K59" s="74">
        <v>0</v>
      </c>
      <c r="L59" s="74"/>
      <c r="M59" s="74"/>
      <c r="N59" s="74"/>
      <c r="O59" s="74"/>
      <c r="P59" s="75">
        <v>-503883.39</v>
      </c>
    </row>
    <row r="60" spans="1:16" ht="15">
      <c r="A60" s="71" t="s">
        <v>367</v>
      </c>
      <c r="B60" s="71" t="s">
        <v>368</v>
      </c>
      <c r="C60" s="73">
        <v>0</v>
      </c>
      <c r="D60" s="73"/>
      <c r="E60" s="73">
        <f>C60</f>
        <v>0</v>
      </c>
      <c r="F60" s="73"/>
      <c r="G60" s="73"/>
      <c r="H60" s="73">
        <f t="shared" si="0"/>
        <v>0</v>
      </c>
      <c r="I60" s="73"/>
      <c r="J60" s="73"/>
      <c r="K60" s="74">
        <v>0</v>
      </c>
      <c r="L60" s="74"/>
      <c r="M60" s="74"/>
      <c r="N60" s="74"/>
      <c r="O60" s="74"/>
      <c r="P60" s="75">
        <v>47711.56</v>
      </c>
    </row>
    <row r="61" spans="1:16" ht="15">
      <c r="A61" s="71" t="s">
        <v>147</v>
      </c>
      <c r="B61" s="71" t="s">
        <v>148</v>
      </c>
      <c r="C61" s="73">
        <v>-93947.02</v>
      </c>
      <c r="D61" s="73"/>
      <c r="E61" s="73">
        <f>C61+3500</f>
        <v>-90447.02</v>
      </c>
      <c r="F61" s="73"/>
      <c r="G61" s="73"/>
      <c r="H61" s="73">
        <f>E61+63230</f>
        <v>-27217.020000000004</v>
      </c>
      <c r="I61" s="73"/>
      <c r="J61" s="73"/>
      <c r="K61" s="74">
        <v>-18117.020000000004</v>
      </c>
      <c r="L61" s="74"/>
      <c r="M61" s="74"/>
      <c r="N61" s="74"/>
      <c r="O61" s="74"/>
      <c r="P61" s="75">
        <v>-9417.0200000000041</v>
      </c>
    </row>
    <row r="62" spans="1:16" ht="15">
      <c r="A62" s="71" t="s">
        <v>149</v>
      </c>
      <c r="B62" s="71" t="s">
        <v>150</v>
      </c>
      <c r="C62" s="73">
        <v>-238421.31</v>
      </c>
      <c r="D62" s="73"/>
      <c r="E62" s="73">
        <f>C62+238421.31</f>
        <v>0</v>
      </c>
      <c r="F62" s="73"/>
      <c r="G62" s="73"/>
      <c r="H62" s="73">
        <f t="shared" si="0"/>
        <v>0</v>
      </c>
      <c r="I62" s="73"/>
      <c r="J62" s="73"/>
      <c r="K62" s="74">
        <v>0</v>
      </c>
      <c r="L62" s="74"/>
      <c r="M62" s="74"/>
      <c r="N62" s="74"/>
      <c r="O62" s="74"/>
      <c r="P62" s="75">
        <v>0</v>
      </c>
    </row>
    <row r="63" spans="1:16" ht="15">
      <c r="A63" s="71" t="s">
        <v>151</v>
      </c>
      <c r="B63" s="71" t="s">
        <v>152</v>
      </c>
      <c r="C63" s="73">
        <v>-4268.84</v>
      </c>
      <c r="D63" s="73"/>
      <c r="E63" s="73">
        <f>C63+4268.84</f>
        <v>0</v>
      </c>
      <c r="F63" s="73"/>
      <c r="G63" s="73"/>
      <c r="H63" s="73">
        <f t="shared" si="0"/>
        <v>0</v>
      </c>
      <c r="I63" s="73"/>
      <c r="J63" s="73"/>
      <c r="K63" s="74">
        <v>0</v>
      </c>
      <c r="L63" s="74"/>
      <c r="M63" s="74"/>
      <c r="N63" s="74"/>
      <c r="O63" s="74"/>
      <c r="P63" s="75">
        <v>0</v>
      </c>
    </row>
    <row r="64" spans="1:16" ht="15">
      <c r="A64" s="71" t="s">
        <v>153</v>
      </c>
      <c r="B64" s="71" t="s">
        <v>154</v>
      </c>
      <c r="C64" s="73">
        <v>-10938.05</v>
      </c>
      <c r="D64" s="73"/>
      <c r="E64" s="73">
        <f>C64+10938.05</f>
        <v>0</v>
      </c>
      <c r="F64" s="73"/>
      <c r="G64" s="73"/>
      <c r="H64" s="73">
        <f t="shared" si="0"/>
        <v>0</v>
      </c>
      <c r="I64" s="73"/>
      <c r="J64" s="73"/>
      <c r="K64" s="74">
        <v>0</v>
      </c>
      <c r="L64" s="74"/>
      <c r="M64" s="74"/>
      <c r="N64" s="74"/>
      <c r="O64" s="74"/>
      <c r="P64" s="75">
        <v>0</v>
      </c>
    </row>
    <row r="65" spans="1:20" ht="15">
      <c r="A65" s="71" t="s">
        <v>155</v>
      </c>
      <c r="B65" s="71" t="s">
        <v>156</v>
      </c>
      <c r="C65" s="73">
        <v>-28081.34</v>
      </c>
      <c r="D65" s="73"/>
      <c r="E65" s="73">
        <f>C65-11612.19</f>
        <v>-39693.53</v>
      </c>
      <c r="F65" s="73"/>
      <c r="G65" s="73"/>
      <c r="H65" s="73">
        <f>E65-488.11</f>
        <v>-40181.64</v>
      </c>
      <c r="I65" s="73"/>
      <c r="J65" s="73"/>
      <c r="K65" s="74">
        <v>-40157.89</v>
      </c>
      <c r="L65" s="74"/>
      <c r="M65" s="74"/>
      <c r="N65" s="74"/>
      <c r="O65" s="74"/>
      <c r="P65" s="75">
        <v>-80047.100000000006</v>
      </c>
    </row>
    <row r="66" spans="1:20" ht="15">
      <c r="A66" s="71" t="s">
        <v>157</v>
      </c>
      <c r="B66" s="71" t="s">
        <v>158</v>
      </c>
      <c r="C66" s="73">
        <v>0</v>
      </c>
      <c r="D66" s="73"/>
      <c r="E66" s="73">
        <f>C66</f>
        <v>0</v>
      </c>
      <c r="F66" s="73"/>
      <c r="G66" s="73"/>
      <c r="H66" s="73">
        <f t="shared" si="0"/>
        <v>0</v>
      </c>
      <c r="I66" s="73"/>
      <c r="J66" s="73"/>
      <c r="K66" s="74">
        <v>0</v>
      </c>
      <c r="L66" s="74"/>
      <c r="M66" s="74"/>
      <c r="N66" s="74"/>
      <c r="O66" s="74"/>
      <c r="P66" s="75">
        <v>0</v>
      </c>
    </row>
    <row r="67" spans="1:20" ht="15">
      <c r="A67" s="71" t="s">
        <v>159</v>
      </c>
      <c r="B67" s="71" t="s">
        <v>160</v>
      </c>
      <c r="C67" s="73">
        <v>-5040</v>
      </c>
      <c r="D67" s="73"/>
      <c r="E67" s="73">
        <f>C67</f>
        <v>-5040</v>
      </c>
      <c r="F67" s="73"/>
      <c r="G67" s="73"/>
      <c r="H67" s="73">
        <f t="shared" si="0"/>
        <v>-5040</v>
      </c>
      <c r="I67" s="73"/>
      <c r="J67" s="73"/>
      <c r="K67" s="74">
        <v>-5040</v>
      </c>
      <c r="L67" s="74"/>
      <c r="M67" s="74"/>
      <c r="N67" s="74"/>
      <c r="O67" s="74"/>
      <c r="P67" s="75">
        <v>-5040</v>
      </c>
    </row>
    <row r="68" spans="1:20" ht="15">
      <c r="A68" s="71" t="s">
        <v>161</v>
      </c>
      <c r="B68" s="71" t="s">
        <v>162</v>
      </c>
      <c r="C68" s="73">
        <v>0</v>
      </c>
      <c r="D68" s="73"/>
      <c r="E68" s="73">
        <v>-5044.68</v>
      </c>
      <c r="F68" s="73"/>
      <c r="G68" s="73"/>
      <c r="H68" s="73">
        <f>E68+4404.2</f>
        <v>-640.48000000000047</v>
      </c>
      <c r="I68" s="73"/>
      <c r="J68" s="73"/>
      <c r="K68" s="74">
        <v>918.62999999999943</v>
      </c>
      <c r="L68" s="74"/>
      <c r="M68" s="74"/>
      <c r="N68" s="74"/>
      <c r="O68" s="74"/>
      <c r="P68" s="75">
        <v>-465.86000000000058</v>
      </c>
    </row>
    <row r="69" spans="1:20" ht="15">
      <c r="A69" s="71" t="s">
        <v>163</v>
      </c>
      <c r="B69" s="71" t="s">
        <v>164</v>
      </c>
      <c r="C69" s="73">
        <v>-126675.73</v>
      </c>
      <c r="D69" s="73"/>
      <c r="E69" s="73">
        <f>C69+14685.03</f>
        <v>-111990.7</v>
      </c>
      <c r="F69" s="73"/>
      <c r="G69" s="73"/>
      <c r="H69" s="73">
        <f>E69-5052.83</f>
        <v>-117043.53</v>
      </c>
      <c r="I69" s="73"/>
      <c r="J69" s="73"/>
      <c r="K69" s="74">
        <v>-146910.69</v>
      </c>
      <c r="L69" s="74"/>
      <c r="M69" s="74"/>
      <c r="N69" s="74"/>
      <c r="O69" s="74"/>
      <c r="P69" s="75">
        <v>-120768.08</v>
      </c>
    </row>
    <row r="70" spans="1:20" ht="15">
      <c r="A70" s="71" t="s">
        <v>165</v>
      </c>
      <c r="B70" s="71" t="s">
        <v>166</v>
      </c>
      <c r="C70" s="73">
        <v>-3.66</v>
      </c>
      <c r="D70" s="73"/>
      <c r="E70" s="73">
        <f>C70</f>
        <v>-3.66</v>
      </c>
      <c r="F70" s="73"/>
      <c r="G70" s="73"/>
      <c r="H70" s="73">
        <f t="shared" si="0"/>
        <v>-3.66</v>
      </c>
      <c r="I70" s="73"/>
      <c r="J70" s="73"/>
      <c r="K70" s="74">
        <v>-3.66</v>
      </c>
      <c r="L70" s="74"/>
      <c r="M70" s="74"/>
      <c r="N70" s="74"/>
      <c r="O70" s="74"/>
      <c r="P70" s="75">
        <v>-3.66</v>
      </c>
    </row>
    <row r="71" spans="1:20">
      <c r="A71" s="71" t="s">
        <v>369</v>
      </c>
      <c r="B71" s="71"/>
      <c r="C71" s="73">
        <f>SUM(C57:C70)</f>
        <v>-1550311.1700000002</v>
      </c>
      <c r="D71" s="73"/>
      <c r="E71" s="73">
        <f>SUM(E57:E70)</f>
        <v>-894586.82000000007</v>
      </c>
      <c r="F71" s="73"/>
      <c r="G71" s="73"/>
      <c r="H71" s="73">
        <f>SUM(H57:H70)</f>
        <v>-847209.83000000007</v>
      </c>
      <c r="I71" s="73"/>
      <c r="J71" s="73"/>
      <c r="K71" s="73">
        <f>SUM(K57:K70)</f>
        <v>-898324.62</v>
      </c>
      <c r="L71" s="73"/>
      <c r="M71" s="73"/>
      <c r="N71" s="73"/>
      <c r="O71" s="73"/>
      <c r="P71" s="73">
        <f>SUM(P57:P70)</f>
        <v>-1372836.02</v>
      </c>
      <c r="T71" s="74"/>
    </row>
    <row r="72" spans="1:20" ht="15">
      <c r="A72" s="71"/>
      <c r="B72" s="71"/>
      <c r="C72" s="73"/>
      <c r="D72" s="73"/>
      <c r="E72" s="73"/>
      <c r="F72" s="73"/>
      <c r="G72" s="73"/>
      <c r="H72" s="73"/>
      <c r="I72" s="73"/>
      <c r="J72" s="73"/>
      <c r="K72" s="74"/>
      <c r="L72" s="74"/>
      <c r="M72" s="74"/>
      <c r="N72" s="74"/>
      <c r="O72" s="74"/>
      <c r="P72" s="75"/>
      <c r="T72" s="74"/>
    </row>
    <row r="73" spans="1:20">
      <c r="A73" s="70" t="s">
        <v>370</v>
      </c>
      <c r="B73" s="71"/>
      <c r="C73" s="73" t="s">
        <v>371</v>
      </c>
      <c r="D73" s="73"/>
      <c r="E73" s="73" t="s">
        <v>372</v>
      </c>
      <c r="F73" s="73" t="s">
        <v>373</v>
      </c>
      <c r="G73" s="73"/>
      <c r="H73" s="73" t="s">
        <v>374</v>
      </c>
      <c r="I73" s="73" t="s">
        <v>375</v>
      </c>
      <c r="J73" s="73"/>
      <c r="K73" s="73" t="s">
        <v>376</v>
      </c>
      <c r="L73" s="73" t="s">
        <v>377</v>
      </c>
      <c r="M73" s="74" t="s">
        <v>378</v>
      </c>
      <c r="N73" s="74"/>
      <c r="O73" s="74"/>
      <c r="P73" s="74" t="s">
        <v>379</v>
      </c>
      <c r="R73" s="68" t="s">
        <v>380</v>
      </c>
    </row>
    <row r="74" spans="1:20" ht="15">
      <c r="A74" s="71" t="s">
        <v>174</v>
      </c>
      <c r="B74" s="71" t="s">
        <v>175</v>
      </c>
      <c r="C74" s="73">
        <f>-(K74+-H74+-E74)</f>
        <v>-2686801.5700000003</v>
      </c>
      <c r="D74" s="73"/>
      <c r="E74" s="75">
        <v>-5491757.2599999998</v>
      </c>
      <c r="F74" s="75">
        <f>E74-C74</f>
        <v>-2804955.6899999995</v>
      </c>
      <c r="H74" s="75">
        <v>-8311858.3300000001</v>
      </c>
      <c r="I74" s="75">
        <f>H74-E74</f>
        <v>-2820101.0700000003</v>
      </c>
      <c r="J74" s="75"/>
      <c r="K74" s="74">
        <v>-11116814.02</v>
      </c>
      <c r="L74" s="74">
        <f>K74-H74</f>
        <v>-2804955.6899999995</v>
      </c>
      <c r="M74" s="74">
        <f>L74+I74+F74+C74</f>
        <v>-11116814.02</v>
      </c>
      <c r="N74" s="74">
        <f>M74-K74</f>
        <v>0</v>
      </c>
      <c r="O74" s="74"/>
      <c r="P74" s="75">
        <v>-2797626.07</v>
      </c>
      <c r="R74" s="74">
        <f>P74+L74+I74+F74</f>
        <v>-11227638.52</v>
      </c>
      <c r="T74" s="74"/>
    </row>
    <row r="75" spans="1:20" ht="15">
      <c r="A75" s="71" t="s">
        <v>176</v>
      </c>
      <c r="B75" s="71" t="s">
        <v>177</v>
      </c>
      <c r="C75" s="73">
        <f t="shared" ref="C75:C126" si="1">-(K75+-H75+-E75)</f>
        <v>69696.13</v>
      </c>
      <c r="D75" s="73"/>
      <c r="E75" s="75">
        <v>138590.79999999999</v>
      </c>
      <c r="F75" s="75">
        <f t="shared" ref="F75:F126" si="2">E75-C75</f>
        <v>68894.669999999984</v>
      </c>
      <c r="G75" s="75"/>
      <c r="H75" s="75">
        <v>238421.03999999998</v>
      </c>
      <c r="I75" s="75">
        <f t="shared" ref="I75:I126" si="3">H75-E75</f>
        <v>99830.239999999991</v>
      </c>
      <c r="J75" s="75"/>
      <c r="K75" s="74">
        <v>307315.70999999996</v>
      </c>
      <c r="L75" s="74">
        <f t="shared" ref="L75:L126" si="4">K75-H75</f>
        <v>68894.669999999984</v>
      </c>
      <c r="M75" s="74">
        <f t="shared" ref="M75:M126" si="5">L75+I75+F75+C75</f>
        <v>307315.70999999996</v>
      </c>
      <c r="N75" s="74">
        <f t="shared" ref="N75:N126" si="6">M75-K75</f>
        <v>0</v>
      </c>
      <c r="O75" s="74"/>
      <c r="P75" s="75">
        <v>69244.36</v>
      </c>
      <c r="R75" s="74">
        <f t="shared" ref="R75:R126" si="7">P75+L75+I75+F75</f>
        <v>306863.93999999994</v>
      </c>
    </row>
    <row r="76" spans="1:20" ht="15">
      <c r="A76" s="71" t="s">
        <v>381</v>
      </c>
      <c r="B76" s="71"/>
      <c r="C76" s="73">
        <f t="shared" si="1"/>
        <v>-2617105.4400000013</v>
      </c>
      <c r="D76" s="73"/>
      <c r="E76" s="73">
        <v>-5353166.46</v>
      </c>
      <c r="F76" s="75">
        <f t="shared" si="2"/>
        <v>-2736061.0199999986</v>
      </c>
      <c r="G76" s="73"/>
      <c r="H76" s="73">
        <v>-8073437.29</v>
      </c>
      <c r="I76" s="75">
        <f t="shared" si="3"/>
        <v>-2720270.83</v>
      </c>
      <c r="J76" s="73"/>
      <c r="K76" s="73">
        <v>-10809498.309999999</v>
      </c>
      <c r="L76" s="74">
        <f t="shared" si="4"/>
        <v>-2736061.0199999986</v>
      </c>
      <c r="M76" s="74">
        <f t="shared" si="5"/>
        <v>-10809498.309999999</v>
      </c>
      <c r="N76" s="74">
        <f t="shared" si="6"/>
        <v>0</v>
      </c>
      <c r="O76" s="74"/>
      <c r="P76" s="73">
        <v>-2728381.71</v>
      </c>
      <c r="R76" s="74">
        <f t="shared" si="7"/>
        <v>-10920774.579999998</v>
      </c>
      <c r="S76" s="78"/>
    </row>
    <row r="77" spans="1:20" ht="15">
      <c r="A77" s="71"/>
      <c r="B77" s="71"/>
      <c r="C77" s="73">
        <f t="shared" si="1"/>
        <v>0</v>
      </c>
      <c r="D77" s="73"/>
      <c r="E77" s="75"/>
      <c r="F77" s="75">
        <f t="shared" si="2"/>
        <v>0</v>
      </c>
      <c r="G77" s="75"/>
      <c r="H77" s="75"/>
      <c r="I77" s="75">
        <f t="shared" si="3"/>
        <v>0</v>
      </c>
      <c r="J77" s="75"/>
      <c r="K77" s="74"/>
      <c r="L77" s="74">
        <f t="shared" si="4"/>
        <v>0</v>
      </c>
      <c r="M77" s="74">
        <f t="shared" si="5"/>
        <v>0</v>
      </c>
      <c r="N77" s="74">
        <f t="shared" si="6"/>
        <v>0</v>
      </c>
      <c r="O77" s="74"/>
      <c r="P77" s="75"/>
      <c r="R77" s="74">
        <f>P77+L77+I77+F77</f>
        <v>0</v>
      </c>
    </row>
    <row r="78" spans="1:20" ht="15">
      <c r="A78" s="71" t="s">
        <v>182</v>
      </c>
      <c r="B78" s="71" t="s">
        <v>183</v>
      </c>
      <c r="C78" s="73">
        <f t="shared" si="1"/>
        <v>-199833.59000000008</v>
      </c>
      <c r="D78" s="73"/>
      <c r="E78" s="75">
        <v>-360058.39</v>
      </c>
      <c r="F78" s="75">
        <f t="shared" si="2"/>
        <v>-160224.79999999993</v>
      </c>
      <c r="G78" s="75"/>
      <c r="H78" s="75">
        <v>-521030.18000000005</v>
      </c>
      <c r="I78" s="75">
        <f t="shared" si="3"/>
        <v>-160971.79000000004</v>
      </c>
      <c r="J78" s="75">
        <f>I78+L78</f>
        <v>-321196.58999999997</v>
      </c>
      <c r="K78" s="74">
        <v>-681254.98</v>
      </c>
      <c r="L78" s="74">
        <f t="shared" si="4"/>
        <v>-160224.79999999993</v>
      </c>
      <c r="M78" s="74">
        <f t="shared" si="5"/>
        <v>-681254.98</v>
      </c>
      <c r="N78" s="74">
        <f t="shared" si="6"/>
        <v>0</v>
      </c>
      <c r="O78" s="74"/>
      <c r="P78" s="75">
        <v>-174607.96</v>
      </c>
      <c r="R78" s="74">
        <f t="shared" si="7"/>
        <v>-656029.34999999986</v>
      </c>
    </row>
    <row r="79" spans="1:20" ht="15">
      <c r="A79" s="71" t="s">
        <v>184</v>
      </c>
      <c r="B79" s="71" t="s">
        <v>185</v>
      </c>
      <c r="C79" s="73">
        <f t="shared" si="1"/>
        <v>-7260.6900000000005</v>
      </c>
      <c r="D79" s="73"/>
      <c r="E79" s="75">
        <v>12394.03</v>
      </c>
      <c r="F79" s="75">
        <f t="shared" si="2"/>
        <v>19654.72</v>
      </c>
      <c r="G79" s="75"/>
      <c r="H79" s="75">
        <v>54417.25</v>
      </c>
      <c r="I79" s="75">
        <f t="shared" si="3"/>
        <v>42023.22</v>
      </c>
      <c r="J79" s="75">
        <f>I79+L79</f>
        <v>61677.94</v>
      </c>
      <c r="K79" s="74">
        <v>74071.97</v>
      </c>
      <c r="L79" s="74">
        <f t="shared" si="4"/>
        <v>19654.72</v>
      </c>
      <c r="M79" s="74">
        <f t="shared" si="5"/>
        <v>74071.97</v>
      </c>
      <c r="N79" s="74">
        <f t="shared" si="6"/>
        <v>0</v>
      </c>
      <c r="O79" s="74"/>
      <c r="P79" s="75">
        <v>10049.700000000001</v>
      </c>
      <c r="R79" s="74">
        <f t="shared" si="7"/>
        <v>91382.36</v>
      </c>
    </row>
    <row r="80" spans="1:20" ht="15">
      <c r="A80" s="71" t="s">
        <v>186</v>
      </c>
      <c r="B80" s="71" t="s">
        <v>187</v>
      </c>
      <c r="C80" s="73">
        <f t="shared" si="1"/>
        <v>135161.27000000002</v>
      </c>
      <c r="D80" s="73"/>
      <c r="E80" s="75">
        <v>284906.44</v>
      </c>
      <c r="F80" s="75">
        <f t="shared" si="2"/>
        <v>149745.16999999998</v>
      </c>
      <c r="G80" s="75"/>
      <c r="H80" s="75">
        <v>411383.19</v>
      </c>
      <c r="I80" s="75">
        <f t="shared" si="3"/>
        <v>126476.75</v>
      </c>
      <c r="J80" s="130">
        <f>I80+L80</f>
        <v>276221.92</v>
      </c>
      <c r="K80" s="74">
        <v>561128.36</v>
      </c>
      <c r="L80" s="74">
        <f t="shared" si="4"/>
        <v>149745.16999999998</v>
      </c>
      <c r="M80" s="74">
        <f t="shared" si="5"/>
        <v>561128.36</v>
      </c>
      <c r="N80" s="74">
        <f t="shared" si="6"/>
        <v>0</v>
      </c>
      <c r="O80" s="74"/>
      <c r="P80" s="75">
        <v>173160.71</v>
      </c>
      <c r="R80" s="74">
        <f t="shared" si="7"/>
        <v>599127.80000000005</v>
      </c>
    </row>
    <row r="81" spans="1:20" ht="15">
      <c r="A81" s="71" t="s">
        <v>382</v>
      </c>
      <c r="B81" s="71"/>
      <c r="C81" s="73">
        <f t="shared" si="1"/>
        <v>-71933.010000000009</v>
      </c>
      <c r="D81" s="73"/>
      <c r="E81" s="73">
        <v>-62757.919999999984</v>
      </c>
      <c r="F81" s="75">
        <f t="shared" si="2"/>
        <v>9175.0900000000256</v>
      </c>
      <c r="G81" s="73"/>
      <c r="H81" s="73">
        <v>-55229.740000000049</v>
      </c>
      <c r="I81" s="75">
        <f t="shared" si="3"/>
        <v>7528.1799999999348</v>
      </c>
      <c r="J81" s="75">
        <f>I81+L81</f>
        <v>16703.26999999996</v>
      </c>
      <c r="K81" s="73">
        <v>-46054.650000000023</v>
      </c>
      <c r="L81" s="74">
        <f t="shared" si="4"/>
        <v>9175.0900000000256</v>
      </c>
      <c r="M81" s="74">
        <f t="shared" si="5"/>
        <v>-46054.650000000023</v>
      </c>
      <c r="N81" s="74">
        <f t="shared" si="6"/>
        <v>0</v>
      </c>
      <c r="O81" s="74"/>
      <c r="P81" s="73">
        <v>8602.4500000000116</v>
      </c>
      <c r="R81" s="74">
        <f t="shared" si="7"/>
        <v>34480.81</v>
      </c>
    </row>
    <row r="82" spans="1:20" ht="15">
      <c r="A82" s="71"/>
      <c r="B82" s="71"/>
      <c r="C82" s="73">
        <f t="shared" si="1"/>
        <v>0</v>
      </c>
      <c r="D82" s="73"/>
      <c r="E82" s="75"/>
      <c r="F82" s="75">
        <f t="shared" si="2"/>
        <v>0</v>
      </c>
      <c r="G82" s="75"/>
      <c r="H82" s="75"/>
      <c r="I82" s="75">
        <f t="shared" si="3"/>
        <v>0</v>
      </c>
      <c r="J82" s="75"/>
      <c r="K82" s="74"/>
      <c r="L82" s="74">
        <f t="shared" si="4"/>
        <v>0</v>
      </c>
      <c r="M82" s="74">
        <f t="shared" si="5"/>
        <v>0</v>
      </c>
      <c r="N82" s="74">
        <f t="shared" si="6"/>
        <v>0</v>
      </c>
      <c r="O82" s="74"/>
      <c r="P82" s="75"/>
      <c r="R82" s="74">
        <f t="shared" si="7"/>
        <v>0</v>
      </c>
    </row>
    <row r="83" spans="1:20" ht="15">
      <c r="A83" s="76">
        <v>7000000</v>
      </c>
      <c r="B83" s="71" t="s">
        <v>193</v>
      </c>
      <c r="C83" s="73">
        <f t="shared" si="1"/>
        <v>0</v>
      </c>
      <c r="D83" s="73"/>
      <c r="E83" s="75">
        <v>0</v>
      </c>
      <c r="F83" s="75">
        <f t="shared" si="2"/>
        <v>0</v>
      </c>
      <c r="G83" s="75"/>
      <c r="H83" s="75">
        <v>0</v>
      </c>
      <c r="I83" s="75">
        <f t="shared" si="3"/>
        <v>0</v>
      </c>
      <c r="J83" s="75"/>
      <c r="K83" s="74">
        <v>0</v>
      </c>
      <c r="L83" s="74">
        <f t="shared" si="4"/>
        <v>0</v>
      </c>
      <c r="M83" s="74">
        <f t="shared" si="5"/>
        <v>0</v>
      </c>
      <c r="N83" s="74">
        <f t="shared" si="6"/>
        <v>0</v>
      </c>
      <c r="O83" s="74"/>
      <c r="P83" s="75">
        <v>0</v>
      </c>
      <c r="R83" s="74">
        <f t="shared" si="7"/>
        <v>0</v>
      </c>
    </row>
    <row r="84" spans="1:20" ht="15">
      <c r="A84" s="71" t="s">
        <v>383</v>
      </c>
      <c r="B84" s="71"/>
      <c r="C84" s="73">
        <f t="shared" si="1"/>
        <v>0</v>
      </c>
      <c r="D84" s="73"/>
      <c r="E84" s="73">
        <v>0</v>
      </c>
      <c r="F84" s="75">
        <f t="shared" si="2"/>
        <v>0</v>
      </c>
      <c r="G84" s="73"/>
      <c r="H84" s="73">
        <v>0</v>
      </c>
      <c r="I84" s="75">
        <f t="shared" si="3"/>
        <v>0</v>
      </c>
      <c r="J84" s="73"/>
      <c r="K84" s="73">
        <v>0</v>
      </c>
      <c r="L84" s="74">
        <f t="shared" si="4"/>
        <v>0</v>
      </c>
      <c r="M84" s="74">
        <f t="shared" si="5"/>
        <v>0</v>
      </c>
      <c r="N84" s="74">
        <f t="shared" si="6"/>
        <v>0</v>
      </c>
      <c r="O84" s="74"/>
      <c r="P84" s="73">
        <v>0</v>
      </c>
      <c r="R84" s="74">
        <f t="shared" si="7"/>
        <v>0</v>
      </c>
    </row>
    <row r="85" spans="1:20" ht="15">
      <c r="A85" s="71"/>
      <c r="B85" s="71"/>
      <c r="C85" s="73">
        <f t="shared" si="1"/>
        <v>0</v>
      </c>
      <c r="D85" s="73"/>
      <c r="E85" s="75"/>
      <c r="F85" s="75">
        <f t="shared" si="2"/>
        <v>0</v>
      </c>
      <c r="G85" s="75"/>
      <c r="H85" s="75"/>
      <c r="I85" s="75">
        <f t="shared" si="3"/>
        <v>0</v>
      </c>
      <c r="J85" s="75"/>
      <c r="K85" s="74"/>
      <c r="L85" s="74">
        <f t="shared" si="4"/>
        <v>0</v>
      </c>
      <c r="M85" s="74">
        <f t="shared" si="5"/>
        <v>0</v>
      </c>
      <c r="N85" s="74">
        <f t="shared" si="6"/>
        <v>0</v>
      </c>
      <c r="O85" s="74"/>
      <c r="P85" s="75"/>
      <c r="R85" s="74">
        <f t="shared" si="7"/>
        <v>0</v>
      </c>
    </row>
    <row r="86" spans="1:20" ht="15">
      <c r="A86" s="71" t="s">
        <v>204</v>
      </c>
      <c r="B86" s="71" t="s">
        <v>205</v>
      </c>
      <c r="C86" s="73">
        <f t="shared" si="1"/>
        <v>320722.78000000003</v>
      </c>
      <c r="D86" s="73"/>
      <c r="E86" s="75">
        <v>1231320.78</v>
      </c>
      <c r="F86" s="75">
        <f t="shared" si="2"/>
        <v>910598</v>
      </c>
      <c r="G86" s="75"/>
      <c r="H86" s="75">
        <v>1787993.67</v>
      </c>
      <c r="I86" s="75">
        <f t="shared" si="3"/>
        <v>556672.8899999999</v>
      </c>
      <c r="J86" s="75"/>
      <c r="K86" s="74">
        <v>2698591.67</v>
      </c>
      <c r="L86" s="74">
        <f t="shared" si="4"/>
        <v>910598</v>
      </c>
      <c r="M86" s="74">
        <f t="shared" si="5"/>
        <v>2698591.67</v>
      </c>
      <c r="N86" s="74">
        <f t="shared" si="6"/>
        <v>0</v>
      </c>
      <c r="O86" s="74"/>
      <c r="P86" s="75">
        <v>674648</v>
      </c>
      <c r="R86" s="74">
        <f t="shared" si="7"/>
        <v>3052516.8899999997</v>
      </c>
    </row>
    <row r="87" spans="1:20" ht="15">
      <c r="A87" s="71" t="s">
        <v>206</v>
      </c>
      <c r="B87" s="71" t="s">
        <v>207</v>
      </c>
      <c r="C87" s="73">
        <f t="shared" si="1"/>
        <v>-1753968</v>
      </c>
      <c r="D87" s="73"/>
      <c r="E87" s="75">
        <v>-139500</v>
      </c>
      <c r="F87" s="75">
        <f t="shared" si="2"/>
        <v>1614468</v>
      </c>
      <c r="G87" s="75"/>
      <c r="H87" s="75">
        <v>-2834000</v>
      </c>
      <c r="I87" s="75">
        <f t="shared" si="3"/>
        <v>-2694500</v>
      </c>
      <c r="J87" s="75"/>
      <c r="K87" s="74">
        <v>-1219532</v>
      </c>
      <c r="L87" s="74">
        <f>K87-H87</f>
        <v>1614468</v>
      </c>
      <c r="M87" s="74">
        <f>L87+I87+F87+C87</f>
        <v>-1219532</v>
      </c>
      <c r="N87" s="74">
        <f t="shared" si="6"/>
        <v>0</v>
      </c>
      <c r="O87" s="74"/>
      <c r="P87" s="75">
        <v>-393684</v>
      </c>
      <c r="R87" s="82">
        <f>M87+P87</f>
        <v>-1613216</v>
      </c>
    </row>
    <row r="88" spans="1:20" ht="15">
      <c r="A88" s="71" t="s">
        <v>384</v>
      </c>
      <c r="B88" s="71"/>
      <c r="C88" s="73">
        <f t="shared" si="1"/>
        <v>-1433245.22</v>
      </c>
      <c r="D88" s="73"/>
      <c r="E88" s="73">
        <v>1091820.78</v>
      </c>
      <c r="F88" s="75">
        <f t="shared" si="2"/>
        <v>2525066</v>
      </c>
      <c r="G88" s="73"/>
      <c r="H88" s="73">
        <v>-1046006.3300000001</v>
      </c>
      <c r="I88" s="75">
        <f t="shared" si="3"/>
        <v>-2137827.1100000003</v>
      </c>
      <c r="J88" s="73"/>
      <c r="K88" s="73">
        <v>1479059.67</v>
      </c>
      <c r="L88" s="74">
        <f t="shared" si="4"/>
        <v>2525066</v>
      </c>
      <c r="M88" s="74">
        <f t="shared" si="5"/>
        <v>1479059.6699999997</v>
      </c>
      <c r="N88" s="74">
        <f t="shared" si="6"/>
        <v>0</v>
      </c>
      <c r="O88" s="74"/>
      <c r="P88" s="73">
        <v>280964</v>
      </c>
      <c r="R88" s="74">
        <f t="shared" si="7"/>
        <v>3193268.8899999997</v>
      </c>
    </row>
    <row r="89" spans="1:20" ht="15">
      <c r="A89" s="71"/>
      <c r="B89" s="71"/>
      <c r="C89" s="73">
        <f t="shared" si="1"/>
        <v>0</v>
      </c>
      <c r="D89" s="73"/>
      <c r="E89" s="75"/>
      <c r="F89" s="75">
        <f t="shared" si="2"/>
        <v>0</v>
      </c>
      <c r="G89" s="75"/>
      <c r="H89" s="75"/>
      <c r="I89" s="75">
        <f t="shared" si="3"/>
        <v>0</v>
      </c>
      <c r="J89" s="75"/>
      <c r="K89" s="74"/>
      <c r="L89" s="74">
        <f t="shared" si="4"/>
        <v>0</v>
      </c>
      <c r="M89" s="74">
        <f t="shared" si="5"/>
        <v>0</v>
      </c>
      <c r="N89" s="74">
        <f t="shared" si="6"/>
        <v>0</v>
      </c>
      <c r="O89" s="74"/>
      <c r="P89" s="75"/>
      <c r="R89" s="74">
        <f t="shared" si="7"/>
        <v>0</v>
      </c>
    </row>
    <row r="90" spans="1:20" ht="15">
      <c r="A90" s="71" t="s">
        <v>210</v>
      </c>
      <c r="B90" s="71" t="s">
        <v>211</v>
      </c>
      <c r="C90" s="73">
        <f t="shared" si="1"/>
        <v>-12721.670000000042</v>
      </c>
      <c r="D90" s="73"/>
      <c r="E90" s="75">
        <v>375194.12</v>
      </c>
      <c r="F90" s="75">
        <f t="shared" si="2"/>
        <v>387915.79000000004</v>
      </c>
      <c r="G90" s="75"/>
      <c r="H90" s="75">
        <v>627422.75</v>
      </c>
      <c r="I90" s="75">
        <f t="shared" si="3"/>
        <v>252228.63</v>
      </c>
      <c r="J90" s="75"/>
      <c r="K90" s="74">
        <v>1015338.54</v>
      </c>
      <c r="L90" s="74">
        <f t="shared" si="4"/>
        <v>387915.79000000004</v>
      </c>
      <c r="M90" s="74">
        <f t="shared" si="5"/>
        <v>1015338.54</v>
      </c>
      <c r="N90" s="74">
        <f t="shared" si="6"/>
        <v>0</v>
      </c>
      <c r="O90" s="74"/>
      <c r="P90" s="75">
        <v>292677.44</v>
      </c>
      <c r="R90" s="74">
        <f t="shared" si="7"/>
        <v>1320737.6499999999</v>
      </c>
      <c r="S90" s="74"/>
      <c r="T90" s="74"/>
    </row>
    <row r="91" spans="1:20" ht="15">
      <c r="A91" s="71" t="s">
        <v>212</v>
      </c>
      <c r="B91" s="71" t="s">
        <v>213</v>
      </c>
      <c r="C91" s="73">
        <f t="shared" si="1"/>
        <v>0</v>
      </c>
      <c r="D91" s="73"/>
      <c r="E91" s="75">
        <v>0</v>
      </c>
      <c r="F91" s="75">
        <f t="shared" si="2"/>
        <v>0</v>
      </c>
      <c r="G91" s="75"/>
      <c r="H91" s="75">
        <v>568182</v>
      </c>
      <c r="I91" s="75">
        <f t="shared" si="3"/>
        <v>568182</v>
      </c>
      <c r="J91" s="75"/>
      <c r="K91" s="74">
        <v>568182</v>
      </c>
      <c r="L91" s="74">
        <f t="shared" si="4"/>
        <v>0</v>
      </c>
      <c r="M91" s="74">
        <f t="shared" si="5"/>
        <v>568182</v>
      </c>
      <c r="N91" s="74">
        <f t="shared" si="6"/>
        <v>0</v>
      </c>
      <c r="O91" s="74"/>
      <c r="P91" s="75">
        <v>0</v>
      </c>
      <c r="R91" s="74">
        <f t="shared" si="7"/>
        <v>568182</v>
      </c>
    </row>
    <row r="92" spans="1:20" ht="15">
      <c r="A92" s="71" t="s">
        <v>214</v>
      </c>
      <c r="B92" s="71" t="s">
        <v>215</v>
      </c>
      <c r="C92" s="73">
        <f t="shared" si="1"/>
        <v>317786.92</v>
      </c>
      <c r="D92" s="73"/>
      <c r="E92" s="75">
        <v>318063.49</v>
      </c>
      <c r="F92" s="75">
        <f t="shared" si="2"/>
        <v>276.57000000000698</v>
      </c>
      <c r="G92" s="75"/>
      <c r="H92" s="75">
        <v>315859.52999999997</v>
      </c>
      <c r="I92" s="75">
        <f t="shared" si="3"/>
        <v>-2203.960000000021</v>
      </c>
      <c r="J92" s="75"/>
      <c r="K92" s="74">
        <v>316136.09999999998</v>
      </c>
      <c r="L92" s="74">
        <f>K92-H92</f>
        <v>276.57000000000698</v>
      </c>
      <c r="M92" s="74">
        <f t="shared" si="5"/>
        <v>316136.09999999998</v>
      </c>
      <c r="N92" s="74">
        <f t="shared" si="6"/>
        <v>0</v>
      </c>
      <c r="O92" s="74"/>
      <c r="P92" s="75">
        <v>98935.71</v>
      </c>
      <c r="R92" s="74">
        <f>P92+L92+I92+F92</f>
        <v>97284.89</v>
      </c>
    </row>
    <row r="93" spans="1:20" ht="15">
      <c r="A93" s="71" t="s">
        <v>216</v>
      </c>
      <c r="B93" s="71" t="s">
        <v>217</v>
      </c>
      <c r="C93" s="73">
        <f t="shared" si="1"/>
        <v>210601.81</v>
      </c>
      <c r="D93" s="73"/>
      <c r="E93" s="75">
        <v>327503.56</v>
      </c>
      <c r="F93" s="75">
        <f t="shared" si="2"/>
        <v>116901.75</v>
      </c>
      <c r="G93" s="75"/>
      <c r="H93" s="75">
        <v>513878.88</v>
      </c>
      <c r="I93" s="75">
        <f t="shared" si="3"/>
        <v>186375.32</v>
      </c>
      <c r="J93" s="75"/>
      <c r="K93" s="74">
        <v>630780.63</v>
      </c>
      <c r="L93" s="74">
        <f t="shared" si="4"/>
        <v>116901.75</v>
      </c>
      <c r="M93" s="74">
        <f t="shared" si="5"/>
        <v>630780.63</v>
      </c>
      <c r="N93" s="74">
        <f t="shared" si="6"/>
        <v>0</v>
      </c>
      <c r="O93" s="74"/>
      <c r="P93" s="75">
        <v>132836.79999999999</v>
      </c>
      <c r="R93" s="74">
        <f t="shared" si="7"/>
        <v>553015.62</v>
      </c>
    </row>
    <row r="94" spans="1:20" ht="15">
      <c r="A94" s="71" t="s">
        <v>218</v>
      </c>
      <c r="B94" s="71" t="s">
        <v>219</v>
      </c>
      <c r="C94" s="73">
        <f t="shared" si="1"/>
        <v>755.3900000000001</v>
      </c>
      <c r="D94" s="73"/>
      <c r="E94" s="75">
        <v>890.96</v>
      </c>
      <c r="F94" s="75">
        <f t="shared" si="2"/>
        <v>135.56999999999994</v>
      </c>
      <c r="G94" s="75"/>
      <c r="H94" s="75">
        <v>890.96</v>
      </c>
      <c r="I94" s="75">
        <f t="shared" si="3"/>
        <v>0</v>
      </c>
      <c r="J94" s="75"/>
      <c r="K94" s="74">
        <v>1026.53</v>
      </c>
      <c r="L94" s="74">
        <f t="shared" si="4"/>
        <v>135.56999999999994</v>
      </c>
      <c r="M94" s="74">
        <f t="shared" si="5"/>
        <v>1026.53</v>
      </c>
      <c r="N94" s="74">
        <f t="shared" si="6"/>
        <v>0</v>
      </c>
      <c r="O94" s="74"/>
      <c r="P94" s="75">
        <v>29292.78</v>
      </c>
      <c r="R94" s="74">
        <f>P94+L94+I94+F94</f>
        <v>29563.919999999998</v>
      </c>
    </row>
    <row r="95" spans="1:20" ht="15">
      <c r="A95" s="71" t="s">
        <v>220</v>
      </c>
      <c r="B95" s="71" t="s">
        <v>221</v>
      </c>
      <c r="C95" s="73">
        <f t="shared" si="1"/>
        <v>91866.47</v>
      </c>
      <c r="D95" s="73"/>
      <c r="E95" s="75">
        <v>93200.16</v>
      </c>
      <c r="F95" s="75">
        <f t="shared" si="2"/>
        <v>1333.6900000000023</v>
      </c>
      <c r="G95" s="75"/>
      <c r="H95" s="75">
        <v>115137.13</v>
      </c>
      <c r="I95" s="75">
        <f t="shared" si="3"/>
        <v>21936.97</v>
      </c>
      <c r="J95" s="75"/>
      <c r="K95" s="74">
        <v>116470.82</v>
      </c>
      <c r="L95" s="74">
        <f t="shared" si="4"/>
        <v>1333.6900000000023</v>
      </c>
      <c r="M95" s="74">
        <f t="shared" si="5"/>
        <v>116470.82</v>
      </c>
      <c r="N95" s="74">
        <f t="shared" si="6"/>
        <v>0</v>
      </c>
      <c r="O95" s="74"/>
      <c r="P95" s="75">
        <v>3342.08</v>
      </c>
      <c r="R95" s="74">
        <f t="shared" si="7"/>
        <v>27946.430000000008</v>
      </c>
    </row>
    <row r="96" spans="1:20" ht="15">
      <c r="A96" s="71" t="s">
        <v>385</v>
      </c>
      <c r="B96" s="71" t="s">
        <v>386</v>
      </c>
      <c r="C96" s="73">
        <f t="shared" si="1"/>
        <v>0</v>
      </c>
      <c r="D96" s="73"/>
      <c r="E96" s="75">
        <v>0</v>
      </c>
      <c r="F96" s="75">
        <f t="shared" si="2"/>
        <v>0</v>
      </c>
      <c r="G96" s="75"/>
      <c r="H96" s="75">
        <v>0</v>
      </c>
      <c r="I96" s="75">
        <f t="shared" si="3"/>
        <v>0</v>
      </c>
      <c r="J96" s="75"/>
      <c r="K96" s="74">
        <v>0</v>
      </c>
      <c r="L96" s="74">
        <f t="shared" si="4"/>
        <v>0</v>
      </c>
      <c r="M96" s="74">
        <f t="shared" si="5"/>
        <v>0</v>
      </c>
      <c r="N96" s="74">
        <f t="shared" si="6"/>
        <v>0</v>
      </c>
      <c r="O96" s="74"/>
      <c r="P96" s="75">
        <v>-1.35</v>
      </c>
      <c r="R96" s="74">
        <f t="shared" si="7"/>
        <v>-1.35</v>
      </c>
    </row>
    <row r="97" spans="1:18" ht="15">
      <c r="A97" s="71" t="s">
        <v>198</v>
      </c>
      <c r="B97" s="71" t="s">
        <v>199</v>
      </c>
      <c r="C97" s="73">
        <f t="shared" si="1"/>
        <v>114268.15999999997</v>
      </c>
      <c r="D97" s="73"/>
      <c r="E97" s="75">
        <v>233501.76</v>
      </c>
      <c r="F97" s="75">
        <f t="shared" si="2"/>
        <v>119233.60000000003</v>
      </c>
      <c r="G97" s="75"/>
      <c r="H97" s="75">
        <v>353150.56</v>
      </c>
      <c r="I97" s="75">
        <f t="shared" si="3"/>
        <v>119648.79999999999</v>
      </c>
      <c r="J97" s="75"/>
      <c r="K97" s="74">
        <v>472384.16000000003</v>
      </c>
      <c r="L97" s="74">
        <f t="shared" si="4"/>
        <v>119233.60000000003</v>
      </c>
      <c r="M97" s="74">
        <f t="shared" si="5"/>
        <v>472384.16000000003</v>
      </c>
      <c r="N97" s="74">
        <f t="shared" si="6"/>
        <v>0</v>
      </c>
      <c r="O97" s="74"/>
      <c r="P97" s="75">
        <v>119182.54</v>
      </c>
      <c r="R97" s="74">
        <f t="shared" si="7"/>
        <v>477298.54000000004</v>
      </c>
    </row>
    <row r="98" spans="1:18" ht="15">
      <c r="A98" s="71" t="s">
        <v>387</v>
      </c>
      <c r="B98" s="71"/>
      <c r="C98" s="73">
        <f t="shared" si="1"/>
        <v>722557.08000000007</v>
      </c>
      <c r="D98" s="73"/>
      <c r="E98" s="73">
        <v>1348354.0499999998</v>
      </c>
      <c r="F98" s="75">
        <f t="shared" si="2"/>
        <v>625796.96999999974</v>
      </c>
      <c r="G98" s="73"/>
      <c r="H98" s="73">
        <v>2494521.81</v>
      </c>
      <c r="I98" s="75">
        <f t="shared" si="3"/>
        <v>1146167.7600000002</v>
      </c>
      <c r="J98" s="73"/>
      <c r="K98" s="73">
        <v>3120318.78</v>
      </c>
      <c r="L98" s="74">
        <f t="shared" si="4"/>
        <v>625796.96999999974</v>
      </c>
      <c r="M98" s="74">
        <f t="shared" si="5"/>
        <v>3120318.78</v>
      </c>
      <c r="N98" s="74">
        <f t="shared" si="6"/>
        <v>0</v>
      </c>
      <c r="O98" s="74"/>
      <c r="P98" s="73">
        <v>676266</v>
      </c>
      <c r="Q98" s="74"/>
      <c r="R98" s="74">
        <f t="shared" si="7"/>
        <v>3074027.6999999997</v>
      </c>
    </row>
    <row r="99" spans="1:18" ht="15">
      <c r="A99" s="71"/>
      <c r="B99" s="71"/>
      <c r="C99" s="73">
        <f t="shared" si="1"/>
        <v>0</v>
      </c>
      <c r="D99" s="73"/>
      <c r="E99" s="75"/>
      <c r="F99" s="75">
        <f t="shared" si="2"/>
        <v>0</v>
      </c>
      <c r="G99" s="75"/>
      <c r="H99" s="75"/>
      <c r="I99" s="75">
        <f t="shared" si="3"/>
        <v>0</v>
      </c>
      <c r="J99" s="75"/>
      <c r="K99" s="74"/>
      <c r="L99" s="74">
        <f t="shared" si="4"/>
        <v>0</v>
      </c>
      <c r="M99" s="74">
        <f t="shared" si="5"/>
        <v>0</v>
      </c>
      <c r="N99" s="74">
        <f t="shared" si="6"/>
        <v>0</v>
      </c>
      <c r="O99" s="74"/>
      <c r="P99" s="75"/>
      <c r="R99" s="74">
        <f t="shared" si="7"/>
        <v>0</v>
      </c>
    </row>
    <row r="100" spans="1:18" ht="15">
      <c r="A100" s="71" t="s">
        <v>226</v>
      </c>
      <c r="B100" s="71" t="s">
        <v>227</v>
      </c>
      <c r="C100" s="73">
        <f t="shared" si="1"/>
        <v>554.30000000000007</v>
      </c>
      <c r="D100" s="73"/>
      <c r="E100" s="75">
        <v>575.05000000000007</v>
      </c>
      <c r="F100" s="75">
        <f t="shared" si="2"/>
        <v>20.75</v>
      </c>
      <c r="G100" s="75"/>
      <c r="H100" s="75">
        <v>1194.48</v>
      </c>
      <c r="I100" s="75">
        <f t="shared" si="3"/>
        <v>619.42999999999995</v>
      </c>
      <c r="J100" s="75"/>
      <c r="K100" s="74">
        <v>1215.23</v>
      </c>
      <c r="L100" s="74">
        <f t="shared" si="4"/>
        <v>20.75</v>
      </c>
      <c r="M100" s="74">
        <f t="shared" si="5"/>
        <v>1215.23</v>
      </c>
      <c r="N100" s="74">
        <f t="shared" si="6"/>
        <v>0</v>
      </c>
      <c r="O100" s="74"/>
      <c r="P100" s="75">
        <v>13168.22</v>
      </c>
      <c r="R100" s="74">
        <f t="shared" si="7"/>
        <v>13829.15</v>
      </c>
    </row>
    <row r="101" spans="1:18" ht="15">
      <c r="A101" s="71" t="s">
        <v>388</v>
      </c>
      <c r="B101" s="71"/>
      <c r="C101" s="73">
        <f t="shared" si="1"/>
        <v>554.30000000000007</v>
      </c>
      <c r="D101" s="73"/>
      <c r="E101" s="73">
        <v>575.05000000000007</v>
      </c>
      <c r="F101" s="75">
        <f t="shared" si="2"/>
        <v>20.75</v>
      </c>
      <c r="G101" s="73"/>
      <c r="H101" s="73">
        <v>1194.48</v>
      </c>
      <c r="I101" s="75">
        <f t="shared" si="3"/>
        <v>619.42999999999995</v>
      </c>
      <c r="J101" s="73"/>
      <c r="K101" s="73">
        <v>1215.23</v>
      </c>
      <c r="L101" s="74">
        <f t="shared" si="4"/>
        <v>20.75</v>
      </c>
      <c r="M101" s="74">
        <f t="shared" si="5"/>
        <v>1215.23</v>
      </c>
      <c r="N101" s="74">
        <f t="shared" si="6"/>
        <v>0</v>
      </c>
      <c r="O101" s="74"/>
      <c r="P101" s="73">
        <v>13168.22</v>
      </c>
      <c r="R101" s="74">
        <f t="shared" si="7"/>
        <v>13829.15</v>
      </c>
    </row>
    <row r="102" spans="1:18" ht="15">
      <c r="A102" s="71"/>
      <c r="B102" s="71"/>
      <c r="C102" s="73">
        <f t="shared" si="1"/>
        <v>0</v>
      </c>
      <c r="D102" s="73"/>
      <c r="E102" s="75"/>
      <c r="F102" s="75">
        <f t="shared" si="2"/>
        <v>0</v>
      </c>
      <c r="G102" s="75"/>
      <c r="H102" s="75"/>
      <c r="I102" s="75">
        <f t="shared" si="3"/>
        <v>0</v>
      </c>
      <c r="J102" s="75"/>
      <c r="K102" s="74"/>
      <c r="L102" s="74">
        <f t="shared" si="4"/>
        <v>0</v>
      </c>
      <c r="M102" s="74">
        <f t="shared" si="5"/>
        <v>0</v>
      </c>
      <c r="N102" s="74">
        <f t="shared" si="6"/>
        <v>0</v>
      </c>
      <c r="O102" s="74"/>
      <c r="P102" s="75"/>
      <c r="R102" s="74">
        <f t="shared" si="7"/>
        <v>0</v>
      </c>
    </row>
    <row r="103" spans="1:18" ht="15">
      <c r="A103" s="71" t="s">
        <v>230</v>
      </c>
      <c r="B103" s="71" t="s">
        <v>231</v>
      </c>
      <c r="C103" s="73">
        <f t="shared" si="1"/>
        <v>41376.69</v>
      </c>
      <c r="D103" s="73"/>
      <c r="E103" s="75">
        <v>41479.54</v>
      </c>
      <c r="F103" s="75">
        <f t="shared" si="2"/>
        <v>102.84999999999854</v>
      </c>
      <c r="G103" s="75"/>
      <c r="H103" s="75">
        <v>45269.91</v>
      </c>
      <c r="I103" s="75">
        <f t="shared" si="3"/>
        <v>3790.3700000000026</v>
      </c>
      <c r="J103" s="75"/>
      <c r="K103" s="74">
        <v>45372.76</v>
      </c>
      <c r="L103" s="74">
        <f t="shared" si="4"/>
        <v>102.84999999999854</v>
      </c>
      <c r="M103" s="74">
        <f t="shared" si="5"/>
        <v>45372.76</v>
      </c>
      <c r="N103" s="74">
        <f t="shared" si="6"/>
        <v>0</v>
      </c>
      <c r="O103" s="74"/>
      <c r="P103" s="75">
        <v>450</v>
      </c>
      <c r="R103" s="74">
        <f t="shared" si="7"/>
        <v>4446.07</v>
      </c>
    </row>
    <row r="104" spans="1:18" ht="15">
      <c r="A104" s="71" t="s">
        <v>389</v>
      </c>
      <c r="B104" s="71"/>
      <c r="C104" s="73">
        <f t="shared" si="1"/>
        <v>41376.69</v>
      </c>
      <c r="D104" s="73"/>
      <c r="E104" s="73">
        <v>41479.54</v>
      </c>
      <c r="F104" s="75">
        <f t="shared" si="2"/>
        <v>102.84999999999854</v>
      </c>
      <c r="G104" s="73"/>
      <c r="H104" s="73">
        <v>45269.91</v>
      </c>
      <c r="I104" s="75">
        <f t="shared" si="3"/>
        <v>3790.3700000000026</v>
      </c>
      <c r="J104" s="73"/>
      <c r="K104" s="73">
        <v>45372.76</v>
      </c>
      <c r="L104" s="74">
        <f t="shared" si="4"/>
        <v>102.84999999999854</v>
      </c>
      <c r="M104" s="74">
        <f t="shared" si="5"/>
        <v>45372.76</v>
      </c>
      <c r="N104" s="74">
        <f t="shared" si="6"/>
        <v>0</v>
      </c>
      <c r="O104" s="74"/>
      <c r="P104" s="73">
        <v>450</v>
      </c>
      <c r="R104" s="74">
        <f t="shared" si="7"/>
        <v>4446.07</v>
      </c>
    </row>
    <row r="105" spans="1:18" ht="15">
      <c r="A105" s="71"/>
      <c r="B105" s="71"/>
      <c r="C105" s="73">
        <f t="shared" si="1"/>
        <v>0</v>
      </c>
      <c r="D105" s="73"/>
      <c r="E105" s="75"/>
      <c r="F105" s="75">
        <f t="shared" si="2"/>
        <v>0</v>
      </c>
      <c r="G105" s="75"/>
      <c r="H105" s="75"/>
      <c r="I105" s="75">
        <f t="shared" si="3"/>
        <v>0</v>
      </c>
      <c r="J105" s="75"/>
      <c r="K105" s="74"/>
      <c r="L105" s="74">
        <f t="shared" si="4"/>
        <v>0</v>
      </c>
      <c r="M105" s="74">
        <f t="shared" si="5"/>
        <v>0</v>
      </c>
      <c r="N105" s="74">
        <f t="shared" si="6"/>
        <v>0</v>
      </c>
      <c r="O105" s="74"/>
      <c r="P105" s="75"/>
      <c r="R105" s="74">
        <f t="shared" si="7"/>
        <v>0</v>
      </c>
    </row>
    <row r="106" spans="1:18" ht="15">
      <c r="A106" s="71" t="s">
        <v>234</v>
      </c>
      <c r="B106" s="71" t="s">
        <v>235</v>
      </c>
      <c r="C106" s="73">
        <f t="shared" si="1"/>
        <v>57729.259999999995</v>
      </c>
      <c r="D106" s="73"/>
      <c r="E106" s="75">
        <v>70171.39</v>
      </c>
      <c r="F106" s="75">
        <f t="shared" si="2"/>
        <v>12442.130000000005</v>
      </c>
      <c r="G106" s="75"/>
      <c r="H106" s="75">
        <v>72586.86</v>
      </c>
      <c r="I106" s="75">
        <f t="shared" si="3"/>
        <v>2415.4700000000012</v>
      </c>
      <c r="J106" s="75"/>
      <c r="K106" s="74">
        <v>85028.99</v>
      </c>
      <c r="L106" s="74">
        <f t="shared" si="4"/>
        <v>12442.130000000005</v>
      </c>
      <c r="M106" s="74">
        <f t="shared" si="5"/>
        <v>85028.99</v>
      </c>
      <c r="N106" s="74">
        <f t="shared" si="6"/>
        <v>0</v>
      </c>
      <c r="O106" s="74"/>
      <c r="P106" s="75">
        <v>17390.79</v>
      </c>
      <c r="R106" s="74">
        <f t="shared" si="7"/>
        <v>44690.520000000011</v>
      </c>
    </row>
    <row r="107" spans="1:18" ht="15">
      <c r="A107" s="71" t="s">
        <v>236</v>
      </c>
      <c r="B107" s="71" t="s">
        <v>237</v>
      </c>
      <c r="C107" s="73">
        <f t="shared" si="1"/>
        <v>0</v>
      </c>
      <c r="D107" s="73"/>
      <c r="E107" s="75">
        <v>5445</v>
      </c>
      <c r="F107" s="75">
        <f t="shared" si="2"/>
        <v>5445</v>
      </c>
      <c r="G107" s="75"/>
      <c r="H107" s="75">
        <v>10890</v>
      </c>
      <c r="I107" s="75">
        <f t="shared" si="3"/>
        <v>5445</v>
      </c>
      <c r="J107" s="75"/>
      <c r="K107" s="74">
        <v>16335</v>
      </c>
      <c r="L107" s="74">
        <f t="shared" si="4"/>
        <v>5445</v>
      </c>
      <c r="M107" s="74">
        <f t="shared" si="5"/>
        <v>16335</v>
      </c>
      <c r="N107" s="74">
        <f t="shared" si="6"/>
        <v>0</v>
      </c>
      <c r="O107" s="74"/>
      <c r="P107" s="75">
        <v>4500</v>
      </c>
      <c r="R107" s="74">
        <f t="shared" si="7"/>
        <v>20835</v>
      </c>
    </row>
    <row r="108" spans="1:18" ht="15">
      <c r="A108" s="71" t="s">
        <v>238</v>
      </c>
      <c r="B108" s="71" t="s">
        <v>239</v>
      </c>
      <c r="C108" s="73">
        <f t="shared" si="1"/>
        <v>47553.61</v>
      </c>
      <c r="D108" s="73"/>
      <c r="E108" s="75">
        <v>66268.05</v>
      </c>
      <c r="F108" s="75">
        <f t="shared" si="2"/>
        <v>18714.440000000002</v>
      </c>
      <c r="G108" s="75"/>
      <c r="H108" s="75">
        <v>103893.83</v>
      </c>
      <c r="I108" s="75">
        <f t="shared" si="3"/>
        <v>37625.78</v>
      </c>
      <c r="J108" s="75"/>
      <c r="K108" s="74">
        <v>122608.27</v>
      </c>
      <c r="L108" s="74">
        <f t="shared" si="4"/>
        <v>18714.440000000002</v>
      </c>
      <c r="M108" s="74">
        <f t="shared" si="5"/>
        <v>122608.27</v>
      </c>
      <c r="N108" s="74">
        <f t="shared" si="6"/>
        <v>0</v>
      </c>
      <c r="O108" s="74"/>
      <c r="P108" s="75">
        <v>7500</v>
      </c>
      <c r="R108" s="74">
        <f>P108+L108+I108+F108</f>
        <v>82554.66</v>
      </c>
    </row>
    <row r="109" spans="1:18" ht="15">
      <c r="A109" s="71" t="s">
        <v>240</v>
      </c>
      <c r="B109" s="71" t="s">
        <v>241</v>
      </c>
      <c r="C109" s="73">
        <f t="shared" si="1"/>
        <v>0</v>
      </c>
      <c r="D109" s="73"/>
      <c r="E109" s="75">
        <v>1210</v>
      </c>
      <c r="F109" s="75">
        <f t="shared" si="2"/>
        <v>1210</v>
      </c>
      <c r="G109" s="75"/>
      <c r="H109" s="75">
        <v>2420</v>
      </c>
      <c r="I109" s="75">
        <f t="shared" si="3"/>
        <v>1210</v>
      </c>
      <c r="J109" s="75"/>
      <c r="K109" s="74">
        <v>3630</v>
      </c>
      <c r="L109" s="74">
        <f t="shared" si="4"/>
        <v>1210</v>
      </c>
      <c r="M109" s="74">
        <f t="shared" si="5"/>
        <v>3630</v>
      </c>
      <c r="N109" s="74">
        <f t="shared" si="6"/>
        <v>0</v>
      </c>
      <c r="O109" s="74"/>
      <c r="P109" s="75">
        <v>1210</v>
      </c>
      <c r="R109" s="74">
        <f>P109+L109+I109+F109</f>
        <v>4840</v>
      </c>
    </row>
    <row r="110" spans="1:18" ht="15">
      <c r="A110" s="71" t="s">
        <v>242</v>
      </c>
      <c r="B110" s="71" t="s">
        <v>243</v>
      </c>
      <c r="C110" s="73">
        <f t="shared" si="1"/>
        <v>-27336.770000000011</v>
      </c>
      <c r="D110" s="73"/>
      <c r="E110" s="75">
        <v>29277.71</v>
      </c>
      <c r="F110" s="75">
        <f t="shared" si="2"/>
        <v>56614.48000000001</v>
      </c>
      <c r="G110" s="75"/>
      <c r="H110" s="75">
        <v>100812.93</v>
      </c>
      <c r="I110" s="75">
        <f t="shared" si="3"/>
        <v>71535.22</v>
      </c>
      <c r="J110" s="75"/>
      <c r="K110" s="74">
        <v>157427.41</v>
      </c>
      <c r="L110" s="74">
        <f t="shared" si="4"/>
        <v>56614.48000000001</v>
      </c>
      <c r="M110" s="74">
        <f t="shared" si="5"/>
        <v>157427.41</v>
      </c>
      <c r="N110" s="74">
        <f t="shared" si="6"/>
        <v>0</v>
      </c>
      <c r="O110" s="74"/>
      <c r="P110" s="75">
        <v>68270.429999999993</v>
      </c>
      <c r="R110" s="74">
        <f t="shared" si="7"/>
        <v>253034.61000000002</v>
      </c>
    </row>
    <row r="111" spans="1:18" ht="15">
      <c r="A111" s="71" t="s">
        <v>244</v>
      </c>
      <c r="B111" s="71" t="s">
        <v>245</v>
      </c>
      <c r="C111" s="73">
        <f t="shared" si="1"/>
        <v>20345.199999999997</v>
      </c>
      <c r="D111" s="73"/>
      <c r="E111" s="75">
        <v>33609.46</v>
      </c>
      <c r="F111" s="75">
        <f t="shared" si="2"/>
        <v>13264.260000000002</v>
      </c>
      <c r="G111" s="75"/>
      <c r="H111" s="75">
        <v>37173.800000000003</v>
      </c>
      <c r="I111" s="75">
        <f t="shared" si="3"/>
        <v>3564.3400000000038</v>
      </c>
      <c r="J111" s="75"/>
      <c r="K111" s="74">
        <v>50438.060000000005</v>
      </c>
      <c r="L111" s="74">
        <f t="shared" si="4"/>
        <v>13264.260000000002</v>
      </c>
      <c r="M111" s="74">
        <f t="shared" si="5"/>
        <v>50438.060000000005</v>
      </c>
      <c r="N111" s="74">
        <f t="shared" si="6"/>
        <v>0</v>
      </c>
      <c r="O111" s="74"/>
      <c r="P111" s="75">
        <v>23194.35</v>
      </c>
      <c r="R111" s="74">
        <f t="shared" si="7"/>
        <v>53287.210000000006</v>
      </c>
    </row>
    <row r="112" spans="1:18" ht="15">
      <c r="A112" s="76">
        <v>4311800</v>
      </c>
      <c r="B112" s="71" t="s">
        <v>390</v>
      </c>
      <c r="C112" s="73">
        <f t="shared" si="1"/>
        <v>154794.92000000001</v>
      </c>
      <c r="D112" s="73"/>
      <c r="E112" s="75">
        <v>160239.92000000001</v>
      </c>
      <c r="F112" s="75">
        <f t="shared" si="2"/>
        <v>5445</v>
      </c>
      <c r="G112" s="75"/>
      <c r="H112" s="75">
        <v>160239.92000000001</v>
      </c>
      <c r="I112" s="75">
        <f t="shared" si="3"/>
        <v>0</v>
      </c>
      <c r="J112" s="75"/>
      <c r="K112" s="74">
        <v>165684.92000000001</v>
      </c>
      <c r="L112" s="74">
        <f t="shared" si="4"/>
        <v>5445</v>
      </c>
      <c r="M112" s="74">
        <f t="shared" si="5"/>
        <v>165684.92000000001</v>
      </c>
      <c r="N112" s="74">
        <f t="shared" si="6"/>
        <v>0</v>
      </c>
      <c r="O112" s="74"/>
      <c r="P112" s="75">
        <v>0</v>
      </c>
      <c r="R112" s="74">
        <f t="shared" si="7"/>
        <v>10890</v>
      </c>
    </row>
    <row r="113" spans="1:18" ht="15">
      <c r="A113" s="71" t="s">
        <v>248</v>
      </c>
      <c r="B113" s="71" t="s">
        <v>249</v>
      </c>
      <c r="C113" s="73">
        <f t="shared" si="1"/>
        <v>980.45000000000027</v>
      </c>
      <c r="D113" s="73"/>
      <c r="E113" s="75">
        <v>2316.35</v>
      </c>
      <c r="F113" s="75">
        <f t="shared" si="2"/>
        <v>1335.8999999999996</v>
      </c>
      <c r="G113" s="75"/>
      <c r="H113" s="75">
        <v>3704.33</v>
      </c>
      <c r="I113" s="75">
        <f t="shared" si="3"/>
        <v>1387.98</v>
      </c>
      <c r="J113" s="75"/>
      <c r="K113" s="74">
        <v>5040.2299999999996</v>
      </c>
      <c r="L113" s="74">
        <f t="shared" si="4"/>
        <v>1335.8999999999996</v>
      </c>
      <c r="M113" s="74">
        <f t="shared" si="5"/>
        <v>5040.2299999999996</v>
      </c>
      <c r="N113" s="74">
        <f t="shared" si="6"/>
        <v>0</v>
      </c>
      <c r="O113" s="74"/>
      <c r="P113" s="75">
        <v>1306.23</v>
      </c>
      <c r="R113" s="74">
        <f t="shared" si="7"/>
        <v>5366.0099999999993</v>
      </c>
    </row>
    <row r="114" spans="1:18" ht="15">
      <c r="A114" s="71" t="s">
        <v>250</v>
      </c>
      <c r="B114" s="71" t="s">
        <v>251</v>
      </c>
      <c r="C114" s="73">
        <f t="shared" si="1"/>
        <v>-109.03</v>
      </c>
      <c r="D114" s="73"/>
      <c r="E114" s="75">
        <v>-109.03</v>
      </c>
      <c r="F114" s="75">
        <f t="shared" si="2"/>
        <v>0</v>
      </c>
      <c r="G114" s="75"/>
      <c r="H114" s="75">
        <v>-24.33</v>
      </c>
      <c r="I114" s="75">
        <f t="shared" si="3"/>
        <v>84.7</v>
      </c>
      <c r="J114" s="75"/>
      <c r="K114" s="74">
        <v>-24.33</v>
      </c>
      <c r="L114" s="74">
        <f t="shared" si="4"/>
        <v>0</v>
      </c>
      <c r="M114" s="74">
        <f t="shared" si="5"/>
        <v>-24.33</v>
      </c>
      <c r="N114" s="74">
        <f t="shared" si="6"/>
        <v>0</v>
      </c>
      <c r="O114" s="74"/>
      <c r="P114" s="75">
        <v>2679.54</v>
      </c>
      <c r="R114" s="74">
        <f t="shared" si="7"/>
        <v>2764.24</v>
      </c>
    </row>
    <row r="115" spans="1:18" ht="15">
      <c r="A115" s="71" t="s">
        <v>391</v>
      </c>
      <c r="B115" s="71"/>
      <c r="C115" s="73">
        <f t="shared" si="1"/>
        <v>253957.6399999999</v>
      </c>
      <c r="D115" s="73"/>
      <c r="E115" s="73">
        <v>368428.85</v>
      </c>
      <c r="F115" s="75">
        <f t="shared" si="2"/>
        <v>114471.21000000008</v>
      </c>
      <c r="G115" s="73"/>
      <c r="H115" s="73">
        <v>491697.33999999997</v>
      </c>
      <c r="I115" s="75">
        <f t="shared" si="3"/>
        <v>123268.48999999999</v>
      </c>
      <c r="J115" s="73"/>
      <c r="K115" s="73">
        <v>606168.55000000005</v>
      </c>
      <c r="L115" s="74">
        <f t="shared" si="4"/>
        <v>114471.21000000008</v>
      </c>
      <c r="M115" s="74">
        <f t="shared" si="5"/>
        <v>606168.55000000005</v>
      </c>
      <c r="N115" s="74">
        <f t="shared" si="6"/>
        <v>0</v>
      </c>
      <c r="O115" s="74"/>
      <c r="P115" s="73">
        <v>126051.34</v>
      </c>
      <c r="R115" s="74">
        <f t="shared" si="7"/>
        <v>478262.25000000012</v>
      </c>
    </row>
    <row r="116" spans="1:18" ht="15">
      <c r="A116" s="71"/>
      <c r="B116" s="71"/>
      <c r="C116" s="73">
        <f t="shared" si="1"/>
        <v>0</v>
      </c>
      <c r="D116" s="73"/>
      <c r="E116" s="75"/>
      <c r="F116" s="75">
        <f t="shared" si="2"/>
        <v>0</v>
      </c>
      <c r="G116" s="75"/>
      <c r="H116" s="75"/>
      <c r="I116" s="75">
        <f t="shared" si="3"/>
        <v>0</v>
      </c>
      <c r="J116" s="75"/>
      <c r="K116" s="74"/>
      <c r="L116" s="74">
        <f t="shared" si="4"/>
        <v>0</v>
      </c>
      <c r="M116" s="74">
        <f t="shared" si="5"/>
        <v>0</v>
      </c>
      <c r="N116" s="74">
        <f t="shared" si="6"/>
        <v>0</v>
      </c>
      <c r="O116" s="74"/>
      <c r="P116" s="75"/>
      <c r="R116" s="74">
        <f t="shared" si="7"/>
        <v>0</v>
      </c>
    </row>
    <row r="117" spans="1:18" ht="15">
      <c r="A117" s="76">
        <v>4623000</v>
      </c>
      <c r="B117" s="71" t="s">
        <v>392</v>
      </c>
      <c r="C117" s="73">
        <f t="shared" si="1"/>
        <v>832383.46</v>
      </c>
      <c r="D117" s="73"/>
      <c r="E117" s="75">
        <v>832383.46</v>
      </c>
      <c r="F117" s="75">
        <f t="shared" si="2"/>
        <v>0</v>
      </c>
      <c r="G117" s="75"/>
      <c r="H117" s="75">
        <v>832383.46</v>
      </c>
      <c r="I117" s="75">
        <f t="shared" si="3"/>
        <v>0</v>
      </c>
      <c r="J117" s="75"/>
      <c r="K117" s="74">
        <v>832383.46</v>
      </c>
      <c r="L117" s="74">
        <f t="shared" si="4"/>
        <v>0</v>
      </c>
      <c r="M117" s="74">
        <f t="shared" si="5"/>
        <v>832383.46</v>
      </c>
      <c r="N117" s="74">
        <f t="shared" si="6"/>
        <v>0</v>
      </c>
      <c r="O117" s="74"/>
      <c r="P117" s="75">
        <v>0</v>
      </c>
      <c r="R117" s="74">
        <f t="shared" si="7"/>
        <v>0</v>
      </c>
    </row>
    <row r="118" spans="1:18" ht="15">
      <c r="A118" s="71" t="s">
        <v>260</v>
      </c>
      <c r="B118" s="71" t="s">
        <v>261</v>
      </c>
      <c r="C118" s="73">
        <f t="shared" si="1"/>
        <v>847524.3899999999</v>
      </c>
      <c r="D118" s="73"/>
      <c r="E118" s="75">
        <v>1393166.67</v>
      </c>
      <c r="F118" s="75">
        <f t="shared" si="2"/>
        <v>545642.28</v>
      </c>
      <c r="G118" s="75"/>
      <c r="H118" s="75">
        <v>1931986.2</v>
      </c>
      <c r="I118" s="75">
        <f t="shared" si="3"/>
        <v>538819.53</v>
      </c>
      <c r="J118" s="75"/>
      <c r="K118" s="74">
        <v>2477628.48</v>
      </c>
      <c r="L118" s="74">
        <f t="shared" si="4"/>
        <v>545642.28</v>
      </c>
      <c r="M118" s="74">
        <f t="shared" si="5"/>
        <v>2477628.48</v>
      </c>
      <c r="N118" s="74">
        <f t="shared" si="6"/>
        <v>0</v>
      </c>
      <c r="O118" s="74"/>
      <c r="P118" s="75">
        <v>503883.39</v>
      </c>
      <c r="R118" s="74">
        <f t="shared" si="7"/>
        <v>2133987.48</v>
      </c>
    </row>
    <row r="119" spans="1:18" ht="15">
      <c r="A119" s="76">
        <v>4628001</v>
      </c>
      <c r="B119" s="71" t="s">
        <v>263</v>
      </c>
      <c r="C119" s="73">
        <f t="shared" si="1"/>
        <v>872526.94</v>
      </c>
      <c r="D119" s="73"/>
      <c r="E119" s="75">
        <v>872526.94</v>
      </c>
      <c r="F119" s="75">
        <f t="shared" si="2"/>
        <v>0</v>
      </c>
      <c r="G119" s="75"/>
      <c r="H119" s="75">
        <v>872526.94</v>
      </c>
      <c r="I119" s="75">
        <f t="shared" si="3"/>
        <v>0</v>
      </c>
      <c r="J119" s="75"/>
      <c r="K119" s="74">
        <v>872526.94</v>
      </c>
      <c r="L119" s="74">
        <f t="shared" si="4"/>
        <v>0</v>
      </c>
      <c r="M119" s="74">
        <f t="shared" si="5"/>
        <v>872526.94</v>
      </c>
      <c r="N119" s="74">
        <f t="shared" si="6"/>
        <v>0</v>
      </c>
      <c r="O119" s="74"/>
      <c r="P119" s="75">
        <v>0</v>
      </c>
      <c r="R119" s="74">
        <f t="shared" si="7"/>
        <v>0</v>
      </c>
    </row>
    <row r="120" spans="1:18" ht="15">
      <c r="A120" s="76">
        <v>4630000</v>
      </c>
      <c r="B120" s="71" t="s">
        <v>265</v>
      </c>
      <c r="C120" s="73">
        <f t="shared" si="1"/>
        <v>18603</v>
      </c>
      <c r="D120" s="73"/>
      <c r="E120" s="75">
        <v>18603</v>
      </c>
      <c r="F120" s="75">
        <f t="shared" si="2"/>
        <v>0</v>
      </c>
      <c r="G120" s="75"/>
      <c r="H120" s="75">
        <v>18603</v>
      </c>
      <c r="I120" s="75">
        <f t="shared" si="3"/>
        <v>0</v>
      </c>
      <c r="J120" s="75"/>
      <c r="K120" s="74">
        <v>18603</v>
      </c>
      <c r="L120" s="74">
        <f t="shared" si="4"/>
        <v>0</v>
      </c>
      <c r="M120" s="74">
        <f t="shared" si="5"/>
        <v>18603</v>
      </c>
      <c r="N120" s="74">
        <f t="shared" si="6"/>
        <v>0</v>
      </c>
      <c r="O120" s="74"/>
      <c r="P120" s="75">
        <v>0</v>
      </c>
      <c r="R120" s="74">
        <f t="shared" si="7"/>
        <v>0</v>
      </c>
    </row>
    <row r="121" spans="1:18" ht="15">
      <c r="A121" s="71" t="s">
        <v>266</v>
      </c>
      <c r="B121" s="71" t="s">
        <v>267</v>
      </c>
      <c r="C121" s="73">
        <f t="shared" si="1"/>
        <v>-1011.429999999993</v>
      </c>
      <c r="D121" s="73"/>
      <c r="E121" s="75">
        <v>112789.44</v>
      </c>
      <c r="F121" s="75">
        <f t="shared" si="2"/>
        <v>113800.87</v>
      </c>
      <c r="G121" s="75"/>
      <c r="H121" s="75">
        <v>223655.64</v>
      </c>
      <c r="I121" s="75">
        <f t="shared" si="3"/>
        <v>110866.20000000001</v>
      </c>
      <c r="J121" s="75"/>
      <c r="K121" s="74">
        <v>337456.51</v>
      </c>
      <c r="L121" s="74">
        <f t="shared" si="4"/>
        <v>113800.87</v>
      </c>
      <c r="M121" s="74">
        <f t="shared" si="5"/>
        <v>337456.51</v>
      </c>
      <c r="N121" s="74">
        <f t="shared" si="6"/>
        <v>0</v>
      </c>
      <c r="O121" s="74"/>
      <c r="P121" s="75">
        <v>105862.7</v>
      </c>
      <c r="R121" s="74">
        <f t="shared" si="7"/>
        <v>444330.64</v>
      </c>
    </row>
    <row r="122" spans="1:18" ht="15">
      <c r="A122" s="71" t="s">
        <v>393</v>
      </c>
      <c r="B122" s="71"/>
      <c r="C122" s="73">
        <f t="shared" si="1"/>
        <v>2570026.3600000003</v>
      </c>
      <c r="D122" s="73"/>
      <c r="E122" s="73">
        <v>3229469.51</v>
      </c>
      <c r="F122" s="75">
        <f t="shared" si="2"/>
        <v>659443.14999999944</v>
      </c>
      <c r="G122" s="73"/>
      <c r="H122" s="73">
        <v>3879155.24</v>
      </c>
      <c r="I122" s="75">
        <f t="shared" si="3"/>
        <v>649685.73000000045</v>
      </c>
      <c r="J122" s="73"/>
      <c r="K122" s="73">
        <v>4538598.3899999997</v>
      </c>
      <c r="L122" s="74">
        <f t="shared" si="4"/>
        <v>659443.14999999944</v>
      </c>
      <c r="M122" s="74">
        <f t="shared" si="5"/>
        <v>4538598.3899999997</v>
      </c>
      <c r="N122" s="74">
        <f t="shared" si="6"/>
        <v>0</v>
      </c>
      <c r="O122" s="74"/>
      <c r="P122" s="73">
        <v>609746.09</v>
      </c>
      <c r="R122" s="74">
        <f t="shared" si="7"/>
        <v>2578318.1199999992</v>
      </c>
    </row>
    <row r="123" spans="1:18" ht="15">
      <c r="A123" s="71"/>
      <c r="B123" s="71"/>
      <c r="C123" s="73">
        <f t="shared" si="1"/>
        <v>0</v>
      </c>
      <c r="D123" s="73"/>
      <c r="E123" s="75"/>
      <c r="F123" s="75">
        <f t="shared" si="2"/>
        <v>0</v>
      </c>
      <c r="G123" s="75"/>
      <c r="H123" s="75"/>
      <c r="I123" s="75">
        <f t="shared" si="3"/>
        <v>0</v>
      </c>
      <c r="J123" s="75"/>
      <c r="K123" s="74"/>
      <c r="L123" s="74">
        <f t="shared" si="4"/>
        <v>0</v>
      </c>
      <c r="M123" s="74">
        <f t="shared" si="5"/>
        <v>0</v>
      </c>
      <c r="N123" s="74">
        <f t="shared" si="6"/>
        <v>0</v>
      </c>
      <c r="O123" s="74"/>
      <c r="P123" s="75"/>
      <c r="R123" s="74">
        <f t="shared" si="7"/>
        <v>0</v>
      </c>
    </row>
    <row r="124" spans="1:18" ht="15">
      <c r="A124" s="76">
        <v>9500000</v>
      </c>
      <c r="B124" s="71" t="s">
        <v>394</v>
      </c>
      <c r="C124" s="73">
        <f t="shared" si="1"/>
        <v>0</v>
      </c>
      <c r="D124" s="73"/>
      <c r="E124" s="75">
        <v>0</v>
      </c>
      <c r="F124" s="75">
        <f t="shared" si="2"/>
        <v>0</v>
      </c>
      <c r="G124" s="75"/>
      <c r="H124" s="75">
        <v>0</v>
      </c>
      <c r="I124" s="75">
        <f t="shared" si="3"/>
        <v>0</v>
      </c>
      <c r="J124" s="75"/>
      <c r="K124" s="74">
        <v>0</v>
      </c>
      <c r="L124" s="74">
        <f t="shared" si="4"/>
        <v>0</v>
      </c>
      <c r="M124" s="74">
        <f t="shared" si="5"/>
        <v>0</v>
      </c>
      <c r="N124" s="74">
        <f t="shared" si="6"/>
        <v>0</v>
      </c>
      <c r="O124" s="74"/>
      <c r="P124" s="75">
        <v>0</v>
      </c>
      <c r="R124" s="74">
        <f t="shared" si="7"/>
        <v>0</v>
      </c>
    </row>
    <row r="125" spans="1:18" ht="15">
      <c r="A125" s="71" t="s">
        <v>272</v>
      </c>
      <c r="B125" s="71" t="s">
        <v>273</v>
      </c>
      <c r="C125" s="73">
        <f t="shared" si="1"/>
        <v>514356</v>
      </c>
      <c r="D125" s="73"/>
      <c r="E125" s="75">
        <v>118044</v>
      </c>
      <c r="F125" s="75">
        <f t="shared" si="2"/>
        <v>-396312</v>
      </c>
      <c r="G125" s="75"/>
      <c r="H125" s="75">
        <v>-21124.22</v>
      </c>
      <c r="I125" s="75">
        <f t="shared" si="3"/>
        <v>-139168.22</v>
      </c>
      <c r="J125" s="75"/>
      <c r="K125" s="74">
        <v>-417436.22</v>
      </c>
      <c r="L125" s="74">
        <f t="shared" si="4"/>
        <v>-396312</v>
      </c>
      <c r="M125" s="74">
        <f t="shared" si="5"/>
        <v>-417436.22</v>
      </c>
      <c r="N125" s="74">
        <f t="shared" si="6"/>
        <v>0</v>
      </c>
      <c r="O125" s="74"/>
      <c r="P125" s="75">
        <v>-168662</v>
      </c>
      <c r="R125" s="74">
        <f t="shared" si="7"/>
        <v>-1100454.22</v>
      </c>
    </row>
    <row r="126" spans="1:18" ht="15">
      <c r="A126" s="71" t="s">
        <v>366</v>
      </c>
      <c r="B126" s="71"/>
      <c r="C126" s="73">
        <f t="shared" si="1"/>
        <v>514356</v>
      </c>
      <c r="D126" s="73"/>
      <c r="E126" s="73">
        <v>118044</v>
      </c>
      <c r="F126" s="75">
        <f t="shared" si="2"/>
        <v>-396312</v>
      </c>
      <c r="G126" s="73"/>
      <c r="H126" s="73">
        <v>-21124.22</v>
      </c>
      <c r="I126" s="75">
        <f t="shared" si="3"/>
        <v>-139168.22</v>
      </c>
      <c r="J126" s="73"/>
      <c r="K126" s="73">
        <v>-417436.22</v>
      </c>
      <c r="L126" s="74">
        <f t="shared" si="4"/>
        <v>-396312</v>
      </c>
      <c r="M126" s="74">
        <f t="shared" si="5"/>
        <v>-417436.22</v>
      </c>
      <c r="N126" s="74">
        <f t="shared" si="6"/>
        <v>0</v>
      </c>
      <c r="O126" s="74"/>
      <c r="P126" s="73">
        <v>-168662</v>
      </c>
      <c r="R126" s="74">
        <f t="shared" si="7"/>
        <v>-1100454.22</v>
      </c>
    </row>
    <row r="127" spans="1:18">
      <c r="A127" s="71"/>
      <c r="B127" s="71"/>
      <c r="C127" s="73"/>
      <c r="D127" s="73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</row>
    <row r="128" spans="1:18">
      <c r="A128" s="71" t="s">
        <v>395</v>
      </c>
      <c r="B128" s="71"/>
      <c r="C128" s="79"/>
      <c r="D128" s="79"/>
      <c r="E128" s="79">
        <v>782247.39999999991</v>
      </c>
      <c r="F128" s="79"/>
      <c r="G128" s="79"/>
      <c r="H128" s="80">
        <v>-2283958.8000000003</v>
      </c>
      <c r="I128" s="80"/>
      <c r="J128" s="80"/>
      <c r="K128" s="80">
        <v>-1482256</v>
      </c>
      <c r="L128" s="80"/>
      <c r="M128" s="80"/>
      <c r="N128" s="80"/>
      <c r="O128" s="80"/>
      <c r="P128" s="79">
        <v>1181795.6100000001</v>
      </c>
    </row>
    <row r="129" spans="3:4" ht="15">
      <c r="C129" s="81"/>
      <c r="D129" s="81"/>
    </row>
    <row r="130" spans="3:4" ht="15">
      <c r="C130" s="81"/>
      <c r="D130" s="81"/>
    </row>
    <row r="131" spans="3:4" ht="15">
      <c r="C131" s="81"/>
      <c r="D131" s="81"/>
    </row>
    <row r="132" spans="3:4" ht="15">
      <c r="C132" s="81"/>
      <c r="D132" s="81"/>
    </row>
    <row r="133" spans="3:4" ht="15">
      <c r="C133" s="81"/>
      <c r="D133" s="81"/>
    </row>
    <row r="134" spans="3:4" ht="15">
      <c r="C134" s="81"/>
      <c r="D134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topLeftCell="A8" zoomScale="93" zoomScaleNormal="93" workbookViewId="0">
      <selection activeCell="H88" sqref="H88"/>
    </sheetView>
  </sheetViews>
  <sheetFormatPr defaultRowHeight="14.4"/>
  <cols>
    <col min="1" max="1" width="9.109375" style="117" customWidth="1"/>
    <col min="2" max="2" width="63.33203125" style="117" bestFit="1" customWidth="1"/>
    <col min="3" max="3" width="18.5546875" style="117" customWidth="1"/>
    <col min="4" max="4" width="28.44140625" style="117" bestFit="1" customWidth="1"/>
    <col min="5" max="5" width="18.33203125" style="117" bestFit="1" customWidth="1"/>
    <col min="7" max="7" width="12.88671875" bestFit="1" customWidth="1"/>
    <col min="8" max="8" width="9.88671875" bestFit="1" customWidth="1"/>
  </cols>
  <sheetData>
    <row r="1" spans="1:7">
      <c r="C1" s="117" t="s">
        <v>419</v>
      </c>
      <c r="D1" s="117" t="s">
        <v>420</v>
      </c>
      <c r="E1" s="117" t="s">
        <v>416</v>
      </c>
    </row>
    <row r="3" spans="1:7">
      <c r="A3" s="118" t="s">
        <v>16</v>
      </c>
      <c r="C3" s="121">
        <v>0</v>
      </c>
      <c r="D3" s="121">
        <v>0</v>
      </c>
    </row>
    <row r="4" spans="1:7">
      <c r="A4" s="117" t="s">
        <v>21</v>
      </c>
      <c r="B4" s="117" t="s">
        <v>22</v>
      </c>
      <c r="C4" s="121">
        <v>-662362</v>
      </c>
      <c r="D4" s="121">
        <v>-650161</v>
      </c>
      <c r="E4" s="120">
        <v>132164783</v>
      </c>
    </row>
    <row r="5" spans="1:7">
      <c r="A5" s="117" t="s">
        <v>23</v>
      </c>
      <c r="B5" s="117" t="s">
        <v>24</v>
      </c>
      <c r="C5" s="121">
        <v>-651550</v>
      </c>
      <c r="D5" s="121">
        <v>-1011554</v>
      </c>
      <c r="E5" s="120">
        <v>-10634612</v>
      </c>
      <c r="G5" s="127">
        <f>E5+E6+E83</f>
        <v>-7636718</v>
      </c>
    </row>
    <row r="6" spans="1:7">
      <c r="A6" s="117" t="s">
        <v>25</v>
      </c>
      <c r="B6" s="117" t="s">
        <v>26</v>
      </c>
      <c r="C6" s="121">
        <v>41286</v>
      </c>
      <c r="D6" s="121">
        <v>71536</v>
      </c>
      <c r="E6" s="120">
        <v>233092</v>
      </c>
    </row>
    <row r="7" spans="1:7">
      <c r="A7" s="117" t="s">
        <v>351</v>
      </c>
      <c r="C7" s="121">
        <f>SUM(C3:C6)</f>
        <v>-1272626</v>
      </c>
      <c r="D7" s="121">
        <f>SUM(D3:D6)</f>
        <v>-1590179</v>
      </c>
      <c r="E7" s="120">
        <v>121763263</v>
      </c>
    </row>
    <row r="8" spans="1:7">
      <c r="C8" s="121"/>
      <c r="D8" s="121"/>
    </row>
    <row r="9" spans="1:7">
      <c r="A9" s="119">
        <v>1710004</v>
      </c>
      <c r="B9" s="117" t="s">
        <v>410</v>
      </c>
      <c r="C9" s="121"/>
      <c r="D9" s="121"/>
    </row>
    <row r="10" spans="1:7">
      <c r="A10" s="117" t="s">
        <v>35</v>
      </c>
      <c r="B10" s="117" t="s">
        <v>36</v>
      </c>
      <c r="C10" s="121">
        <v>168662</v>
      </c>
      <c r="D10" s="121">
        <v>142232</v>
      </c>
      <c r="E10" s="120">
        <v>2706901</v>
      </c>
    </row>
    <row r="11" spans="1:7">
      <c r="A11" s="117" t="s">
        <v>352</v>
      </c>
      <c r="C11" s="121"/>
      <c r="D11" s="121">
        <f>SUM(D9:D10)</f>
        <v>142232</v>
      </c>
      <c r="E11" s="120">
        <v>2706901</v>
      </c>
    </row>
    <row r="12" spans="1:7">
      <c r="C12" s="121"/>
      <c r="D12" s="121"/>
    </row>
    <row r="13" spans="1:7">
      <c r="A13" s="117" t="s">
        <v>41</v>
      </c>
      <c r="B13" s="117" t="s">
        <v>42</v>
      </c>
      <c r="C13" s="121">
        <v>157585</v>
      </c>
      <c r="D13" s="121">
        <v>66045</v>
      </c>
      <c r="E13" s="120">
        <v>342834</v>
      </c>
    </row>
    <row r="14" spans="1:7">
      <c r="A14" s="117" t="s">
        <v>43</v>
      </c>
      <c r="B14" s="117" t="s">
        <v>44</v>
      </c>
      <c r="C14" s="121">
        <v>0</v>
      </c>
      <c r="D14" s="121">
        <v>0</v>
      </c>
      <c r="E14" s="120">
        <v>-64501</v>
      </c>
      <c r="G14" s="127"/>
    </row>
    <row r="15" spans="1:7">
      <c r="A15" s="117" t="s">
        <v>353</v>
      </c>
      <c r="C15" s="121">
        <f>SUM(C13:C14)</f>
        <v>157585</v>
      </c>
      <c r="D15" s="121">
        <f>SUM(D13:D14)</f>
        <v>66045</v>
      </c>
      <c r="E15" s="120">
        <v>278333</v>
      </c>
    </row>
    <row r="16" spans="1:7">
      <c r="C16" s="121"/>
      <c r="D16" s="121"/>
    </row>
    <row r="17" spans="1:5">
      <c r="A17" s="119">
        <v>2040700</v>
      </c>
      <c r="B17" s="117" t="s">
        <v>54</v>
      </c>
      <c r="C17" s="121">
        <v>0</v>
      </c>
      <c r="D17" s="121">
        <v>0</v>
      </c>
      <c r="E17" s="120">
        <v>15594</v>
      </c>
    </row>
    <row r="18" spans="1:5">
      <c r="A18" s="119">
        <v>2040900</v>
      </c>
      <c r="B18" s="117" t="s">
        <v>56</v>
      </c>
      <c r="C18" s="121">
        <v>0</v>
      </c>
      <c r="D18" s="121">
        <v>0</v>
      </c>
      <c r="E18" s="120">
        <v>737</v>
      </c>
    </row>
    <row r="19" spans="1:5">
      <c r="A19" s="117" t="s">
        <v>407</v>
      </c>
      <c r="C19" s="121">
        <f>SUM(C17:C18)</f>
        <v>0</v>
      </c>
      <c r="D19" s="121">
        <f>SUM(D17:D18)</f>
        <v>0</v>
      </c>
      <c r="E19" s="120">
        <v>16331</v>
      </c>
    </row>
    <row r="20" spans="1:5">
      <c r="C20" s="121"/>
      <c r="D20" s="121"/>
    </row>
    <row r="21" spans="1:5">
      <c r="A21" s="117" t="s">
        <v>47</v>
      </c>
      <c r="B21" s="117" t="s">
        <v>48</v>
      </c>
      <c r="C21" s="121">
        <v>0</v>
      </c>
      <c r="D21" s="121">
        <v>0</v>
      </c>
      <c r="E21" s="120">
        <v>110497</v>
      </c>
    </row>
    <row r="22" spans="1:5">
      <c r="A22" s="117" t="s">
        <v>357</v>
      </c>
      <c r="C22" s="121">
        <f>SUM(C21)</f>
        <v>0</v>
      </c>
      <c r="D22" s="121">
        <f>SUM(D21)</f>
        <v>0</v>
      </c>
      <c r="E22" s="120">
        <v>110497</v>
      </c>
    </row>
    <row r="23" spans="1:5">
      <c r="C23" s="121"/>
      <c r="D23" s="121"/>
    </row>
    <row r="24" spans="1:5">
      <c r="A24" s="117" t="s">
        <v>61</v>
      </c>
      <c r="B24" s="117" t="s">
        <v>62</v>
      </c>
      <c r="C24" s="121">
        <v>672</v>
      </c>
      <c r="D24" s="121">
        <v>-672</v>
      </c>
      <c r="E24" s="120">
        <v>0</v>
      </c>
    </row>
    <row r="25" spans="1:5">
      <c r="A25" s="117" t="s">
        <v>65</v>
      </c>
      <c r="B25" s="117" t="s">
        <v>66</v>
      </c>
      <c r="C25" s="121">
        <v>-447623</v>
      </c>
      <c r="D25" s="121">
        <v>-458920</v>
      </c>
      <c r="E25" s="120">
        <v>80042</v>
      </c>
    </row>
    <row r="26" spans="1:5">
      <c r="A26" s="117" t="s">
        <v>67</v>
      </c>
      <c r="B26" s="117" t="s">
        <v>68</v>
      </c>
      <c r="C26" s="121">
        <v>1359967</v>
      </c>
      <c r="D26" s="121">
        <v>-1368856</v>
      </c>
      <c r="E26" s="120">
        <v>759</v>
      </c>
    </row>
    <row r="27" spans="1:5">
      <c r="A27" s="117" t="s">
        <v>69</v>
      </c>
      <c r="B27" s="117" t="s">
        <v>70</v>
      </c>
      <c r="C27" s="121">
        <v>842838</v>
      </c>
      <c r="D27" s="121">
        <v>-1028597</v>
      </c>
      <c r="E27" s="120">
        <v>6031</v>
      </c>
    </row>
    <row r="28" spans="1:5">
      <c r="A28" s="117" t="s">
        <v>71</v>
      </c>
      <c r="B28" s="117" t="s">
        <v>72</v>
      </c>
      <c r="C28" s="121">
        <v>109815</v>
      </c>
      <c r="D28" s="121">
        <v>44887</v>
      </c>
      <c r="E28" s="120">
        <v>646236</v>
      </c>
    </row>
    <row r="29" spans="1:5">
      <c r="A29" s="117" t="s">
        <v>73</v>
      </c>
      <c r="B29" s="117" t="s">
        <v>74</v>
      </c>
      <c r="C29" s="121">
        <v>84312</v>
      </c>
      <c r="D29" s="121">
        <v>528567</v>
      </c>
      <c r="E29" s="120">
        <v>1028303</v>
      </c>
    </row>
    <row r="30" spans="1:5">
      <c r="A30" s="117" t="s">
        <v>75</v>
      </c>
      <c r="B30" s="117" t="s">
        <v>76</v>
      </c>
      <c r="C30" s="121">
        <v>-217031</v>
      </c>
      <c r="D30" s="121">
        <v>58399</v>
      </c>
      <c r="E30" s="120">
        <v>116539</v>
      </c>
    </row>
    <row r="31" spans="1:5">
      <c r="A31" s="117" t="s">
        <v>358</v>
      </c>
      <c r="C31" s="121">
        <f>SUM(C25:C30)</f>
        <v>1732278</v>
      </c>
      <c r="D31" s="121">
        <f>SUM(D25:D30)</f>
        <v>-2224520</v>
      </c>
      <c r="E31" s="120">
        <v>1877910</v>
      </c>
    </row>
    <row r="32" spans="1:5">
      <c r="C32" s="121"/>
      <c r="D32" s="121"/>
    </row>
    <row r="33" spans="1:5">
      <c r="A33" s="117" t="s">
        <v>81</v>
      </c>
      <c r="B33" s="117" t="s">
        <v>82</v>
      </c>
      <c r="C33" s="121">
        <v>0</v>
      </c>
      <c r="D33" s="121">
        <v>0</v>
      </c>
      <c r="E33" s="120">
        <v>-1</v>
      </c>
    </row>
    <row r="34" spans="1:5">
      <c r="A34" s="117" t="s">
        <v>87</v>
      </c>
      <c r="B34" s="117" t="s">
        <v>88</v>
      </c>
      <c r="C34" s="121">
        <v>0</v>
      </c>
      <c r="D34" s="121">
        <v>0</v>
      </c>
      <c r="E34" s="120">
        <v>-19431219</v>
      </c>
    </row>
    <row r="35" spans="1:5">
      <c r="A35" s="117" t="s">
        <v>93</v>
      </c>
      <c r="B35" s="117" t="s">
        <v>94</v>
      </c>
      <c r="C35" s="121">
        <v>0</v>
      </c>
      <c r="D35" s="121">
        <v>0</v>
      </c>
      <c r="E35" s="120">
        <v>11244686</v>
      </c>
    </row>
    <row r="36" spans="1:5">
      <c r="A36" s="117" t="s">
        <v>95</v>
      </c>
      <c r="B36" s="117" t="s">
        <v>96</v>
      </c>
      <c r="C36" s="121">
        <v>310000</v>
      </c>
      <c r="D36" s="121">
        <v>225000</v>
      </c>
      <c r="E36" s="120">
        <v>8262104</v>
      </c>
    </row>
    <row r="37" spans="1:5">
      <c r="A37" s="117" t="s">
        <v>359</v>
      </c>
      <c r="C37" s="121">
        <f>SUM(C33:C36)</f>
        <v>310000</v>
      </c>
      <c r="D37" s="121">
        <f>SUM(D33:D36)</f>
        <v>225000</v>
      </c>
      <c r="E37" s="120">
        <v>75570</v>
      </c>
    </row>
    <row r="38" spans="1:5">
      <c r="C38" s="121"/>
      <c r="D38" s="121"/>
    </row>
    <row r="39" spans="1:5">
      <c r="A39" s="117" t="s">
        <v>103</v>
      </c>
      <c r="B39" s="117" t="s">
        <v>104</v>
      </c>
      <c r="C39" s="121">
        <v>0</v>
      </c>
      <c r="D39" s="121">
        <v>0</v>
      </c>
      <c r="E39" s="120">
        <v>-130000000</v>
      </c>
    </row>
    <row r="40" spans="1:5">
      <c r="A40" s="117" t="s">
        <v>107</v>
      </c>
      <c r="B40" s="117" t="s">
        <v>108</v>
      </c>
      <c r="C40" s="121">
        <v>0</v>
      </c>
      <c r="D40" s="121">
        <v>4692972</v>
      </c>
      <c r="E40" s="120">
        <v>9763205</v>
      </c>
    </row>
    <row r="41" spans="1:5">
      <c r="A41" s="117">
        <v>1930201</v>
      </c>
      <c r="B41" s="117" t="s">
        <v>110</v>
      </c>
      <c r="C41" s="121">
        <v>306834</v>
      </c>
      <c r="D41" s="121">
        <v>0</v>
      </c>
      <c r="E41" s="120">
        <v>0</v>
      </c>
    </row>
    <row r="42" spans="1:5">
      <c r="A42" s="117" t="s">
        <v>362</v>
      </c>
      <c r="C42" s="121">
        <f>SUM(C39:C41)</f>
        <v>306834</v>
      </c>
      <c r="D42" s="121">
        <f>SUM(D39:D41)</f>
        <v>4692972</v>
      </c>
      <c r="E42" s="120">
        <v>-120236795</v>
      </c>
    </row>
    <row r="43" spans="1:5">
      <c r="C43" s="121"/>
      <c r="D43" s="121"/>
    </row>
    <row r="44" spans="1:5">
      <c r="A44" s="117" t="s">
        <v>121</v>
      </c>
      <c r="B44" s="117" t="s">
        <v>122</v>
      </c>
      <c r="C44" s="121">
        <v>-18824</v>
      </c>
      <c r="D44" s="121">
        <v>27899</v>
      </c>
      <c r="E44" s="120">
        <v>-167794</v>
      </c>
    </row>
    <row r="45" spans="1:5">
      <c r="A45" s="117">
        <v>2730001</v>
      </c>
      <c r="B45" s="117" t="s">
        <v>124</v>
      </c>
      <c r="C45" s="121">
        <v>0</v>
      </c>
      <c r="D45" s="121">
        <v>0</v>
      </c>
      <c r="E45" s="120">
        <v>0</v>
      </c>
    </row>
    <row r="46" spans="1:5">
      <c r="A46" s="117" t="s">
        <v>363</v>
      </c>
      <c r="C46" s="121">
        <f>SUM(C44:C45)</f>
        <v>-18824</v>
      </c>
      <c r="D46" s="121">
        <f>SUM(D44:D45)</f>
        <v>27899</v>
      </c>
      <c r="E46" s="120">
        <v>-167794</v>
      </c>
    </row>
    <row r="47" spans="1:5">
      <c r="C47" s="121"/>
      <c r="D47" s="121"/>
    </row>
    <row r="48" spans="1:5">
      <c r="A48" s="117" t="s">
        <v>364</v>
      </c>
      <c r="B48" s="117" t="s">
        <v>365</v>
      </c>
      <c r="C48" s="121"/>
      <c r="D48" s="121">
        <v>0</v>
      </c>
      <c r="E48" s="120">
        <v>0</v>
      </c>
    </row>
    <row r="49" spans="1:5">
      <c r="A49" s="117" t="s">
        <v>129</v>
      </c>
      <c r="B49" s="117" t="s">
        <v>130</v>
      </c>
      <c r="C49" s="121">
        <v>4150</v>
      </c>
      <c r="D49" s="121">
        <v>9</v>
      </c>
      <c r="E49" s="120">
        <v>-3707</v>
      </c>
    </row>
    <row r="50" spans="1:5">
      <c r="A50" s="117" t="s">
        <v>133</v>
      </c>
      <c r="B50" s="117" t="s">
        <v>134</v>
      </c>
      <c r="C50" s="121">
        <v>0</v>
      </c>
      <c r="D50" s="121">
        <v>-197342</v>
      </c>
      <c r="E50" s="120">
        <v>-528792</v>
      </c>
    </row>
    <row r="51" spans="1:5">
      <c r="A51" s="117" t="s">
        <v>137</v>
      </c>
      <c r="B51" s="117" t="s">
        <v>138</v>
      </c>
      <c r="C51" s="121">
        <v>285682</v>
      </c>
      <c r="D51" s="121">
        <v>-94879</v>
      </c>
      <c r="E51" s="120">
        <v>189758</v>
      </c>
    </row>
    <row r="52" spans="1:5">
      <c r="A52" s="117" t="s">
        <v>366</v>
      </c>
      <c r="C52" s="121">
        <f>SUM(C48:C51)</f>
        <v>289832</v>
      </c>
      <c r="D52" s="121">
        <f>SUM(D48:D51)</f>
        <v>-292212</v>
      </c>
      <c r="E52" s="120">
        <v>-342741</v>
      </c>
    </row>
    <row r="53" spans="1:5">
      <c r="C53" s="121"/>
      <c r="D53" s="121"/>
    </row>
    <row r="54" spans="1:5">
      <c r="A54" s="117" t="s">
        <v>141</v>
      </c>
      <c r="B54" s="117" t="s">
        <v>142</v>
      </c>
      <c r="C54" s="121">
        <v>-11908</v>
      </c>
      <c r="D54" s="121">
        <v>-13448</v>
      </c>
      <c r="E54" s="120">
        <v>-691871</v>
      </c>
    </row>
    <row r="55" spans="1:5">
      <c r="A55" s="117" t="s">
        <v>143</v>
      </c>
      <c r="B55" s="117" t="s">
        <v>144</v>
      </c>
      <c r="C55" s="121">
        <v>0</v>
      </c>
      <c r="D55" s="121">
        <v>0</v>
      </c>
      <c r="E55" s="120">
        <v>-22500</v>
      </c>
    </row>
    <row r="56" spans="1:5">
      <c r="A56" s="117" t="s">
        <v>145</v>
      </c>
      <c r="B56" s="117" t="s">
        <v>146</v>
      </c>
      <c r="C56" s="121">
        <v>-503883</v>
      </c>
      <c r="D56" s="121">
        <v>503883</v>
      </c>
      <c r="E56" s="120">
        <v>0</v>
      </c>
    </row>
    <row r="57" spans="1:5">
      <c r="A57" s="117" t="s">
        <v>367</v>
      </c>
      <c r="B57" s="117" t="s">
        <v>368</v>
      </c>
      <c r="C57" s="121">
        <v>47712</v>
      </c>
      <c r="D57" s="121">
        <v>-15904</v>
      </c>
      <c r="E57" s="120">
        <v>31808</v>
      </c>
    </row>
    <row r="58" spans="1:5">
      <c r="A58" s="117" t="s">
        <v>147</v>
      </c>
      <c r="B58" s="117" t="s">
        <v>148</v>
      </c>
      <c r="C58" s="121">
        <v>8700</v>
      </c>
      <c r="D58" s="121">
        <v>-8500</v>
      </c>
      <c r="E58" s="120">
        <v>0</v>
      </c>
    </row>
    <row r="59" spans="1:5">
      <c r="A59" s="117" t="s">
        <v>149</v>
      </c>
      <c r="B59" s="117" t="s">
        <v>150</v>
      </c>
      <c r="C59" s="121">
        <v>36832</v>
      </c>
      <c r="D59" s="121">
        <v>0</v>
      </c>
      <c r="E59" s="120">
        <v>0</v>
      </c>
    </row>
    <row r="60" spans="1:5">
      <c r="A60" s="117" t="s">
        <v>151</v>
      </c>
      <c r="B60" s="117" t="s">
        <v>152</v>
      </c>
      <c r="C60" s="121">
        <v>675</v>
      </c>
      <c r="D60" s="121">
        <v>0</v>
      </c>
      <c r="E60" s="120">
        <v>0</v>
      </c>
    </row>
    <row r="61" spans="1:5">
      <c r="A61" s="117" t="s">
        <v>153</v>
      </c>
      <c r="B61" s="117" t="s">
        <v>154</v>
      </c>
      <c r="C61" s="121">
        <v>0</v>
      </c>
      <c r="D61" s="121">
        <v>0</v>
      </c>
      <c r="E61" s="120">
        <v>0</v>
      </c>
    </row>
    <row r="62" spans="1:5">
      <c r="A62" s="117" t="s">
        <v>155</v>
      </c>
      <c r="B62" s="117" t="s">
        <v>156</v>
      </c>
      <c r="C62" s="121">
        <v>-39889</v>
      </c>
      <c r="D62" s="121">
        <v>487</v>
      </c>
      <c r="E62" s="120">
        <v>-79560</v>
      </c>
    </row>
    <row r="63" spans="1:5">
      <c r="A63" s="117" t="s">
        <v>157</v>
      </c>
      <c r="B63" s="117" t="s">
        <v>158</v>
      </c>
      <c r="C63" s="121">
        <v>0</v>
      </c>
      <c r="D63" s="121">
        <v>0</v>
      </c>
      <c r="E63" s="120">
        <v>0</v>
      </c>
    </row>
    <row r="64" spans="1:5">
      <c r="A64" s="117" t="s">
        <v>159</v>
      </c>
      <c r="B64" s="117" t="s">
        <v>160</v>
      </c>
      <c r="C64" s="121">
        <v>13168</v>
      </c>
      <c r="D64" s="121">
        <v>0</v>
      </c>
      <c r="E64" s="120">
        <v>0</v>
      </c>
    </row>
    <row r="65" spans="1:5">
      <c r="A65" s="117" t="s">
        <v>161</v>
      </c>
      <c r="B65" s="117" t="s">
        <v>162</v>
      </c>
      <c r="C65" s="121">
        <v>-1384</v>
      </c>
      <c r="D65" s="121">
        <v>1385</v>
      </c>
      <c r="E65" s="120">
        <v>0</v>
      </c>
    </row>
    <row r="66" spans="1:5">
      <c r="A66" s="117" t="s">
        <v>163</v>
      </c>
      <c r="B66" s="117" t="s">
        <v>164</v>
      </c>
      <c r="C66" s="121">
        <v>26143</v>
      </c>
      <c r="D66" s="121">
        <v>5210</v>
      </c>
      <c r="E66" s="120">
        <v>-109418</v>
      </c>
    </row>
    <row r="67" spans="1:5">
      <c r="A67" s="117" t="s">
        <v>165</v>
      </c>
      <c r="B67" s="117" t="s">
        <v>166</v>
      </c>
      <c r="C67" s="121">
        <v>0</v>
      </c>
      <c r="D67" s="121">
        <v>0</v>
      </c>
      <c r="E67" s="120">
        <v>0</v>
      </c>
    </row>
    <row r="68" spans="1:5">
      <c r="A68" s="117" t="s">
        <v>369</v>
      </c>
      <c r="C68" s="121">
        <f>SUM(C54:C67)</f>
        <v>-423834</v>
      </c>
      <c r="D68" s="121">
        <f>SUM(D54:D67)</f>
        <v>473113</v>
      </c>
      <c r="E68" s="120">
        <v>-871541</v>
      </c>
    </row>
    <row r="69" spans="1:5">
      <c r="C69" s="121"/>
      <c r="D69" s="121"/>
      <c r="E69" s="121"/>
    </row>
    <row r="70" spans="1:5">
      <c r="A70" s="118" t="s">
        <v>370</v>
      </c>
      <c r="D70" s="121"/>
      <c r="E70" s="121"/>
    </row>
    <row r="71" spans="1:5">
      <c r="A71" s="117" t="s">
        <v>174</v>
      </c>
      <c r="B71" s="117" t="s">
        <v>175</v>
      </c>
      <c r="C71" s="121">
        <v>-2797626</v>
      </c>
      <c r="D71" s="121">
        <v>-2785968</v>
      </c>
      <c r="E71" s="120">
        <v>-11207630</v>
      </c>
    </row>
    <row r="72" spans="1:5">
      <c r="A72" s="117" t="s">
        <v>176</v>
      </c>
      <c r="B72" s="117" t="s">
        <v>177</v>
      </c>
      <c r="C72" s="121">
        <v>69244</v>
      </c>
      <c r="D72" s="121">
        <v>52029</v>
      </c>
      <c r="E72" s="120">
        <v>289999</v>
      </c>
    </row>
    <row r="73" spans="1:5">
      <c r="A73" s="117" t="s">
        <v>381</v>
      </c>
      <c r="C73" s="121">
        <f>SUM(C71:C72)</f>
        <v>-2728382</v>
      </c>
      <c r="D73" s="121">
        <f>SUM(D71:D72)</f>
        <v>-2733939</v>
      </c>
      <c r="E73" s="120">
        <v>-10917631</v>
      </c>
    </row>
    <row r="74" spans="1:5">
      <c r="C74" s="121"/>
      <c r="D74" s="121"/>
    </row>
    <row r="75" spans="1:5">
      <c r="A75" s="117" t="s">
        <v>182</v>
      </c>
      <c r="B75" s="117" t="s">
        <v>183</v>
      </c>
      <c r="C75" s="121">
        <v>-174608</v>
      </c>
      <c r="D75" s="121">
        <v>-175044</v>
      </c>
      <c r="E75" s="120">
        <v>-670849</v>
      </c>
    </row>
    <row r="76" spans="1:5">
      <c r="A76" s="117" t="s">
        <v>184</v>
      </c>
      <c r="B76" s="117" t="s">
        <v>185</v>
      </c>
      <c r="C76" s="121">
        <v>10050</v>
      </c>
      <c r="D76" s="121">
        <v>8634</v>
      </c>
      <c r="E76" s="120">
        <v>80362</v>
      </c>
    </row>
    <row r="77" spans="1:5">
      <c r="A77" s="117" t="s">
        <v>186</v>
      </c>
      <c r="B77" s="117" t="s">
        <v>187</v>
      </c>
      <c r="C77" s="121">
        <v>173161</v>
      </c>
      <c r="D77" s="121">
        <v>178493</v>
      </c>
      <c r="E77" s="120">
        <v>692047</v>
      </c>
    </row>
    <row r="78" spans="1:5">
      <c r="A78" s="117" t="s">
        <v>382</v>
      </c>
      <c r="C78" s="121">
        <f>SUM(C75:C77)</f>
        <v>8603</v>
      </c>
      <c r="D78" s="121">
        <f>SUM(D75:D77)</f>
        <v>12083</v>
      </c>
      <c r="E78" s="120">
        <v>101560</v>
      </c>
    </row>
    <row r="79" spans="1:5">
      <c r="C79" s="121"/>
      <c r="D79" s="121"/>
    </row>
    <row r="80" spans="1:5">
      <c r="A80" s="119">
        <v>4051400</v>
      </c>
      <c r="B80" s="117" t="s">
        <v>411</v>
      </c>
      <c r="C80" s="121">
        <v>119183</v>
      </c>
      <c r="D80" s="121">
        <v>118277</v>
      </c>
      <c r="E80" s="120">
        <v>476341</v>
      </c>
    </row>
    <row r="81" spans="1:5">
      <c r="A81" s="117" t="s">
        <v>408</v>
      </c>
      <c r="C81" s="121">
        <f>SUM(C80)</f>
        <v>119183</v>
      </c>
      <c r="D81" s="121">
        <f>SUM(D80)</f>
        <v>118277</v>
      </c>
      <c r="E81" s="120">
        <v>476341</v>
      </c>
    </row>
    <row r="82" spans="1:5">
      <c r="C82" s="121"/>
      <c r="D82" s="121"/>
    </row>
    <row r="83" spans="1:5">
      <c r="A83" s="117" t="s">
        <v>204</v>
      </c>
      <c r="B83" s="117" t="s">
        <v>205</v>
      </c>
      <c r="C83" s="121">
        <v>662362</v>
      </c>
      <c r="D83" s="121">
        <v>650161</v>
      </c>
      <c r="E83" s="120">
        <v>2764802</v>
      </c>
    </row>
    <row r="84" spans="1:5">
      <c r="A84" s="117" t="s">
        <v>206</v>
      </c>
      <c r="B84" s="117" t="s">
        <v>207</v>
      </c>
      <c r="C84" s="121">
        <v>-408986</v>
      </c>
      <c r="D84" s="121">
        <v>-899982</v>
      </c>
      <c r="E84" s="120">
        <v>-2592121</v>
      </c>
    </row>
    <row r="85" spans="1:5">
      <c r="A85" s="117" t="s">
        <v>384</v>
      </c>
      <c r="C85" s="121">
        <f>SUM(C83:C84)</f>
        <v>253376</v>
      </c>
      <c r="D85" s="121">
        <f>SUM(D83:D84)</f>
        <v>-249821</v>
      </c>
      <c r="E85" s="120">
        <v>172681</v>
      </c>
    </row>
    <row r="86" spans="1:5">
      <c r="C86" s="121"/>
      <c r="D86" s="121"/>
    </row>
    <row r="87" spans="1:5">
      <c r="A87" s="117" t="s">
        <v>210</v>
      </c>
      <c r="B87" s="117" t="s">
        <v>211</v>
      </c>
      <c r="C87" s="121">
        <v>258876</v>
      </c>
      <c r="D87" s="121">
        <v>364950</v>
      </c>
      <c r="E87" s="120">
        <v>1378679</v>
      </c>
    </row>
    <row r="88" spans="1:5">
      <c r="A88" s="117" t="s">
        <v>212</v>
      </c>
      <c r="B88" s="117" t="s">
        <v>213</v>
      </c>
      <c r="C88" s="121">
        <v>0</v>
      </c>
      <c r="D88" s="121">
        <v>671</v>
      </c>
      <c r="E88" s="120">
        <v>568853</v>
      </c>
    </row>
    <row r="89" spans="1:5">
      <c r="A89" s="117" t="s">
        <v>214</v>
      </c>
      <c r="B89" s="117" t="s">
        <v>215</v>
      </c>
      <c r="C89" s="121">
        <v>97891</v>
      </c>
      <c r="D89" s="121">
        <v>82857</v>
      </c>
      <c r="E89" s="120">
        <v>179948</v>
      </c>
    </row>
    <row r="90" spans="1:5">
      <c r="A90" s="117" t="s">
        <v>216</v>
      </c>
      <c r="B90" s="117" t="s">
        <v>217</v>
      </c>
      <c r="C90" s="121">
        <v>131618</v>
      </c>
      <c r="D90" s="121">
        <v>169899</v>
      </c>
      <c r="E90" s="120">
        <v>577286</v>
      </c>
    </row>
    <row r="91" spans="1:5">
      <c r="A91" s="117" t="s">
        <v>218</v>
      </c>
      <c r="B91" s="117" t="s">
        <v>219</v>
      </c>
      <c r="C91" s="121">
        <v>29293</v>
      </c>
      <c r="D91" s="121">
        <v>41233</v>
      </c>
      <c r="E91" s="120">
        <v>70662</v>
      </c>
    </row>
    <row r="92" spans="1:5">
      <c r="A92" s="117" t="s">
        <v>220</v>
      </c>
      <c r="B92" s="117" t="s">
        <v>221</v>
      </c>
      <c r="C92" s="121">
        <v>3342</v>
      </c>
      <c r="D92" s="121">
        <v>48209</v>
      </c>
      <c r="E92" s="120">
        <v>75164</v>
      </c>
    </row>
    <row r="93" spans="1:5">
      <c r="A93" s="117" t="s">
        <v>385</v>
      </c>
      <c r="B93" s="117" t="s">
        <v>386</v>
      </c>
      <c r="C93" s="121">
        <v>-676</v>
      </c>
      <c r="D93" s="121">
        <v>41592</v>
      </c>
      <c r="E93" s="120">
        <v>42212</v>
      </c>
    </row>
    <row r="94" spans="1:5">
      <c r="A94" s="119">
        <v>4109800</v>
      </c>
      <c r="B94" s="117" t="s">
        <v>412</v>
      </c>
      <c r="C94" s="121">
        <v>0</v>
      </c>
      <c r="D94" s="121">
        <v>39569</v>
      </c>
      <c r="E94" s="125">
        <v>39569</v>
      </c>
    </row>
    <row r="95" spans="1:5">
      <c r="A95" s="117" t="s">
        <v>387</v>
      </c>
      <c r="C95" s="121">
        <f>SUM(C87:C94)</f>
        <v>520344</v>
      </c>
      <c r="D95" s="121">
        <f>SUM(D87:D94)</f>
        <v>788980</v>
      </c>
      <c r="E95" s="120">
        <v>2932373</v>
      </c>
    </row>
    <row r="96" spans="1:5">
      <c r="C96" s="121"/>
      <c r="D96" s="121"/>
    </row>
    <row r="97" spans="1:8">
      <c r="A97" s="117">
        <v>4501200</v>
      </c>
      <c r="B97" s="117" t="s">
        <v>413</v>
      </c>
      <c r="C97" s="121">
        <v>0</v>
      </c>
      <c r="D97" s="121">
        <v>0</v>
      </c>
      <c r="E97" s="120">
        <v>50501</v>
      </c>
    </row>
    <row r="98" spans="1:8">
      <c r="A98" s="117" t="s">
        <v>226</v>
      </c>
      <c r="B98" s="117" t="s">
        <v>227</v>
      </c>
      <c r="C98" s="121">
        <v>0</v>
      </c>
      <c r="D98" s="121">
        <v>-800</v>
      </c>
      <c r="E98" s="120">
        <v>59258</v>
      </c>
    </row>
    <row r="99" spans="1:8">
      <c r="A99" s="117" t="s">
        <v>388</v>
      </c>
      <c r="C99" s="121">
        <f>SUM(C97:C98)</f>
        <v>0</v>
      </c>
      <c r="D99" s="121">
        <f>SUM(D97:D98)</f>
        <v>-800</v>
      </c>
      <c r="E99" s="120">
        <v>109759</v>
      </c>
      <c r="F99" s="126"/>
      <c r="G99" s="127">
        <f>E94+E101+E110+E112+E113+E104</f>
        <v>114029</v>
      </c>
      <c r="H99" s="127">
        <f>E99+G99</f>
        <v>223788</v>
      </c>
    </row>
    <row r="100" spans="1:8">
      <c r="C100" s="121"/>
      <c r="D100" s="121"/>
    </row>
    <row r="101" spans="1:8">
      <c r="A101" s="117" t="s">
        <v>230</v>
      </c>
      <c r="B101" s="117" t="s">
        <v>231</v>
      </c>
      <c r="C101" s="121">
        <v>837</v>
      </c>
      <c r="D101" s="121">
        <v>0</v>
      </c>
      <c r="E101" s="120">
        <v>4933</v>
      </c>
      <c r="F101" s="126"/>
    </row>
    <row r="102" spans="1:8">
      <c r="A102" s="117" t="s">
        <v>389</v>
      </c>
      <c r="C102" s="121">
        <f>SUM(C101)</f>
        <v>837</v>
      </c>
      <c r="D102" s="121">
        <f>SUM(D101)</f>
        <v>0</v>
      </c>
      <c r="E102" s="120">
        <v>4933</v>
      </c>
    </row>
    <row r="103" spans="1:8">
      <c r="C103" s="121"/>
      <c r="D103" s="121"/>
    </row>
    <row r="104" spans="1:8">
      <c r="A104" s="119">
        <v>4310000</v>
      </c>
      <c r="B104" s="117" t="s">
        <v>414</v>
      </c>
      <c r="C104" s="121">
        <v>0</v>
      </c>
      <c r="D104" s="121">
        <v>4385</v>
      </c>
      <c r="E104" s="120">
        <v>4385</v>
      </c>
    </row>
    <row r="105" spans="1:8">
      <c r="A105" s="117" t="s">
        <v>234</v>
      </c>
      <c r="B105" s="117" t="s">
        <v>235</v>
      </c>
      <c r="C105" s="121">
        <v>18526</v>
      </c>
      <c r="D105" s="121">
        <v>28966</v>
      </c>
      <c r="E105" s="120">
        <v>63531</v>
      </c>
    </row>
    <row r="106" spans="1:8">
      <c r="A106" s="117" t="s">
        <v>236</v>
      </c>
      <c r="B106" s="117" t="s">
        <v>237</v>
      </c>
      <c r="C106" s="121">
        <v>5445</v>
      </c>
      <c r="D106" s="121">
        <v>5445</v>
      </c>
      <c r="E106" s="120">
        <v>21780</v>
      </c>
    </row>
    <row r="107" spans="1:8">
      <c r="A107" s="117" t="s">
        <v>238</v>
      </c>
      <c r="B107" s="117" t="s">
        <v>239</v>
      </c>
      <c r="C107" s="121">
        <v>14811</v>
      </c>
      <c r="D107" s="121">
        <v>20153</v>
      </c>
      <c r="E107" s="120">
        <v>91304</v>
      </c>
    </row>
    <row r="108" spans="1:8">
      <c r="A108" s="117" t="s">
        <v>240</v>
      </c>
      <c r="B108" s="117" t="s">
        <v>241</v>
      </c>
      <c r="C108" s="121">
        <v>1384</v>
      </c>
      <c r="D108" s="121">
        <v>1210</v>
      </c>
      <c r="E108" s="120">
        <v>4840</v>
      </c>
    </row>
    <row r="109" spans="1:8">
      <c r="A109" s="117" t="s">
        <v>242</v>
      </c>
      <c r="B109" s="117" t="s">
        <v>243</v>
      </c>
      <c r="C109" s="121">
        <v>66316</v>
      </c>
      <c r="D109" s="121">
        <v>85400</v>
      </c>
      <c r="E109" s="120">
        <v>302643</v>
      </c>
    </row>
    <row r="110" spans="1:8">
      <c r="A110" s="117" t="s">
        <v>244</v>
      </c>
      <c r="B110" s="117" t="s">
        <v>245</v>
      </c>
      <c r="C110" s="121">
        <v>23912</v>
      </c>
      <c r="D110" s="121">
        <v>7816</v>
      </c>
      <c r="E110" s="120">
        <v>60648</v>
      </c>
      <c r="F110" s="126"/>
    </row>
    <row r="111" spans="1:8">
      <c r="A111" s="119">
        <v>4311800</v>
      </c>
      <c r="B111" s="117" t="s">
        <v>247</v>
      </c>
      <c r="C111" s="121">
        <v>0</v>
      </c>
      <c r="D111" s="121">
        <v>0</v>
      </c>
      <c r="E111" s="120">
        <v>5445</v>
      </c>
    </row>
    <row r="112" spans="1:8">
      <c r="A112" s="117" t="s">
        <v>248</v>
      </c>
      <c r="B112" s="117" t="s">
        <v>249</v>
      </c>
      <c r="C112" s="121">
        <v>1306</v>
      </c>
      <c r="D112" s="121">
        <v>1261</v>
      </c>
      <c r="E112" s="120">
        <v>5291</v>
      </c>
      <c r="F112" s="126"/>
    </row>
    <row r="113" spans="1:6">
      <c r="A113" s="117" t="s">
        <v>250</v>
      </c>
      <c r="B113" s="117" t="s">
        <v>251</v>
      </c>
      <c r="C113" s="121">
        <v>2680</v>
      </c>
      <c r="D113" s="121">
        <v>561</v>
      </c>
      <c r="E113" s="120">
        <v>-797</v>
      </c>
      <c r="F113" s="126"/>
    </row>
    <row r="114" spans="1:6">
      <c r="A114" s="117" t="s">
        <v>391</v>
      </c>
      <c r="C114" s="121">
        <f>SUM(C104:C113)</f>
        <v>134380</v>
      </c>
      <c r="D114" s="121">
        <f>SUM(D104:D113)</f>
        <v>155197</v>
      </c>
      <c r="E114" s="120">
        <v>559070</v>
      </c>
    </row>
    <row r="115" spans="1:6">
      <c r="C115" s="121"/>
      <c r="D115" s="121"/>
    </row>
    <row r="116" spans="1:6">
      <c r="A116" s="119">
        <v>4623000</v>
      </c>
      <c r="B116" s="117" t="s">
        <v>415</v>
      </c>
      <c r="C116" s="121">
        <v>0</v>
      </c>
      <c r="D116" s="121">
        <v>0</v>
      </c>
      <c r="E116" s="120">
        <v>0</v>
      </c>
    </row>
    <row r="117" spans="1:6">
      <c r="A117" s="119" t="s">
        <v>260</v>
      </c>
      <c r="B117" s="117" t="s">
        <v>261</v>
      </c>
      <c r="C117" s="121">
        <v>503883</v>
      </c>
      <c r="D117" s="121">
        <v>513800</v>
      </c>
      <c r="E117" s="120">
        <v>2102146</v>
      </c>
    </row>
    <row r="118" spans="1:6">
      <c r="A118" s="119">
        <v>4628001</v>
      </c>
      <c r="B118" s="117" t="s">
        <v>263</v>
      </c>
      <c r="C118" s="121">
        <v>0</v>
      </c>
      <c r="D118" s="121">
        <v>0</v>
      </c>
      <c r="E118" s="120">
        <v>0</v>
      </c>
    </row>
    <row r="119" spans="1:6">
      <c r="A119" s="119">
        <v>4630000</v>
      </c>
      <c r="B119" s="117" t="s">
        <v>265</v>
      </c>
      <c r="C119" s="121">
        <v>0</v>
      </c>
      <c r="D119" s="121">
        <v>0</v>
      </c>
      <c r="E119" s="120">
        <v>0</v>
      </c>
    </row>
    <row r="120" spans="1:6">
      <c r="A120" s="119" t="s">
        <v>266</v>
      </c>
      <c r="B120" s="117" t="s">
        <v>267</v>
      </c>
      <c r="C120" s="121">
        <v>105863</v>
      </c>
      <c r="D120" s="121">
        <v>108774</v>
      </c>
      <c r="E120" s="120">
        <v>439304</v>
      </c>
    </row>
    <row r="121" spans="1:6">
      <c r="A121" s="119" t="s">
        <v>393</v>
      </c>
      <c r="C121" s="121">
        <f>SUM(C116:C120)</f>
        <v>609746</v>
      </c>
      <c r="D121" s="121">
        <f>SUM(D116:D120)</f>
        <v>622574</v>
      </c>
      <c r="E121" s="120">
        <v>2541450</v>
      </c>
    </row>
    <row r="122" spans="1:6">
      <c r="C122" s="121"/>
      <c r="D122" s="121"/>
    </row>
    <row r="123" spans="1:6">
      <c r="A123" s="117" t="s">
        <v>272</v>
      </c>
      <c r="B123" s="117" t="s">
        <v>273</v>
      </c>
      <c r="C123" s="121">
        <v>-168662</v>
      </c>
      <c r="D123" s="121">
        <v>-142232</v>
      </c>
      <c r="E123" s="120">
        <v>-1190471</v>
      </c>
    </row>
    <row r="124" spans="1:6">
      <c r="C124" s="121"/>
      <c r="D124" s="121"/>
    </row>
    <row r="125" spans="1:6">
      <c r="C125" s="121"/>
      <c r="D125" s="121"/>
      <c r="E125" s="121"/>
    </row>
    <row r="126" spans="1:6">
      <c r="A126" s="117" t="s">
        <v>409</v>
      </c>
      <c r="C126" s="120">
        <f>C73+C78+C123+C121+C114+C102+C99+C95+C85+C81</f>
        <v>-1250575</v>
      </c>
      <c r="D126" s="120">
        <f>D73+D78+D123+D121+D114+D102+D99+D95+D85+D81</f>
        <v>-1429681</v>
      </c>
      <c r="E126" s="120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topLeftCell="A73" zoomScale="93" zoomScaleNormal="93" workbookViewId="0">
      <selection activeCell="H88" sqref="H88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0.109375" style="137" bestFit="1" customWidth="1"/>
    <col min="4" max="4" width="22.6640625" style="137" bestFit="1" customWidth="1"/>
    <col min="5" max="5" width="22.44140625" style="137" bestFit="1" customWidth="1"/>
    <col min="6" max="6" width="18.33203125" style="114" bestFit="1" customWidth="1"/>
    <col min="7" max="7" width="5" style="1" customWidth="1"/>
    <col min="8" max="8" width="22.44140625" style="137" customWidth="1"/>
    <col min="9" max="9" width="11.88671875" style="1" bestFit="1" customWidth="1"/>
    <col min="10" max="256" width="9.109375" style="1"/>
    <col min="257" max="257" width="21.109375" style="1" bestFit="1" customWidth="1"/>
    <col min="258" max="258" width="70" style="1" bestFit="1" customWidth="1"/>
    <col min="259" max="259" width="20.109375" style="1" bestFit="1" customWidth="1"/>
    <col min="260" max="260" width="22.6640625" style="1" bestFit="1" customWidth="1"/>
    <col min="261" max="261" width="22.44140625" style="1" bestFit="1" customWidth="1"/>
    <col min="262" max="262" width="18.33203125" style="1" bestFit="1" customWidth="1"/>
    <col min="263" max="263" width="11.88671875" style="1" bestFit="1" customWidth="1"/>
    <col min="264" max="264" width="22.44140625" style="1" customWidth="1"/>
    <col min="265" max="265" width="11.88671875" style="1" bestFit="1" customWidth="1"/>
    <col min="266" max="512" width="9.109375" style="1"/>
    <col min="513" max="513" width="21.109375" style="1" bestFit="1" customWidth="1"/>
    <col min="514" max="514" width="70" style="1" bestFit="1" customWidth="1"/>
    <col min="515" max="515" width="20.109375" style="1" bestFit="1" customWidth="1"/>
    <col min="516" max="516" width="22.6640625" style="1" bestFit="1" customWidth="1"/>
    <col min="517" max="517" width="22.44140625" style="1" bestFit="1" customWidth="1"/>
    <col min="518" max="518" width="18.33203125" style="1" bestFit="1" customWidth="1"/>
    <col min="519" max="519" width="11.88671875" style="1" bestFit="1" customWidth="1"/>
    <col min="520" max="520" width="22.44140625" style="1" customWidth="1"/>
    <col min="521" max="521" width="11.88671875" style="1" bestFit="1" customWidth="1"/>
    <col min="522" max="768" width="9.109375" style="1"/>
    <col min="769" max="769" width="21.109375" style="1" bestFit="1" customWidth="1"/>
    <col min="770" max="770" width="70" style="1" bestFit="1" customWidth="1"/>
    <col min="771" max="771" width="20.109375" style="1" bestFit="1" customWidth="1"/>
    <col min="772" max="772" width="22.6640625" style="1" bestFit="1" customWidth="1"/>
    <col min="773" max="773" width="22.44140625" style="1" bestFit="1" customWidth="1"/>
    <col min="774" max="774" width="18.33203125" style="1" bestFit="1" customWidth="1"/>
    <col min="775" max="775" width="11.88671875" style="1" bestFit="1" customWidth="1"/>
    <col min="776" max="776" width="22.44140625" style="1" customWidth="1"/>
    <col min="777" max="777" width="11.88671875" style="1" bestFit="1" customWidth="1"/>
    <col min="778" max="1024" width="9.109375" style="1"/>
    <col min="1025" max="1025" width="21.109375" style="1" bestFit="1" customWidth="1"/>
    <col min="1026" max="1026" width="70" style="1" bestFit="1" customWidth="1"/>
    <col min="1027" max="1027" width="20.109375" style="1" bestFit="1" customWidth="1"/>
    <col min="1028" max="1028" width="22.6640625" style="1" bestFit="1" customWidth="1"/>
    <col min="1029" max="1029" width="22.44140625" style="1" bestFit="1" customWidth="1"/>
    <col min="1030" max="1030" width="18.33203125" style="1" bestFit="1" customWidth="1"/>
    <col min="1031" max="1031" width="11.88671875" style="1" bestFit="1" customWidth="1"/>
    <col min="1032" max="1032" width="22.44140625" style="1" customWidth="1"/>
    <col min="1033" max="1033" width="11.88671875" style="1" bestFit="1" customWidth="1"/>
    <col min="1034" max="1280" width="9.109375" style="1"/>
    <col min="1281" max="1281" width="21.109375" style="1" bestFit="1" customWidth="1"/>
    <col min="1282" max="1282" width="70" style="1" bestFit="1" customWidth="1"/>
    <col min="1283" max="1283" width="20.109375" style="1" bestFit="1" customWidth="1"/>
    <col min="1284" max="1284" width="22.6640625" style="1" bestFit="1" customWidth="1"/>
    <col min="1285" max="1285" width="22.44140625" style="1" bestFit="1" customWidth="1"/>
    <col min="1286" max="1286" width="18.33203125" style="1" bestFit="1" customWidth="1"/>
    <col min="1287" max="1287" width="11.88671875" style="1" bestFit="1" customWidth="1"/>
    <col min="1288" max="1288" width="22.44140625" style="1" customWidth="1"/>
    <col min="1289" max="1289" width="11.88671875" style="1" bestFit="1" customWidth="1"/>
    <col min="1290" max="1536" width="9.109375" style="1"/>
    <col min="1537" max="1537" width="21.109375" style="1" bestFit="1" customWidth="1"/>
    <col min="1538" max="1538" width="70" style="1" bestFit="1" customWidth="1"/>
    <col min="1539" max="1539" width="20.109375" style="1" bestFit="1" customWidth="1"/>
    <col min="1540" max="1540" width="22.6640625" style="1" bestFit="1" customWidth="1"/>
    <col min="1541" max="1541" width="22.44140625" style="1" bestFit="1" customWidth="1"/>
    <col min="1542" max="1542" width="18.33203125" style="1" bestFit="1" customWidth="1"/>
    <col min="1543" max="1543" width="11.88671875" style="1" bestFit="1" customWidth="1"/>
    <col min="1544" max="1544" width="22.44140625" style="1" customWidth="1"/>
    <col min="1545" max="1545" width="11.88671875" style="1" bestFit="1" customWidth="1"/>
    <col min="1546" max="1792" width="9.109375" style="1"/>
    <col min="1793" max="1793" width="21.109375" style="1" bestFit="1" customWidth="1"/>
    <col min="1794" max="1794" width="70" style="1" bestFit="1" customWidth="1"/>
    <col min="1795" max="1795" width="20.109375" style="1" bestFit="1" customWidth="1"/>
    <col min="1796" max="1796" width="22.6640625" style="1" bestFit="1" customWidth="1"/>
    <col min="1797" max="1797" width="22.44140625" style="1" bestFit="1" customWidth="1"/>
    <col min="1798" max="1798" width="18.33203125" style="1" bestFit="1" customWidth="1"/>
    <col min="1799" max="1799" width="11.88671875" style="1" bestFit="1" customWidth="1"/>
    <col min="1800" max="1800" width="22.44140625" style="1" customWidth="1"/>
    <col min="1801" max="1801" width="11.88671875" style="1" bestFit="1" customWidth="1"/>
    <col min="1802" max="2048" width="9.109375" style="1"/>
    <col min="2049" max="2049" width="21.109375" style="1" bestFit="1" customWidth="1"/>
    <col min="2050" max="2050" width="70" style="1" bestFit="1" customWidth="1"/>
    <col min="2051" max="2051" width="20.109375" style="1" bestFit="1" customWidth="1"/>
    <col min="2052" max="2052" width="22.6640625" style="1" bestFit="1" customWidth="1"/>
    <col min="2053" max="2053" width="22.44140625" style="1" bestFit="1" customWidth="1"/>
    <col min="2054" max="2054" width="18.33203125" style="1" bestFit="1" customWidth="1"/>
    <col min="2055" max="2055" width="11.88671875" style="1" bestFit="1" customWidth="1"/>
    <col min="2056" max="2056" width="22.44140625" style="1" customWidth="1"/>
    <col min="2057" max="2057" width="11.88671875" style="1" bestFit="1" customWidth="1"/>
    <col min="2058" max="2304" width="9.109375" style="1"/>
    <col min="2305" max="2305" width="21.109375" style="1" bestFit="1" customWidth="1"/>
    <col min="2306" max="2306" width="70" style="1" bestFit="1" customWidth="1"/>
    <col min="2307" max="2307" width="20.109375" style="1" bestFit="1" customWidth="1"/>
    <col min="2308" max="2308" width="22.6640625" style="1" bestFit="1" customWidth="1"/>
    <col min="2309" max="2309" width="22.44140625" style="1" bestFit="1" customWidth="1"/>
    <col min="2310" max="2310" width="18.33203125" style="1" bestFit="1" customWidth="1"/>
    <col min="2311" max="2311" width="11.88671875" style="1" bestFit="1" customWidth="1"/>
    <col min="2312" max="2312" width="22.44140625" style="1" customWidth="1"/>
    <col min="2313" max="2313" width="11.88671875" style="1" bestFit="1" customWidth="1"/>
    <col min="2314" max="2560" width="9.109375" style="1"/>
    <col min="2561" max="2561" width="21.109375" style="1" bestFit="1" customWidth="1"/>
    <col min="2562" max="2562" width="70" style="1" bestFit="1" customWidth="1"/>
    <col min="2563" max="2563" width="20.109375" style="1" bestFit="1" customWidth="1"/>
    <col min="2564" max="2564" width="22.6640625" style="1" bestFit="1" customWidth="1"/>
    <col min="2565" max="2565" width="22.44140625" style="1" bestFit="1" customWidth="1"/>
    <col min="2566" max="2566" width="18.33203125" style="1" bestFit="1" customWidth="1"/>
    <col min="2567" max="2567" width="11.88671875" style="1" bestFit="1" customWidth="1"/>
    <col min="2568" max="2568" width="22.44140625" style="1" customWidth="1"/>
    <col min="2569" max="2569" width="11.88671875" style="1" bestFit="1" customWidth="1"/>
    <col min="2570" max="2816" width="9.109375" style="1"/>
    <col min="2817" max="2817" width="21.109375" style="1" bestFit="1" customWidth="1"/>
    <col min="2818" max="2818" width="70" style="1" bestFit="1" customWidth="1"/>
    <col min="2819" max="2819" width="20.109375" style="1" bestFit="1" customWidth="1"/>
    <col min="2820" max="2820" width="22.6640625" style="1" bestFit="1" customWidth="1"/>
    <col min="2821" max="2821" width="22.44140625" style="1" bestFit="1" customWidth="1"/>
    <col min="2822" max="2822" width="18.33203125" style="1" bestFit="1" customWidth="1"/>
    <col min="2823" max="2823" width="11.88671875" style="1" bestFit="1" customWidth="1"/>
    <col min="2824" max="2824" width="22.44140625" style="1" customWidth="1"/>
    <col min="2825" max="2825" width="11.88671875" style="1" bestFit="1" customWidth="1"/>
    <col min="2826" max="3072" width="9.109375" style="1"/>
    <col min="3073" max="3073" width="21.109375" style="1" bestFit="1" customWidth="1"/>
    <col min="3074" max="3074" width="70" style="1" bestFit="1" customWidth="1"/>
    <col min="3075" max="3075" width="20.109375" style="1" bestFit="1" customWidth="1"/>
    <col min="3076" max="3076" width="22.6640625" style="1" bestFit="1" customWidth="1"/>
    <col min="3077" max="3077" width="22.44140625" style="1" bestFit="1" customWidth="1"/>
    <col min="3078" max="3078" width="18.33203125" style="1" bestFit="1" customWidth="1"/>
    <col min="3079" max="3079" width="11.88671875" style="1" bestFit="1" customWidth="1"/>
    <col min="3080" max="3080" width="22.44140625" style="1" customWidth="1"/>
    <col min="3081" max="3081" width="11.88671875" style="1" bestFit="1" customWidth="1"/>
    <col min="3082" max="3328" width="9.109375" style="1"/>
    <col min="3329" max="3329" width="21.109375" style="1" bestFit="1" customWidth="1"/>
    <col min="3330" max="3330" width="70" style="1" bestFit="1" customWidth="1"/>
    <col min="3331" max="3331" width="20.109375" style="1" bestFit="1" customWidth="1"/>
    <col min="3332" max="3332" width="22.6640625" style="1" bestFit="1" customWidth="1"/>
    <col min="3333" max="3333" width="22.44140625" style="1" bestFit="1" customWidth="1"/>
    <col min="3334" max="3334" width="18.33203125" style="1" bestFit="1" customWidth="1"/>
    <col min="3335" max="3335" width="11.88671875" style="1" bestFit="1" customWidth="1"/>
    <col min="3336" max="3336" width="22.44140625" style="1" customWidth="1"/>
    <col min="3337" max="3337" width="11.88671875" style="1" bestFit="1" customWidth="1"/>
    <col min="3338" max="3584" width="9.109375" style="1"/>
    <col min="3585" max="3585" width="21.109375" style="1" bestFit="1" customWidth="1"/>
    <col min="3586" max="3586" width="70" style="1" bestFit="1" customWidth="1"/>
    <col min="3587" max="3587" width="20.109375" style="1" bestFit="1" customWidth="1"/>
    <col min="3588" max="3588" width="22.6640625" style="1" bestFit="1" customWidth="1"/>
    <col min="3589" max="3589" width="22.44140625" style="1" bestFit="1" customWidth="1"/>
    <col min="3590" max="3590" width="18.33203125" style="1" bestFit="1" customWidth="1"/>
    <col min="3591" max="3591" width="11.88671875" style="1" bestFit="1" customWidth="1"/>
    <col min="3592" max="3592" width="22.44140625" style="1" customWidth="1"/>
    <col min="3593" max="3593" width="11.88671875" style="1" bestFit="1" customWidth="1"/>
    <col min="3594" max="3840" width="9.109375" style="1"/>
    <col min="3841" max="3841" width="21.109375" style="1" bestFit="1" customWidth="1"/>
    <col min="3842" max="3842" width="70" style="1" bestFit="1" customWidth="1"/>
    <col min="3843" max="3843" width="20.109375" style="1" bestFit="1" customWidth="1"/>
    <col min="3844" max="3844" width="22.6640625" style="1" bestFit="1" customWidth="1"/>
    <col min="3845" max="3845" width="22.44140625" style="1" bestFit="1" customWidth="1"/>
    <col min="3846" max="3846" width="18.33203125" style="1" bestFit="1" customWidth="1"/>
    <col min="3847" max="3847" width="11.88671875" style="1" bestFit="1" customWidth="1"/>
    <col min="3848" max="3848" width="22.44140625" style="1" customWidth="1"/>
    <col min="3849" max="3849" width="11.88671875" style="1" bestFit="1" customWidth="1"/>
    <col min="3850" max="4096" width="9.109375" style="1"/>
    <col min="4097" max="4097" width="21.109375" style="1" bestFit="1" customWidth="1"/>
    <col min="4098" max="4098" width="70" style="1" bestFit="1" customWidth="1"/>
    <col min="4099" max="4099" width="20.109375" style="1" bestFit="1" customWidth="1"/>
    <col min="4100" max="4100" width="22.6640625" style="1" bestFit="1" customWidth="1"/>
    <col min="4101" max="4101" width="22.44140625" style="1" bestFit="1" customWidth="1"/>
    <col min="4102" max="4102" width="18.33203125" style="1" bestFit="1" customWidth="1"/>
    <col min="4103" max="4103" width="11.88671875" style="1" bestFit="1" customWidth="1"/>
    <col min="4104" max="4104" width="22.44140625" style="1" customWidth="1"/>
    <col min="4105" max="4105" width="11.88671875" style="1" bestFit="1" customWidth="1"/>
    <col min="4106" max="4352" width="9.109375" style="1"/>
    <col min="4353" max="4353" width="21.109375" style="1" bestFit="1" customWidth="1"/>
    <col min="4354" max="4354" width="70" style="1" bestFit="1" customWidth="1"/>
    <col min="4355" max="4355" width="20.109375" style="1" bestFit="1" customWidth="1"/>
    <col min="4356" max="4356" width="22.6640625" style="1" bestFit="1" customWidth="1"/>
    <col min="4357" max="4357" width="22.44140625" style="1" bestFit="1" customWidth="1"/>
    <col min="4358" max="4358" width="18.33203125" style="1" bestFit="1" customWidth="1"/>
    <col min="4359" max="4359" width="11.88671875" style="1" bestFit="1" customWidth="1"/>
    <col min="4360" max="4360" width="22.44140625" style="1" customWidth="1"/>
    <col min="4361" max="4361" width="11.88671875" style="1" bestFit="1" customWidth="1"/>
    <col min="4362" max="4608" width="9.109375" style="1"/>
    <col min="4609" max="4609" width="21.109375" style="1" bestFit="1" customWidth="1"/>
    <col min="4610" max="4610" width="70" style="1" bestFit="1" customWidth="1"/>
    <col min="4611" max="4611" width="20.109375" style="1" bestFit="1" customWidth="1"/>
    <col min="4612" max="4612" width="22.6640625" style="1" bestFit="1" customWidth="1"/>
    <col min="4613" max="4613" width="22.44140625" style="1" bestFit="1" customWidth="1"/>
    <col min="4614" max="4614" width="18.33203125" style="1" bestFit="1" customWidth="1"/>
    <col min="4615" max="4615" width="11.88671875" style="1" bestFit="1" customWidth="1"/>
    <col min="4616" max="4616" width="22.44140625" style="1" customWidth="1"/>
    <col min="4617" max="4617" width="11.88671875" style="1" bestFit="1" customWidth="1"/>
    <col min="4618" max="4864" width="9.109375" style="1"/>
    <col min="4865" max="4865" width="21.109375" style="1" bestFit="1" customWidth="1"/>
    <col min="4866" max="4866" width="70" style="1" bestFit="1" customWidth="1"/>
    <col min="4867" max="4867" width="20.109375" style="1" bestFit="1" customWidth="1"/>
    <col min="4868" max="4868" width="22.6640625" style="1" bestFit="1" customWidth="1"/>
    <col min="4869" max="4869" width="22.44140625" style="1" bestFit="1" customWidth="1"/>
    <col min="4870" max="4870" width="18.33203125" style="1" bestFit="1" customWidth="1"/>
    <col min="4871" max="4871" width="11.88671875" style="1" bestFit="1" customWidth="1"/>
    <col min="4872" max="4872" width="22.44140625" style="1" customWidth="1"/>
    <col min="4873" max="4873" width="11.88671875" style="1" bestFit="1" customWidth="1"/>
    <col min="4874" max="5120" width="9.109375" style="1"/>
    <col min="5121" max="5121" width="21.109375" style="1" bestFit="1" customWidth="1"/>
    <col min="5122" max="5122" width="70" style="1" bestFit="1" customWidth="1"/>
    <col min="5123" max="5123" width="20.109375" style="1" bestFit="1" customWidth="1"/>
    <col min="5124" max="5124" width="22.6640625" style="1" bestFit="1" customWidth="1"/>
    <col min="5125" max="5125" width="22.44140625" style="1" bestFit="1" customWidth="1"/>
    <col min="5126" max="5126" width="18.33203125" style="1" bestFit="1" customWidth="1"/>
    <col min="5127" max="5127" width="11.88671875" style="1" bestFit="1" customWidth="1"/>
    <col min="5128" max="5128" width="22.44140625" style="1" customWidth="1"/>
    <col min="5129" max="5129" width="11.88671875" style="1" bestFit="1" customWidth="1"/>
    <col min="5130" max="5376" width="9.109375" style="1"/>
    <col min="5377" max="5377" width="21.109375" style="1" bestFit="1" customWidth="1"/>
    <col min="5378" max="5378" width="70" style="1" bestFit="1" customWidth="1"/>
    <col min="5379" max="5379" width="20.109375" style="1" bestFit="1" customWidth="1"/>
    <col min="5380" max="5380" width="22.6640625" style="1" bestFit="1" customWidth="1"/>
    <col min="5381" max="5381" width="22.44140625" style="1" bestFit="1" customWidth="1"/>
    <col min="5382" max="5382" width="18.33203125" style="1" bestFit="1" customWidth="1"/>
    <col min="5383" max="5383" width="11.88671875" style="1" bestFit="1" customWidth="1"/>
    <col min="5384" max="5384" width="22.44140625" style="1" customWidth="1"/>
    <col min="5385" max="5385" width="11.88671875" style="1" bestFit="1" customWidth="1"/>
    <col min="5386" max="5632" width="9.109375" style="1"/>
    <col min="5633" max="5633" width="21.109375" style="1" bestFit="1" customWidth="1"/>
    <col min="5634" max="5634" width="70" style="1" bestFit="1" customWidth="1"/>
    <col min="5635" max="5635" width="20.109375" style="1" bestFit="1" customWidth="1"/>
    <col min="5636" max="5636" width="22.6640625" style="1" bestFit="1" customWidth="1"/>
    <col min="5637" max="5637" width="22.44140625" style="1" bestFit="1" customWidth="1"/>
    <col min="5638" max="5638" width="18.33203125" style="1" bestFit="1" customWidth="1"/>
    <col min="5639" max="5639" width="11.88671875" style="1" bestFit="1" customWidth="1"/>
    <col min="5640" max="5640" width="22.44140625" style="1" customWidth="1"/>
    <col min="5641" max="5641" width="11.88671875" style="1" bestFit="1" customWidth="1"/>
    <col min="5642" max="5888" width="9.109375" style="1"/>
    <col min="5889" max="5889" width="21.109375" style="1" bestFit="1" customWidth="1"/>
    <col min="5890" max="5890" width="70" style="1" bestFit="1" customWidth="1"/>
    <col min="5891" max="5891" width="20.109375" style="1" bestFit="1" customWidth="1"/>
    <col min="5892" max="5892" width="22.6640625" style="1" bestFit="1" customWidth="1"/>
    <col min="5893" max="5893" width="22.44140625" style="1" bestFit="1" customWidth="1"/>
    <col min="5894" max="5894" width="18.33203125" style="1" bestFit="1" customWidth="1"/>
    <col min="5895" max="5895" width="11.88671875" style="1" bestFit="1" customWidth="1"/>
    <col min="5896" max="5896" width="22.44140625" style="1" customWidth="1"/>
    <col min="5897" max="5897" width="11.88671875" style="1" bestFit="1" customWidth="1"/>
    <col min="5898" max="6144" width="9.109375" style="1"/>
    <col min="6145" max="6145" width="21.109375" style="1" bestFit="1" customWidth="1"/>
    <col min="6146" max="6146" width="70" style="1" bestFit="1" customWidth="1"/>
    <col min="6147" max="6147" width="20.109375" style="1" bestFit="1" customWidth="1"/>
    <col min="6148" max="6148" width="22.6640625" style="1" bestFit="1" customWidth="1"/>
    <col min="6149" max="6149" width="22.44140625" style="1" bestFit="1" customWidth="1"/>
    <col min="6150" max="6150" width="18.33203125" style="1" bestFit="1" customWidth="1"/>
    <col min="6151" max="6151" width="11.88671875" style="1" bestFit="1" customWidth="1"/>
    <col min="6152" max="6152" width="22.44140625" style="1" customWidth="1"/>
    <col min="6153" max="6153" width="11.88671875" style="1" bestFit="1" customWidth="1"/>
    <col min="6154" max="6400" width="9.109375" style="1"/>
    <col min="6401" max="6401" width="21.109375" style="1" bestFit="1" customWidth="1"/>
    <col min="6402" max="6402" width="70" style="1" bestFit="1" customWidth="1"/>
    <col min="6403" max="6403" width="20.109375" style="1" bestFit="1" customWidth="1"/>
    <col min="6404" max="6404" width="22.6640625" style="1" bestFit="1" customWidth="1"/>
    <col min="6405" max="6405" width="22.44140625" style="1" bestFit="1" customWidth="1"/>
    <col min="6406" max="6406" width="18.33203125" style="1" bestFit="1" customWidth="1"/>
    <col min="6407" max="6407" width="11.88671875" style="1" bestFit="1" customWidth="1"/>
    <col min="6408" max="6408" width="22.44140625" style="1" customWidth="1"/>
    <col min="6409" max="6409" width="11.88671875" style="1" bestFit="1" customWidth="1"/>
    <col min="6410" max="6656" width="9.109375" style="1"/>
    <col min="6657" max="6657" width="21.109375" style="1" bestFit="1" customWidth="1"/>
    <col min="6658" max="6658" width="70" style="1" bestFit="1" customWidth="1"/>
    <col min="6659" max="6659" width="20.109375" style="1" bestFit="1" customWidth="1"/>
    <col min="6660" max="6660" width="22.6640625" style="1" bestFit="1" customWidth="1"/>
    <col min="6661" max="6661" width="22.44140625" style="1" bestFit="1" customWidth="1"/>
    <col min="6662" max="6662" width="18.33203125" style="1" bestFit="1" customWidth="1"/>
    <col min="6663" max="6663" width="11.88671875" style="1" bestFit="1" customWidth="1"/>
    <col min="6664" max="6664" width="22.44140625" style="1" customWidth="1"/>
    <col min="6665" max="6665" width="11.88671875" style="1" bestFit="1" customWidth="1"/>
    <col min="6666" max="6912" width="9.109375" style="1"/>
    <col min="6913" max="6913" width="21.109375" style="1" bestFit="1" customWidth="1"/>
    <col min="6914" max="6914" width="70" style="1" bestFit="1" customWidth="1"/>
    <col min="6915" max="6915" width="20.109375" style="1" bestFit="1" customWidth="1"/>
    <col min="6916" max="6916" width="22.6640625" style="1" bestFit="1" customWidth="1"/>
    <col min="6917" max="6917" width="22.44140625" style="1" bestFit="1" customWidth="1"/>
    <col min="6918" max="6918" width="18.33203125" style="1" bestFit="1" customWidth="1"/>
    <col min="6919" max="6919" width="11.88671875" style="1" bestFit="1" customWidth="1"/>
    <col min="6920" max="6920" width="22.44140625" style="1" customWidth="1"/>
    <col min="6921" max="6921" width="11.88671875" style="1" bestFit="1" customWidth="1"/>
    <col min="6922" max="7168" width="9.109375" style="1"/>
    <col min="7169" max="7169" width="21.109375" style="1" bestFit="1" customWidth="1"/>
    <col min="7170" max="7170" width="70" style="1" bestFit="1" customWidth="1"/>
    <col min="7171" max="7171" width="20.109375" style="1" bestFit="1" customWidth="1"/>
    <col min="7172" max="7172" width="22.6640625" style="1" bestFit="1" customWidth="1"/>
    <col min="7173" max="7173" width="22.44140625" style="1" bestFit="1" customWidth="1"/>
    <col min="7174" max="7174" width="18.33203125" style="1" bestFit="1" customWidth="1"/>
    <col min="7175" max="7175" width="11.88671875" style="1" bestFit="1" customWidth="1"/>
    <col min="7176" max="7176" width="22.44140625" style="1" customWidth="1"/>
    <col min="7177" max="7177" width="11.88671875" style="1" bestFit="1" customWidth="1"/>
    <col min="7178" max="7424" width="9.109375" style="1"/>
    <col min="7425" max="7425" width="21.109375" style="1" bestFit="1" customWidth="1"/>
    <col min="7426" max="7426" width="70" style="1" bestFit="1" customWidth="1"/>
    <col min="7427" max="7427" width="20.109375" style="1" bestFit="1" customWidth="1"/>
    <col min="7428" max="7428" width="22.6640625" style="1" bestFit="1" customWidth="1"/>
    <col min="7429" max="7429" width="22.44140625" style="1" bestFit="1" customWidth="1"/>
    <col min="7430" max="7430" width="18.33203125" style="1" bestFit="1" customWidth="1"/>
    <col min="7431" max="7431" width="11.88671875" style="1" bestFit="1" customWidth="1"/>
    <col min="7432" max="7432" width="22.44140625" style="1" customWidth="1"/>
    <col min="7433" max="7433" width="11.88671875" style="1" bestFit="1" customWidth="1"/>
    <col min="7434" max="7680" width="9.109375" style="1"/>
    <col min="7681" max="7681" width="21.109375" style="1" bestFit="1" customWidth="1"/>
    <col min="7682" max="7682" width="70" style="1" bestFit="1" customWidth="1"/>
    <col min="7683" max="7683" width="20.109375" style="1" bestFit="1" customWidth="1"/>
    <col min="7684" max="7684" width="22.6640625" style="1" bestFit="1" customWidth="1"/>
    <col min="7685" max="7685" width="22.44140625" style="1" bestFit="1" customWidth="1"/>
    <col min="7686" max="7686" width="18.33203125" style="1" bestFit="1" customWidth="1"/>
    <col min="7687" max="7687" width="11.88671875" style="1" bestFit="1" customWidth="1"/>
    <col min="7688" max="7688" width="22.44140625" style="1" customWidth="1"/>
    <col min="7689" max="7689" width="11.88671875" style="1" bestFit="1" customWidth="1"/>
    <col min="7690" max="7936" width="9.109375" style="1"/>
    <col min="7937" max="7937" width="21.109375" style="1" bestFit="1" customWidth="1"/>
    <col min="7938" max="7938" width="70" style="1" bestFit="1" customWidth="1"/>
    <col min="7939" max="7939" width="20.109375" style="1" bestFit="1" customWidth="1"/>
    <col min="7940" max="7940" width="22.6640625" style="1" bestFit="1" customWidth="1"/>
    <col min="7941" max="7941" width="22.44140625" style="1" bestFit="1" customWidth="1"/>
    <col min="7942" max="7942" width="18.33203125" style="1" bestFit="1" customWidth="1"/>
    <col min="7943" max="7943" width="11.88671875" style="1" bestFit="1" customWidth="1"/>
    <col min="7944" max="7944" width="22.44140625" style="1" customWidth="1"/>
    <col min="7945" max="7945" width="11.88671875" style="1" bestFit="1" customWidth="1"/>
    <col min="7946" max="8192" width="9.109375" style="1"/>
    <col min="8193" max="8193" width="21.109375" style="1" bestFit="1" customWidth="1"/>
    <col min="8194" max="8194" width="70" style="1" bestFit="1" customWidth="1"/>
    <col min="8195" max="8195" width="20.109375" style="1" bestFit="1" customWidth="1"/>
    <col min="8196" max="8196" width="22.6640625" style="1" bestFit="1" customWidth="1"/>
    <col min="8197" max="8197" width="22.44140625" style="1" bestFit="1" customWidth="1"/>
    <col min="8198" max="8198" width="18.33203125" style="1" bestFit="1" customWidth="1"/>
    <col min="8199" max="8199" width="11.88671875" style="1" bestFit="1" customWidth="1"/>
    <col min="8200" max="8200" width="22.44140625" style="1" customWidth="1"/>
    <col min="8201" max="8201" width="11.88671875" style="1" bestFit="1" customWidth="1"/>
    <col min="8202" max="8448" width="9.109375" style="1"/>
    <col min="8449" max="8449" width="21.109375" style="1" bestFit="1" customWidth="1"/>
    <col min="8450" max="8450" width="70" style="1" bestFit="1" customWidth="1"/>
    <col min="8451" max="8451" width="20.109375" style="1" bestFit="1" customWidth="1"/>
    <col min="8452" max="8452" width="22.6640625" style="1" bestFit="1" customWidth="1"/>
    <col min="8453" max="8453" width="22.44140625" style="1" bestFit="1" customWidth="1"/>
    <col min="8454" max="8454" width="18.33203125" style="1" bestFit="1" customWidth="1"/>
    <col min="8455" max="8455" width="11.88671875" style="1" bestFit="1" customWidth="1"/>
    <col min="8456" max="8456" width="22.44140625" style="1" customWidth="1"/>
    <col min="8457" max="8457" width="11.88671875" style="1" bestFit="1" customWidth="1"/>
    <col min="8458" max="8704" width="9.109375" style="1"/>
    <col min="8705" max="8705" width="21.109375" style="1" bestFit="1" customWidth="1"/>
    <col min="8706" max="8706" width="70" style="1" bestFit="1" customWidth="1"/>
    <col min="8707" max="8707" width="20.109375" style="1" bestFit="1" customWidth="1"/>
    <col min="8708" max="8708" width="22.6640625" style="1" bestFit="1" customWidth="1"/>
    <col min="8709" max="8709" width="22.44140625" style="1" bestFit="1" customWidth="1"/>
    <col min="8710" max="8710" width="18.33203125" style="1" bestFit="1" customWidth="1"/>
    <col min="8711" max="8711" width="11.88671875" style="1" bestFit="1" customWidth="1"/>
    <col min="8712" max="8712" width="22.44140625" style="1" customWidth="1"/>
    <col min="8713" max="8713" width="11.88671875" style="1" bestFit="1" customWidth="1"/>
    <col min="8714" max="8960" width="9.109375" style="1"/>
    <col min="8961" max="8961" width="21.109375" style="1" bestFit="1" customWidth="1"/>
    <col min="8962" max="8962" width="70" style="1" bestFit="1" customWidth="1"/>
    <col min="8963" max="8963" width="20.109375" style="1" bestFit="1" customWidth="1"/>
    <col min="8964" max="8964" width="22.6640625" style="1" bestFit="1" customWidth="1"/>
    <col min="8965" max="8965" width="22.44140625" style="1" bestFit="1" customWidth="1"/>
    <col min="8966" max="8966" width="18.33203125" style="1" bestFit="1" customWidth="1"/>
    <col min="8967" max="8967" width="11.88671875" style="1" bestFit="1" customWidth="1"/>
    <col min="8968" max="8968" width="22.44140625" style="1" customWidth="1"/>
    <col min="8969" max="8969" width="11.88671875" style="1" bestFit="1" customWidth="1"/>
    <col min="8970" max="9216" width="9.109375" style="1"/>
    <col min="9217" max="9217" width="21.109375" style="1" bestFit="1" customWidth="1"/>
    <col min="9218" max="9218" width="70" style="1" bestFit="1" customWidth="1"/>
    <col min="9219" max="9219" width="20.109375" style="1" bestFit="1" customWidth="1"/>
    <col min="9220" max="9220" width="22.6640625" style="1" bestFit="1" customWidth="1"/>
    <col min="9221" max="9221" width="22.44140625" style="1" bestFit="1" customWidth="1"/>
    <col min="9222" max="9222" width="18.33203125" style="1" bestFit="1" customWidth="1"/>
    <col min="9223" max="9223" width="11.88671875" style="1" bestFit="1" customWidth="1"/>
    <col min="9224" max="9224" width="22.44140625" style="1" customWidth="1"/>
    <col min="9225" max="9225" width="11.88671875" style="1" bestFit="1" customWidth="1"/>
    <col min="9226" max="9472" width="9.109375" style="1"/>
    <col min="9473" max="9473" width="21.109375" style="1" bestFit="1" customWidth="1"/>
    <col min="9474" max="9474" width="70" style="1" bestFit="1" customWidth="1"/>
    <col min="9475" max="9475" width="20.109375" style="1" bestFit="1" customWidth="1"/>
    <col min="9476" max="9476" width="22.6640625" style="1" bestFit="1" customWidth="1"/>
    <col min="9477" max="9477" width="22.44140625" style="1" bestFit="1" customWidth="1"/>
    <col min="9478" max="9478" width="18.33203125" style="1" bestFit="1" customWidth="1"/>
    <col min="9479" max="9479" width="11.88671875" style="1" bestFit="1" customWidth="1"/>
    <col min="9480" max="9480" width="22.44140625" style="1" customWidth="1"/>
    <col min="9481" max="9481" width="11.88671875" style="1" bestFit="1" customWidth="1"/>
    <col min="9482" max="9728" width="9.109375" style="1"/>
    <col min="9729" max="9729" width="21.109375" style="1" bestFit="1" customWidth="1"/>
    <col min="9730" max="9730" width="70" style="1" bestFit="1" customWidth="1"/>
    <col min="9731" max="9731" width="20.109375" style="1" bestFit="1" customWidth="1"/>
    <col min="9732" max="9732" width="22.6640625" style="1" bestFit="1" customWidth="1"/>
    <col min="9733" max="9733" width="22.44140625" style="1" bestFit="1" customWidth="1"/>
    <col min="9734" max="9734" width="18.33203125" style="1" bestFit="1" customWidth="1"/>
    <col min="9735" max="9735" width="11.88671875" style="1" bestFit="1" customWidth="1"/>
    <col min="9736" max="9736" width="22.44140625" style="1" customWidth="1"/>
    <col min="9737" max="9737" width="11.88671875" style="1" bestFit="1" customWidth="1"/>
    <col min="9738" max="9984" width="9.109375" style="1"/>
    <col min="9985" max="9985" width="21.109375" style="1" bestFit="1" customWidth="1"/>
    <col min="9986" max="9986" width="70" style="1" bestFit="1" customWidth="1"/>
    <col min="9987" max="9987" width="20.109375" style="1" bestFit="1" customWidth="1"/>
    <col min="9988" max="9988" width="22.6640625" style="1" bestFit="1" customWidth="1"/>
    <col min="9989" max="9989" width="22.44140625" style="1" bestFit="1" customWidth="1"/>
    <col min="9990" max="9990" width="18.33203125" style="1" bestFit="1" customWidth="1"/>
    <col min="9991" max="9991" width="11.88671875" style="1" bestFit="1" customWidth="1"/>
    <col min="9992" max="9992" width="22.44140625" style="1" customWidth="1"/>
    <col min="9993" max="9993" width="11.88671875" style="1" bestFit="1" customWidth="1"/>
    <col min="9994" max="10240" width="9.109375" style="1"/>
    <col min="10241" max="10241" width="21.109375" style="1" bestFit="1" customWidth="1"/>
    <col min="10242" max="10242" width="70" style="1" bestFit="1" customWidth="1"/>
    <col min="10243" max="10243" width="20.109375" style="1" bestFit="1" customWidth="1"/>
    <col min="10244" max="10244" width="22.6640625" style="1" bestFit="1" customWidth="1"/>
    <col min="10245" max="10245" width="22.44140625" style="1" bestFit="1" customWidth="1"/>
    <col min="10246" max="10246" width="18.33203125" style="1" bestFit="1" customWidth="1"/>
    <col min="10247" max="10247" width="11.88671875" style="1" bestFit="1" customWidth="1"/>
    <col min="10248" max="10248" width="22.44140625" style="1" customWidth="1"/>
    <col min="10249" max="10249" width="11.88671875" style="1" bestFit="1" customWidth="1"/>
    <col min="10250" max="10496" width="9.109375" style="1"/>
    <col min="10497" max="10497" width="21.109375" style="1" bestFit="1" customWidth="1"/>
    <col min="10498" max="10498" width="70" style="1" bestFit="1" customWidth="1"/>
    <col min="10499" max="10499" width="20.109375" style="1" bestFit="1" customWidth="1"/>
    <col min="10500" max="10500" width="22.6640625" style="1" bestFit="1" customWidth="1"/>
    <col min="10501" max="10501" width="22.44140625" style="1" bestFit="1" customWidth="1"/>
    <col min="10502" max="10502" width="18.33203125" style="1" bestFit="1" customWidth="1"/>
    <col min="10503" max="10503" width="11.88671875" style="1" bestFit="1" customWidth="1"/>
    <col min="10504" max="10504" width="22.44140625" style="1" customWidth="1"/>
    <col min="10505" max="10505" width="11.88671875" style="1" bestFit="1" customWidth="1"/>
    <col min="10506" max="10752" width="9.109375" style="1"/>
    <col min="10753" max="10753" width="21.109375" style="1" bestFit="1" customWidth="1"/>
    <col min="10754" max="10754" width="70" style="1" bestFit="1" customWidth="1"/>
    <col min="10755" max="10755" width="20.109375" style="1" bestFit="1" customWidth="1"/>
    <col min="10756" max="10756" width="22.6640625" style="1" bestFit="1" customWidth="1"/>
    <col min="10757" max="10757" width="22.44140625" style="1" bestFit="1" customWidth="1"/>
    <col min="10758" max="10758" width="18.33203125" style="1" bestFit="1" customWidth="1"/>
    <col min="10759" max="10759" width="11.88671875" style="1" bestFit="1" customWidth="1"/>
    <col min="10760" max="10760" width="22.44140625" style="1" customWidth="1"/>
    <col min="10761" max="10761" width="11.88671875" style="1" bestFit="1" customWidth="1"/>
    <col min="10762" max="11008" width="9.109375" style="1"/>
    <col min="11009" max="11009" width="21.109375" style="1" bestFit="1" customWidth="1"/>
    <col min="11010" max="11010" width="70" style="1" bestFit="1" customWidth="1"/>
    <col min="11011" max="11011" width="20.109375" style="1" bestFit="1" customWidth="1"/>
    <col min="11012" max="11012" width="22.6640625" style="1" bestFit="1" customWidth="1"/>
    <col min="11013" max="11013" width="22.44140625" style="1" bestFit="1" customWidth="1"/>
    <col min="11014" max="11014" width="18.33203125" style="1" bestFit="1" customWidth="1"/>
    <col min="11015" max="11015" width="11.88671875" style="1" bestFit="1" customWidth="1"/>
    <col min="11016" max="11016" width="22.44140625" style="1" customWidth="1"/>
    <col min="11017" max="11017" width="11.88671875" style="1" bestFit="1" customWidth="1"/>
    <col min="11018" max="11264" width="9.109375" style="1"/>
    <col min="11265" max="11265" width="21.109375" style="1" bestFit="1" customWidth="1"/>
    <col min="11266" max="11266" width="70" style="1" bestFit="1" customWidth="1"/>
    <col min="11267" max="11267" width="20.109375" style="1" bestFit="1" customWidth="1"/>
    <col min="11268" max="11268" width="22.6640625" style="1" bestFit="1" customWidth="1"/>
    <col min="11269" max="11269" width="22.44140625" style="1" bestFit="1" customWidth="1"/>
    <col min="11270" max="11270" width="18.33203125" style="1" bestFit="1" customWidth="1"/>
    <col min="11271" max="11271" width="11.88671875" style="1" bestFit="1" customWidth="1"/>
    <col min="11272" max="11272" width="22.44140625" style="1" customWidth="1"/>
    <col min="11273" max="11273" width="11.88671875" style="1" bestFit="1" customWidth="1"/>
    <col min="11274" max="11520" width="9.109375" style="1"/>
    <col min="11521" max="11521" width="21.109375" style="1" bestFit="1" customWidth="1"/>
    <col min="11522" max="11522" width="70" style="1" bestFit="1" customWidth="1"/>
    <col min="11523" max="11523" width="20.109375" style="1" bestFit="1" customWidth="1"/>
    <col min="11524" max="11524" width="22.6640625" style="1" bestFit="1" customWidth="1"/>
    <col min="11525" max="11525" width="22.44140625" style="1" bestFit="1" customWidth="1"/>
    <col min="11526" max="11526" width="18.33203125" style="1" bestFit="1" customWidth="1"/>
    <col min="11527" max="11527" width="11.88671875" style="1" bestFit="1" customWidth="1"/>
    <col min="11528" max="11528" width="22.44140625" style="1" customWidth="1"/>
    <col min="11529" max="11529" width="11.88671875" style="1" bestFit="1" customWidth="1"/>
    <col min="11530" max="11776" width="9.109375" style="1"/>
    <col min="11777" max="11777" width="21.109375" style="1" bestFit="1" customWidth="1"/>
    <col min="11778" max="11778" width="70" style="1" bestFit="1" customWidth="1"/>
    <col min="11779" max="11779" width="20.109375" style="1" bestFit="1" customWidth="1"/>
    <col min="11780" max="11780" width="22.6640625" style="1" bestFit="1" customWidth="1"/>
    <col min="11781" max="11781" width="22.44140625" style="1" bestFit="1" customWidth="1"/>
    <col min="11782" max="11782" width="18.33203125" style="1" bestFit="1" customWidth="1"/>
    <col min="11783" max="11783" width="11.88671875" style="1" bestFit="1" customWidth="1"/>
    <col min="11784" max="11784" width="22.44140625" style="1" customWidth="1"/>
    <col min="11785" max="11785" width="11.88671875" style="1" bestFit="1" customWidth="1"/>
    <col min="11786" max="12032" width="9.109375" style="1"/>
    <col min="12033" max="12033" width="21.109375" style="1" bestFit="1" customWidth="1"/>
    <col min="12034" max="12034" width="70" style="1" bestFit="1" customWidth="1"/>
    <col min="12035" max="12035" width="20.109375" style="1" bestFit="1" customWidth="1"/>
    <col min="12036" max="12036" width="22.6640625" style="1" bestFit="1" customWidth="1"/>
    <col min="12037" max="12037" width="22.44140625" style="1" bestFit="1" customWidth="1"/>
    <col min="12038" max="12038" width="18.33203125" style="1" bestFit="1" customWidth="1"/>
    <col min="12039" max="12039" width="11.88671875" style="1" bestFit="1" customWidth="1"/>
    <col min="12040" max="12040" width="22.44140625" style="1" customWidth="1"/>
    <col min="12041" max="12041" width="11.88671875" style="1" bestFit="1" customWidth="1"/>
    <col min="12042" max="12288" width="9.109375" style="1"/>
    <col min="12289" max="12289" width="21.109375" style="1" bestFit="1" customWidth="1"/>
    <col min="12290" max="12290" width="70" style="1" bestFit="1" customWidth="1"/>
    <col min="12291" max="12291" width="20.109375" style="1" bestFit="1" customWidth="1"/>
    <col min="12292" max="12292" width="22.6640625" style="1" bestFit="1" customWidth="1"/>
    <col min="12293" max="12293" width="22.44140625" style="1" bestFit="1" customWidth="1"/>
    <col min="12294" max="12294" width="18.33203125" style="1" bestFit="1" customWidth="1"/>
    <col min="12295" max="12295" width="11.88671875" style="1" bestFit="1" customWidth="1"/>
    <col min="12296" max="12296" width="22.44140625" style="1" customWidth="1"/>
    <col min="12297" max="12297" width="11.88671875" style="1" bestFit="1" customWidth="1"/>
    <col min="12298" max="12544" width="9.109375" style="1"/>
    <col min="12545" max="12545" width="21.109375" style="1" bestFit="1" customWidth="1"/>
    <col min="12546" max="12546" width="70" style="1" bestFit="1" customWidth="1"/>
    <col min="12547" max="12547" width="20.109375" style="1" bestFit="1" customWidth="1"/>
    <col min="12548" max="12548" width="22.6640625" style="1" bestFit="1" customWidth="1"/>
    <col min="12549" max="12549" width="22.44140625" style="1" bestFit="1" customWidth="1"/>
    <col min="12550" max="12550" width="18.33203125" style="1" bestFit="1" customWidth="1"/>
    <col min="12551" max="12551" width="11.88671875" style="1" bestFit="1" customWidth="1"/>
    <col min="12552" max="12552" width="22.44140625" style="1" customWidth="1"/>
    <col min="12553" max="12553" width="11.88671875" style="1" bestFit="1" customWidth="1"/>
    <col min="12554" max="12800" width="9.109375" style="1"/>
    <col min="12801" max="12801" width="21.109375" style="1" bestFit="1" customWidth="1"/>
    <col min="12802" max="12802" width="70" style="1" bestFit="1" customWidth="1"/>
    <col min="12803" max="12803" width="20.109375" style="1" bestFit="1" customWidth="1"/>
    <col min="12804" max="12804" width="22.6640625" style="1" bestFit="1" customWidth="1"/>
    <col min="12805" max="12805" width="22.44140625" style="1" bestFit="1" customWidth="1"/>
    <col min="12806" max="12806" width="18.33203125" style="1" bestFit="1" customWidth="1"/>
    <col min="12807" max="12807" width="11.88671875" style="1" bestFit="1" customWidth="1"/>
    <col min="12808" max="12808" width="22.44140625" style="1" customWidth="1"/>
    <col min="12809" max="12809" width="11.88671875" style="1" bestFit="1" customWidth="1"/>
    <col min="12810" max="13056" width="9.109375" style="1"/>
    <col min="13057" max="13057" width="21.109375" style="1" bestFit="1" customWidth="1"/>
    <col min="13058" max="13058" width="70" style="1" bestFit="1" customWidth="1"/>
    <col min="13059" max="13059" width="20.109375" style="1" bestFit="1" customWidth="1"/>
    <col min="13060" max="13060" width="22.6640625" style="1" bestFit="1" customWidth="1"/>
    <col min="13061" max="13061" width="22.44140625" style="1" bestFit="1" customWidth="1"/>
    <col min="13062" max="13062" width="18.33203125" style="1" bestFit="1" customWidth="1"/>
    <col min="13063" max="13063" width="11.88671875" style="1" bestFit="1" customWidth="1"/>
    <col min="13064" max="13064" width="22.44140625" style="1" customWidth="1"/>
    <col min="13065" max="13065" width="11.88671875" style="1" bestFit="1" customWidth="1"/>
    <col min="13066" max="13312" width="9.109375" style="1"/>
    <col min="13313" max="13313" width="21.109375" style="1" bestFit="1" customWidth="1"/>
    <col min="13314" max="13314" width="70" style="1" bestFit="1" customWidth="1"/>
    <col min="13315" max="13315" width="20.109375" style="1" bestFit="1" customWidth="1"/>
    <col min="13316" max="13316" width="22.6640625" style="1" bestFit="1" customWidth="1"/>
    <col min="13317" max="13317" width="22.44140625" style="1" bestFit="1" customWidth="1"/>
    <col min="13318" max="13318" width="18.33203125" style="1" bestFit="1" customWidth="1"/>
    <col min="13319" max="13319" width="11.88671875" style="1" bestFit="1" customWidth="1"/>
    <col min="13320" max="13320" width="22.44140625" style="1" customWidth="1"/>
    <col min="13321" max="13321" width="11.88671875" style="1" bestFit="1" customWidth="1"/>
    <col min="13322" max="13568" width="9.109375" style="1"/>
    <col min="13569" max="13569" width="21.109375" style="1" bestFit="1" customWidth="1"/>
    <col min="13570" max="13570" width="70" style="1" bestFit="1" customWidth="1"/>
    <col min="13571" max="13571" width="20.109375" style="1" bestFit="1" customWidth="1"/>
    <col min="13572" max="13572" width="22.6640625" style="1" bestFit="1" customWidth="1"/>
    <col min="13573" max="13573" width="22.44140625" style="1" bestFit="1" customWidth="1"/>
    <col min="13574" max="13574" width="18.33203125" style="1" bestFit="1" customWidth="1"/>
    <col min="13575" max="13575" width="11.88671875" style="1" bestFit="1" customWidth="1"/>
    <col min="13576" max="13576" width="22.44140625" style="1" customWidth="1"/>
    <col min="13577" max="13577" width="11.88671875" style="1" bestFit="1" customWidth="1"/>
    <col min="13578" max="13824" width="9.109375" style="1"/>
    <col min="13825" max="13825" width="21.109375" style="1" bestFit="1" customWidth="1"/>
    <col min="13826" max="13826" width="70" style="1" bestFit="1" customWidth="1"/>
    <col min="13827" max="13827" width="20.109375" style="1" bestFit="1" customWidth="1"/>
    <col min="13828" max="13828" width="22.6640625" style="1" bestFit="1" customWidth="1"/>
    <col min="13829" max="13829" width="22.44140625" style="1" bestFit="1" customWidth="1"/>
    <col min="13830" max="13830" width="18.33203125" style="1" bestFit="1" customWidth="1"/>
    <col min="13831" max="13831" width="11.88671875" style="1" bestFit="1" customWidth="1"/>
    <col min="13832" max="13832" width="22.44140625" style="1" customWidth="1"/>
    <col min="13833" max="13833" width="11.88671875" style="1" bestFit="1" customWidth="1"/>
    <col min="13834" max="14080" width="9.109375" style="1"/>
    <col min="14081" max="14081" width="21.109375" style="1" bestFit="1" customWidth="1"/>
    <col min="14082" max="14082" width="70" style="1" bestFit="1" customWidth="1"/>
    <col min="14083" max="14083" width="20.109375" style="1" bestFit="1" customWidth="1"/>
    <col min="14084" max="14084" width="22.6640625" style="1" bestFit="1" customWidth="1"/>
    <col min="14085" max="14085" width="22.44140625" style="1" bestFit="1" customWidth="1"/>
    <col min="14086" max="14086" width="18.33203125" style="1" bestFit="1" customWidth="1"/>
    <col min="14087" max="14087" width="11.88671875" style="1" bestFit="1" customWidth="1"/>
    <col min="14088" max="14088" width="22.44140625" style="1" customWidth="1"/>
    <col min="14089" max="14089" width="11.88671875" style="1" bestFit="1" customWidth="1"/>
    <col min="14090" max="14336" width="9.109375" style="1"/>
    <col min="14337" max="14337" width="21.109375" style="1" bestFit="1" customWidth="1"/>
    <col min="14338" max="14338" width="70" style="1" bestFit="1" customWidth="1"/>
    <col min="14339" max="14339" width="20.109375" style="1" bestFit="1" customWidth="1"/>
    <col min="14340" max="14340" width="22.6640625" style="1" bestFit="1" customWidth="1"/>
    <col min="14341" max="14341" width="22.44140625" style="1" bestFit="1" customWidth="1"/>
    <col min="14342" max="14342" width="18.33203125" style="1" bestFit="1" customWidth="1"/>
    <col min="14343" max="14343" width="11.88671875" style="1" bestFit="1" customWidth="1"/>
    <col min="14344" max="14344" width="22.44140625" style="1" customWidth="1"/>
    <col min="14345" max="14345" width="11.88671875" style="1" bestFit="1" customWidth="1"/>
    <col min="14346" max="14592" width="9.109375" style="1"/>
    <col min="14593" max="14593" width="21.109375" style="1" bestFit="1" customWidth="1"/>
    <col min="14594" max="14594" width="70" style="1" bestFit="1" customWidth="1"/>
    <col min="14595" max="14595" width="20.109375" style="1" bestFit="1" customWidth="1"/>
    <col min="14596" max="14596" width="22.6640625" style="1" bestFit="1" customWidth="1"/>
    <col min="14597" max="14597" width="22.44140625" style="1" bestFit="1" customWidth="1"/>
    <col min="14598" max="14598" width="18.33203125" style="1" bestFit="1" customWidth="1"/>
    <col min="14599" max="14599" width="11.88671875" style="1" bestFit="1" customWidth="1"/>
    <col min="14600" max="14600" width="22.44140625" style="1" customWidth="1"/>
    <col min="14601" max="14601" width="11.88671875" style="1" bestFit="1" customWidth="1"/>
    <col min="14602" max="14848" width="9.109375" style="1"/>
    <col min="14849" max="14849" width="21.109375" style="1" bestFit="1" customWidth="1"/>
    <col min="14850" max="14850" width="70" style="1" bestFit="1" customWidth="1"/>
    <col min="14851" max="14851" width="20.109375" style="1" bestFit="1" customWidth="1"/>
    <col min="14852" max="14852" width="22.6640625" style="1" bestFit="1" customWidth="1"/>
    <col min="14853" max="14853" width="22.44140625" style="1" bestFit="1" customWidth="1"/>
    <col min="14854" max="14854" width="18.33203125" style="1" bestFit="1" customWidth="1"/>
    <col min="14855" max="14855" width="11.88671875" style="1" bestFit="1" customWidth="1"/>
    <col min="14856" max="14856" width="22.44140625" style="1" customWidth="1"/>
    <col min="14857" max="14857" width="11.88671875" style="1" bestFit="1" customWidth="1"/>
    <col min="14858" max="15104" width="9.109375" style="1"/>
    <col min="15105" max="15105" width="21.109375" style="1" bestFit="1" customWidth="1"/>
    <col min="15106" max="15106" width="70" style="1" bestFit="1" customWidth="1"/>
    <col min="15107" max="15107" width="20.109375" style="1" bestFit="1" customWidth="1"/>
    <col min="15108" max="15108" width="22.6640625" style="1" bestFit="1" customWidth="1"/>
    <col min="15109" max="15109" width="22.44140625" style="1" bestFit="1" customWidth="1"/>
    <col min="15110" max="15110" width="18.33203125" style="1" bestFit="1" customWidth="1"/>
    <col min="15111" max="15111" width="11.88671875" style="1" bestFit="1" customWidth="1"/>
    <col min="15112" max="15112" width="22.44140625" style="1" customWidth="1"/>
    <col min="15113" max="15113" width="11.88671875" style="1" bestFit="1" customWidth="1"/>
    <col min="15114" max="15360" width="9.109375" style="1"/>
    <col min="15361" max="15361" width="21.109375" style="1" bestFit="1" customWidth="1"/>
    <col min="15362" max="15362" width="70" style="1" bestFit="1" customWidth="1"/>
    <col min="15363" max="15363" width="20.109375" style="1" bestFit="1" customWidth="1"/>
    <col min="15364" max="15364" width="22.6640625" style="1" bestFit="1" customWidth="1"/>
    <col min="15365" max="15365" width="22.44140625" style="1" bestFit="1" customWidth="1"/>
    <col min="15366" max="15366" width="18.33203125" style="1" bestFit="1" customWidth="1"/>
    <col min="15367" max="15367" width="11.88671875" style="1" bestFit="1" customWidth="1"/>
    <col min="15368" max="15368" width="22.44140625" style="1" customWidth="1"/>
    <col min="15369" max="15369" width="11.88671875" style="1" bestFit="1" customWidth="1"/>
    <col min="15370" max="15616" width="9.109375" style="1"/>
    <col min="15617" max="15617" width="21.109375" style="1" bestFit="1" customWidth="1"/>
    <col min="15618" max="15618" width="70" style="1" bestFit="1" customWidth="1"/>
    <col min="15619" max="15619" width="20.109375" style="1" bestFit="1" customWidth="1"/>
    <col min="15620" max="15620" width="22.6640625" style="1" bestFit="1" customWidth="1"/>
    <col min="15621" max="15621" width="22.44140625" style="1" bestFit="1" customWidth="1"/>
    <col min="15622" max="15622" width="18.33203125" style="1" bestFit="1" customWidth="1"/>
    <col min="15623" max="15623" width="11.88671875" style="1" bestFit="1" customWidth="1"/>
    <col min="15624" max="15624" width="22.44140625" style="1" customWidth="1"/>
    <col min="15625" max="15625" width="11.88671875" style="1" bestFit="1" customWidth="1"/>
    <col min="15626" max="15872" width="9.109375" style="1"/>
    <col min="15873" max="15873" width="21.109375" style="1" bestFit="1" customWidth="1"/>
    <col min="15874" max="15874" width="70" style="1" bestFit="1" customWidth="1"/>
    <col min="15875" max="15875" width="20.109375" style="1" bestFit="1" customWidth="1"/>
    <col min="15876" max="15876" width="22.6640625" style="1" bestFit="1" customWidth="1"/>
    <col min="15877" max="15877" width="22.44140625" style="1" bestFit="1" customWidth="1"/>
    <col min="15878" max="15878" width="18.33203125" style="1" bestFit="1" customWidth="1"/>
    <col min="15879" max="15879" width="11.88671875" style="1" bestFit="1" customWidth="1"/>
    <col min="15880" max="15880" width="22.44140625" style="1" customWidth="1"/>
    <col min="15881" max="15881" width="11.88671875" style="1" bestFit="1" customWidth="1"/>
    <col min="15882" max="16128" width="9.109375" style="1"/>
    <col min="16129" max="16129" width="21.109375" style="1" bestFit="1" customWidth="1"/>
    <col min="16130" max="16130" width="70" style="1" bestFit="1" customWidth="1"/>
    <col min="16131" max="16131" width="20.109375" style="1" bestFit="1" customWidth="1"/>
    <col min="16132" max="16132" width="22.6640625" style="1" bestFit="1" customWidth="1"/>
    <col min="16133" max="16133" width="22.44140625" style="1" bestFit="1" customWidth="1"/>
    <col min="16134" max="16134" width="18.33203125" style="1" bestFit="1" customWidth="1"/>
    <col min="16135" max="16135" width="11.88671875" style="1" bestFit="1" customWidth="1"/>
    <col min="16136" max="16136" width="22.44140625" style="1" customWidth="1"/>
    <col min="16137" max="16137" width="11.88671875" style="1" bestFit="1" customWidth="1"/>
    <col min="16138" max="16384" width="9.109375" style="1"/>
  </cols>
  <sheetData>
    <row r="1" spans="1:8" ht="12.75" customHeight="1">
      <c r="C1" s="137" t="s">
        <v>422</v>
      </c>
      <c r="D1" s="137" t="s">
        <v>423</v>
      </c>
      <c r="E1" s="137" t="s">
        <v>424</v>
      </c>
      <c r="F1" s="114" t="s">
        <v>425</v>
      </c>
      <c r="H1" s="137" t="s">
        <v>426</v>
      </c>
    </row>
    <row r="3" spans="1:8" ht="12.75" customHeight="1">
      <c r="A3" s="138" t="s">
        <v>16</v>
      </c>
    </row>
    <row r="4" spans="1:8" ht="12.75" customHeight="1">
      <c r="A4" s="136">
        <v>1600200</v>
      </c>
      <c r="B4" s="1" t="s">
        <v>22</v>
      </c>
      <c r="C4" s="137">
        <v>134929585</v>
      </c>
      <c r="D4" s="137">
        <v>-2259117</v>
      </c>
      <c r="E4" s="137">
        <v>0</v>
      </c>
      <c r="F4" s="114">
        <f>SUM(C4:E4)</f>
        <v>132670468</v>
      </c>
      <c r="G4" s="139"/>
      <c r="H4" s="137">
        <v>0</v>
      </c>
    </row>
    <row r="5" spans="1:8" ht="12.75" customHeight="1">
      <c r="A5" s="136" t="s">
        <v>23</v>
      </c>
      <c r="B5" s="1" t="s">
        <v>24</v>
      </c>
      <c r="C5" s="156">
        <f>-7179064</f>
        <v>-7179064</v>
      </c>
      <c r="D5" s="156">
        <v>-895606</v>
      </c>
      <c r="E5" s="156">
        <v>-1966185</v>
      </c>
      <c r="F5" s="157">
        <f>SUM(C5:E5)</f>
        <v>-10040855</v>
      </c>
      <c r="G5" s="158"/>
      <c r="H5" s="156">
        <v>-653662</v>
      </c>
    </row>
    <row r="6" spans="1:8" ht="12.75" customHeight="1">
      <c r="A6" s="136" t="s">
        <v>25</v>
      </c>
      <c r="B6" s="1" t="s">
        <v>26</v>
      </c>
      <c r="E6" s="137">
        <v>-2215390</v>
      </c>
      <c r="F6" s="114">
        <f>SUM(C6:E6)</f>
        <v>-2215390</v>
      </c>
      <c r="H6" s="137">
        <v>-462286</v>
      </c>
    </row>
    <row r="7" spans="1:8" ht="12.75" customHeight="1">
      <c r="A7" s="136" t="s">
        <v>427</v>
      </c>
      <c r="B7" s="1" t="s">
        <v>428</v>
      </c>
      <c r="C7" s="156">
        <v>83981</v>
      </c>
      <c r="D7" s="156">
        <v>36289</v>
      </c>
      <c r="E7" s="156">
        <v>146755</v>
      </c>
      <c r="F7" s="157">
        <f>SUM(C7:E7)</f>
        <v>267025</v>
      </c>
      <c r="G7" s="158"/>
      <c r="H7" s="156">
        <v>33933</v>
      </c>
    </row>
    <row r="8" spans="1:8" ht="12.75" customHeight="1">
      <c r="A8" s="1" t="s">
        <v>351</v>
      </c>
      <c r="C8" s="137">
        <f>SUM(C4:C7)</f>
        <v>127834502</v>
      </c>
      <c r="D8" s="137">
        <f>SUM(D4:D7)</f>
        <v>-3118434</v>
      </c>
      <c r="E8" s="137">
        <f>SUM(E4:E7)</f>
        <v>-4034820</v>
      </c>
      <c r="F8" s="114">
        <f>SUM(C8:E8)</f>
        <v>120681248</v>
      </c>
      <c r="G8" s="139"/>
      <c r="H8" s="137">
        <f>SUM(H4:H7)</f>
        <v>-1082015</v>
      </c>
    </row>
    <row r="10" spans="1:8" ht="12.75" customHeight="1">
      <c r="A10" s="136" t="s">
        <v>35</v>
      </c>
      <c r="B10" s="1" t="s">
        <v>36</v>
      </c>
      <c r="C10" s="137">
        <v>1655598</v>
      </c>
      <c r="D10" s="137">
        <v>740409</v>
      </c>
      <c r="E10" s="137">
        <v>464688</v>
      </c>
      <c r="F10" s="114">
        <f>SUM(C10:E10)</f>
        <v>2860695</v>
      </c>
      <c r="H10" s="137">
        <v>153794</v>
      </c>
    </row>
    <row r="11" spans="1:8" ht="12.75" customHeight="1">
      <c r="A11" s="1" t="s">
        <v>352</v>
      </c>
      <c r="C11" s="137">
        <f>SUM(C10)</f>
        <v>1655598</v>
      </c>
      <c r="D11" s="137">
        <f>SUM(D10)</f>
        <v>740409</v>
      </c>
      <c r="E11" s="137">
        <f>SUM(E10)</f>
        <v>464688</v>
      </c>
      <c r="F11" s="114">
        <f>SUM(C11:E11)</f>
        <v>2860695</v>
      </c>
      <c r="H11" s="137">
        <f>SUM(H10)</f>
        <v>153794</v>
      </c>
    </row>
    <row r="13" spans="1:8" ht="12.75" customHeight="1">
      <c r="A13" s="136" t="s">
        <v>41</v>
      </c>
      <c r="B13" s="1" t="s">
        <v>42</v>
      </c>
      <c r="C13" s="156">
        <f>515882-177000-115000</f>
        <v>223882</v>
      </c>
      <c r="D13" s="156">
        <f>-396678+177000+115000</f>
        <v>-104678</v>
      </c>
      <c r="E13" s="156">
        <v>130719</v>
      </c>
      <c r="F13" s="157">
        <f>SUM(C13:E13)</f>
        <v>249923</v>
      </c>
      <c r="G13" s="158"/>
      <c r="H13" s="156">
        <v>-93669</v>
      </c>
    </row>
    <row r="14" spans="1:8" ht="12.75" customHeight="1">
      <c r="A14" s="136" t="s">
        <v>43</v>
      </c>
      <c r="B14" s="1" t="s">
        <v>44</v>
      </c>
      <c r="C14" s="137">
        <v>-14000</v>
      </c>
      <c r="D14" s="137">
        <v>-50501</v>
      </c>
      <c r="F14" s="114">
        <f>SUM(C14:E14)</f>
        <v>-64501</v>
      </c>
      <c r="H14" s="137">
        <v>0</v>
      </c>
    </row>
    <row r="15" spans="1:8" ht="12.75" customHeight="1">
      <c r="A15" s="1" t="s">
        <v>353</v>
      </c>
      <c r="C15" s="137">
        <f>SUM(C13:C14)</f>
        <v>209882</v>
      </c>
      <c r="D15" s="137">
        <f>SUM(D13:D14)</f>
        <v>-155179</v>
      </c>
      <c r="E15" s="137">
        <f>SUM(E13:E14)</f>
        <v>130719</v>
      </c>
      <c r="F15" s="114">
        <f>SUM(C15:E15)</f>
        <v>185422</v>
      </c>
      <c r="H15" s="137">
        <f>SUM(H13:H14)</f>
        <v>-93669</v>
      </c>
    </row>
    <row r="17" spans="1:8" ht="12.75" customHeight="1">
      <c r="A17" s="136">
        <v>2640000</v>
      </c>
      <c r="B17" s="1" t="s">
        <v>48</v>
      </c>
      <c r="C17" s="137">
        <v>110497</v>
      </c>
      <c r="D17" s="137">
        <v>0</v>
      </c>
      <c r="E17" s="137">
        <v>0</v>
      </c>
      <c r="F17" s="114">
        <f>SUM(C17:E17)</f>
        <v>110497</v>
      </c>
      <c r="H17" s="137">
        <v>0</v>
      </c>
    </row>
    <row r="18" spans="1:8" ht="12.75" customHeight="1">
      <c r="A18" s="1" t="s">
        <v>357</v>
      </c>
      <c r="C18" s="137">
        <f>SUM(C17)</f>
        <v>110497</v>
      </c>
      <c r="D18" s="137">
        <f>SUM(D17)</f>
        <v>0</v>
      </c>
      <c r="E18" s="137">
        <f>SUM(E17)</f>
        <v>0</v>
      </c>
      <c r="F18" s="114">
        <f>SUM(C18:E18)</f>
        <v>110497</v>
      </c>
      <c r="H18" s="137">
        <f>SUM(H17)</f>
        <v>0</v>
      </c>
    </row>
    <row r="20" spans="1:8" ht="12.75" customHeight="1">
      <c r="A20" s="136" t="s">
        <v>53</v>
      </c>
      <c r="B20" s="1" t="s">
        <v>54</v>
      </c>
      <c r="C20" s="137">
        <v>0</v>
      </c>
      <c r="D20" s="137">
        <v>15594</v>
      </c>
      <c r="E20" s="137">
        <v>0</v>
      </c>
      <c r="F20" s="114">
        <f>SUM(C20:E20)</f>
        <v>15594</v>
      </c>
      <c r="H20" s="137">
        <v>0</v>
      </c>
    </row>
    <row r="21" spans="1:8" ht="12.75" customHeight="1">
      <c r="A21" s="136" t="s">
        <v>55</v>
      </c>
      <c r="B21" s="1" t="s">
        <v>56</v>
      </c>
      <c r="C21" s="137">
        <v>0</v>
      </c>
      <c r="D21" s="137">
        <v>737</v>
      </c>
      <c r="E21" s="137">
        <v>0</v>
      </c>
      <c r="F21" s="114">
        <f>SUM(C21:E21)</f>
        <v>737</v>
      </c>
      <c r="H21" s="137">
        <v>0</v>
      </c>
    </row>
    <row r="22" spans="1:8" ht="12.75" customHeight="1">
      <c r="A22" s="1" t="s">
        <v>407</v>
      </c>
      <c r="C22" s="137">
        <f>SUM(C20:C21)</f>
        <v>0</v>
      </c>
      <c r="D22" s="137">
        <f>SUM(D20:D21)</f>
        <v>16331</v>
      </c>
      <c r="E22" s="137">
        <f>SUM(E20:E21)</f>
        <v>0</v>
      </c>
      <c r="F22" s="114">
        <f>SUM(C22:E22)</f>
        <v>16331</v>
      </c>
      <c r="H22" s="137">
        <f>SUM(H20:H21)</f>
        <v>0</v>
      </c>
    </row>
    <row r="24" spans="1:8" ht="12.75" customHeight="1">
      <c r="A24" s="136" t="s">
        <v>61</v>
      </c>
      <c r="B24" s="1" t="s">
        <v>62</v>
      </c>
      <c r="C24" s="137">
        <v>0</v>
      </c>
      <c r="D24" s="137">
        <v>0</v>
      </c>
      <c r="E24" s="137">
        <v>3338</v>
      </c>
      <c r="F24" s="114">
        <f>SUM(C24:E24)</f>
        <v>3338</v>
      </c>
      <c r="H24" s="137">
        <v>3338</v>
      </c>
    </row>
    <row r="25" spans="1:8" ht="12.75" customHeight="1">
      <c r="A25" s="136" t="s">
        <v>65</v>
      </c>
      <c r="B25" s="1" t="s">
        <v>66</v>
      </c>
      <c r="C25" s="137">
        <v>2404971</v>
      </c>
      <c r="D25" s="137">
        <v>-1418387</v>
      </c>
      <c r="E25" s="137">
        <v>-256886</v>
      </c>
      <c r="F25" s="114">
        <f t="shared" ref="F25:F30" si="0">SUM(C25:E25)</f>
        <v>729698</v>
      </c>
      <c r="H25" s="137">
        <v>649658</v>
      </c>
    </row>
    <row r="26" spans="1:8" ht="12.75" customHeight="1">
      <c r="A26" s="136" t="s">
        <v>67</v>
      </c>
      <c r="B26" s="1" t="s">
        <v>68</v>
      </c>
      <c r="C26" s="137">
        <v>17820</v>
      </c>
      <c r="D26" s="137">
        <v>-8172</v>
      </c>
      <c r="E26" s="137">
        <v>3265</v>
      </c>
      <c r="F26" s="114">
        <f t="shared" si="0"/>
        <v>12913</v>
      </c>
      <c r="H26" s="137">
        <v>12154</v>
      </c>
    </row>
    <row r="27" spans="1:8" ht="12.75" customHeight="1">
      <c r="A27" s="136" t="s">
        <v>69</v>
      </c>
      <c r="B27" s="1" t="s">
        <v>70</v>
      </c>
      <c r="C27" s="137">
        <v>23180</v>
      </c>
      <c r="D27" s="137">
        <v>168612</v>
      </c>
      <c r="E27" s="137">
        <v>599999</v>
      </c>
      <c r="F27" s="114">
        <f t="shared" si="0"/>
        <v>791791</v>
      </c>
      <c r="H27" s="137">
        <v>785758</v>
      </c>
    </row>
    <row r="28" spans="1:8" ht="12.75" customHeight="1">
      <c r="A28" s="136" t="s">
        <v>71</v>
      </c>
      <c r="B28" s="1" t="s">
        <v>72</v>
      </c>
      <c r="C28" s="137">
        <v>435121</v>
      </c>
      <c r="D28" s="137">
        <v>56414</v>
      </c>
      <c r="E28" s="137">
        <v>91777</v>
      </c>
      <c r="F28" s="114">
        <f t="shared" si="0"/>
        <v>583312</v>
      </c>
      <c r="H28" s="137">
        <v>-62925</v>
      </c>
    </row>
    <row r="29" spans="1:8" ht="12.75" customHeight="1">
      <c r="A29" s="136" t="s">
        <v>73</v>
      </c>
      <c r="B29" s="1" t="s">
        <v>74</v>
      </c>
      <c r="C29" s="137">
        <v>249024</v>
      </c>
      <c r="D29" s="137">
        <v>166400</v>
      </c>
      <c r="E29" s="137">
        <v>247984</v>
      </c>
      <c r="F29" s="114">
        <f t="shared" si="0"/>
        <v>663408</v>
      </c>
      <c r="H29" s="137">
        <v>-364896</v>
      </c>
    </row>
    <row r="30" spans="1:8" ht="12.75" customHeight="1">
      <c r="A30" s="136" t="s">
        <v>75</v>
      </c>
      <c r="B30" s="1" t="s">
        <v>76</v>
      </c>
      <c r="C30" s="137">
        <v>149397</v>
      </c>
      <c r="D30" s="137">
        <v>125774</v>
      </c>
      <c r="E30" s="137">
        <v>-274333</v>
      </c>
      <c r="F30" s="114">
        <f t="shared" si="0"/>
        <v>838</v>
      </c>
      <c r="H30" s="137">
        <v>-115700</v>
      </c>
    </row>
    <row r="31" spans="1:8" ht="12.75" customHeight="1">
      <c r="A31" s="1" t="s">
        <v>358</v>
      </c>
      <c r="C31" s="137">
        <f>SUM(C24:C30)</f>
        <v>3279513</v>
      </c>
      <c r="D31" s="137">
        <f>SUM(D24:D30)</f>
        <v>-909359</v>
      </c>
      <c r="E31" s="137">
        <f>SUM(E24:E30)</f>
        <v>415144</v>
      </c>
      <c r="F31" s="114">
        <f>SUM(C31:E31)</f>
        <v>2785298</v>
      </c>
      <c r="H31" s="137">
        <f>SUM(H24:H30)</f>
        <v>907387</v>
      </c>
    </row>
    <row r="33" spans="1:8" ht="12.75" customHeight="1">
      <c r="A33" s="136">
        <v>1000002</v>
      </c>
      <c r="B33" s="1" t="s">
        <v>429</v>
      </c>
      <c r="C33" s="159">
        <v>-1</v>
      </c>
      <c r="D33" s="159">
        <v>0</v>
      </c>
      <c r="E33" s="137">
        <v>0</v>
      </c>
      <c r="F33" s="160">
        <f>SUM(C33:E33)</f>
        <v>-1</v>
      </c>
      <c r="G33" s="117"/>
      <c r="H33" s="137">
        <v>0</v>
      </c>
    </row>
    <row r="34" spans="1:8" ht="12.75" customHeight="1">
      <c r="A34" s="136">
        <v>1100000</v>
      </c>
      <c r="B34" s="1" t="s">
        <v>430</v>
      </c>
      <c r="C34" s="159">
        <v>-19431219</v>
      </c>
      <c r="D34" s="159">
        <v>0</v>
      </c>
      <c r="E34" s="137">
        <v>0</v>
      </c>
      <c r="F34" s="160">
        <f>SUM(C34:E34)</f>
        <v>-19431219</v>
      </c>
      <c r="G34" s="117"/>
      <c r="H34" s="137">
        <v>0</v>
      </c>
    </row>
    <row r="35" spans="1:8" ht="12.75" customHeight="1">
      <c r="A35" s="136">
        <v>1160000</v>
      </c>
      <c r="B35" s="1" t="s">
        <v>94</v>
      </c>
      <c r="C35" s="159">
        <f>9890198-1711717+1831580</f>
        <v>10010061</v>
      </c>
      <c r="D35" s="159"/>
      <c r="E35" s="137">
        <v>0</v>
      </c>
      <c r="F35" s="160">
        <f>SUM(C35:E35)</f>
        <v>10010061</v>
      </c>
      <c r="G35" s="117"/>
      <c r="H35" s="137">
        <v>0</v>
      </c>
    </row>
    <row r="36" spans="1:8" ht="12.75" customHeight="1">
      <c r="A36" s="136" t="s">
        <v>95</v>
      </c>
      <c r="B36" s="1" t="s">
        <v>96</v>
      </c>
      <c r="C36" s="159">
        <v>7497104</v>
      </c>
      <c r="D36" s="159">
        <f>230000</f>
        <v>230000</v>
      </c>
      <c r="E36" s="137">
        <v>820500</v>
      </c>
      <c r="F36" s="160">
        <f>SUM(C36:E36)</f>
        <v>8547604</v>
      </c>
      <c r="G36" s="117"/>
      <c r="H36" s="137">
        <v>285500</v>
      </c>
    </row>
    <row r="37" spans="1:8" ht="12.75" customHeight="1">
      <c r="A37" s="1" t="s">
        <v>359</v>
      </c>
      <c r="C37" s="137">
        <f>SUM(C33:C36)</f>
        <v>-1924055</v>
      </c>
      <c r="D37" s="137">
        <f>SUM(D33:D36)</f>
        <v>230000</v>
      </c>
      <c r="E37" s="137">
        <f>SUM(E33:E36)</f>
        <v>820500</v>
      </c>
      <c r="F37" s="114">
        <f>SUM(C37:E37)</f>
        <v>-873555</v>
      </c>
      <c r="H37" s="137">
        <f>SUM(H33:H36)</f>
        <v>285500</v>
      </c>
    </row>
    <row r="39" spans="1:8" ht="12.75" customHeight="1">
      <c r="A39" s="136">
        <v>1930001</v>
      </c>
      <c r="B39" s="1" t="s">
        <v>104</v>
      </c>
      <c r="C39" s="137">
        <f>-130000000</f>
        <v>-130000000</v>
      </c>
      <c r="D39" s="140">
        <v>0</v>
      </c>
      <c r="E39" s="137">
        <v>0</v>
      </c>
      <c r="F39" s="114">
        <f>SUM(C39:E39)</f>
        <v>-130000000</v>
      </c>
      <c r="H39" s="137">
        <v>0</v>
      </c>
    </row>
    <row r="40" spans="1:8" ht="12.75" customHeight="1">
      <c r="A40" s="136" t="s">
        <v>107</v>
      </c>
      <c r="B40" s="1" t="s">
        <v>108</v>
      </c>
      <c r="C40" s="137">
        <v>1625000</v>
      </c>
      <c r="D40" s="137">
        <v>3445233</v>
      </c>
      <c r="E40" s="137">
        <v>5294156</v>
      </c>
      <c r="F40" s="114">
        <f>SUM(C40:E40)</f>
        <v>10364389</v>
      </c>
      <c r="H40" s="137">
        <v>601184</v>
      </c>
    </row>
    <row r="41" spans="1:8" ht="12.75" customHeight="1">
      <c r="A41" s="136" t="s">
        <v>109</v>
      </c>
      <c r="B41" s="1" t="s">
        <v>110</v>
      </c>
      <c r="C41" s="137">
        <v>0</v>
      </c>
      <c r="D41" s="137">
        <v>-306834</v>
      </c>
      <c r="E41" s="137">
        <v>306834</v>
      </c>
      <c r="F41" s="114">
        <f>SUM(C41:E41)</f>
        <v>0</v>
      </c>
      <c r="H41" s="137">
        <v>0</v>
      </c>
    </row>
    <row r="42" spans="1:8" ht="12.75" customHeight="1">
      <c r="A42" s="1" t="s">
        <v>362</v>
      </c>
      <c r="C42" s="137">
        <f>SUM(C39:C41)</f>
        <v>-128375000</v>
      </c>
      <c r="D42" s="137">
        <f>SUM(D39:D41)</f>
        <v>3138399</v>
      </c>
      <c r="E42" s="137">
        <f>SUM(E39:E41)</f>
        <v>5600990</v>
      </c>
      <c r="F42" s="114">
        <f>SUM(C42:E42)</f>
        <v>-119635611</v>
      </c>
      <c r="H42" s="137">
        <f>SUM(H39:H41)</f>
        <v>601184</v>
      </c>
    </row>
    <row r="44" spans="1:8" ht="12.75" customHeight="1">
      <c r="A44" s="136" t="s">
        <v>121</v>
      </c>
      <c r="B44" s="1" t="s">
        <v>122</v>
      </c>
      <c r="C44" s="137">
        <v>0</v>
      </c>
      <c r="D44" s="137">
        <v>-176869</v>
      </c>
      <c r="E44" s="137">
        <v>3388</v>
      </c>
      <c r="F44" s="114">
        <f>SUM(C44:E44)</f>
        <v>-173481</v>
      </c>
      <c r="H44" s="137">
        <v>28193</v>
      </c>
    </row>
    <row r="45" spans="1:8" ht="12.75" customHeight="1">
      <c r="A45" s="136" t="s">
        <v>123</v>
      </c>
      <c r="B45" s="1" t="s">
        <v>124</v>
      </c>
      <c r="C45" s="137">
        <v>0</v>
      </c>
      <c r="D45" s="137">
        <v>0</v>
      </c>
      <c r="E45" s="137">
        <v>0</v>
      </c>
      <c r="F45" s="114">
        <f>SUM(C45:E45)</f>
        <v>0</v>
      </c>
      <c r="H45" s="137">
        <v>0</v>
      </c>
    </row>
    <row r="46" spans="1:8" ht="12.75" customHeight="1">
      <c r="A46" s="1" t="s">
        <v>363</v>
      </c>
      <c r="C46" s="137">
        <f>SUM(C44:C45)</f>
        <v>0</v>
      </c>
      <c r="D46" s="137">
        <f>SUM(D44:D45)</f>
        <v>-176869</v>
      </c>
      <c r="E46" s="137">
        <f>SUM(E44:E45)</f>
        <v>3388</v>
      </c>
      <c r="F46" s="114">
        <f>SUM(C46:E46)</f>
        <v>-173481</v>
      </c>
      <c r="H46" s="137">
        <f>SUM(H44:H45)</f>
        <v>28193</v>
      </c>
    </row>
    <row r="48" spans="1:8" ht="12.75" customHeight="1">
      <c r="A48" s="136" t="s">
        <v>129</v>
      </c>
      <c r="B48" s="1" t="s">
        <v>130</v>
      </c>
      <c r="C48" s="137">
        <v>-6835</v>
      </c>
      <c r="D48" s="137">
        <v>-1031</v>
      </c>
      <c r="E48" s="137">
        <v>4140</v>
      </c>
      <c r="F48" s="114">
        <f>SUM(C48:E48)</f>
        <v>-3726</v>
      </c>
      <c r="H48" s="137">
        <v>-19</v>
      </c>
    </row>
    <row r="49" spans="1:8" ht="12.75" customHeight="1">
      <c r="A49" s="136" t="s">
        <v>133</v>
      </c>
      <c r="B49" s="1" t="s">
        <v>134</v>
      </c>
      <c r="C49" s="137">
        <v>-331450</v>
      </c>
      <c r="D49" s="137">
        <v>165522</v>
      </c>
      <c r="E49" s="137">
        <v>-272134</v>
      </c>
      <c r="F49" s="114">
        <f>SUM(C49:E49)</f>
        <v>-438062</v>
      </c>
      <c r="H49" s="137">
        <v>-74792</v>
      </c>
    </row>
    <row r="50" spans="1:8" ht="12.75" customHeight="1">
      <c r="A50" s="136" t="s">
        <v>137</v>
      </c>
      <c r="B50" s="1" t="s">
        <v>138</v>
      </c>
      <c r="C50" s="137">
        <v>0</v>
      </c>
      <c r="D50" s="137">
        <v>-1045</v>
      </c>
      <c r="E50" s="137">
        <v>95924</v>
      </c>
      <c r="F50" s="114">
        <f>SUM(C50:E50)</f>
        <v>94879</v>
      </c>
      <c r="H50" s="137">
        <v>-94878</v>
      </c>
    </row>
    <row r="51" spans="1:8" ht="12.75" customHeight="1">
      <c r="A51" s="1" t="s">
        <v>366</v>
      </c>
      <c r="C51" s="137">
        <f>SUM(C48:C50)</f>
        <v>-338285</v>
      </c>
      <c r="D51" s="137">
        <f>SUM(D48:D50)</f>
        <v>163446</v>
      </c>
      <c r="E51" s="137">
        <f>SUM(E48:E50)</f>
        <v>-172070</v>
      </c>
      <c r="F51" s="114">
        <f>SUM(C51:E51)</f>
        <v>-346909</v>
      </c>
      <c r="H51" s="137">
        <f>SUM(H48:H50)</f>
        <v>-169689</v>
      </c>
    </row>
    <row r="53" spans="1:8" ht="12.75" customHeight="1">
      <c r="A53" s="136" t="s">
        <v>141</v>
      </c>
      <c r="B53" s="1" t="s">
        <v>142</v>
      </c>
      <c r="C53" s="137">
        <v>-634584</v>
      </c>
      <c r="D53" s="137">
        <v>-31930</v>
      </c>
      <c r="E53" s="137">
        <v>-33963</v>
      </c>
      <c r="F53" s="114">
        <f t="shared" ref="F53:F64" si="1">SUM(C53:E53)</f>
        <v>-700477</v>
      </c>
      <c r="H53" s="137">
        <v>-8607</v>
      </c>
    </row>
    <row r="54" spans="1:8" ht="12.75" customHeight="1">
      <c r="A54" s="136">
        <v>2740500</v>
      </c>
      <c r="B54" s="1" t="s">
        <v>144</v>
      </c>
      <c r="C54" s="137">
        <v>-22500</v>
      </c>
      <c r="D54" s="114">
        <v>0</v>
      </c>
      <c r="E54" s="137">
        <v>0</v>
      </c>
      <c r="F54" s="114">
        <f t="shared" si="1"/>
        <v>-22500</v>
      </c>
      <c r="H54" s="137">
        <v>0</v>
      </c>
    </row>
    <row r="55" spans="1:8" ht="12.75" customHeight="1">
      <c r="A55" s="136" t="s">
        <v>145</v>
      </c>
      <c r="B55" s="1" t="s">
        <v>146</v>
      </c>
      <c r="C55" s="137">
        <v>0</v>
      </c>
      <c r="D55" s="137">
        <v>0</v>
      </c>
      <c r="E55" s="137">
        <v>0</v>
      </c>
      <c r="F55" s="114">
        <f t="shared" si="1"/>
        <v>0</v>
      </c>
      <c r="H55" s="137">
        <v>0</v>
      </c>
    </row>
    <row r="56" spans="1:8" ht="12.75" customHeight="1">
      <c r="A56" s="136" t="s">
        <v>367</v>
      </c>
      <c r="B56" s="1" t="s">
        <v>368</v>
      </c>
      <c r="C56" s="137">
        <v>0</v>
      </c>
      <c r="D56" s="137">
        <v>0</v>
      </c>
      <c r="E56" s="137">
        <v>15904</v>
      </c>
      <c r="F56" s="114">
        <f t="shared" si="1"/>
        <v>15904</v>
      </c>
      <c r="H56" s="137">
        <v>-15903</v>
      </c>
    </row>
    <row r="57" spans="1:8" ht="12.75" customHeight="1">
      <c r="A57" s="136" t="s">
        <v>147</v>
      </c>
      <c r="B57" s="1" t="s">
        <v>148</v>
      </c>
      <c r="C57" s="137">
        <v>-9100</v>
      </c>
      <c r="D57" s="137">
        <v>8900</v>
      </c>
      <c r="E57" s="137">
        <v>200</v>
      </c>
      <c r="F57" s="114">
        <f t="shared" si="1"/>
        <v>0</v>
      </c>
      <c r="H57" s="137">
        <v>0</v>
      </c>
    </row>
    <row r="58" spans="1:8" ht="12.75" customHeight="1">
      <c r="A58" s="136" t="s">
        <v>149</v>
      </c>
      <c r="B58" s="1" t="s">
        <v>150</v>
      </c>
      <c r="C58" s="137">
        <v>0</v>
      </c>
      <c r="D58" s="137">
        <v>-36832</v>
      </c>
      <c r="E58" s="137">
        <v>36832</v>
      </c>
      <c r="F58" s="114">
        <f t="shared" si="1"/>
        <v>0</v>
      </c>
      <c r="H58" s="137">
        <v>0</v>
      </c>
    </row>
    <row r="59" spans="1:8" ht="12.75" customHeight="1">
      <c r="A59" s="136" t="s">
        <v>151</v>
      </c>
      <c r="B59" s="1" t="s">
        <v>152</v>
      </c>
      <c r="C59" s="137">
        <v>0</v>
      </c>
      <c r="D59" s="137">
        <v>-675</v>
      </c>
      <c r="E59" s="137">
        <v>675</v>
      </c>
      <c r="F59" s="114">
        <f t="shared" si="1"/>
        <v>0</v>
      </c>
      <c r="H59" s="137">
        <v>0</v>
      </c>
    </row>
    <row r="60" spans="1:8" ht="12.75" customHeight="1">
      <c r="A60" s="136" t="s">
        <v>155</v>
      </c>
      <c r="B60" s="1" t="s">
        <v>156</v>
      </c>
      <c r="C60" s="137">
        <v>-40182</v>
      </c>
      <c r="D60" s="137">
        <v>24</v>
      </c>
      <c r="E60" s="137">
        <v>-723</v>
      </c>
      <c r="F60" s="114">
        <f t="shared" si="1"/>
        <v>-40881</v>
      </c>
      <c r="H60" s="137">
        <v>38680</v>
      </c>
    </row>
    <row r="61" spans="1:8" ht="12.75" customHeight="1">
      <c r="A61" s="136" t="s">
        <v>157</v>
      </c>
      <c r="B61" s="1" t="s">
        <v>158</v>
      </c>
      <c r="C61" s="137">
        <v>0</v>
      </c>
      <c r="D61" s="137">
        <v>0</v>
      </c>
      <c r="E61" s="137">
        <v>0</v>
      </c>
      <c r="F61" s="114">
        <f t="shared" si="1"/>
        <v>0</v>
      </c>
      <c r="H61" s="137">
        <v>0</v>
      </c>
    </row>
    <row r="62" spans="1:8" ht="12.75" customHeight="1">
      <c r="A62" s="136" t="s">
        <v>159</v>
      </c>
      <c r="B62" s="1" t="s">
        <v>160</v>
      </c>
      <c r="C62" s="137">
        <v>-5040</v>
      </c>
      <c r="D62" s="137">
        <v>-8128</v>
      </c>
      <c r="E62" s="137">
        <v>33168</v>
      </c>
      <c r="F62" s="114">
        <f t="shared" si="1"/>
        <v>20000</v>
      </c>
      <c r="H62" s="137">
        <v>20000</v>
      </c>
    </row>
    <row r="63" spans="1:8" ht="12.75" customHeight="1">
      <c r="A63" s="136" t="s">
        <v>161</v>
      </c>
      <c r="B63" s="1" t="s">
        <v>162</v>
      </c>
      <c r="C63" s="137">
        <v>-640</v>
      </c>
      <c r="D63" s="137">
        <v>640</v>
      </c>
      <c r="E63" s="137">
        <v>0</v>
      </c>
      <c r="F63" s="114">
        <f t="shared" si="1"/>
        <v>0</v>
      </c>
      <c r="H63" s="137">
        <v>0</v>
      </c>
    </row>
    <row r="64" spans="1:8" ht="12.75" customHeight="1">
      <c r="A64" s="136" t="s">
        <v>163</v>
      </c>
      <c r="B64" s="1" t="s">
        <v>164</v>
      </c>
      <c r="C64" s="137">
        <v>-117044</v>
      </c>
      <c r="D64" s="137">
        <v>-23728</v>
      </c>
      <c r="E64" s="137">
        <v>10923</v>
      </c>
      <c r="F64" s="114">
        <f t="shared" si="1"/>
        <v>-129849</v>
      </c>
      <c r="H64" s="137">
        <f>-20427-5</f>
        <v>-20432</v>
      </c>
    </row>
    <row r="65" spans="1:10" ht="12.75" customHeight="1">
      <c r="A65" s="1" t="s">
        <v>369</v>
      </c>
      <c r="C65" s="137">
        <f>SUM(C53:C64)</f>
        <v>-829090</v>
      </c>
      <c r="D65" s="137">
        <f>SUM(D53:D64)</f>
        <v>-91729</v>
      </c>
      <c r="E65" s="137">
        <f>SUM(E53:E64)</f>
        <v>63016</v>
      </c>
      <c r="F65" s="114">
        <f>SUM(C65:E65)</f>
        <v>-857803</v>
      </c>
      <c r="H65" s="137">
        <f>SUM(H53:H64)</f>
        <v>13738</v>
      </c>
    </row>
    <row r="67" spans="1:10" ht="12.75" customHeight="1">
      <c r="F67" s="137">
        <f>F65+F51+F46+F42+F37+F31+F22+F18+F15+F11+F8</f>
        <v>4752132</v>
      </c>
    </row>
    <row r="68" spans="1:10" ht="12.75" customHeight="1">
      <c r="A68" s="138" t="s">
        <v>370</v>
      </c>
    </row>
    <row r="69" spans="1:10" ht="12.75" customHeight="1">
      <c r="A69" s="136" t="s">
        <v>174</v>
      </c>
      <c r="B69" s="1" t="s">
        <v>175</v>
      </c>
      <c r="D69" s="137">
        <v>-2803935</v>
      </c>
      <c r="E69" s="137">
        <v>-8448106</v>
      </c>
      <c r="F69" s="114">
        <f>SUM(C69:E69)</f>
        <v>-11252041</v>
      </c>
      <c r="H69" s="149">
        <v>-2864512</v>
      </c>
      <c r="I69" s="114">
        <f>H69*4</f>
        <v>-11458048</v>
      </c>
      <c r="J69" s="141">
        <f>I69/1000000</f>
        <v>-11.458048</v>
      </c>
    </row>
    <row r="70" spans="1:10" ht="12.75" customHeight="1">
      <c r="A70" s="136" t="s">
        <v>176</v>
      </c>
      <c r="B70" s="1" t="s">
        <v>177</v>
      </c>
      <c r="D70" s="137">
        <v>68895</v>
      </c>
      <c r="E70" s="137">
        <v>188144</v>
      </c>
      <c r="F70" s="114">
        <f>SUM(C70:E70)</f>
        <v>257039</v>
      </c>
      <c r="H70" s="149">
        <v>66870</v>
      </c>
    </row>
    <row r="71" spans="1:10" ht="12.75" customHeight="1">
      <c r="A71" s="1" t="s">
        <v>381</v>
      </c>
      <c r="D71" s="137">
        <f>SUM(D69:D70)</f>
        <v>-2735040</v>
      </c>
      <c r="E71" s="137">
        <f>SUM(E69:E70)</f>
        <v>-8259962</v>
      </c>
      <c r="F71" s="114">
        <f>SUM(C71:E71)</f>
        <v>-10995002</v>
      </c>
      <c r="H71" s="149">
        <f>SUM(H69:H70)</f>
        <v>-2797642</v>
      </c>
      <c r="I71" s="142">
        <f>H71/H69</f>
        <v>0.97665570959381565</v>
      </c>
      <c r="J71" s="143">
        <f>1-I71</f>
        <v>2.3344290406184354E-2</v>
      </c>
    </row>
    <row r="72" spans="1:10" ht="12.75" customHeight="1">
      <c r="F72" s="144"/>
      <c r="H72" s="149"/>
    </row>
    <row r="73" spans="1:10" ht="12.75" customHeight="1">
      <c r="A73" s="136" t="s">
        <v>182</v>
      </c>
      <c r="B73" s="1" t="s">
        <v>183</v>
      </c>
      <c r="D73" s="137">
        <v>-160225</v>
      </c>
      <c r="E73" s="137">
        <v>-523067</v>
      </c>
      <c r="F73" s="114">
        <f>SUM(C73:E73)</f>
        <v>-683292</v>
      </c>
      <c r="H73" s="149">
        <v>-173416</v>
      </c>
    </row>
    <row r="74" spans="1:10" ht="12.75" customHeight="1">
      <c r="A74" s="136" t="s">
        <v>184</v>
      </c>
      <c r="B74" s="1" t="s">
        <v>185</v>
      </c>
      <c r="D74" s="137">
        <v>19655</v>
      </c>
      <c r="E74" s="137">
        <v>27042</v>
      </c>
      <c r="F74" s="114">
        <f>SUM(C74:E74)</f>
        <v>46697</v>
      </c>
      <c r="H74" s="149">
        <v>8357</v>
      </c>
    </row>
    <row r="75" spans="1:10" ht="12.75" customHeight="1">
      <c r="A75" s="136" t="s">
        <v>186</v>
      </c>
      <c r="B75" s="1" t="s">
        <v>187</v>
      </c>
      <c r="D75" s="137">
        <v>213916</v>
      </c>
      <c r="E75" s="137">
        <v>514502</v>
      </c>
      <c r="F75" s="114">
        <f>SUM(C75:E75)</f>
        <v>728418</v>
      </c>
      <c r="H75" s="149">
        <v>162849</v>
      </c>
    </row>
    <row r="76" spans="1:10" ht="12.75" customHeight="1">
      <c r="A76" s="1" t="s">
        <v>382</v>
      </c>
      <c r="D76" s="137">
        <f>SUM(D73:D75)</f>
        <v>73346</v>
      </c>
      <c r="E76" s="137">
        <f>SUM(E73:E75)</f>
        <v>18477</v>
      </c>
      <c r="F76" s="114">
        <f>SUM(C76:E76)</f>
        <v>91823</v>
      </c>
      <c r="H76" s="149">
        <f>SUM(H73:H75)</f>
        <v>-2210</v>
      </c>
    </row>
    <row r="77" spans="1:10" ht="12.75" customHeight="1">
      <c r="H77" s="147"/>
    </row>
    <row r="78" spans="1:10" ht="12.75" customHeight="1">
      <c r="A78" s="136" t="s">
        <v>198</v>
      </c>
      <c r="B78" s="1" t="s">
        <v>199</v>
      </c>
      <c r="D78" s="137">
        <v>119234</v>
      </c>
      <c r="E78" s="137">
        <v>359128</v>
      </c>
      <c r="F78" s="114">
        <f>SUM(C78:E78)</f>
        <v>478362</v>
      </c>
      <c r="H78" s="147">
        <v>121669</v>
      </c>
    </row>
    <row r="79" spans="1:10" ht="12.75" customHeight="1">
      <c r="A79" s="1" t="s">
        <v>408</v>
      </c>
      <c r="D79" s="137">
        <f>SUM(D78)</f>
        <v>119234</v>
      </c>
      <c r="E79" s="137">
        <f>SUM(E78)</f>
        <v>359128</v>
      </c>
      <c r="F79" s="114">
        <f>SUM(C79:E79)</f>
        <v>478362</v>
      </c>
      <c r="H79" s="149">
        <f>SUM(H78)</f>
        <v>121669</v>
      </c>
    </row>
    <row r="80" spans="1:10" ht="12.75" customHeight="1">
      <c r="H80" s="147"/>
    </row>
    <row r="81" spans="1:8" ht="12.75" customHeight="1">
      <c r="A81" s="136" t="s">
        <v>204</v>
      </c>
      <c r="B81" s="1" t="s">
        <v>205</v>
      </c>
      <c r="D81" s="137">
        <v>895606</v>
      </c>
      <c r="E81" s="137">
        <v>1966185</v>
      </c>
      <c r="F81" s="114">
        <f>SUM(C81:E81)</f>
        <v>2861791</v>
      </c>
      <c r="H81" s="149">
        <v>653662</v>
      </c>
    </row>
    <row r="82" spans="1:8" ht="12.75" customHeight="1">
      <c r="A82" s="136" t="s">
        <v>206</v>
      </c>
      <c r="B82" s="1" t="s">
        <v>207</v>
      </c>
      <c r="C82" s="156"/>
      <c r="D82" s="156">
        <v>-420234</v>
      </c>
      <c r="E82" s="156">
        <v>-1794615</v>
      </c>
      <c r="F82" s="157">
        <f>SUM(D82:E82)</f>
        <v>-2214849</v>
      </c>
      <c r="G82" s="158"/>
      <c r="H82" s="156">
        <v>-485647</v>
      </c>
    </row>
    <row r="83" spans="1:8" ht="12.75" customHeight="1">
      <c r="A83" s="1" t="s">
        <v>384</v>
      </c>
      <c r="D83" s="137">
        <f>SUM(D81:D82)</f>
        <v>475372</v>
      </c>
      <c r="E83" s="137">
        <f>SUM(E81:E82)</f>
        <v>171570</v>
      </c>
      <c r="F83" s="114">
        <f>SUM(C83:E83)</f>
        <v>646942</v>
      </c>
      <c r="H83" s="147">
        <f>SUM(H81:H82)</f>
        <v>168015</v>
      </c>
    </row>
    <row r="84" spans="1:8" ht="12.75" customHeight="1">
      <c r="H84" s="147"/>
    </row>
    <row r="85" spans="1:8" ht="12.75" customHeight="1">
      <c r="A85" s="136" t="s">
        <v>210</v>
      </c>
      <c r="B85" s="1" t="s">
        <v>211</v>
      </c>
      <c r="D85" s="137">
        <v>502624</v>
      </c>
      <c r="E85" s="137">
        <v>1097034</v>
      </c>
      <c r="F85" s="114">
        <f t="shared" ref="F85:F92" si="2">SUM(C85:E85)</f>
        <v>1599658</v>
      </c>
      <c r="H85" s="149">
        <v>473207</v>
      </c>
    </row>
    <row r="86" spans="1:8" ht="12.75" customHeight="1">
      <c r="A86" s="136" t="s">
        <v>212</v>
      </c>
      <c r="B86" s="1" t="s">
        <v>213</v>
      </c>
      <c r="D86" s="137">
        <v>0</v>
      </c>
      <c r="E86" s="137">
        <v>526887</v>
      </c>
      <c r="F86" s="114">
        <f t="shared" si="2"/>
        <v>526887</v>
      </c>
      <c r="H86" s="149">
        <v>526216</v>
      </c>
    </row>
    <row r="87" spans="1:8" ht="12.75" customHeight="1">
      <c r="A87" s="136" t="s">
        <v>214</v>
      </c>
      <c r="B87" s="1" t="s">
        <v>215</v>
      </c>
      <c r="D87" s="137">
        <v>1403</v>
      </c>
      <c r="E87" s="137">
        <v>246042</v>
      </c>
      <c r="F87" s="114">
        <f t="shared" si="2"/>
        <v>247445</v>
      </c>
      <c r="H87" s="149">
        <v>65301</v>
      </c>
    </row>
    <row r="88" spans="1:8" ht="12.75" customHeight="1">
      <c r="A88" s="136" t="s">
        <v>216</v>
      </c>
      <c r="B88" s="1" t="s">
        <v>217</v>
      </c>
      <c r="D88" s="137">
        <v>89393</v>
      </c>
      <c r="E88" s="137">
        <v>444694</v>
      </c>
      <c r="F88" s="114">
        <f t="shared" si="2"/>
        <v>534087</v>
      </c>
      <c r="H88" s="149">
        <v>143177</v>
      </c>
    </row>
    <row r="89" spans="1:8" ht="12.75" customHeight="1">
      <c r="A89" s="136" t="s">
        <v>218</v>
      </c>
      <c r="B89" s="1" t="s">
        <v>219</v>
      </c>
      <c r="D89" s="137">
        <v>136</v>
      </c>
      <c r="E89" s="137">
        <v>99818</v>
      </c>
      <c r="F89" s="114">
        <f t="shared" si="2"/>
        <v>99954</v>
      </c>
      <c r="H89" s="149">
        <v>29292</v>
      </c>
    </row>
    <row r="90" spans="1:8" ht="12.75" customHeight="1">
      <c r="A90" s="136" t="s">
        <v>220</v>
      </c>
      <c r="B90" s="1" t="s">
        <v>221</v>
      </c>
      <c r="D90" s="137">
        <v>1676</v>
      </c>
      <c r="E90" s="137">
        <v>69748</v>
      </c>
      <c r="F90" s="114">
        <f t="shared" si="2"/>
        <v>71424</v>
      </c>
      <c r="H90" s="149">
        <v>18196</v>
      </c>
    </row>
    <row r="91" spans="1:8" ht="12.75" customHeight="1">
      <c r="A91" s="136" t="s">
        <v>385</v>
      </c>
      <c r="B91" s="1" t="s">
        <v>386</v>
      </c>
      <c r="D91" s="137">
        <v>1296</v>
      </c>
      <c r="E91" s="137">
        <v>51189</v>
      </c>
      <c r="F91" s="114">
        <f t="shared" si="2"/>
        <v>52485</v>
      </c>
      <c r="H91" s="149">
        <v>10273</v>
      </c>
    </row>
    <row r="92" spans="1:8" ht="12.75" customHeight="1">
      <c r="A92" s="136" t="s">
        <v>431</v>
      </c>
      <c r="B92" s="1" t="s">
        <v>412</v>
      </c>
      <c r="D92" s="137">
        <v>0</v>
      </c>
      <c r="E92" s="137">
        <v>39569</v>
      </c>
      <c r="F92" s="114">
        <f t="shared" si="2"/>
        <v>39569</v>
      </c>
      <c r="H92" s="147">
        <v>0</v>
      </c>
    </row>
    <row r="93" spans="1:8" ht="12.75" customHeight="1">
      <c r="A93" s="1" t="s">
        <v>387</v>
      </c>
      <c r="D93" s="137">
        <f>SUM(D85:D92)</f>
        <v>596528</v>
      </c>
      <c r="E93" s="137">
        <f>SUM(E85:E92)</f>
        <v>2574981</v>
      </c>
      <c r="F93" s="114">
        <f>SUM(C93:E93)</f>
        <v>3171509</v>
      </c>
      <c r="H93" s="147">
        <f>SUM(H85:H92)</f>
        <v>1265662</v>
      </c>
    </row>
    <row r="94" spans="1:8" ht="12.75" customHeight="1">
      <c r="H94" s="147"/>
    </row>
    <row r="95" spans="1:8" ht="12.75" customHeight="1">
      <c r="A95" s="136" t="s">
        <v>432</v>
      </c>
      <c r="B95" s="1" t="s">
        <v>433</v>
      </c>
      <c r="D95" s="137">
        <v>0</v>
      </c>
      <c r="E95" s="137">
        <v>4200</v>
      </c>
      <c r="F95" s="114">
        <f>SUM(C95:E95)</f>
        <v>4200</v>
      </c>
      <c r="H95" s="149">
        <v>4200</v>
      </c>
    </row>
    <row r="96" spans="1:8" ht="12.75" customHeight="1">
      <c r="A96" s="136" t="s">
        <v>434</v>
      </c>
      <c r="B96" s="1" t="s">
        <v>413</v>
      </c>
      <c r="D96" s="137">
        <v>50501</v>
      </c>
      <c r="E96" s="137">
        <v>0</v>
      </c>
      <c r="F96" s="114">
        <f>SUM(C96:E96)</f>
        <v>50501</v>
      </c>
      <c r="H96" s="149">
        <v>0</v>
      </c>
    </row>
    <row r="97" spans="1:8" ht="12.75" customHeight="1">
      <c r="A97" s="136" t="s">
        <v>226</v>
      </c>
      <c r="B97" s="1" t="s">
        <v>227</v>
      </c>
      <c r="D97" s="137">
        <v>59438</v>
      </c>
      <c r="E97" s="137">
        <v>1481</v>
      </c>
      <c r="F97" s="114">
        <f>SUM(C97:E97)</f>
        <v>60919</v>
      </c>
      <c r="H97" s="149">
        <v>2282</v>
      </c>
    </row>
    <row r="98" spans="1:8" ht="12.75" customHeight="1">
      <c r="A98" s="1" t="s">
        <v>388</v>
      </c>
      <c r="D98" s="137">
        <f>SUM(D95:D97)</f>
        <v>109939</v>
      </c>
      <c r="E98" s="137">
        <f>SUM(E95:E97)</f>
        <v>5681</v>
      </c>
      <c r="F98" s="150">
        <f>SUM(C98:E98)</f>
        <v>115620</v>
      </c>
      <c r="H98" s="147">
        <f>SUM(H95:H97)</f>
        <v>6482</v>
      </c>
    </row>
    <row r="99" spans="1:8" ht="12.75" customHeight="1">
      <c r="H99" s="147"/>
    </row>
    <row r="100" spans="1:8" ht="12.75" customHeight="1">
      <c r="A100" s="136" t="s">
        <v>230</v>
      </c>
      <c r="B100" s="1" t="s">
        <v>231</v>
      </c>
      <c r="D100" s="137">
        <v>306</v>
      </c>
      <c r="E100" s="137">
        <v>837</v>
      </c>
      <c r="F100" s="114">
        <f>SUM(C100:E100)</f>
        <v>1143</v>
      </c>
      <c r="H100" s="147">
        <v>0</v>
      </c>
    </row>
    <row r="101" spans="1:8" ht="12.75" customHeight="1">
      <c r="A101" s="1" t="s">
        <v>389</v>
      </c>
      <c r="D101" s="137">
        <f>SUM(D100)</f>
        <v>306</v>
      </c>
      <c r="E101" s="137">
        <f>SUM(E100)</f>
        <v>837</v>
      </c>
      <c r="F101" s="150">
        <f>SUM(C101:E101)</f>
        <v>1143</v>
      </c>
      <c r="H101" s="147">
        <f>SUM(H100)</f>
        <v>0</v>
      </c>
    </row>
    <row r="102" spans="1:8" ht="12.75" customHeight="1">
      <c r="H102" s="147"/>
    </row>
    <row r="103" spans="1:8" ht="12.75" customHeight="1">
      <c r="A103" s="136" t="s">
        <v>435</v>
      </c>
      <c r="B103" s="1" t="s">
        <v>414</v>
      </c>
      <c r="D103" s="137">
        <v>0</v>
      </c>
      <c r="E103" s="137">
        <v>4385</v>
      </c>
      <c r="F103" s="150">
        <f t="shared" ref="F103:F113" si="3">SUM(C103:E103)</f>
        <v>4385</v>
      </c>
      <c r="H103" s="147">
        <v>0</v>
      </c>
    </row>
    <row r="104" spans="1:8" ht="12.75" customHeight="1">
      <c r="A104" s="136" t="s">
        <v>234</v>
      </c>
      <c r="B104" s="1" t="s">
        <v>235</v>
      </c>
      <c r="D104" s="137">
        <v>13624</v>
      </c>
      <c r="E104" s="137">
        <v>75564</v>
      </c>
      <c r="F104" s="114">
        <f t="shared" si="3"/>
        <v>89188</v>
      </c>
      <c r="H104" s="149">
        <v>28072</v>
      </c>
    </row>
    <row r="105" spans="1:8" ht="12.75" customHeight="1">
      <c r="A105" s="136" t="s">
        <v>236</v>
      </c>
      <c r="B105" s="1" t="s">
        <v>237</v>
      </c>
      <c r="D105" s="137">
        <v>5445</v>
      </c>
      <c r="E105" s="137">
        <v>16335</v>
      </c>
      <c r="F105" s="114">
        <f t="shared" si="3"/>
        <v>21780</v>
      </c>
      <c r="H105" s="149">
        <v>5445</v>
      </c>
    </row>
    <row r="106" spans="1:8" ht="12.75" customHeight="1">
      <c r="A106" s="136" t="s">
        <v>238</v>
      </c>
      <c r="B106" s="1" t="s">
        <v>239</v>
      </c>
      <c r="D106" s="137">
        <v>18714</v>
      </c>
      <c r="E106" s="137">
        <v>85771</v>
      </c>
      <c r="F106" s="114">
        <f t="shared" si="3"/>
        <v>104485</v>
      </c>
      <c r="H106" s="149">
        <v>16927</v>
      </c>
    </row>
    <row r="107" spans="1:8" ht="12.75" customHeight="1">
      <c r="A107" s="136" t="s">
        <v>240</v>
      </c>
      <c r="B107" s="1" t="s">
        <v>241</v>
      </c>
      <c r="D107" s="137">
        <v>1036</v>
      </c>
      <c r="E107" s="137">
        <v>2594</v>
      </c>
      <c r="F107" s="150">
        <f t="shared" si="3"/>
        <v>3630</v>
      </c>
      <c r="H107" s="149"/>
    </row>
    <row r="108" spans="1:8" ht="12.75" customHeight="1">
      <c r="A108" s="136" t="s">
        <v>242</v>
      </c>
      <c r="B108" s="1" t="s">
        <v>243</v>
      </c>
      <c r="D108" s="137">
        <v>79392</v>
      </c>
      <c r="E108" s="137">
        <v>190795</v>
      </c>
      <c r="F108" s="114">
        <f t="shared" si="3"/>
        <v>270187</v>
      </c>
      <c r="H108" s="149">
        <v>39079</v>
      </c>
    </row>
    <row r="109" spans="1:8" ht="12.75" customHeight="1">
      <c r="A109" s="136" t="s">
        <v>244</v>
      </c>
      <c r="B109" s="1" t="s">
        <v>245</v>
      </c>
      <c r="D109" s="137">
        <v>25355</v>
      </c>
      <c r="E109" s="137">
        <v>67982</v>
      </c>
      <c r="F109" s="150">
        <f t="shared" si="3"/>
        <v>93337</v>
      </c>
      <c r="H109" s="147">
        <v>37004</v>
      </c>
    </row>
    <row r="110" spans="1:8" ht="12.75" customHeight="1">
      <c r="A110" s="136" t="s">
        <v>246</v>
      </c>
      <c r="B110" s="1" t="s">
        <v>247</v>
      </c>
      <c r="D110" s="137">
        <v>5445</v>
      </c>
      <c r="E110" s="137">
        <v>0</v>
      </c>
      <c r="F110" s="150">
        <f t="shared" si="3"/>
        <v>5445</v>
      </c>
      <c r="H110" s="149"/>
    </row>
    <row r="111" spans="1:8" ht="12.75" customHeight="1">
      <c r="A111" s="136" t="s">
        <v>248</v>
      </c>
      <c r="B111" s="1" t="s">
        <v>249</v>
      </c>
      <c r="D111" s="137">
        <v>1336</v>
      </c>
      <c r="E111" s="137">
        <v>3959</v>
      </c>
      <c r="F111" s="150">
        <f t="shared" si="3"/>
        <v>5295</v>
      </c>
      <c r="H111" s="147">
        <v>1391</v>
      </c>
    </row>
    <row r="112" spans="1:8" ht="12.75" customHeight="1">
      <c r="A112" s="136" t="s">
        <v>436</v>
      </c>
      <c r="B112" s="1" t="s">
        <v>437</v>
      </c>
      <c r="D112" s="137">
        <v>0</v>
      </c>
      <c r="E112" s="137">
        <v>20000</v>
      </c>
      <c r="F112" s="114">
        <f t="shared" si="3"/>
        <v>20000</v>
      </c>
      <c r="H112" s="147">
        <v>20000</v>
      </c>
    </row>
    <row r="113" spans="1:8" ht="12.75" customHeight="1">
      <c r="A113" s="136" t="s">
        <v>250</v>
      </c>
      <c r="B113" s="1" t="s">
        <v>251</v>
      </c>
      <c r="D113" s="137">
        <v>-4121</v>
      </c>
      <c r="E113" s="137">
        <v>4450</v>
      </c>
      <c r="F113" s="150">
        <f t="shared" si="3"/>
        <v>329</v>
      </c>
      <c r="H113" s="147">
        <v>1210</v>
      </c>
    </row>
    <row r="114" spans="1:8" ht="12.75" customHeight="1">
      <c r="A114" s="1" t="s">
        <v>391</v>
      </c>
      <c r="D114" s="137">
        <f>SUM(D103:D113)</f>
        <v>146226</v>
      </c>
      <c r="E114" s="137">
        <f>SUM(E103:E113)</f>
        <v>471835</v>
      </c>
      <c r="F114" s="114">
        <f>SUM(C114:E114)</f>
        <v>618061</v>
      </c>
      <c r="H114" s="147">
        <f>SUM(H103:H113)+2</f>
        <v>149130</v>
      </c>
    </row>
    <row r="115" spans="1:8" ht="12.75" customHeight="1">
      <c r="H115" s="147"/>
    </row>
    <row r="116" spans="1:8" ht="12.75" customHeight="1">
      <c r="A116" s="136" t="s">
        <v>258</v>
      </c>
      <c r="B116" s="1" t="s">
        <v>259</v>
      </c>
      <c r="E116" s="137">
        <v>0</v>
      </c>
      <c r="F116" s="114">
        <f t="shared" ref="F116:F121" si="4">SUM(C116:E116)</f>
        <v>0</v>
      </c>
      <c r="H116" s="147">
        <v>0</v>
      </c>
    </row>
    <row r="117" spans="1:8" ht="12.75" customHeight="1">
      <c r="A117" s="136" t="s">
        <v>260</v>
      </c>
      <c r="B117" s="1" t="s">
        <v>261</v>
      </c>
      <c r="D117" s="137">
        <v>545642</v>
      </c>
      <c r="E117" s="137">
        <v>1504309</v>
      </c>
      <c r="F117" s="114">
        <f t="shared" si="4"/>
        <v>2049951</v>
      </c>
      <c r="H117" s="147">
        <v>486625</v>
      </c>
    </row>
    <row r="118" spans="1:8" ht="12.75" customHeight="1">
      <c r="A118" s="136" t="s">
        <v>262</v>
      </c>
      <c r="B118" s="1" t="s">
        <v>263</v>
      </c>
      <c r="D118" s="137">
        <v>0</v>
      </c>
      <c r="E118" s="137">
        <v>0</v>
      </c>
      <c r="F118" s="114">
        <f t="shared" si="4"/>
        <v>0</v>
      </c>
      <c r="H118" s="147">
        <v>0</v>
      </c>
    </row>
    <row r="119" spans="1:8" ht="12.75" customHeight="1">
      <c r="A119" s="136">
        <v>4630000</v>
      </c>
      <c r="B119" s="1" t="s">
        <v>265</v>
      </c>
      <c r="D119" s="137">
        <v>0</v>
      </c>
      <c r="E119" s="137">
        <v>0</v>
      </c>
      <c r="F119" s="114">
        <f t="shared" si="4"/>
        <v>0</v>
      </c>
      <c r="H119" s="147">
        <v>0</v>
      </c>
    </row>
    <row r="120" spans="1:8" ht="12.75" customHeight="1">
      <c r="A120" s="136" t="s">
        <v>266</v>
      </c>
      <c r="B120" s="1" t="s">
        <v>267</v>
      </c>
      <c r="D120" s="137">
        <v>113801</v>
      </c>
      <c r="E120" s="137">
        <v>326277</v>
      </c>
      <c r="F120" s="114">
        <f t="shared" si="4"/>
        <v>440078</v>
      </c>
      <c r="H120" s="147">
        <v>111640</v>
      </c>
    </row>
    <row r="121" spans="1:8" ht="12.75" customHeight="1">
      <c r="A121" s="136" t="s">
        <v>393</v>
      </c>
      <c r="D121" s="137">
        <f>SUM(D116:D120)</f>
        <v>659443</v>
      </c>
      <c r="E121" s="137">
        <f>SUM(E116:E120)</f>
        <v>1830586</v>
      </c>
      <c r="F121" s="114">
        <f t="shared" si="4"/>
        <v>2490029</v>
      </c>
      <c r="H121" s="147">
        <f>SUM(H116:H120)</f>
        <v>598265</v>
      </c>
    </row>
    <row r="122" spans="1:8" ht="12.75" customHeight="1">
      <c r="H122" s="147"/>
    </row>
    <row r="123" spans="1:8" ht="12.75" customHeight="1">
      <c r="A123" s="136" t="s">
        <v>272</v>
      </c>
      <c r="B123" s="1" t="s">
        <v>273</v>
      </c>
      <c r="D123" s="137">
        <v>-740409</v>
      </c>
      <c r="E123" s="137">
        <v>-464688</v>
      </c>
      <c r="F123" s="114">
        <f>SUM(C123:E123)</f>
        <v>-1205097</v>
      </c>
      <c r="H123" s="147">
        <v>-153794</v>
      </c>
    </row>
    <row r="124" spans="1:8" ht="12.75" customHeight="1">
      <c r="A124" s="136">
        <v>9500100</v>
      </c>
      <c r="B124" s="1" t="s">
        <v>438</v>
      </c>
      <c r="D124" s="137">
        <v>-165522</v>
      </c>
      <c r="E124" s="137">
        <v>0</v>
      </c>
      <c r="F124" s="114">
        <f>SUM(C124:E124)</f>
        <v>-165522</v>
      </c>
      <c r="H124" s="147">
        <v>0</v>
      </c>
    </row>
    <row r="125" spans="1:8" ht="12.75" customHeight="1">
      <c r="A125" s="136" t="s">
        <v>439</v>
      </c>
      <c r="D125" s="137">
        <f>SUM(D123:D124)</f>
        <v>-905931</v>
      </c>
      <c r="E125" s="137">
        <f>SUM(E123:E124)</f>
        <v>-464688</v>
      </c>
      <c r="F125" s="114">
        <f>SUM(C125:E125)</f>
        <v>-1370619</v>
      </c>
      <c r="H125" s="147">
        <f>SUM(H123:H124)</f>
        <v>-153794</v>
      </c>
    </row>
    <row r="126" spans="1:8" ht="12.75" customHeight="1">
      <c r="H126" s="147"/>
    </row>
    <row r="127" spans="1:8" ht="12.75" customHeight="1">
      <c r="A127" s="1" t="s">
        <v>440</v>
      </c>
      <c r="D127" s="137">
        <f>D71+D76+D79+D83+D93+D98+D101+D114+D121+D125</f>
        <v>-1460577</v>
      </c>
      <c r="E127" s="137">
        <f>E71+E76+E79+E83+E93+E98+E101+E114+E121+E125</f>
        <v>-3291555</v>
      </c>
      <c r="F127" s="137">
        <f>F71+F76+F79+F83+F93+F98+F101+F114+F121+F125</f>
        <v>-4752132</v>
      </c>
      <c r="H127" s="147">
        <f>H71+H76+H79+H83+H93+H98+H101+H114+H121+H125</f>
        <v>-644423</v>
      </c>
    </row>
    <row r="129" spans="6:8" ht="12.75" customHeight="1">
      <c r="F129" s="137"/>
      <c r="H129" s="146">
        <f>H125+H121+H114+H93+H83+H79+H76+H71+H98</f>
        <v>-644423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2"/>
  <sheetViews>
    <sheetView topLeftCell="A18" zoomScaleNormal="100" workbookViewId="0">
      <selection activeCell="H88" sqref="H88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0.109375" style="137" bestFit="1" customWidth="1"/>
    <col min="4" max="4" width="22.6640625" style="147" bestFit="1" customWidth="1"/>
    <col min="5" max="5" width="22.44140625" style="147" bestFit="1" customWidth="1"/>
    <col min="6" max="7" width="22.44140625" style="147" customWidth="1"/>
    <col min="8" max="8" width="18.33203125" style="114" bestFit="1" customWidth="1"/>
    <col min="9" max="9" width="11.88671875" style="1" customWidth="1"/>
    <col min="10" max="10" width="22.44140625" style="137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0.109375" style="1" bestFit="1" customWidth="1"/>
    <col min="260" max="260" width="22.6640625" style="1" bestFit="1" customWidth="1"/>
    <col min="261" max="261" width="22.44140625" style="1" bestFit="1" customWidth="1"/>
    <col min="262" max="263" width="22.44140625" style="1" customWidth="1"/>
    <col min="264" max="264" width="18.33203125" style="1" bestFit="1" customWidth="1"/>
    <col min="265" max="265" width="11.88671875" style="1" customWidth="1"/>
    <col min="266" max="266" width="22.44140625" style="1" customWidth="1"/>
    <col min="267" max="512" width="9.109375" style="1"/>
    <col min="513" max="513" width="21.109375" style="1" bestFit="1" customWidth="1"/>
    <col min="514" max="514" width="70" style="1" bestFit="1" customWidth="1"/>
    <col min="515" max="515" width="20.109375" style="1" bestFit="1" customWidth="1"/>
    <col min="516" max="516" width="22.6640625" style="1" bestFit="1" customWidth="1"/>
    <col min="517" max="517" width="22.44140625" style="1" bestFit="1" customWidth="1"/>
    <col min="518" max="519" width="22.44140625" style="1" customWidth="1"/>
    <col min="520" max="520" width="18.33203125" style="1" bestFit="1" customWidth="1"/>
    <col min="521" max="521" width="11.88671875" style="1" customWidth="1"/>
    <col min="522" max="522" width="22.44140625" style="1" customWidth="1"/>
    <col min="523" max="768" width="9.109375" style="1"/>
    <col min="769" max="769" width="21.109375" style="1" bestFit="1" customWidth="1"/>
    <col min="770" max="770" width="70" style="1" bestFit="1" customWidth="1"/>
    <col min="771" max="771" width="20.109375" style="1" bestFit="1" customWidth="1"/>
    <col min="772" max="772" width="22.6640625" style="1" bestFit="1" customWidth="1"/>
    <col min="773" max="773" width="22.44140625" style="1" bestFit="1" customWidth="1"/>
    <col min="774" max="775" width="22.44140625" style="1" customWidth="1"/>
    <col min="776" max="776" width="18.33203125" style="1" bestFit="1" customWidth="1"/>
    <col min="777" max="777" width="11.88671875" style="1" customWidth="1"/>
    <col min="778" max="778" width="22.44140625" style="1" customWidth="1"/>
    <col min="779" max="1024" width="9.109375" style="1"/>
    <col min="1025" max="1025" width="21.109375" style="1" bestFit="1" customWidth="1"/>
    <col min="1026" max="1026" width="70" style="1" bestFit="1" customWidth="1"/>
    <col min="1027" max="1027" width="20.109375" style="1" bestFit="1" customWidth="1"/>
    <col min="1028" max="1028" width="22.6640625" style="1" bestFit="1" customWidth="1"/>
    <col min="1029" max="1029" width="22.44140625" style="1" bestFit="1" customWidth="1"/>
    <col min="1030" max="1031" width="22.44140625" style="1" customWidth="1"/>
    <col min="1032" max="1032" width="18.33203125" style="1" bestFit="1" customWidth="1"/>
    <col min="1033" max="1033" width="11.88671875" style="1" customWidth="1"/>
    <col min="1034" max="1034" width="22.44140625" style="1" customWidth="1"/>
    <col min="1035" max="1280" width="9.109375" style="1"/>
    <col min="1281" max="1281" width="21.109375" style="1" bestFit="1" customWidth="1"/>
    <col min="1282" max="1282" width="70" style="1" bestFit="1" customWidth="1"/>
    <col min="1283" max="1283" width="20.109375" style="1" bestFit="1" customWidth="1"/>
    <col min="1284" max="1284" width="22.6640625" style="1" bestFit="1" customWidth="1"/>
    <col min="1285" max="1285" width="22.44140625" style="1" bestFit="1" customWidth="1"/>
    <col min="1286" max="1287" width="22.44140625" style="1" customWidth="1"/>
    <col min="1288" max="1288" width="18.33203125" style="1" bestFit="1" customWidth="1"/>
    <col min="1289" max="1289" width="11.88671875" style="1" customWidth="1"/>
    <col min="1290" max="1290" width="22.44140625" style="1" customWidth="1"/>
    <col min="1291" max="1536" width="9.109375" style="1"/>
    <col min="1537" max="1537" width="21.109375" style="1" bestFit="1" customWidth="1"/>
    <col min="1538" max="1538" width="70" style="1" bestFit="1" customWidth="1"/>
    <col min="1539" max="1539" width="20.109375" style="1" bestFit="1" customWidth="1"/>
    <col min="1540" max="1540" width="22.6640625" style="1" bestFit="1" customWidth="1"/>
    <col min="1541" max="1541" width="22.44140625" style="1" bestFit="1" customWidth="1"/>
    <col min="1542" max="1543" width="22.44140625" style="1" customWidth="1"/>
    <col min="1544" max="1544" width="18.33203125" style="1" bestFit="1" customWidth="1"/>
    <col min="1545" max="1545" width="11.88671875" style="1" customWidth="1"/>
    <col min="1546" max="1546" width="22.44140625" style="1" customWidth="1"/>
    <col min="1547" max="1792" width="9.109375" style="1"/>
    <col min="1793" max="1793" width="21.109375" style="1" bestFit="1" customWidth="1"/>
    <col min="1794" max="1794" width="70" style="1" bestFit="1" customWidth="1"/>
    <col min="1795" max="1795" width="20.109375" style="1" bestFit="1" customWidth="1"/>
    <col min="1796" max="1796" width="22.6640625" style="1" bestFit="1" customWidth="1"/>
    <col min="1797" max="1797" width="22.44140625" style="1" bestFit="1" customWidth="1"/>
    <col min="1798" max="1799" width="22.44140625" style="1" customWidth="1"/>
    <col min="1800" max="1800" width="18.33203125" style="1" bestFit="1" customWidth="1"/>
    <col min="1801" max="1801" width="11.88671875" style="1" customWidth="1"/>
    <col min="1802" max="1802" width="22.44140625" style="1" customWidth="1"/>
    <col min="1803" max="2048" width="9.109375" style="1"/>
    <col min="2049" max="2049" width="21.109375" style="1" bestFit="1" customWidth="1"/>
    <col min="2050" max="2050" width="70" style="1" bestFit="1" customWidth="1"/>
    <col min="2051" max="2051" width="20.109375" style="1" bestFit="1" customWidth="1"/>
    <col min="2052" max="2052" width="22.6640625" style="1" bestFit="1" customWidth="1"/>
    <col min="2053" max="2053" width="22.44140625" style="1" bestFit="1" customWidth="1"/>
    <col min="2054" max="2055" width="22.44140625" style="1" customWidth="1"/>
    <col min="2056" max="2056" width="18.33203125" style="1" bestFit="1" customWidth="1"/>
    <col min="2057" max="2057" width="11.88671875" style="1" customWidth="1"/>
    <col min="2058" max="2058" width="22.44140625" style="1" customWidth="1"/>
    <col min="2059" max="2304" width="9.109375" style="1"/>
    <col min="2305" max="2305" width="21.109375" style="1" bestFit="1" customWidth="1"/>
    <col min="2306" max="2306" width="70" style="1" bestFit="1" customWidth="1"/>
    <col min="2307" max="2307" width="20.109375" style="1" bestFit="1" customWidth="1"/>
    <col min="2308" max="2308" width="22.6640625" style="1" bestFit="1" customWidth="1"/>
    <col min="2309" max="2309" width="22.44140625" style="1" bestFit="1" customWidth="1"/>
    <col min="2310" max="2311" width="22.44140625" style="1" customWidth="1"/>
    <col min="2312" max="2312" width="18.33203125" style="1" bestFit="1" customWidth="1"/>
    <col min="2313" max="2313" width="11.88671875" style="1" customWidth="1"/>
    <col min="2314" max="2314" width="22.44140625" style="1" customWidth="1"/>
    <col min="2315" max="2560" width="9.109375" style="1"/>
    <col min="2561" max="2561" width="21.109375" style="1" bestFit="1" customWidth="1"/>
    <col min="2562" max="2562" width="70" style="1" bestFit="1" customWidth="1"/>
    <col min="2563" max="2563" width="20.109375" style="1" bestFit="1" customWidth="1"/>
    <col min="2564" max="2564" width="22.6640625" style="1" bestFit="1" customWidth="1"/>
    <col min="2565" max="2565" width="22.44140625" style="1" bestFit="1" customWidth="1"/>
    <col min="2566" max="2567" width="22.44140625" style="1" customWidth="1"/>
    <col min="2568" max="2568" width="18.33203125" style="1" bestFit="1" customWidth="1"/>
    <col min="2569" max="2569" width="11.88671875" style="1" customWidth="1"/>
    <col min="2570" max="2570" width="22.44140625" style="1" customWidth="1"/>
    <col min="2571" max="2816" width="9.109375" style="1"/>
    <col min="2817" max="2817" width="21.109375" style="1" bestFit="1" customWidth="1"/>
    <col min="2818" max="2818" width="70" style="1" bestFit="1" customWidth="1"/>
    <col min="2819" max="2819" width="20.109375" style="1" bestFit="1" customWidth="1"/>
    <col min="2820" max="2820" width="22.6640625" style="1" bestFit="1" customWidth="1"/>
    <col min="2821" max="2821" width="22.44140625" style="1" bestFit="1" customWidth="1"/>
    <col min="2822" max="2823" width="22.44140625" style="1" customWidth="1"/>
    <col min="2824" max="2824" width="18.33203125" style="1" bestFit="1" customWidth="1"/>
    <col min="2825" max="2825" width="11.88671875" style="1" customWidth="1"/>
    <col min="2826" max="2826" width="22.44140625" style="1" customWidth="1"/>
    <col min="2827" max="3072" width="9.109375" style="1"/>
    <col min="3073" max="3073" width="21.109375" style="1" bestFit="1" customWidth="1"/>
    <col min="3074" max="3074" width="70" style="1" bestFit="1" customWidth="1"/>
    <col min="3075" max="3075" width="20.109375" style="1" bestFit="1" customWidth="1"/>
    <col min="3076" max="3076" width="22.6640625" style="1" bestFit="1" customWidth="1"/>
    <col min="3077" max="3077" width="22.44140625" style="1" bestFit="1" customWidth="1"/>
    <col min="3078" max="3079" width="22.44140625" style="1" customWidth="1"/>
    <col min="3080" max="3080" width="18.33203125" style="1" bestFit="1" customWidth="1"/>
    <col min="3081" max="3081" width="11.88671875" style="1" customWidth="1"/>
    <col min="3082" max="3082" width="22.44140625" style="1" customWidth="1"/>
    <col min="3083" max="3328" width="9.109375" style="1"/>
    <col min="3329" max="3329" width="21.109375" style="1" bestFit="1" customWidth="1"/>
    <col min="3330" max="3330" width="70" style="1" bestFit="1" customWidth="1"/>
    <col min="3331" max="3331" width="20.109375" style="1" bestFit="1" customWidth="1"/>
    <col min="3332" max="3332" width="22.6640625" style="1" bestFit="1" customWidth="1"/>
    <col min="3333" max="3333" width="22.44140625" style="1" bestFit="1" customWidth="1"/>
    <col min="3334" max="3335" width="22.44140625" style="1" customWidth="1"/>
    <col min="3336" max="3336" width="18.33203125" style="1" bestFit="1" customWidth="1"/>
    <col min="3337" max="3337" width="11.88671875" style="1" customWidth="1"/>
    <col min="3338" max="3338" width="22.44140625" style="1" customWidth="1"/>
    <col min="3339" max="3584" width="9.109375" style="1"/>
    <col min="3585" max="3585" width="21.109375" style="1" bestFit="1" customWidth="1"/>
    <col min="3586" max="3586" width="70" style="1" bestFit="1" customWidth="1"/>
    <col min="3587" max="3587" width="20.109375" style="1" bestFit="1" customWidth="1"/>
    <col min="3588" max="3588" width="22.6640625" style="1" bestFit="1" customWidth="1"/>
    <col min="3589" max="3589" width="22.44140625" style="1" bestFit="1" customWidth="1"/>
    <col min="3590" max="3591" width="22.44140625" style="1" customWidth="1"/>
    <col min="3592" max="3592" width="18.33203125" style="1" bestFit="1" customWidth="1"/>
    <col min="3593" max="3593" width="11.88671875" style="1" customWidth="1"/>
    <col min="3594" max="3594" width="22.44140625" style="1" customWidth="1"/>
    <col min="3595" max="3840" width="9.109375" style="1"/>
    <col min="3841" max="3841" width="21.109375" style="1" bestFit="1" customWidth="1"/>
    <col min="3842" max="3842" width="70" style="1" bestFit="1" customWidth="1"/>
    <col min="3843" max="3843" width="20.109375" style="1" bestFit="1" customWidth="1"/>
    <col min="3844" max="3844" width="22.6640625" style="1" bestFit="1" customWidth="1"/>
    <col min="3845" max="3845" width="22.44140625" style="1" bestFit="1" customWidth="1"/>
    <col min="3846" max="3847" width="22.44140625" style="1" customWidth="1"/>
    <col min="3848" max="3848" width="18.33203125" style="1" bestFit="1" customWidth="1"/>
    <col min="3849" max="3849" width="11.88671875" style="1" customWidth="1"/>
    <col min="3850" max="3850" width="22.44140625" style="1" customWidth="1"/>
    <col min="3851" max="4096" width="9.109375" style="1"/>
    <col min="4097" max="4097" width="21.109375" style="1" bestFit="1" customWidth="1"/>
    <col min="4098" max="4098" width="70" style="1" bestFit="1" customWidth="1"/>
    <col min="4099" max="4099" width="20.109375" style="1" bestFit="1" customWidth="1"/>
    <col min="4100" max="4100" width="22.6640625" style="1" bestFit="1" customWidth="1"/>
    <col min="4101" max="4101" width="22.44140625" style="1" bestFit="1" customWidth="1"/>
    <col min="4102" max="4103" width="22.44140625" style="1" customWidth="1"/>
    <col min="4104" max="4104" width="18.33203125" style="1" bestFit="1" customWidth="1"/>
    <col min="4105" max="4105" width="11.88671875" style="1" customWidth="1"/>
    <col min="4106" max="4106" width="22.44140625" style="1" customWidth="1"/>
    <col min="4107" max="4352" width="9.109375" style="1"/>
    <col min="4353" max="4353" width="21.109375" style="1" bestFit="1" customWidth="1"/>
    <col min="4354" max="4354" width="70" style="1" bestFit="1" customWidth="1"/>
    <col min="4355" max="4355" width="20.109375" style="1" bestFit="1" customWidth="1"/>
    <col min="4356" max="4356" width="22.6640625" style="1" bestFit="1" customWidth="1"/>
    <col min="4357" max="4357" width="22.44140625" style="1" bestFit="1" customWidth="1"/>
    <col min="4358" max="4359" width="22.44140625" style="1" customWidth="1"/>
    <col min="4360" max="4360" width="18.33203125" style="1" bestFit="1" customWidth="1"/>
    <col min="4361" max="4361" width="11.88671875" style="1" customWidth="1"/>
    <col min="4362" max="4362" width="22.44140625" style="1" customWidth="1"/>
    <col min="4363" max="4608" width="9.109375" style="1"/>
    <col min="4609" max="4609" width="21.109375" style="1" bestFit="1" customWidth="1"/>
    <col min="4610" max="4610" width="70" style="1" bestFit="1" customWidth="1"/>
    <col min="4611" max="4611" width="20.109375" style="1" bestFit="1" customWidth="1"/>
    <col min="4612" max="4612" width="22.6640625" style="1" bestFit="1" customWidth="1"/>
    <col min="4613" max="4613" width="22.44140625" style="1" bestFit="1" customWidth="1"/>
    <col min="4614" max="4615" width="22.44140625" style="1" customWidth="1"/>
    <col min="4616" max="4616" width="18.33203125" style="1" bestFit="1" customWidth="1"/>
    <col min="4617" max="4617" width="11.88671875" style="1" customWidth="1"/>
    <col min="4618" max="4618" width="22.44140625" style="1" customWidth="1"/>
    <col min="4619" max="4864" width="9.109375" style="1"/>
    <col min="4865" max="4865" width="21.109375" style="1" bestFit="1" customWidth="1"/>
    <col min="4866" max="4866" width="70" style="1" bestFit="1" customWidth="1"/>
    <col min="4867" max="4867" width="20.109375" style="1" bestFit="1" customWidth="1"/>
    <col min="4868" max="4868" width="22.6640625" style="1" bestFit="1" customWidth="1"/>
    <col min="4869" max="4869" width="22.44140625" style="1" bestFit="1" customWidth="1"/>
    <col min="4870" max="4871" width="22.44140625" style="1" customWidth="1"/>
    <col min="4872" max="4872" width="18.33203125" style="1" bestFit="1" customWidth="1"/>
    <col min="4873" max="4873" width="11.88671875" style="1" customWidth="1"/>
    <col min="4874" max="4874" width="22.44140625" style="1" customWidth="1"/>
    <col min="4875" max="5120" width="9.109375" style="1"/>
    <col min="5121" max="5121" width="21.109375" style="1" bestFit="1" customWidth="1"/>
    <col min="5122" max="5122" width="70" style="1" bestFit="1" customWidth="1"/>
    <col min="5123" max="5123" width="20.109375" style="1" bestFit="1" customWidth="1"/>
    <col min="5124" max="5124" width="22.6640625" style="1" bestFit="1" customWidth="1"/>
    <col min="5125" max="5125" width="22.44140625" style="1" bestFit="1" customWidth="1"/>
    <col min="5126" max="5127" width="22.44140625" style="1" customWidth="1"/>
    <col min="5128" max="5128" width="18.33203125" style="1" bestFit="1" customWidth="1"/>
    <col min="5129" max="5129" width="11.88671875" style="1" customWidth="1"/>
    <col min="5130" max="5130" width="22.44140625" style="1" customWidth="1"/>
    <col min="5131" max="5376" width="9.109375" style="1"/>
    <col min="5377" max="5377" width="21.109375" style="1" bestFit="1" customWidth="1"/>
    <col min="5378" max="5378" width="70" style="1" bestFit="1" customWidth="1"/>
    <col min="5379" max="5379" width="20.109375" style="1" bestFit="1" customWidth="1"/>
    <col min="5380" max="5380" width="22.6640625" style="1" bestFit="1" customWidth="1"/>
    <col min="5381" max="5381" width="22.44140625" style="1" bestFit="1" customWidth="1"/>
    <col min="5382" max="5383" width="22.44140625" style="1" customWidth="1"/>
    <col min="5384" max="5384" width="18.33203125" style="1" bestFit="1" customWidth="1"/>
    <col min="5385" max="5385" width="11.88671875" style="1" customWidth="1"/>
    <col min="5386" max="5386" width="22.44140625" style="1" customWidth="1"/>
    <col min="5387" max="5632" width="9.109375" style="1"/>
    <col min="5633" max="5633" width="21.109375" style="1" bestFit="1" customWidth="1"/>
    <col min="5634" max="5634" width="70" style="1" bestFit="1" customWidth="1"/>
    <col min="5635" max="5635" width="20.109375" style="1" bestFit="1" customWidth="1"/>
    <col min="5636" max="5636" width="22.6640625" style="1" bestFit="1" customWidth="1"/>
    <col min="5637" max="5637" width="22.44140625" style="1" bestFit="1" customWidth="1"/>
    <col min="5638" max="5639" width="22.44140625" style="1" customWidth="1"/>
    <col min="5640" max="5640" width="18.33203125" style="1" bestFit="1" customWidth="1"/>
    <col min="5641" max="5641" width="11.88671875" style="1" customWidth="1"/>
    <col min="5642" max="5642" width="22.44140625" style="1" customWidth="1"/>
    <col min="5643" max="5888" width="9.109375" style="1"/>
    <col min="5889" max="5889" width="21.109375" style="1" bestFit="1" customWidth="1"/>
    <col min="5890" max="5890" width="70" style="1" bestFit="1" customWidth="1"/>
    <col min="5891" max="5891" width="20.109375" style="1" bestFit="1" customWidth="1"/>
    <col min="5892" max="5892" width="22.6640625" style="1" bestFit="1" customWidth="1"/>
    <col min="5893" max="5893" width="22.44140625" style="1" bestFit="1" customWidth="1"/>
    <col min="5894" max="5895" width="22.44140625" style="1" customWidth="1"/>
    <col min="5896" max="5896" width="18.33203125" style="1" bestFit="1" customWidth="1"/>
    <col min="5897" max="5897" width="11.88671875" style="1" customWidth="1"/>
    <col min="5898" max="5898" width="22.44140625" style="1" customWidth="1"/>
    <col min="5899" max="6144" width="9.109375" style="1"/>
    <col min="6145" max="6145" width="21.109375" style="1" bestFit="1" customWidth="1"/>
    <col min="6146" max="6146" width="70" style="1" bestFit="1" customWidth="1"/>
    <col min="6147" max="6147" width="20.109375" style="1" bestFit="1" customWidth="1"/>
    <col min="6148" max="6148" width="22.6640625" style="1" bestFit="1" customWidth="1"/>
    <col min="6149" max="6149" width="22.44140625" style="1" bestFit="1" customWidth="1"/>
    <col min="6150" max="6151" width="22.44140625" style="1" customWidth="1"/>
    <col min="6152" max="6152" width="18.33203125" style="1" bestFit="1" customWidth="1"/>
    <col min="6153" max="6153" width="11.88671875" style="1" customWidth="1"/>
    <col min="6154" max="6154" width="22.44140625" style="1" customWidth="1"/>
    <col min="6155" max="6400" width="9.109375" style="1"/>
    <col min="6401" max="6401" width="21.109375" style="1" bestFit="1" customWidth="1"/>
    <col min="6402" max="6402" width="70" style="1" bestFit="1" customWidth="1"/>
    <col min="6403" max="6403" width="20.109375" style="1" bestFit="1" customWidth="1"/>
    <col min="6404" max="6404" width="22.6640625" style="1" bestFit="1" customWidth="1"/>
    <col min="6405" max="6405" width="22.44140625" style="1" bestFit="1" customWidth="1"/>
    <col min="6406" max="6407" width="22.44140625" style="1" customWidth="1"/>
    <col min="6408" max="6408" width="18.33203125" style="1" bestFit="1" customWidth="1"/>
    <col min="6409" max="6409" width="11.88671875" style="1" customWidth="1"/>
    <col min="6410" max="6410" width="22.44140625" style="1" customWidth="1"/>
    <col min="6411" max="6656" width="9.109375" style="1"/>
    <col min="6657" max="6657" width="21.109375" style="1" bestFit="1" customWidth="1"/>
    <col min="6658" max="6658" width="70" style="1" bestFit="1" customWidth="1"/>
    <col min="6659" max="6659" width="20.109375" style="1" bestFit="1" customWidth="1"/>
    <col min="6660" max="6660" width="22.6640625" style="1" bestFit="1" customWidth="1"/>
    <col min="6661" max="6661" width="22.44140625" style="1" bestFit="1" customWidth="1"/>
    <col min="6662" max="6663" width="22.44140625" style="1" customWidth="1"/>
    <col min="6664" max="6664" width="18.33203125" style="1" bestFit="1" customWidth="1"/>
    <col min="6665" max="6665" width="11.88671875" style="1" customWidth="1"/>
    <col min="6666" max="6666" width="22.44140625" style="1" customWidth="1"/>
    <col min="6667" max="6912" width="9.109375" style="1"/>
    <col min="6913" max="6913" width="21.109375" style="1" bestFit="1" customWidth="1"/>
    <col min="6914" max="6914" width="70" style="1" bestFit="1" customWidth="1"/>
    <col min="6915" max="6915" width="20.109375" style="1" bestFit="1" customWidth="1"/>
    <col min="6916" max="6916" width="22.6640625" style="1" bestFit="1" customWidth="1"/>
    <col min="6917" max="6917" width="22.44140625" style="1" bestFit="1" customWidth="1"/>
    <col min="6918" max="6919" width="22.44140625" style="1" customWidth="1"/>
    <col min="6920" max="6920" width="18.33203125" style="1" bestFit="1" customWidth="1"/>
    <col min="6921" max="6921" width="11.88671875" style="1" customWidth="1"/>
    <col min="6922" max="6922" width="22.44140625" style="1" customWidth="1"/>
    <col min="6923" max="7168" width="9.109375" style="1"/>
    <col min="7169" max="7169" width="21.109375" style="1" bestFit="1" customWidth="1"/>
    <col min="7170" max="7170" width="70" style="1" bestFit="1" customWidth="1"/>
    <col min="7171" max="7171" width="20.109375" style="1" bestFit="1" customWidth="1"/>
    <col min="7172" max="7172" width="22.6640625" style="1" bestFit="1" customWidth="1"/>
    <col min="7173" max="7173" width="22.44140625" style="1" bestFit="1" customWidth="1"/>
    <col min="7174" max="7175" width="22.44140625" style="1" customWidth="1"/>
    <col min="7176" max="7176" width="18.33203125" style="1" bestFit="1" customWidth="1"/>
    <col min="7177" max="7177" width="11.88671875" style="1" customWidth="1"/>
    <col min="7178" max="7178" width="22.44140625" style="1" customWidth="1"/>
    <col min="7179" max="7424" width="9.109375" style="1"/>
    <col min="7425" max="7425" width="21.109375" style="1" bestFit="1" customWidth="1"/>
    <col min="7426" max="7426" width="70" style="1" bestFit="1" customWidth="1"/>
    <col min="7427" max="7427" width="20.109375" style="1" bestFit="1" customWidth="1"/>
    <col min="7428" max="7428" width="22.6640625" style="1" bestFit="1" customWidth="1"/>
    <col min="7429" max="7429" width="22.44140625" style="1" bestFit="1" customWidth="1"/>
    <col min="7430" max="7431" width="22.44140625" style="1" customWidth="1"/>
    <col min="7432" max="7432" width="18.33203125" style="1" bestFit="1" customWidth="1"/>
    <col min="7433" max="7433" width="11.88671875" style="1" customWidth="1"/>
    <col min="7434" max="7434" width="22.44140625" style="1" customWidth="1"/>
    <col min="7435" max="7680" width="9.109375" style="1"/>
    <col min="7681" max="7681" width="21.109375" style="1" bestFit="1" customWidth="1"/>
    <col min="7682" max="7682" width="70" style="1" bestFit="1" customWidth="1"/>
    <col min="7683" max="7683" width="20.109375" style="1" bestFit="1" customWidth="1"/>
    <col min="7684" max="7684" width="22.6640625" style="1" bestFit="1" customWidth="1"/>
    <col min="7685" max="7685" width="22.44140625" style="1" bestFit="1" customWidth="1"/>
    <col min="7686" max="7687" width="22.44140625" style="1" customWidth="1"/>
    <col min="7688" max="7688" width="18.33203125" style="1" bestFit="1" customWidth="1"/>
    <col min="7689" max="7689" width="11.88671875" style="1" customWidth="1"/>
    <col min="7690" max="7690" width="22.44140625" style="1" customWidth="1"/>
    <col min="7691" max="7936" width="9.109375" style="1"/>
    <col min="7937" max="7937" width="21.109375" style="1" bestFit="1" customWidth="1"/>
    <col min="7938" max="7938" width="70" style="1" bestFit="1" customWidth="1"/>
    <col min="7939" max="7939" width="20.109375" style="1" bestFit="1" customWidth="1"/>
    <col min="7940" max="7940" width="22.6640625" style="1" bestFit="1" customWidth="1"/>
    <col min="7941" max="7941" width="22.44140625" style="1" bestFit="1" customWidth="1"/>
    <col min="7942" max="7943" width="22.44140625" style="1" customWidth="1"/>
    <col min="7944" max="7944" width="18.33203125" style="1" bestFit="1" customWidth="1"/>
    <col min="7945" max="7945" width="11.88671875" style="1" customWidth="1"/>
    <col min="7946" max="7946" width="22.44140625" style="1" customWidth="1"/>
    <col min="7947" max="8192" width="9.109375" style="1"/>
    <col min="8193" max="8193" width="21.109375" style="1" bestFit="1" customWidth="1"/>
    <col min="8194" max="8194" width="70" style="1" bestFit="1" customWidth="1"/>
    <col min="8195" max="8195" width="20.109375" style="1" bestFit="1" customWidth="1"/>
    <col min="8196" max="8196" width="22.6640625" style="1" bestFit="1" customWidth="1"/>
    <col min="8197" max="8197" width="22.44140625" style="1" bestFit="1" customWidth="1"/>
    <col min="8198" max="8199" width="22.44140625" style="1" customWidth="1"/>
    <col min="8200" max="8200" width="18.33203125" style="1" bestFit="1" customWidth="1"/>
    <col min="8201" max="8201" width="11.88671875" style="1" customWidth="1"/>
    <col min="8202" max="8202" width="22.44140625" style="1" customWidth="1"/>
    <col min="8203" max="8448" width="9.109375" style="1"/>
    <col min="8449" max="8449" width="21.109375" style="1" bestFit="1" customWidth="1"/>
    <col min="8450" max="8450" width="70" style="1" bestFit="1" customWidth="1"/>
    <col min="8451" max="8451" width="20.109375" style="1" bestFit="1" customWidth="1"/>
    <col min="8452" max="8452" width="22.6640625" style="1" bestFit="1" customWidth="1"/>
    <col min="8453" max="8453" width="22.44140625" style="1" bestFit="1" customWidth="1"/>
    <col min="8454" max="8455" width="22.44140625" style="1" customWidth="1"/>
    <col min="8456" max="8456" width="18.33203125" style="1" bestFit="1" customWidth="1"/>
    <col min="8457" max="8457" width="11.88671875" style="1" customWidth="1"/>
    <col min="8458" max="8458" width="22.44140625" style="1" customWidth="1"/>
    <col min="8459" max="8704" width="9.109375" style="1"/>
    <col min="8705" max="8705" width="21.109375" style="1" bestFit="1" customWidth="1"/>
    <col min="8706" max="8706" width="70" style="1" bestFit="1" customWidth="1"/>
    <col min="8707" max="8707" width="20.109375" style="1" bestFit="1" customWidth="1"/>
    <col min="8708" max="8708" width="22.6640625" style="1" bestFit="1" customWidth="1"/>
    <col min="8709" max="8709" width="22.44140625" style="1" bestFit="1" customWidth="1"/>
    <col min="8710" max="8711" width="22.44140625" style="1" customWidth="1"/>
    <col min="8712" max="8712" width="18.33203125" style="1" bestFit="1" customWidth="1"/>
    <col min="8713" max="8713" width="11.88671875" style="1" customWidth="1"/>
    <col min="8714" max="8714" width="22.44140625" style="1" customWidth="1"/>
    <col min="8715" max="8960" width="9.109375" style="1"/>
    <col min="8961" max="8961" width="21.109375" style="1" bestFit="1" customWidth="1"/>
    <col min="8962" max="8962" width="70" style="1" bestFit="1" customWidth="1"/>
    <col min="8963" max="8963" width="20.109375" style="1" bestFit="1" customWidth="1"/>
    <col min="8964" max="8964" width="22.6640625" style="1" bestFit="1" customWidth="1"/>
    <col min="8965" max="8965" width="22.44140625" style="1" bestFit="1" customWidth="1"/>
    <col min="8966" max="8967" width="22.44140625" style="1" customWidth="1"/>
    <col min="8968" max="8968" width="18.33203125" style="1" bestFit="1" customWidth="1"/>
    <col min="8969" max="8969" width="11.88671875" style="1" customWidth="1"/>
    <col min="8970" max="8970" width="22.44140625" style="1" customWidth="1"/>
    <col min="8971" max="9216" width="9.109375" style="1"/>
    <col min="9217" max="9217" width="21.109375" style="1" bestFit="1" customWidth="1"/>
    <col min="9218" max="9218" width="70" style="1" bestFit="1" customWidth="1"/>
    <col min="9219" max="9219" width="20.109375" style="1" bestFit="1" customWidth="1"/>
    <col min="9220" max="9220" width="22.6640625" style="1" bestFit="1" customWidth="1"/>
    <col min="9221" max="9221" width="22.44140625" style="1" bestFit="1" customWidth="1"/>
    <col min="9222" max="9223" width="22.44140625" style="1" customWidth="1"/>
    <col min="9224" max="9224" width="18.33203125" style="1" bestFit="1" customWidth="1"/>
    <col min="9225" max="9225" width="11.88671875" style="1" customWidth="1"/>
    <col min="9226" max="9226" width="22.44140625" style="1" customWidth="1"/>
    <col min="9227" max="9472" width="9.109375" style="1"/>
    <col min="9473" max="9473" width="21.109375" style="1" bestFit="1" customWidth="1"/>
    <col min="9474" max="9474" width="70" style="1" bestFit="1" customWidth="1"/>
    <col min="9475" max="9475" width="20.109375" style="1" bestFit="1" customWidth="1"/>
    <col min="9476" max="9476" width="22.6640625" style="1" bestFit="1" customWidth="1"/>
    <col min="9477" max="9477" width="22.44140625" style="1" bestFit="1" customWidth="1"/>
    <col min="9478" max="9479" width="22.44140625" style="1" customWidth="1"/>
    <col min="9480" max="9480" width="18.33203125" style="1" bestFit="1" customWidth="1"/>
    <col min="9481" max="9481" width="11.88671875" style="1" customWidth="1"/>
    <col min="9482" max="9482" width="22.44140625" style="1" customWidth="1"/>
    <col min="9483" max="9728" width="9.109375" style="1"/>
    <col min="9729" max="9729" width="21.109375" style="1" bestFit="1" customWidth="1"/>
    <col min="9730" max="9730" width="70" style="1" bestFit="1" customWidth="1"/>
    <col min="9731" max="9731" width="20.109375" style="1" bestFit="1" customWidth="1"/>
    <col min="9732" max="9732" width="22.6640625" style="1" bestFit="1" customWidth="1"/>
    <col min="9733" max="9733" width="22.44140625" style="1" bestFit="1" customWidth="1"/>
    <col min="9734" max="9735" width="22.44140625" style="1" customWidth="1"/>
    <col min="9736" max="9736" width="18.33203125" style="1" bestFit="1" customWidth="1"/>
    <col min="9737" max="9737" width="11.88671875" style="1" customWidth="1"/>
    <col min="9738" max="9738" width="22.44140625" style="1" customWidth="1"/>
    <col min="9739" max="9984" width="9.109375" style="1"/>
    <col min="9985" max="9985" width="21.109375" style="1" bestFit="1" customWidth="1"/>
    <col min="9986" max="9986" width="70" style="1" bestFit="1" customWidth="1"/>
    <col min="9987" max="9987" width="20.109375" style="1" bestFit="1" customWidth="1"/>
    <col min="9988" max="9988" width="22.6640625" style="1" bestFit="1" customWidth="1"/>
    <col min="9989" max="9989" width="22.44140625" style="1" bestFit="1" customWidth="1"/>
    <col min="9990" max="9991" width="22.44140625" style="1" customWidth="1"/>
    <col min="9992" max="9992" width="18.33203125" style="1" bestFit="1" customWidth="1"/>
    <col min="9993" max="9993" width="11.88671875" style="1" customWidth="1"/>
    <col min="9994" max="9994" width="22.44140625" style="1" customWidth="1"/>
    <col min="9995" max="10240" width="9.109375" style="1"/>
    <col min="10241" max="10241" width="21.109375" style="1" bestFit="1" customWidth="1"/>
    <col min="10242" max="10242" width="70" style="1" bestFit="1" customWidth="1"/>
    <col min="10243" max="10243" width="20.109375" style="1" bestFit="1" customWidth="1"/>
    <col min="10244" max="10244" width="22.6640625" style="1" bestFit="1" customWidth="1"/>
    <col min="10245" max="10245" width="22.44140625" style="1" bestFit="1" customWidth="1"/>
    <col min="10246" max="10247" width="22.44140625" style="1" customWidth="1"/>
    <col min="10248" max="10248" width="18.33203125" style="1" bestFit="1" customWidth="1"/>
    <col min="10249" max="10249" width="11.88671875" style="1" customWidth="1"/>
    <col min="10250" max="10250" width="22.44140625" style="1" customWidth="1"/>
    <col min="10251" max="10496" width="9.109375" style="1"/>
    <col min="10497" max="10497" width="21.109375" style="1" bestFit="1" customWidth="1"/>
    <col min="10498" max="10498" width="70" style="1" bestFit="1" customWidth="1"/>
    <col min="10499" max="10499" width="20.109375" style="1" bestFit="1" customWidth="1"/>
    <col min="10500" max="10500" width="22.6640625" style="1" bestFit="1" customWidth="1"/>
    <col min="10501" max="10501" width="22.44140625" style="1" bestFit="1" customWidth="1"/>
    <col min="10502" max="10503" width="22.44140625" style="1" customWidth="1"/>
    <col min="10504" max="10504" width="18.33203125" style="1" bestFit="1" customWidth="1"/>
    <col min="10505" max="10505" width="11.88671875" style="1" customWidth="1"/>
    <col min="10506" max="10506" width="22.44140625" style="1" customWidth="1"/>
    <col min="10507" max="10752" width="9.109375" style="1"/>
    <col min="10753" max="10753" width="21.109375" style="1" bestFit="1" customWidth="1"/>
    <col min="10754" max="10754" width="70" style="1" bestFit="1" customWidth="1"/>
    <col min="10755" max="10755" width="20.109375" style="1" bestFit="1" customWidth="1"/>
    <col min="10756" max="10756" width="22.6640625" style="1" bestFit="1" customWidth="1"/>
    <col min="10757" max="10757" width="22.44140625" style="1" bestFit="1" customWidth="1"/>
    <col min="10758" max="10759" width="22.44140625" style="1" customWidth="1"/>
    <col min="10760" max="10760" width="18.33203125" style="1" bestFit="1" customWidth="1"/>
    <col min="10761" max="10761" width="11.88671875" style="1" customWidth="1"/>
    <col min="10762" max="10762" width="22.44140625" style="1" customWidth="1"/>
    <col min="10763" max="11008" width="9.109375" style="1"/>
    <col min="11009" max="11009" width="21.109375" style="1" bestFit="1" customWidth="1"/>
    <col min="11010" max="11010" width="70" style="1" bestFit="1" customWidth="1"/>
    <col min="11011" max="11011" width="20.109375" style="1" bestFit="1" customWidth="1"/>
    <col min="11012" max="11012" width="22.6640625" style="1" bestFit="1" customWidth="1"/>
    <col min="11013" max="11013" width="22.44140625" style="1" bestFit="1" customWidth="1"/>
    <col min="11014" max="11015" width="22.44140625" style="1" customWidth="1"/>
    <col min="11016" max="11016" width="18.33203125" style="1" bestFit="1" customWidth="1"/>
    <col min="11017" max="11017" width="11.88671875" style="1" customWidth="1"/>
    <col min="11018" max="11018" width="22.44140625" style="1" customWidth="1"/>
    <col min="11019" max="11264" width="9.109375" style="1"/>
    <col min="11265" max="11265" width="21.109375" style="1" bestFit="1" customWidth="1"/>
    <col min="11266" max="11266" width="70" style="1" bestFit="1" customWidth="1"/>
    <col min="11267" max="11267" width="20.109375" style="1" bestFit="1" customWidth="1"/>
    <col min="11268" max="11268" width="22.6640625" style="1" bestFit="1" customWidth="1"/>
    <col min="11269" max="11269" width="22.44140625" style="1" bestFit="1" customWidth="1"/>
    <col min="11270" max="11271" width="22.44140625" style="1" customWidth="1"/>
    <col min="11272" max="11272" width="18.33203125" style="1" bestFit="1" customWidth="1"/>
    <col min="11273" max="11273" width="11.88671875" style="1" customWidth="1"/>
    <col min="11274" max="11274" width="22.44140625" style="1" customWidth="1"/>
    <col min="11275" max="11520" width="9.109375" style="1"/>
    <col min="11521" max="11521" width="21.109375" style="1" bestFit="1" customWidth="1"/>
    <col min="11522" max="11522" width="70" style="1" bestFit="1" customWidth="1"/>
    <col min="11523" max="11523" width="20.109375" style="1" bestFit="1" customWidth="1"/>
    <col min="11524" max="11524" width="22.6640625" style="1" bestFit="1" customWidth="1"/>
    <col min="11525" max="11525" width="22.44140625" style="1" bestFit="1" customWidth="1"/>
    <col min="11526" max="11527" width="22.44140625" style="1" customWidth="1"/>
    <col min="11528" max="11528" width="18.33203125" style="1" bestFit="1" customWidth="1"/>
    <col min="11529" max="11529" width="11.88671875" style="1" customWidth="1"/>
    <col min="11530" max="11530" width="22.44140625" style="1" customWidth="1"/>
    <col min="11531" max="11776" width="9.109375" style="1"/>
    <col min="11777" max="11777" width="21.109375" style="1" bestFit="1" customWidth="1"/>
    <col min="11778" max="11778" width="70" style="1" bestFit="1" customWidth="1"/>
    <col min="11779" max="11779" width="20.109375" style="1" bestFit="1" customWidth="1"/>
    <col min="11780" max="11780" width="22.6640625" style="1" bestFit="1" customWidth="1"/>
    <col min="11781" max="11781" width="22.44140625" style="1" bestFit="1" customWidth="1"/>
    <col min="11782" max="11783" width="22.44140625" style="1" customWidth="1"/>
    <col min="11784" max="11784" width="18.33203125" style="1" bestFit="1" customWidth="1"/>
    <col min="11785" max="11785" width="11.88671875" style="1" customWidth="1"/>
    <col min="11786" max="11786" width="22.44140625" style="1" customWidth="1"/>
    <col min="11787" max="12032" width="9.109375" style="1"/>
    <col min="12033" max="12033" width="21.109375" style="1" bestFit="1" customWidth="1"/>
    <col min="12034" max="12034" width="70" style="1" bestFit="1" customWidth="1"/>
    <col min="12035" max="12035" width="20.109375" style="1" bestFit="1" customWidth="1"/>
    <col min="12036" max="12036" width="22.6640625" style="1" bestFit="1" customWidth="1"/>
    <col min="12037" max="12037" width="22.44140625" style="1" bestFit="1" customWidth="1"/>
    <col min="12038" max="12039" width="22.44140625" style="1" customWidth="1"/>
    <col min="12040" max="12040" width="18.33203125" style="1" bestFit="1" customWidth="1"/>
    <col min="12041" max="12041" width="11.88671875" style="1" customWidth="1"/>
    <col min="12042" max="12042" width="22.44140625" style="1" customWidth="1"/>
    <col min="12043" max="12288" width="9.109375" style="1"/>
    <col min="12289" max="12289" width="21.109375" style="1" bestFit="1" customWidth="1"/>
    <col min="12290" max="12290" width="70" style="1" bestFit="1" customWidth="1"/>
    <col min="12291" max="12291" width="20.109375" style="1" bestFit="1" customWidth="1"/>
    <col min="12292" max="12292" width="22.6640625" style="1" bestFit="1" customWidth="1"/>
    <col min="12293" max="12293" width="22.44140625" style="1" bestFit="1" customWidth="1"/>
    <col min="12294" max="12295" width="22.44140625" style="1" customWidth="1"/>
    <col min="12296" max="12296" width="18.33203125" style="1" bestFit="1" customWidth="1"/>
    <col min="12297" max="12297" width="11.88671875" style="1" customWidth="1"/>
    <col min="12298" max="12298" width="22.44140625" style="1" customWidth="1"/>
    <col min="12299" max="12544" width="9.109375" style="1"/>
    <col min="12545" max="12545" width="21.109375" style="1" bestFit="1" customWidth="1"/>
    <col min="12546" max="12546" width="70" style="1" bestFit="1" customWidth="1"/>
    <col min="12547" max="12547" width="20.109375" style="1" bestFit="1" customWidth="1"/>
    <col min="12548" max="12548" width="22.6640625" style="1" bestFit="1" customWidth="1"/>
    <col min="12549" max="12549" width="22.44140625" style="1" bestFit="1" customWidth="1"/>
    <col min="12550" max="12551" width="22.44140625" style="1" customWidth="1"/>
    <col min="12552" max="12552" width="18.33203125" style="1" bestFit="1" customWidth="1"/>
    <col min="12553" max="12553" width="11.88671875" style="1" customWidth="1"/>
    <col min="12554" max="12554" width="22.44140625" style="1" customWidth="1"/>
    <col min="12555" max="12800" width="9.109375" style="1"/>
    <col min="12801" max="12801" width="21.109375" style="1" bestFit="1" customWidth="1"/>
    <col min="12802" max="12802" width="70" style="1" bestFit="1" customWidth="1"/>
    <col min="12803" max="12803" width="20.109375" style="1" bestFit="1" customWidth="1"/>
    <col min="12804" max="12804" width="22.6640625" style="1" bestFit="1" customWidth="1"/>
    <col min="12805" max="12805" width="22.44140625" style="1" bestFit="1" customWidth="1"/>
    <col min="12806" max="12807" width="22.44140625" style="1" customWidth="1"/>
    <col min="12808" max="12808" width="18.33203125" style="1" bestFit="1" customWidth="1"/>
    <col min="12809" max="12809" width="11.88671875" style="1" customWidth="1"/>
    <col min="12810" max="12810" width="22.44140625" style="1" customWidth="1"/>
    <col min="12811" max="13056" width="9.109375" style="1"/>
    <col min="13057" max="13057" width="21.109375" style="1" bestFit="1" customWidth="1"/>
    <col min="13058" max="13058" width="70" style="1" bestFit="1" customWidth="1"/>
    <col min="13059" max="13059" width="20.109375" style="1" bestFit="1" customWidth="1"/>
    <col min="13060" max="13060" width="22.6640625" style="1" bestFit="1" customWidth="1"/>
    <col min="13061" max="13061" width="22.44140625" style="1" bestFit="1" customWidth="1"/>
    <col min="13062" max="13063" width="22.44140625" style="1" customWidth="1"/>
    <col min="13064" max="13064" width="18.33203125" style="1" bestFit="1" customWidth="1"/>
    <col min="13065" max="13065" width="11.88671875" style="1" customWidth="1"/>
    <col min="13066" max="13066" width="22.44140625" style="1" customWidth="1"/>
    <col min="13067" max="13312" width="9.109375" style="1"/>
    <col min="13313" max="13313" width="21.109375" style="1" bestFit="1" customWidth="1"/>
    <col min="13314" max="13314" width="70" style="1" bestFit="1" customWidth="1"/>
    <col min="13315" max="13315" width="20.109375" style="1" bestFit="1" customWidth="1"/>
    <col min="13316" max="13316" width="22.6640625" style="1" bestFit="1" customWidth="1"/>
    <col min="13317" max="13317" width="22.44140625" style="1" bestFit="1" customWidth="1"/>
    <col min="13318" max="13319" width="22.44140625" style="1" customWidth="1"/>
    <col min="13320" max="13320" width="18.33203125" style="1" bestFit="1" customWidth="1"/>
    <col min="13321" max="13321" width="11.88671875" style="1" customWidth="1"/>
    <col min="13322" max="13322" width="22.44140625" style="1" customWidth="1"/>
    <col min="13323" max="13568" width="9.109375" style="1"/>
    <col min="13569" max="13569" width="21.109375" style="1" bestFit="1" customWidth="1"/>
    <col min="13570" max="13570" width="70" style="1" bestFit="1" customWidth="1"/>
    <col min="13571" max="13571" width="20.109375" style="1" bestFit="1" customWidth="1"/>
    <col min="13572" max="13572" width="22.6640625" style="1" bestFit="1" customWidth="1"/>
    <col min="13573" max="13573" width="22.44140625" style="1" bestFit="1" customWidth="1"/>
    <col min="13574" max="13575" width="22.44140625" style="1" customWidth="1"/>
    <col min="13576" max="13576" width="18.33203125" style="1" bestFit="1" customWidth="1"/>
    <col min="13577" max="13577" width="11.88671875" style="1" customWidth="1"/>
    <col min="13578" max="13578" width="22.44140625" style="1" customWidth="1"/>
    <col min="13579" max="13824" width="9.109375" style="1"/>
    <col min="13825" max="13825" width="21.109375" style="1" bestFit="1" customWidth="1"/>
    <col min="13826" max="13826" width="70" style="1" bestFit="1" customWidth="1"/>
    <col min="13827" max="13827" width="20.109375" style="1" bestFit="1" customWidth="1"/>
    <col min="13828" max="13828" width="22.6640625" style="1" bestFit="1" customWidth="1"/>
    <col min="13829" max="13829" width="22.44140625" style="1" bestFit="1" customWidth="1"/>
    <col min="13830" max="13831" width="22.44140625" style="1" customWidth="1"/>
    <col min="13832" max="13832" width="18.33203125" style="1" bestFit="1" customWidth="1"/>
    <col min="13833" max="13833" width="11.88671875" style="1" customWidth="1"/>
    <col min="13834" max="13834" width="22.44140625" style="1" customWidth="1"/>
    <col min="13835" max="14080" width="9.109375" style="1"/>
    <col min="14081" max="14081" width="21.109375" style="1" bestFit="1" customWidth="1"/>
    <col min="14082" max="14082" width="70" style="1" bestFit="1" customWidth="1"/>
    <col min="14083" max="14083" width="20.109375" style="1" bestFit="1" customWidth="1"/>
    <col min="14084" max="14084" width="22.6640625" style="1" bestFit="1" customWidth="1"/>
    <col min="14085" max="14085" width="22.44140625" style="1" bestFit="1" customWidth="1"/>
    <col min="14086" max="14087" width="22.44140625" style="1" customWidth="1"/>
    <col min="14088" max="14088" width="18.33203125" style="1" bestFit="1" customWidth="1"/>
    <col min="14089" max="14089" width="11.88671875" style="1" customWidth="1"/>
    <col min="14090" max="14090" width="22.44140625" style="1" customWidth="1"/>
    <col min="14091" max="14336" width="9.109375" style="1"/>
    <col min="14337" max="14337" width="21.109375" style="1" bestFit="1" customWidth="1"/>
    <col min="14338" max="14338" width="70" style="1" bestFit="1" customWidth="1"/>
    <col min="14339" max="14339" width="20.109375" style="1" bestFit="1" customWidth="1"/>
    <col min="14340" max="14340" width="22.6640625" style="1" bestFit="1" customWidth="1"/>
    <col min="14341" max="14341" width="22.44140625" style="1" bestFit="1" customWidth="1"/>
    <col min="14342" max="14343" width="22.44140625" style="1" customWidth="1"/>
    <col min="14344" max="14344" width="18.33203125" style="1" bestFit="1" customWidth="1"/>
    <col min="14345" max="14345" width="11.88671875" style="1" customWidth="1"/>
    <col min="14346" max="14346" width="22.44140625" style="1" customWidth="1"/>
    <col min="14347" max="14592" width="9.109375" style="1"/>
    <col min="14593" max="14593" width="21.109375" style="1" bestFit="1" customWidth="1"/>
    <col min="14594" max="14594" width="70" style="1" bestFit="1" customWidth="1"/>
    <col min="14595" max="14595" width="20.109375" style="1" bestFit="1" customWidth="1"/>
    <col min="14596" max="14596" width="22.6640625" style="1" bestFit="1" customWidth="1"/>
    <col min="14597" max="14597" width="22.44140625" style="1" bestFit="1" customWidth="1"/>
    <col min="14598" max="14599" width="22.44140625" style="1" customWidth="1"/>
    <col min="14600" max="14600" width="18.33203125" style="1" bestFit="1" customWidth="1"/>
    <col min="14601" max="14601" width="11.88671875" style="1" customWidth="1"/>
    <col min="14602" max="14602" width="22.44140625" style="1" customWidth="1"/>
    <col min="14603" max="14848" width="9.109375" style="1"/>
    <col min="14849" max="14849" width="21.109375" style="1" bestFit="1" customWidth="1"/>
    <col min="14850" max="14850" width="70" style="1" bestFit="1" customWidth="1"/>
    <col min="14851" max="14851" width="20.109375" style="1" bestFit="1" customWidth="1"/>
    <col min="14852" max="14852" width="22.6640625" style="1" bestFit="1" customWidth="1"/>
    <col min="14853" max="14853" width="22.44140625" style="1" bestFit="1" customWidth="1"/>
    <col min="14854" max="14855" width="22.44140625" style="1" customWidth="1"/>
    <col min="14856" max="14856" width="18.33203125" style="1" bestFit="1" customWidth="1"/>
    <col min="14857" max="14857" width="11.88671875" style="1" customWidth="1"/>
    <col min="14858" max="14858" width="22.44140625" style="1" customWidth="1"/>
    <col min="14859" max="15104" width="9.109375" style="1"/>
    <col min="15105" max="15105" width="21.109375" style="1" bestFit="1" customWidth="1"/>
    <col min="15106" max="15106" width="70" style="1" bestFit="1" customWidth="1"/>
    <col min="15107" max="15107" width="20.109375" style="1" bestFit="1" customWidth="1"/>
    <col min="15108" max="15108" width="22.6640625" style="1" bestFit="1" customWidth="1"/>
    <col min="15109" max="15109" width="22.44140625" style="1" bestFit="1" customWidth="1"/>
    <col min="15110" max="15111" width="22.44140625" style="1" customWidth="1"/>
    <col min="15112" max="15112" width="18.33203125" style="1" bestFit="1" customWidth="1"/>
    <col min="15113" max="15113" width="11.88671875" style="1" customWidth="1"/>
    <col min="15114" max="15114" width="22.44140625" style="1" customWidth="1"/>
    <col min="15115" max="15360" width="9.109375" style="1"/>
    <col min="15361" max="15361" width="21.109375" style="1" bestFit="1" customWidth="1"/>
    <col min="15362" max="15362" width="70" style="1" bestFit="1" customWidth="1"/>
    <col min="15363" max="15363" width="20.109375" style="1" bestFit="1" customWidth="1"/>
    <col min="15364" max="15364" width="22.6640625" style="1" bestFit="1" customWidth="1"/>
    <col min="15365" max="15365" width="22.44140625" style="1" bestFit="1" customWidth="1"/>
    <col min="15366" max="15367" width="22.44140625" style="1" customWidth="1"/>
    <col min="15368" max="15368" width="18.33203125" style="1" bestFit="1" customWidth="1"/>
    <col min="15369" max="15369" width="11.88671875" style="1" customWidth="1"/>
    <col min="15370" max="15370" width="22.44140625" style="1" customWidth="1"/>
    <col min="15371" max="15616" width="9.109375" style="1"/>
    <col min="15617" max="15617" width="21.109375" style="1" bestFit="1" customWidth="1"/>
    <col min="15618" max="15618" width="70" style="1" bestFit="1" customWidth="1"/>
    <col min="15619" max="15619" width="20.109375" style="1" bestFit="1" customWidth="1"/>
    <col min="15620" max="15620" width="22.6640625" style="1" bestFit="1" customWidth="1"/>
    <col min="15621" max="15621" width="22.44140625" style="1" bestFit="1" customWidth="1"/>
    <col min="15622" max="15623" width="22.44140625" style="1" customWidth="1"/>
    <col min="15624" max="15624" width="18.33203125" style="1" bestFit="1" customWidth="1"/>
    <col min="15625" max="15625" width="11.88671875" style="1" customWidth="1"/>
    <col min="15626" max="15626" width="22.44140625" style="1" customWidth="1"/>
    <col min="15627" max="15872" width="9.109375" style="1"/>
    <col min="15873" max="15873" width="21.109375" style="1" bestFit="1" customWidth="1"/>
    <col min="15874" max="15874" width="70" style="1" bestFit="1" customWidth="1"/>
    <col min="15875" max="15875" width="20.109375" style="1" bestFit="1" customWidth="1"/>
    <col min="15876" max="15876" width="22.6640625" style="1" bestFit="1" customWidth="1"/>
    <col min="15877" max="15877" width="22.44140625" style="1" bestFit="1" customWidth="1"/>
    <col min="15878" max="15879" width="22.44140625" style="1" customWidth="1"/>
    <col min="15880" max="15880" width="18.33203125" style="1" bestFit="1" customWidth="1"/>
    <col min="15881" max="15881" width="11.88671875" style="1" customWidth="1"/>
    <col min="15882" max="15882" width="22.44140625" style="1" customWidth="1"/>
    <col min="15883" max="16128" width="9.109375" style="1"/>
    <col min="16129" max="16129" width="21.109375" style="1" bestFit="1" customWidth="1"/>
    <col min="16130" max="16130" width="70" style="1" bestFit="1" customWidth="1"/>
    <col min="16131" max="16131" width="20.109375" style="1" bestFit="1" customWidth="1"/>
    <col min="16132" max="16132" width="22.6640625" style="1" bestFit="1" customWidth="1"/>
    <col min="16133" max="16133" width="22.44140625" style="1" bestFit="1" customWidth="1"/>
    <col min="16134" max="16135" width="22.44140625" style="1" customWidth="1"/>
    <col min="16136" max="16136" width="18.33203125" style="1" bestFit="1" customWidth="1"/>
    <col min="16137" max="16137" width="11.88671875" style="1" customWidth="1"/>
    <col min="16138" max="16138" width="22.44140625" style="1" customWidth="1"/>
    <col min="16139" max="16384" width="9.109375" style="1"/>
  </cols>
  <sheetData>
    <row r="1" spans="1:9" ht="12.75" customHeight="1">
      <c r="C1" s="137" t="s">
        <v>443</v>
      </c>
      <c r="D1" s="147" t="s">
        <v>444</v>
      </c>
      <c r="E1" s="147" t="s">
        <v>420</v>
      </c>
      <c r="F1" s="147" t="s">
        <v>426</v>
      </c>
      <c r="G1" s="147" t="s">
        <v>445</v>
      </c>
      <c r="H1" s="114" t="s">
        <v>446</v>
      </c>
    </row>
    <row r="3" spans="1:9" ht="12.75" customHeight="1">
      <c r="A3" s="138" t="s">
        <v>16</v>
      </c>
    </row>
    <row r="4" spans="1:9" ht="12.75" customHeight="1">
      <c r="A4" s="136">
        <v>1600200</v>
      </c>
      <c r="B4" s="1" t="s">
        <v>22</v>
      </c>
      <c r="C4" s="137">
        <f>134929585-2259117</f>
        <v>132670468</v>
      </c>
      <c r="F4" s="147">
        <v>0</v>
      </c>
      <c r="H4" s="114">
        <f>SUM(C4:G4)</f>
        <v>132670468</v>
      </c>
      <c r="I4" s="139"/>
    </row>
    <row r="5" spans="1:9" ht="12.75" customHeight="1">
      <c r="A5" s="136" t="s">
        <v>23</v>
      </c>
      <c r="B5" s="1" t="s">
        <v>24</v>
      </c>
      <c r="C5" s="137">
        <f>-8074670+120270</f>
        <v>-7954400</v>
      </c>
      <c r="D5" s="147">
        <v>-662362</v>
      </c>
      <c r="E5" s="147">
        <v>-650161</v>
      </c>
      <c r="F5" s="147">
        <v>-653662</v>
      </c>
      <c r="G5" s="147">
        <v>-656408</v>
      </c>
      <c r="H5" s="114">
        <f t="shared" ref="H5:H65" si="0">SUM(C5:G5)</f>
        <v>-10576993</v>
      </c>
    </row>
    <row r="6" spans="1:9" ht="12.75" customHeight="1">
      <c r="A6" s="136" t="s">
        <v>25</v>
      </c>
      <c r="B6" s="1" t="s">
        <v>26</v>
      </c>
      <c r="D6" s="147">
        <v>-651550</v>
      </c>
      <c r="E6" s="147">
        <v>-1101554</v>
      </c>
      <c r="F6" s="147">
        <v>-462286</v>
      </c>
      <c r="G6" s="147">
        <v>-1443087</v>
      </c>
      <c r="H6" s="161">
        <f>SUM(C6:G6)</f>
        <v>-3658477</v>
      </c>
    </row>
    <row r="7" spans="1:9" ht="12.75" customHeight="1">
      <c r="A7" s="136" t="s">
        <v>427</v>
      </c>
      <c r="B7" s="1" t="s">
        <v>428</v>
      </c>
      <c r="D7" s="147">
        <v>41286</v>
      </c>
      <c r="E7" s="147">
        <v>71536</v>
      </c>
      <c r="F7" s="147">
        <v>33933</v>
      </c>
      <c r="G7" s="147">
        <v>116170</v>
      </c>
      <c r="H7" s="114">
        <f t="shared" si="0"/>
        <v>262925</v>
      </c>
    </row>
    <row r="8" spans="1:9" ht="12.75" customHeight="1">
      <c r="A8" s="1" t="s">
        <v>351</v>
      </c>
      <c r="I8" s="139"/>
    </row>
    <row r="10" spans="1:9" ht="12.75" customHeight="1">
      <c r="A10" s="136" t="s">
        <v>35</v>
      </c>
      <c r="B10" s="1" t="s">
        <v>36</v>
      </c>
      <c r="C10" s="137">
        <v>2396007</v>
      </c>
      <c r="D10" s="147">
        <v>168662</v>
      </c>
      <c r="E10" s="147">
        <v>142232</v>
      </c>
      <c r="F10" s="147">
        <v>153794</v>
      </c>
      <c r="G10" s="147">
        <v>129418</v>
      </c>
      <c r="H10" s="114">
        <f t="shared" si="0"/>
        <v>2990113</v>
      </c>
    </row>
    <row r="11" spans="1:9" ht="12.75" customHeight="1">
      <c r="A11" s="1" t="s">
        <v>352</v>
      </c>
    </row>
    <row r="13" spans="1:9" ht="12.75" customHeight="1">
      <c r="A13" s="136" t="s">
        <v>41</v>
      </c>
      <c r="B13" s="1" t="s">
        <v>42</v>
      </c>
      <c r="C13" s="137">
        <v>119205</v>
      </c>
      <c r="D13" s="147">
        <v>158343</v>
      </c>
      <c r="E13" s="147">
        <v>66045</v>
      </c>
      <c r="F13" s="147">
        <v>-93669</v>
      </c>
      <c r="G13" s="147">
        <v>-177050</v>
      </c>
      <c r="H13" s="114">
        <f t="shared" si="0"/>
        <v>72874</v>
      </c>
    </row>
    <row r="14" spans="1:9" ht="12.75" customHeight="1">
      <c r="A14" s="136" t="s">
        <v>43</v>
      </c>
      <c r="B14" s="1" t="s">
        <v>44</v>
      </c>
      <c r="C14" s="137">
        <v>-64501</v>
      </c>
      <c r="D14" s="147">
        <v>0</v>
      </c>
      <c r="E14" s="147">
        <v>0</v>
      </c>
      <c r="F14" s="147">
        <v>0</v>
      </c>
      <c r="G14" s="147">
        <v>0</v>
      </c>
      <c r="H14" s="114">
        <f t="shared" si="0"/>
        <v>-64501</v>
      </c>
    </row>
    <row r="15" spans="1:9" ht="12.75" customHeight="1">
      <c r="A15" s="1" t="s">
        <v>353</v>
      </c>
    </row>
    <row r="17" spans="1:8" ht="12.75" customHeight="1">
      <c r="A17" s="136">
        <v>2640000</v>
      </c>
      <c r="B17" s="1" t="s">
        <v>48</v>
      </c>
      <c r="C17" s="137">
        <v>110497</v>
      </c>
      <c r="D17" s="147">
        <v>0</v>
      </c>
      <c r="E17" s="147">
        <v>0</v>
      </c>
      <c r="F17" s="147">
        <v>0</v>
      </c>
      <c r="G17" s="147">
        <v>0</v>
      </c>
      <c r="H17" s="114">
        <f t="shared" si="0"/>
        <v>110497</v>
      </c>
    </row>
    <row r="18" spans="1:8" ht="12.75" customHeight="1">
      <c r="A18" s="1" t="s">
        <v>357</v>
      </c>
    </row>
    <row r="20" spans="1:8" ht="12.75" customHeight="1">
      <c r="A20" s="136">
        <v>2040200</v>
      </c>
      <c r="B20" s="1" t="s">
        <v>447</v>
      </c>
      <c r="C20" s="137">
        <v>0</v>
      </c>
      <c r="D20" s="147">
        <v>0</v>
      </c>
      <c r="E20" s="147">
        <v>0</v>
      </c>
      <c r="F20" s="147">
        <v>0</v>
      </c>
      <c r="G20" s="147">
        <v>5000</v>
      </c>
      <c r="H20" s="114">
        <f t="shared" si="0"/>
        <v>5000</v>
      </c>
    </row>
    <row r="21" spans="1:8" ht="12.75" customHeight="1">
      <c r="A21" s="136" t="s">
        <v>53</v>
      </c>
      <c r="B21" s="1" t="s">
        <v>54</v>
      </c>
      <c r="C21" s="137">
        <v>15594</v>
      </c>
      <c r="D21" s="147">
        <v>0</v>
      </c>
      <c r="E21" s="147">
        <v>0</v>
      </c>
      <c r="F21" s="147">
        <v>0</v>
      </c>
      <c r="G21" s="147">
        <v>-15581</v>
      </c>
      <c r="H21" s="114">
        <f t="shared" si="0"/>
        <v>13</v>
      </c>
    </row>
    <row r="22" spans="1:8" ht="12.75" customHeight="1">
      <c r="A22" s="136" t="s">
        <v>55</v>
      </c>
      <c r="B22" s="1" t="s">
        <v>56</v>
      </c>
      <c r="C22" s="137">
        <v>737</v>
      </c>
      <c r="D22" s="147">
        <v>0</v>
      </c>
      <c r="E22" s="147">
        <v>0</v>
      </c>
      <c r="F22" s="147">
        <v>0</v>
      </c>
      <c r="G22" s="147">
        <v>0</v>
      </c>
      <c r="H22" s="114">
        <f t="shared" si="0"/>
        <v>737</v>
      </c>
    </row>
    <row r="23" spans="1:8" ht="12.75" customHeight="1">
      <c r="A23" s="1" t="s">
        <v>407</v>
      </c>
    </row>
    <row r="25" spans="1:8" ht="12.75" customHeight="1">
      <c r="A25" s="136" t="s">
        <v>61</v>
      </c>
      <c r="B25" s="1" t="s">
        <v>62</v>
      </c>
      <c r="C25" s="137">
        <v>0</v>
      </c>
      <c r="D25" s="147">
        <v>672</v>
      </c>
      <c r="E25" s="147">
        <v>-672</v>
      </c>
      <c r="F25" s="147">
        <v>3338</v>
      </c>
      <c r="G25" s="147">
        <v>547</v>
      </c>
      <c r="H25" s="114">
        <f t="shared" si="0"/>
        <v>3885</v>
      </c>
    </row>
    <row r="26" spans="1:8" ht="12.75" customHeight="1">
      <c r="A26" s="136" t="s">
        <v>65</v>
      </c>
      <c r="B26" s="1" t="s">
        <v>66</v>
      </c>
      <c r="C26" s="137">
        <v>986584</v>
      </c>
      <c r="D26" s="147">
        <v>-447623</v>
      </c>
      <c r="E26" s="147">
        <v>-458920</v>
      </c>
      <c r="F26" s="147">
        <v>649658</v>
      </c>
      <c r="G26" s="147">
        <v>1729271</v>
      </c>
      <c r="H26" s="114">
        <f>SUM(C26:G26)-2</f>
        <v>2458968</v>
      </c>
    </row>
    <row r="27" spans="1:8" ht="12.75" customHeight="1">
      <c r="A27" s="136" t="s">
        <v>67</v>
      </c>
      <c r="B27" s="1" t="s">
        <v>68</v>
      </c>
      <c r="C27" s="137">
        <v>9648</v>
      </c>
      <c r="D27" s="147">
        <v>1359967</v>
      </c>
      <c r="E27" s="147">
        <v>-1368856</v>
      </c>
      <c r="F27" s="147">
        <v>12154</v>
      </c>
      <c r="G27" s="147">
        <v>74896</v>
      </c>
      <c r="H27" s="114">
        <f t="shared" si="0"/>
        <v>87809</v>
      </c>
    </row>
    <row r="28" spans="1:8" ht="12.75" customHeight="1">
      <c r="A28" s="136" t="s">
        <v>69</v>
      </c>
      <c r="B28" s="1" t="s">
        <v>70</v>
      </c>
      <c r="C28" s="137">
        <v>191790</v>
      </c>
      <c r="D28" s="147">
        <v>842838</v>
      </c>
      <c r="E28" s="147">
        <v>-1028597</v>
      </c>
      <c r="F28" s="147">
        <v>785758</v>
      </c>
      <c r="G28" s="147">
        <v>-19584</v>
      </c>
      <c r="H28" s="114">
        <f>SUM(C28:G28)+2</f>
        <v>772207</v>
      </c>
    </row>
    <row r="29" spans="1:8" ht="12.75" customHeight="1">
      <c r="A29" s="136" t="s">
        <v>71</v>
      </c>
      <c r="B29" s="1" t="s">
        <v>72</v>
      </c>
      <c r="C29" s="137">
        <v>491534</v>
      </c>
      <c r="D29" s="147">
        <v>109815</v>
      </c>
      <c r="E29" s="147">
        <v>44887</v>
      </c>
      <c r="F29" s="147">
        <v>-62925</v>
      </c>
      <c r="G29" s="147">
        <v>66151</v>
      </c>
      <c r="H29" s="114">
        <f t="shared" si="0"/>
        <v>649462</v>
      </c>
    </row>
    <row r="30" spans="1:8" ht="12.75" customHeight="1">
      <c r="A30" s="136" t="s">
        <v>73</v>
      </c>
      <c r="B30" s="1" t="s">
        <v>74</v>
      </c>
      <c r="C30" s="137">
        <v>415425</v>
      </c>
      <c r="D30" s="147">
        <v>84312</v>
      </c>
      <c r="E30" s="147">
        <v>528567</v>
      </c>
      <c r="F30" s="147">
        <v>-364896</v>
      </c>
      <c r="G30" s="147">
        <v>1098220</v>
      </c>
      <c r="H30" s="114">
        <f t="shared" si="0"/>
        <v>1761628</v>
      </c>
    </row>
    <row r="31" spans="1:8" ht="12.75" customHeight="1">
      <c r="A31" s="136" t="s">
        <v>75</v>
      </c>
      <c r="B31" s="1" t="s">
        <v>76</v>
      </c>
      <c r="C31" s="137">
        <v>275171</v>
      </c>
      <c r="D31" s="147">
        <v>-217031</v>
      </c>
      <c r="E31" s="147">
        <v>58399</v>
      </c>
      <c r="F31" s="147">
        <v>-115700</v>
      </c>
      <c r="G31" s="147">
        <v>194761</v>
      </c>
      <c r="H31" s="114">
        <f t="shared" si="0"/>
        <v>195600</v>
      </c>
    </row>
    <row r="32" spans="1:8" ht="12.75" customHeight="1">
      <c r="A32" s="1" t="s">
        <v>358</v>
      </c>
    </row>
    <row r="34" spans="1:8" ht="12.75" customHeight="1">
      <c r="A34" s="136">
        <v>1000002</v>
      </c>
      <c r="B34" s="1" t="s">
        <v>429</v>
      </c>
      <c r="C34" s="137">
        <v>-1</v>
      </c>
      <c r="D34" s="147">
        <v>0</v>
      </c>
      <c r="E34" s="147">
        <v>0</v>
      </c>
      <c r="F34" s="147">
        <v>0</v>
      </c>
      <c r="G34" s="147">
        <v>0</v>
      </c>
      <c r="H34" s="114">
        <f t="shared" si="0"/>
        <v>-1</v>
      </c>
    </row>
    <row r="35" spans="1:8" ht="12.75" customHeight="1">
      <c r="A35" s="136">
        <v>1100000</v>
      </c>
      <c r="B35" s="1" t="s">
        <v>430</v>
      </c>
      <c r="C35" s="137">
        <v>-19431219</v>
      </c>
      <c r="D35" s="147">
        <v>0</v>
      </c>
      <c r="E35" s="147">
        <v>0</v>
      </c>
      <c r="F35" s="147">
        <v>0</v>
      </c>
      <c r="G35" s="147">
        <v>0</v>
      </c>
      <c r="H35" s="114">
        <f t="shared" si="0"/>
        <v>-19431219</v>
      </c>
    </row>
    <row r="36" spans="1:8" ht="12.75" customHeight="1">
      <c r="A36" s="136">
        <v>1160000</v>
      </c>
      <c r="B36" s="1" t="s">
        <v>94</v>
      </c>
      <c r="C36" s="137">
        <f>9890198-1340715+7727104</f>
        <v>16276587</v>
      </c>
      <c r="D36" s="147">
        <v>0</v>
      </c>
      <c r="E36" s="147">
        <v>0</v>
      </c>
      <c r="F36" s="147">
        <v>0</v>
      </c>
      <c r="G36" s="147">
        <v>0</v>
      </c>
      <c r="H36" s="114">
        <f t="shared" si="0"/>
        <v>16276587</v>
      </c>
    </row>
    <row r="37" spans="1:8" ht="12.75" customHeight="1">
      <c r="A37" s="136" t="s">
        <v>95</v>
      </c>
      <c r="B37" s="1" t="s">
        <v>96</v>
      </c>
      <c r="C37" s="137">
        <v>0</v>
      </c>
      <c r="D37" s="147">
        <v>310000</v>
      </c>
      <c r="E37" s="147">
        <v>225000</v>
      </c>
      <c r="F37" s="147">
        <v>285500</v>
      </c>
      <c r="G37" s="147">
        <v>235000</v>
      </c>
      <c r="H37" s="114">
        <f t="shared" si="0"/>
        <v>1055500</v>
      </c>
    </row>
    <row r="38" spans="1:8" ht="12.75" customHeight="1">
      <c r="A38" s="1" t="s">
        <v>359</v>
      </c>
    </row>
    <row r="39" spans="1:8" ht="12.75" customHeight="1">
      <c r="H39" s="114">
        <f t="shared" si="0"/>
        <v>0</v>
      </c>
    </row>
    <row r="40" spans="1:8" ht="12.75" customHeight="1">
      <c r="A40" s="136">
        <v>1930001</v>
      </c>
      <c r="B40" s="1" t="s">
        <v>104</v>
      </c>
      <c r="C40" s="140">
        <v>-130000000</v>
      </c>
      <c r="D40" s="162">
        <v>0</v>
      </c>
      <c r="E40" s="147">
        <v>0</v>
      </c>
      <c r="F40" s="147">
        <v>0</v>
      </c>
      <c r="G40" s="147">
        <v>0</v>
      </c>
      <c r="H40" s="114">
        <f t="shared" si="0"/>
        <v>-130000000</v>
      </c>
    </row>
    <row r="41" spans="1:8" ht="12.75" customHeight="1">
      <c r="A41" s="136" t="s">
        <v>107</v>
      </c>
      <c r="B41" s="1" t="s">
        <v>108</v>
      </c>
      <c r="C41" s="137">
        <v>5070233</v>
      </c>
      <c r="D41" s="147">
        <v>0</v>
      </c>
      <c r="E41" s="147">
        <v>4692972</v>
      </c>
      <c r="F41" s="147">
        <v>601184</v>
      </c>
      <c r="G41" s="147">
        <v>601184</v>
      </c>
      <c r="H41" s="114">
        <f t="shared" si="0"/>
        <v>10965573</v>
      </c>
    </row>
    <row r="42" spans="1:8" ht="12.75" customHeight="1">
      <c r="A42" s="136" t="s">
        <v>109</v>
      </c>
      <c r="B42" s="1" t="s">
        <v>110</v>
      </c>
      <c r="C42" s="137">
        <v>-306834</v>
      </c>
      <c r="D42" s="147">
        <v>306834</v>
      </c>
      <c r="E42" s="147">
        <v>0</v>
      </c>
      <c r="F42" s="147">
        <v>0</v>
      </c>
      <c r="G42" s="147">
        <v>0</v>
      </c>
      <c r="H42" s="114">
        <f t="shared" si="0"/>
        <v>0</v>
      </c>
    </row>
    <row r="43" spans="1:8" ht="12.75" customHeight="1">
      <c r="A43" s="1" t="s">
        <v>362</v>
      </c>
    </row>
    <row r="45" spans="1:8" ht="12.75" customHeight="1">
      <c r="A45" s="136" t="s">
        <v>121</v>
      </c>
      <c r="B45" s="1" t="s">
        <v>122</v>
      </c>
      <c r="C45" s="137">
        <v>-176869</v>
      </c>
      <c r="D45" s="147">
        <v>-18824</v>
      </c>
      <c r="E45" s="147">
        <v>-5981</v>
      </c>
      <c r="F45" s="147">
        <v>28193</v>
      </c>
      <c r="G45" s="147">
        <v>-55987</v>
      </c>
      <c r="H45" s="114">
        <f t="shared" si="0"/>
        <v>-229468</v>
      </c>
    </row>
    <row r="46" spans="1:8" ht="12.75" customHeight="1">
      <c r="A46" s="136" t="s">
        <v>123</v>
      </c>
      <c r="B46" s="1" t="s">
        <v>124</v>
      </c>
      <c r="C46" s="137">
        <v>0</v>
      </c>
      <c r="D46" s="147">
        <v>0</v>
      </c>
      <c r="E46" s="147">
        <v>0</v>
      </c>
      <c r="F46" s="147">
        <v>0</v>
      </c>
      <c r="G46" s="147">
        <v>0</v>
      </c>
      <c r="H46" s="114">
        <f t="shared" si="0"/>
        <v>0</v>
      </c>
    </row>
    <row r="47" spans="1:8" ht="12.75" customHeight="1">
      <c r="A47" s="1" t="s">
        <v>363</v>
      </c>
    </row>
    <row r="48" spans="1:8" ht="12.75" customHeight="1">
      <c r="H48" s="114">
        <f t="shared" si="0"/>
        <v>0</v>
      </c>
    </row>
    <row r="49" spans="1:8" ht="12.75" customHeight="1">
      <c r="A49" s="136" t="s">
        <v>129</v>
      </c>
      <c r="B49" s="1" t="s">
        <v>130</v>
      </c>
      <c r="C49" s="137">
        <v>-7866</v>
      </c>
      <c r="D49" s="147">
        <v>4150</v>
      </c>
      <c r="E49" s="147">
        <v>9</v>
      </c>
      <c r="F49" s="147">
        <v>-19</v>
      </c>
      <c r="G49" s="147">
        <v>-205</v>
      </c>
      <c r="H49" s="114">
        <f t="shared" si="0"/>
        <v>-3931</v>
      </c>
    </row>
    <row r="50" spans="1:8" ht="12.75" customHeight="1">
      <c r="A50" s="136" t="s">
        <v>133</v>
      </c>
      <c r="B50" s="1" t="s">
        <v>134</v>
      </c>
      <c r="C50" s="137">
        <v>-165928</v>
      </c>
      <c r="D50" s="147">
        <v>0</v>
      </c>
      <c r="E50" s="147">
        <v>-197342</v>
      </c>
      <c r="F50" s="147">
        <v>-74792</v>
      </c>
      <c r="G50" s="147">
        <v>94944</v>
      </c>
      <c r="H50" s="114">
        <f t="shared" si="0"/>
        <v>-343118</v>
      </c>
    </row>
    <row r="51" spans="1:8" ht="12.75" customHeight="1">
      <c r="A51" s="136" t="s">
        <v>137</v>
      </c>
      <c r="B51" s="1" t="s">
        <v>138</v>
      </c>
      <c r="C51" s="137">
        <v>-1045</v>
      </c>
      <c r="D51" s="147">
        <v>285682</v>
      </c>
      <c r="E51" s="147">
        <v>-94879</v>
      </c>
      <c r="F51" s="147">
        <v>-94878</v>
      </c>
      <c r="G51" s="147">
        <v>-94879</v>
      </c>
      <c r="H51" s="114">
        <f t="shared" si="0"/>
        <v>1</v>
      </c>
    </row>
    <row r="52" spans="1:8" ht="12.75" customHeight="1">
      <c r="A52" s="1" t="s">
        <v>366</v>
      </c>
    </row>
    <row r="54" spans="1:8" ht="12.75" customHeight="1">
      <c r="A54" s="136" t="s">
        <v>141</v>
      </c>
      <c r="B54" s="1" t="s">
        <v>142</v>
      </c>
      <c r="C54" s="137">
        <v>-666515</v>
      </c>
      <c r="D54" s="147">
        <v>-11908</v>
      </c>
      <c r="E54" s="147">
        <v>-13448</v>
      </c>
      <c r="F54" s="147">
        <v>-8607</v>
      </c>
      <c r="G54" s="147">
        <f>-10298+1</f>
        <v>-10297</v>
      </c>
      <c r="H54" s="114">
        <f t="shared" si="0"/>
        <v>-710775</v>
      </c>
    </row>
    <row r="55" spans="1:8" ht="12.75" customHeight="1">
      <c r="A55" s="136">
        <v>2740500</v>
      </c>
      <c r="B55" s="1" t="s">
        <v>144</v>
      </c>
      <c r="C55" s="114">
        <v>-22500</v>
      </c>
      <c r="D55" s="163">
        <v>0</v>
      </c>
      <c r="E55" s="147">
        <v>0</v>
      </c>
      <c r="F55" s="147">
        <v>0</v>
      </c>
      <c r="G55" s="147">
        <v>0</v>
      </c>
      <c r="H55" s="114">
        <f t="shared" si="0"/>
        <v>-22500</v>
      </c>
    </row>
    <row r="56" spans="1:8" ht="12.75" customHeight="1">
      <c r="A56" s="136" t="s">
        <v>145</v>
      </c>
      <c r="B56" s="1" t="s">
        <v>146</v>
      </c>
      <c r="C56" s="137">
        <v>0</v>
      </c>
      <c r="D56" s="147">
        <v>-503883</v>
      </c>
      <c r="E56" s="147">
        <v>503883</v>
      </c>
      <c r="F56" s="147">
        <v>0</v>
      </c>
      <c r="G56" s="147">
        <v>0</v>
      </c>
      <c r="H56" s="114">
        <f t="shared" si="0"/>
        <v>0</v>
      </c>
    </row>
    <row r="57" spans="1:8" ht="12.75" customHeight="1">
      <c r="A57" s="136" t="s">
        <v>367</v>
      </c>
      <c r="B57" s="1" t="s">
        <v>368</v>
      </c>
      <c r="C57" s="137">
        <v>0</v>
      </c>
      <c r="D57" s="147">
        <v>47712</v>
      </c>
      <c r="E57" s="147">
        <v>-15904</v>
      </c>
      <c r="F57" s="147">
        <v>-15903</v>
      </c>
      <c r="G57" s="147">
        <v>-15904</v>
      </c>
      <c r="H57" s="114">
        <f t="shared" si="0"/>
        <v>1</v>
      </c>
    </row>
    <row r="58" spans="1:8" ht="12.75" customHeight="1">
      <c r="A58" s="136" t="s">
        <v>147</v>
      </c>
      <c r="B58" s="1" t="s">
        <v>148</v>
      </c>
      <c r="C58" s="137">
        <v>-200</v>
      </c>
      <c r="D58" s="147">
        <v>8700</v>
      </c>
      <c r="E58" s="147">
        <v>-8500</v>
      </c>
      <c r="F58" s="147">
        <v>0</v>
      </c>
      <c r="G58" s="147">
        <v>36335</v>
      </c>
      <c r="H58" s="114">
        <f t="shared" si="0"/>
        <v>36335</v>
      </c>
    </row>
    <row r="59" spans="1:8" ht="12.75" customHeight="1">
      <c r="A59" s="136" t="s">
        <v>149</v>
      </c>
      <c r="B59" s="1" t="s">
        <v>150</v>
      </c>
      <c r="C59" s="137">
        <v>-36832</v>
      </c>
      <c r="D59" s="147">
        <v>36832</v>
      </c>
      <c r="E59" s="147">
        <v>0</v>
      </c>
      <c r="F59" s="147">
        <v>0</v>
      </c>
      <c r="G59" s="147">
        <v>0</v>
      </c>
      <c r="H59" s="114">
        <f t="shared" si="0"/>
        <v>0</v>
      </c>
    </row>
    <row r="60" spans="1:8" ht="12.75" customHeight="1">
      <c r="A60" s="136" t="s">
        <v>151</v>
      </c>
      <c r="B60" s="1" t="s">
        <v>152</v>
      </c>
      <c r="C60" s="137">
        <v>-675</v>
      </c>
      <c r="D60" s="147">
        <v>675</v>
      </c>
      <c r="E60" s="147">
        <v>0</v>
      </c>
      <c r="F60" s="147">
        <v>0</v>
      </c>
      <c r="G60" s="147">
        <v>0</v>
      </c>
      <c r="H60" s="114">
        <f t="shared" si="0"/>
        <v>0</v>
      </c>
    </row>
    <row r="61" spans="1:8" ht="12.75" customHeight="1">
      <c r="A61" s="136" t="s">
        <v>155</v>
      </c>
      <c r="B61" s="1" t="s">
        <v>156</v>
      </c>
      <c r="C61" s="137">
        <v>-40157</v>
      </c>
      <c r="D61" s="147">
        <v>-39889</v>
      </c>
      <c r="E61" s="147">
        <v>487</v>
      </c>
      <c r="F61" s="147">
        <v>38680</v>
      </c>
      <c r="G61" s="147">
        <v>61</v>
      </c>
      <c r="H61" s="114">
        <f t="shared" si="0"/>
        <v>-40818</v>
      </c>
    </row>
    <row r="62" spans="1:8" ht="12.75" customHeight="1">
      <c r="A62" s="136" t="s">
        <v>157</v>
      </c>
      <c r="B62" s="1" t="s">
        <v>158</v>
      </c>
      <c r="C62" s="137">
        <v>0</v>
      </c>
      <c r="D62" s="147">
        <v>0</v>
      </c>
      <c r="E62" s="147">
        <v>0</v>
      </c>
      <c r="F62" s="147">
        <v>0</v>
      </c>
      <c r="G62" s="147">
        <v>0</v>
      </c>
      <c r="H62" s="114">
        <f t="shared" si="0"/>
        <v>0</v>
      </c>
    </row>
    <row r="63" spans="1:8" ht="12.75" customHeight="1">
      <c r="A63" s="136" t="s">
        <v>159</v>
      </c>
      <c r="B63" s="1" t="s">
        <v>160</v>
      </c>
      <c r="C63" s="137">
        <v>-13168</v>
      </c>
      <c r="D63" s="147">
        <v>13168</v>
      </c>
      <c r="E63" s="147">
        <v>0</v>
      </c>
      <c r="F63" s="147">
        <v>20000</v>
      </c>
      <c r="G63" s="147">
        <v>-1083</v>
      </c>
      <c r="H63" s="114">
        <f t="shared" si="0"/>
        <v>18917</v>
      </c>
    </row>
    <row r="64" spans="1:8" ht="12.75" customHeight="1">
      <c r="A64" s="136" t="s">
        <v>161</v>
      </c>
      <c r="B64" s="1" t="s">
        <v>162</v>
      </c>
      <c r="C64" s="137">
        <v>1</v>
      </c>
      <c r="D64" s="147">
        <f>-1384-4</f>
        <v>-1388</v>
      </c>
      <c r="E64" s="147">
        <f>1385+1</f>
        <v>1386</v>
      </c>
      <c r="F64" s="147">
        <v>0</v>
      </c>
      <c r="G64" s="147">
        <v>558</v>
      </c>
      <c r="H64" s="114">
        <f>SUM(C64:G64)</f>
        <v>557</v>
      </c>
    </row>
    <row r="65" spans="1:8" ht="12.75" customHeight="1">
      <c r="A65" s="136" t="s">
        <v>163</v>
      </c>
      <c r="B65" s="1" t="s">
        <v>164</v>
      </c>
      <c r="C65" s="137">
        <v>-140771</v>
      </c>
      <c r="D65" s="147">
        <v>26143</v>
      </c>
      <c r="E65" s="147">
        <v>5210</v>
      </c>
      <c r="F65" s="147">
        <f>-20427-5</f>
        <v>-20432</v>
      </c>
      <c r="G65" s="147">
        <v>-17605</v>
      </c>
      <c r="H65" s="114">
        <f t="shared" si="0"/>
        <v>-147455</v>
      </c>
    </row>
    <row r="66" spans="1:8" ht="12.75" customHeight="1">
      <c r="A66" s="1" t="s">
        <v>369</v>
      </c>
    </row>
    <row r="69" spans="1:8" ht="12.75" customHeight="1">
      <c r="A69" s="138" t="s">
        <v>370</v>
      </c>
    </row>
    <row r="70" spans="1:8" ht="12.75" customHeight="1">
      <c r="A70" s="136" t="s">
        <v>174</v>
      </c>
      <c r="B70" s="1" t="s">
        <v>175</v>
      </c>
      <c r="D70" s="147">
        <v>-2797626</v>
      </c>
      <c r="E70" s="147">
        <v>-2785968</v>
      </c>
      <c r="F70" s="147">
        <v>-2864512</v>
      </c>
      <c r="G70" s="147">
        <v>-2858133</v>
      </c>
      <c r="H70" s="114">
        <f t="shared" ref="H70:H127" si="1">SUM(C70:G70)</f>
        <v>-11306239</v>
      </c>
    </row>
    <row r="71" spans="1:8" ht="12.75" customHeight="1">
      <c r="A71" s="136" t="s">
        <v>176</v>
      </c>
      <c r="B71" s="1" t="s">
        <v>177</v>
      </c>
      <c r="D71" s="147">
        <v>69244</v>
      </c>
      <c r="E71" s="147">
        <v>52029</v>
      </c>
      <c r="F71" s="147">
        <v>66870</v>
      </c>
      <c r="G71" s="147">
        <v>63771</v>
      </c>
      <c r="H71" s="114">
        <f t="shared" si="1"/>
        <v>251914</v>
      </c>
    </row>
    <row r="72" spans="1:8" ht="12.75" customHeight="1">
      <c r="A72" s="1" t="s">
        <v>381</v>
      </c>
      <c r="D72" s="147">
        <f>SUM(D70:D71)</f>
        <v>-2728382</v>
      </c>
      <c r="E72" s="147">
        <f>SUM(E70:E71)</f>
        <v>-2733939</v>
      </c>
      <c r="F72" s="147">
        <f>SUM(F70:F71)</f>
        <v>-2797642</v>
      </c>
      <c r="G72" s="147">
        <f>SUM(G70:G71)</f>
        <v>-2794362</v>
      </c>
      <c r="H72" s="114">
        <f t="shared" si="1"/>
        <v>-11054325</v>
      </c>
    </row>
    <row r="73" spans="1:8" ht="12.75" customHeight="1">
      <c r="H73" s="114">
        <f t="shared" si="1"/>
        <v>0</v>
      </c>
    </row>
    <row r="74" spans="1:8" ht="12.75" customHeight="1">
      <c r="A74" s="136" t="s">
        <v>182</v>
      </c>
      <c r="B74" s="1" t="s">
        <v>183</v>
      </c>
      <c r="D74" s="147">
        <v>-174608</v>
      </c>
      <c r="E74" s="147">
        <v>-175044</v>
      </c>
      <c r="F74" s="147">
        <v>-173416</v>
      </c>
      <c r="G74" s="147">
        <v>-173087</v>
      </c>
      <c r="H74" s="114">
        <f t="shared" si="1"/>
        <v>-696155</v>
      </c>
    </row>
    <row r="75" spans="1:8" ht="12.75" customHeight="1">
      <c r="A75" s="136" t="s">
        <v>184</v>
      </c>
      <c r="B75" s="1" t="s">
        <v>185</v>
      </c>
      <c r="D75" s="147">
        <v>10050</v>
      </c>
      <c r="E75" s="147">
        <v>8634</v>
      </c>
      <c r="F75" s="147">
        <v>8357</v>
      </c>
      <c r="G75" s="147">
        <v>29132</v>
      </c>
      <c r="H75" s="114">
        <f t="shared" si="1"/>
        <v>56173</v>
      </c>
    </row>
    <row r="76" spans="1:8" ht="12.75" customHeight="1">
      <c r="A76" s="136" t="s">
        <v>186</v>
      </c>
      <c r="B76" s="1" t="s">
        <v>187</v>
      </c>
      <c r="D76" s="147">
        <v>173161</v>
      </c>
      <c r="E76" s="147">
        <v>178493</v>
      </c>
      <c r="F76" s="147">
        <v>162849</v>
      </c>
      <c r="G76" s="147">
        <v>74503</v>
      </c>
      <c r="H76" s="114">
        <f t="shared" si="1"/>
        <v>589006</v>
      </c>
    </row>
    <row r="77" spans="1:8" ht="12.75" customHeight="1">
      <c r="A77" s="1" t="s">
        <v>382</v>
      </c>
      <c r="D77" s="147">
        <f>SUM(D74:D76)</f>
        <v>8603</v>
      </c>
      <c r="E77" s="147">
        <f>SUM(E74:E76)</f>
        <v>12083</v>
      </c>
      <c r="F77" s="147">
        <f>SUM(F74:F76)</f>
        <v>-2210</v>
      </c>
      <c r="G77" s="147">
        <f>SUM(G74:G76)</f>
        <v>-69452</v>
      </c>
      <c r="H77" s="114">
        <f t="shared" si="1"/>
        <v>-50976</v>
      </c>
    </row>
    <row r="78" spans="1:8" ht="12.75" customHeight="1">
      <c r="H78" s="114">
        <f t="shared" si="1"/>
        <v>0</v>
      </c>
    </row>
    <row r="79" spans="1:8" ht="12.75" customHeight="1">
      <c r="A79" s="136" t="s">
        <v>198</v>
      </c>
      <c r="B79" s="1" t="s">
        <v>199</v>
      </c>
      <c r="D79" s="147">
        <v>119183</v>
      </c>
      <c r="E79" s="147">
        <v>118277</v>
      </c>
      <c r="F79" s="147">
        <v>121669</v>
      </c>
      <c r="G79" s="147">
        <v>121336</v>
      </c>
      <c r="H79" s="114">
        <f t="shared" si="1"/>
        <v>480465</v>
      </c>
    </row>
    <row r="80" spans="1:8" ht="12.75" customHeight="1">
      <c r="A80" s="1" t="s">
        <v>408</v>
      </c>
      <c r="D80" s="147">
        <f>SUM(D79)</f>
        <v>119183</v>
      </c>
      <c r="E80" s="147">
        <f>SUM(E79)</f>
        <v>118277</v>
      </c>
      <c r="F80" s="147">
        <f>SUM(F79)</f>
        <v>121669</v>
      </c>
      <c r="G80" s="147">
        <f>SUM(G79)</f>
        <v>121336</v>
      </c>
      <c r="H80" s="114">
        <f t="shared" si="1"/>
        <v>480465</v>
      </c>
    </row>
    <row r="81" spans="1:8" ht="12.75" customHeight="1">
      <c r="H81" s="114">
        <f t="shared" si="1"/>
        <v>0</v>
      </c>
    </row>
    <row r="82" spans="1:8" ht="12.75" customHeight="1">
      <c r="A82" s="136" t="s">
        <v>204</v>
      </c>
      <c r="B82" s="1" t="s">
        <v>205</v>
      </c>
      <c r="D82" s="147">
        <v>662362</v>
      </c>
      <c r="E82" s="147">
        <v>650161</v>
      </c>
      <c r="F82" s="147">
        <v>653662</v>
      </c>
      <c r="G82" s="147">
        <v>656408</v>
      </c>
      <c r="H82" s="114">
        <f t="shared" si="1"/>
        <v>2622593</v>
      </c>
    </row>
    <row r="83" spans="1:8" ht="12.75" customHeight="1">
      <c r="A83" s="136" t="s">
        <v>206</v>
      </c>
      <c r="B83" s="1" t="s">
        <v>207</v>
      </c>
      <c r="D83" s="147">
        <v>-408986</v>
      </c>
      <c r="E83" s="147">
        <v>-899982</v>
      </c>
      <c r="F83" s="147">
        <v>-485647</v>
      </c>
      <c r="G83" s="147">
        <v>-1058583</v>
      </c>
      <c r="H83" s="114">
        <f t="shared" si="1"/>
        <v>-2853198</v>
      </c>
    </row>
    <row r="84" spans="1:8" ht="12.75" customHeight="1">
      <c r="A84" s="1" t="s">
        <v>384</v>
      </c>
      <c r="D84" s="147">
        <f>SUM(D82:D83)</f>
        <v>253376</v>
      </c>
      <c r="E84" s="147">
        <f>SUM(E82:E83)</f>
        <v>-249821</v>
      </c>
      <c r="F84" s="147">
        <f>SUM(F82:F83)</f>
        <v>168015</v>
      </c>
      <c r="G84" s="147">
        <f>SUM(G82:G83)</f>
        <v>-402175</v>
      </c>
      <c r="H84" s="114">
        <f t="shared" si="1"/>
        <v>-230605</v>
      </c>
    </row>
    <row r="85" spans="1:8" ht="12.75" customHeight="1">
      <c r="H85" s="114">
        <f t="shared" si="1"/>
        <v>0</v>
      </c>
    </row>
    <row r="86" spans="1:8" ht="12.75" customHeight="1">
      <c r="A86" s="136" t="s">
        <v>210</v>
      </c>
      <c r="B86" s="1" t="s">
        <v>211</v>
      </c>
      <c r="D86" s="147">
        <v>258876</v>
      </c>
      <c r="E86" s="147">
        <v>364950</v>
      </c>
      <c r="F86" s="147">
        <v>473207</v>
      </c>
      <c r="G86" s="147">
        <v>578341</v>
      </c>
      <c r="H86" s="114">
        <f t="shared" si="1"/>
        <v>1675374</v>
      </c>
    </row>
    <row r="87" spans="1:8" ht="12.75" customHeight="1">
      <c r="A87" s="136" t="s">
        <v>212</v>
      </c>
      <c r="B87" s="1" t="s">
        <v>213</v>
      </c>
      <c r="E87" s="147">
        <v>671</v>
      </c>
      <c r="F87" s="147">
        <v>526216</v>
      </c>
      <c r="H87" s="114">
        <f t="shared" si="1"/>
        <v>526887</v>
      </c>
    </row>
    <row r="88" spans="1:8" ht="12.75" customHeight="1">
      <c r="A88" s="136" t="s">
        <v>214</v>
      </c>
      <c r="B88" s="1" t="s">
        <v>215</v>
      </c>
      <c r="D88" s="147">
        <v>97883</v>
      </c>
      <c r="E88" s="147">
        <v>82857</v>
      </c>
      <c r="F88" s="147">
        <v>65301</v>
      </c>
      <c r="G88" s="147">
        <v>65007</v>
      </c>
      <c r="H88" s="114">
        <f t="shared" si="1"/>
        <v>311048</v>
      </c>
    </row>
    <row r="89" spans="1:8" ht="12.75" customHeight="1">
      <c r="A89" s="136" t="s">
        <v>216</v>
      </c>
      <c r="B89" s="1" t="s">
        <v>217</v>
      </c>
      <c r="D89" s="147">
        <v>131618</v>
      </c>
      <c r="E89" s="147">
        <v>169899</v>
      </c>
      <c r="F89" s="147">
        <v>143177</v>
      </c>
      <c r="G89" s="147">
        <v>9198</v>
      </c>
      <c r="H89" s="114">
        <f t="shared" si="1"/>
        <v>453892</v>
      </c>
    </row>
    <row r="90" spans="1:8" ht="12.75" customHeight="1">
      <c r="A90" s="136" t="s">
        <v>218</v>
      </c>
      <c r="B90" s="1" t="s">
        <v>219</v>
      </c>
      <c r="D90" s="147">
        <v>29293</v>
      </c>
      <c r="E90" s="147">
        <v>41233</v>
      </c>
      <c r="F90" s="147">
        <v>29292</v>
      </c>
      <c r="G90" s="147">
        <v>29293</v>
      </c>
      <c r="H90" s="114">
        <f t="shared" si="1"/>
        <v>129111</v>
      </c>
    </row>
    <row r="91" spans="1:8" ht="12.75" customHeight="1">
      <c r="A91" s="136" t="s">
        <v>220</v>
      </c>
      <c r="B91" s="1" t="s">
        <v>221</v>
      </c>
      <c r="D91" s="147">
        <v>3342</v>
      </c>
      <c r="E91" s="147">
        <v>48209</v>
      </c>
      <c r="F91" s="147">
        <v>18196</v>
      </c>
      <c r="G91" s="147">
        <v>1662</v>
      </c>
      <c r="H91" s="114">
        <f t="shared" si="1"/>
        <v>71409</v>
      </c>
    </row>
    <row r="92" spans="1:8" ht="12.75" customHeight="1">
      <c r="A92" s="136" t="s">
        <v>385</v>
      </c>
      <c r="B92" s="1" t="s">
        <v>386</v>
      </c>
      <c r="D92" s="147">
        <v>-676</v>
      </c>
      <c r="E92" s="147">
        <v>41592</v>
      </c>
      <c r="F92" s="147">
        <v>10273</v>
      </c>
      <c r="G92" s="147">
        <v>-675</v>
      </c>
      <c r="H92" s="114">
        <f t="shared" si="1"/>
        <v>50514</v>
      </c>
    </row>
    <row r="93" spans="1:8" ht="12.75" customHeight="1">
      <c r="A93" s="136" t="s">
        <v>431</v>
      </c>
      <c r="B93" s="1" t="s">
        <v>412</v>
      </c>
      <c r="E93" s="147">
        <v>39569</v>
      </c>
      <c r="F93" s="147">
        <v>0</v>
      </c>
      <c r="G93" s="147">
        <v>2153</v>
      </c>
      <c r="H93" s="114">
        <f t="shared" si="1"/>
        <v>41722</v>
      </c>
    </row>
    <row r="94" spans="1:8" ht="12.75" customHeight="1">
      <c r="A94" s="1" t="s">
        <v>387</v>
      </c>
      <c r="D94" s="147">
        <f>SUM(D86:D93)</f>
        <v>520336</v>
      </c>
      <c r="E94" s="147">
        <f>SUM(E86:E93)</f>
        <v>788980</v>
      </c>
      <c r="F94" s="147">
        <f>SUM(F86:F93)</f>
        <v>1265662</v>
      </c>
      <c r="G94" s="147">
        <f>SUM(G86:G93)</f>
        <v>684979</v>
      </c>
      <c r="H94" s="114">
        <f t="shared" si="1"/>
        <v>3259957</v>
      </c>
    </row>
    <row r="95" spans="1:8" ht="12.75" customHeight="1">
      <c r="H95" s="114">
        <f t="shared" si="1"/>
        <v>0</v>
      </c>
    </row>
    <row r="96" spans="1:8" ht="12.75" customHeight="1">
      <c r="A96" s="136" t="s">
        <v>432</v>
      </c>
      <c r="B96" s="1" t="s">
        <v>433</v>
      </c>
      <c r="F96" s="147">
        <v>4200</v>
      </c>
      <c r="G96" s="147">
        <v>0</v>
      </c>
      <c r="H96" s="114">
        <f t="shared" si="1"/>
        <v>4200</v>
      </c>
    </row>
    <row r="97" spans="1:8" ht="12.75" customHeight="1">
      <c r="A97" s="136" t="s">
        <v>434</v>
      </c>
      <c r="B97" s="1" t="s">
        <v>413</v>
      </c>
      <c r="F97" s="147">
        <v>0</v>
      </c>
      <c r="G97" s="147">
        <v>0</v>
      </c>
      <c r="H97" s="114">
        <f t="shared" si="1"/>
        <v>0</v>
      </c>
    </row>
    <row r="98" spans="1:8" ht="12.75" customHeight="1">
      <c r="A98" s="136" t="s">
        <v>226</v>
      </c>
      <c r="B98" s="1" t="s">
        <v>227</v>
      </c>
      <c r="D98" s="147">
        <v>0</v>
      </c>
      <c r="E98" s="147">
        <v>-800</v>
      </c>
      <c r="F98" s="147">
        <v>2282</v>
      </c>
      <c r="G98" s="147">
        <v>28608</v>
      </c>
      <c r="H98" s="114">
        <f t="shared" si="1"/>
        <v>30090</v>
      </c>
    </row>
    <row r="99" spans="1:8" ht="12.75" customHeight="1">
      <c r="A99" s="1" t="s">
        <v>388</v>
      </c>
      <c r="D99" s="147">
        <f>SUM(D96:D98)</f>
        <v>0</v>
      </c>
      <c r="E99" s="147">
        <f>SUM(E96:E98)</f>
        <v>-800</v>
      </c>
      <c r="F99" s="147">
        <f>SUM(F96:F98)</f>
        <v>6482</v>
      </c>
      <c r="G99" s="147">
        <f>SUM(G96:G98)</f>
        <v>28608</v>
      </c>
      <c r="H99" s="114">
        <f t="shared" si="1"/>
        <v>34290</v>
      </c>
    </row>
    <row r="100" spans="1:8" ht="12.75" customHeight="1">
      <c r="H100" s="114">
        <f t="shared" si="1"/>
        <v>0</v>
      </c>
    </row>
    <row r="101" spans="1:8" ht="12.75" customHeight="1">
      <c r="A101" s="136" t="s">
        <v>230</v>
      </c>
      <c r="B101" s="1" t="s">
        <v>231</v>
      </c>
      <c r="D101" s="147">
        <v>837</v>
      </c>
      <c r="E101" s="147">
        <v>0</v>
      </c>
      <c r="F101" s="147">
        <v>0</v>
      </c>
      <c r="G101" s="147">
        <v>0</v>
      </c>
      <c r="H101" s="114">
        <f>SUM(C101:G101)</f>
        <v>837</v>
      </c>
    </row>
    <row r="102" spans="1:8" ht="12.75" customHeight="1">
      <c r="A102" s="1" t="s">
        <v>389</v>
      </c>
      <c r="D102" s="147">
        <f>SUM(D101)</f>
        <v>837</v>
      </c>
      <c r="E102" s="147">
        <v>0</v>
      </c>
      <c r="F102" s="147">
        <f>SUM(F101)</f>
        <v>0</v>
      </c>
      <c r="G102" s="147">
        <v>-590</v>
      </c>
      <c r="H102" s="114">
        <f>SUM(C102:G102)</f>
        <v>247</v>
      </c>
    </row>
    <row r="103" spans="1:8" ht="12.75" customHeight="1">
      <c r="H103" s="114">
        <f t="shared" si="1"/>
        <v>0</v>
      </c>
    </row>
    <row r="104" spans="1:8" ht="12.75" customHeight="1">
      <c r="A104" s="136" t="s">
        <v>435</v>
      </c>
      <c r="B104" s="1" t="s">
        <v>414</v>
      </c>
      <c r="D104" s="147">
        <v>0</v>
      </c>
      <c r="E104" s="147">
        <v>4385</v>
      </c>
      <c r="F104" s="147">
        <v>0</v>
      </c>
      <c r="G104" s="147">
        <v>0</v>
      </c>
      <c r="H104" s="114">
        <f t="shared" si="1"/>
        <v>4385</v>
      </c>
    </row>
    <row r="105" spans="1:8" ht="12.75" customHeight="1">
      <c r="A105" s="136" t="s">
        <v>234</v>
      </c>
      <c r="B105" s="1" t="s">
        <v>235</v>
      </c>
      <c r="D105" s="147">
        <v>18526</v>
      </c>
      <c r="E105" s="147">
        <v>28966</v>
      </c>
      <c r="F105" s="147">
        <v>28072</v>
      </c>
      <c r="G105" s="147">
        <v>13908</v>
      </c>
      <c r="H105" s="114">
        <f t="shared" si="1"/>
        <v>89472</v>
      </c>
    </row>
    <row r="106" spans="1:8" ht="12.75" customHeight="1">
      <c r="A106" s="136" t="s">
        <v>236</v>
      </c>
      <c r="B106" s="1" t="s">
        <v>237</v>
      </c>
      <c r="D106" s="147">
        <v>5445</v>
      </c>
      <c r="E106" s="147">
        <v>5445</v>
      </c>
      <c r="F106" s="147">
        <v>5445</v>
      </c>
      <c r="G106" s="147">
        <v>5445</v>
      </c>
      <c r="H106" s="114">
        <f t="shared" si="1"/>
        <v>21780</v>
      </c>
    </row>
    <row r="107" spans="1:8" ht="12.75" customHeight="1">
      <c r="A107" s="136" t="s">
        <v>238</v>
      </c>
      <c r="B107" s="1" t="s">
        <v>239</v>
      </c>
      <c r="D107" s="147">
        <v>14811</v>
      </c>
      <c r="E107" s="147">
        <v>54033</v>
      </c>
      <c r="F107" s="147">
        <v>16927</v>
      </c>
      <c r="G107" s="147">
        <v>21556</v>
      </c>
      <c r="H107" s="114">
        <f t="shared" si="1"/>
        <v>107327</v>
      </c>
    </row>
    <row r="108" spans="1:8" ht="12.75" customHeight="1">
      <c r="A108" s="136" t="s">
        <v>240</v>
      </c>
      <c r="B108" s="1" t="s">
        <v>241</v>
      </c>
      <c r="D108" s="147">
        <v>1384</v>
      </c>
      <c r="E108" s="147">
        <v>1210</v>
      </c>
      <c r="F108" s="147">
        <v>0</v>
      </c>
      <c r="G108" s="147">
        <v>1210</v>
      </c>
      <c r="H108" s="114">
        <f t="shared" si="1"/>
        <v>3804</v>
      </c>
    </row>
    <row r="109" spans="1:8" ht="12.75" customHeight="1">
      <c r="A109" s="136" t="s">
        <v>242</v>
      </c>
      <c r="B109" s="1" t="s">
        <v>243</v>
      </c>
      <c r="D109" s="147">
        <v>66316</v>
      </c>
      <c r="E109" s="147">
        <v>85400</v>
      </c>
      <c r="F109" s="147">
        <v>39079</v>
      </c>
      <c r="G109" s="147">
        <v>53976</v>
      </c>
      <c r="H109" s="114">
        <f t="shared" si="1"/>
        <v>244771</v>
      </c>
    </row>
    <row r="110" spans="1:8" ht="12.75" customHeight="1">
      <c r="A110" s="136" t="s">
        <v>244</v>
      </c>
      <c r="B110" s="1" t="s">
        <v>245</v>
      </c>
      <c r="D110" s="147">
        <v>23162</v>
      </c>
      <c r="E110" s="147">
        <v>7816</v>
      </c>
      <c r="F110" s="147">
        <v>37004</v>
      </c>
      <c r="G110" s="147">
        <v>6268</v>
      </c>
      <c r="H110" s="114">
        <f t="shared" si="1"/>
        <v>74250</v>
      </c>
    </row>
    <row r="111" spans="1:8" ht="12.75" customHeight="1">
      <c r="A111" s="136" t="s">
        <v>246</v>
      </c>
      <c r="B111" s="1" t="s">
        <v>247</v>
      </c>
      <c r="D111" s="147">
        <v>0</v>
      </c>
      <c r="E111" s="147">
        <v>0</v>
      </c>
      <c r="F111" s="147">
        <v>0</v>
      </c>
      <c r="G111" s="147">
        <v>0</v>
      </c>
      <c r="H111" s="114">
        <f t="shared" si="1"/>
        <v>0</v>
      </c>
    </row>
    <row r="112" spans="1:8" ht="12.75" customHeight="1">
      <c r="A112" s="136" t="s">
        <v>248</v>
      </c>
      <c r="B112" s="1" t="s">
        <v>249</v>
      </c>
      <c r="D112" s="147">
        <v>1306</v>
      </c>
      <c r="E112" s="147">
        <v>1261</v>
      </c>
      <c r="F112" s="147">
        <v>1391</v>
      </c>
      <c r="G112" s="147">
        <f>1317-2</f>
        <v>1315</v>
      </c>
      <c r="H112" s="114">
        <f t="shared" si="1"/>
        <v>5273</v>
      </c>
    </row>
    <row r="113" spans="1:8" ht="12.75" customHeight="1">
      <c r="A113" s="136" t="s">
        <v>436</v>
      </c>
      <c r="B113" s="1" t="s">
        <v>437</v>
      </c>
      <c r="D113" s="147">
        <v>0</v>
      </c>
      <c r="F113" s="147">
        <v>20000</v>
      </c>
      <c r="G113" s="147">
        <v>0</v>
      </c>
      <c r="H113" s="114">
        <f t="shared" si="1"/>
        <v>20000</v>
      </c>
    </row>
    <row r="114" spans="1:8" ht="12.75" customHeight="1">
      <c r="A114" s="136" t="s">
        <v>250</v>
      </c>
      <c r="B114" s="1" t="s">
        <v>251</v>
      </c>
      <c r="D114" s="147">
        <v>2680</v>
      </c>
      <c r="E114" s="147">
        <f>561+2</f>
        <v>563</v>
      </c>
      <c r="F114" s="147">
        <v>1210</v>
      </c>
      <c r="G114" s="147">
        <v>100</v>
      </c>
      <c r="H114" s="114">
        <f t="shared" si="1"/>
        <v>4553</v>
      </c>
    </row>
    <row r="115" spans="1:8" ht="12.75" customHeight="1">
      <c r="A115" s="1" t="s">
        <v>391</v>
      </c>
      <c r="D115" s="147">
        <f>SUM(D104:D114)</f>
        <v>133630</v>
      </c>
      <c r="E115" s="147">
        <f>SUM(E104:E114)</f>
        <v>189079</v>
      </c>
      <c r="F115" s="147">
        <f>SUM(F104:F114)+2</f>
        <v>149130</v>
      </c>
      <c r="G115" s="147">
        <f>SUM(G104:G114)</f>
        <v>103778</v>
      </c>
      <c r="H115" s="114">
        <f t="shared" si="1"/>
        <v>575617</v>
      </c>
    </row>
    <row r="116" spans="1:8" ht="12.75" customHeight="1">
      <c r="H116" s="114">
        <f t="shared" si="1"/>
        <v>0</v>
      </c>
    </row>
    <row r="117" spans="1:8" ht="12.75" customHeight="1">
      <c r="A117" s="136" t="s">
        <v>258</v>
      </c>
      <c r="B117" s="1" t="s">
        <v>259</v>
      </c>
      <c r="D117" s="147">
        <v>0</v>
      </c>
      <c r="E117" s="147">
        <v>0</v>
      </c>
      <c r="F117" s="147">
        <v>0</v>
      </c>
      <c r="G117" s="147">
        <v>0</v>
      </c>
      <c r="H117" s="114">
        <f t="shared" si="1"/>
        <v>0</v>
      </c>
    </row>
    <row r="118" spans="1:8" ht="12.75" customHeight="1">
      <c r="A118" s="136" t="s">
        <v>260</v>
      </c>
      <c r="B118" s="1" t="s">
        <v>261</v>
      </c>
      <c r="D118" s="147">
        <v>503883</v>
      </c>
      <c r="E118" s="147">
        <v>513800</v>
      </c>
      <c r="F118" s="147">
        <v>486625</v>
      </c>
      <c r="G118" s="147">
        <v>473890</v>
      </c>
      <c r="H118" s="114">
        <f t="shared" si="1"/>
        <v>1978198</v>
      </c>
    </row>
    <row r="119" spans="1:8" ht="12.75" customHeight="1">
      <c r="A119" s="136" t="s">
        <v>262</v>
      </c>
      <c r="B119" s="1" t="s">
        <v>263</v>
      </c>
      <c r="D119" s="147">
        <v>0</v>
      </c>
      <c r="E119" s="147">
        <v>0</v>
      </c>
      <c r="F119" s="147">
        <v>0</v>
      </c>
      <c r="G119" s="147">
        <v>0</v>
      </c>
      <c r="H119" s="114">
        <f t="shared" si="1"/>
        <v>0</v>
      </c>
    </row>
    <row r="120" spans="1:8" ht="12.75" customHeight="1">
      <c r="A120" s="136">
        <v>4630000</v>
      </c>
      <c r="B120" s="1" t="s">
        <v>265</v>
      </c>
      <c r="D120" s="147">
        <v>0</v>
      </c>
      <c r="E120" s="147">
        <v>0</v>
      </c>
      <c r="F120" s="147">
        <v>0</v>
      </c>
      <c r="G120" s="147">
        <v>0</v>
      </c>
      <c r="H120" s="114">
        <f t="shared" si="1"/>
        <v>0</v>
      </c>
    </row>
    <row r="121" spans="1:8" ht="12.75" customHeight="1">
      <c r="A121" s="136" t="s">
        <v>266</v>
      </c>
      <c r="B121" s="1" t="s">
        <v>267</v>
      </c>
      <c r="D121" s="147">
        <v>105863</v>
      </c>
      <c r="E121" s="147">
        <v>108774</v>
      </c>
      <c r="F121" s="147">
        <v>111640</v>
      </c>
      <c r="G121" s="147">
        <v>108560</v>
      </c>
      <c r="H121" s="114">
        <f t="shared" si="1"/>
        <v>434837</v>
      </c>
    </row>
    <row r="122" spans="1:8" ht="12.75" customHeight="1">
      <c r="A122" s="136" t="s">
        <v>393</v>
      </c>
      <c r="D122" s="147">
        <f>SUM(D117:D121)</f>
        <v>609746</v>
      </c>
      <c r="E122" s="147">
        <f>SUM(E117:E121)</f>
        <v>622574</v>
      </c>
      <c r="F122" s="147">
        <f>SUM(F117:F121)</f>
        <v>598265</v>
      </c>
      <c r="G122" s="147">
        <f>SUM(G117:G121)</f>
        <v>582450</v>
      </c>
      <c r="H122" s="114">
        <f t="shared" si="1"/>
        <v>2413035</v>
      </c>
    </row>
    <row r="123" spans="1:8" ht="12.75" customHeight="1">
      <c r="H123" s="114">
        <f t="shared" si="1"/>
        <v>0</v>
      </c>
    </row>
    <row r="124" spans="1:8" ht="12.75" customHeight="1">
      <c r="A124" s="136" t="s">
        <v>272</v>
      </c>
      <c r="B124" s="1" t="s">
        <v>273</v>
      </c>
      <c r="D124" s="147">
        <v>-168662</v>
      </c>
      <c r="E124" s="147">
        <v>-142232</v>
      </c>
      <c r="F124" s="147">
        <v>-153794</v>
      </c>
      <c r="G124" s="147">
        <v>-129418</v>
      </c>
      <c r="H124" s="114">
        <f t="shared" si="1"/>
        <v>-594106</v>
      </c>
    </row>
    <row r="125" spans="1:8" ht="12.75" customHeight="1">
      <c r="A125" s="136">
        <v>9500100</v>
      </c>
      <c r="B125" s="1" t="s">
        <v>438</v>
      </c>
      <c r="F125" s="147">
        <v>0</v>
      </c>
      <c r="H125" s="114">
        <f t="shared" si="1"/>
        <v>0</v>
      </c>
    </row>
    <row r="126" spans="1:8" ht="12.75" customHeight="1">
      <c r="A126" s="136" t="s">
        <v>439</v>
      </c>
      <c r="D126" s="147">
        <f>SUM(D124:D125)</f>
        <v>-168662</v>
      </c>
      <c r="E126" s="147">
        <f>SUM(E124:E125)</f>
        <v>-142232</v>
      </c>
      <c r="F126" s="147">
        <f>SUM(F124:F125)</f>
        <v>-153794</v>
      </c>
      <c r="G126" s="147">
        <f>SUM(G124:G125)</f>
        <v>-129418</v>
      </c>
      <c r="H126" s="114">
        <f t="shared" si="1"/>
        <v>-594106</v>
      </c>
    </row>
    <row r="127" spans="1:8" ht="12.75" customHeight="1">
      <c r="H127" s="114">
        <f t="shared" si="1"/>
        <v>0</v>
      </c>
    </row>
    <row r="128" spans="1:8" ht="12.75" customHeight="1">
      <c r="A128" s="1" t="s">
        <v>440</v>
      </c>
      <c r="D128" s="147">
        <f>D72+D77+D80+D84+D94+D99+D102+D115+D122+D126</f>
        <v>-1251333</v>
      </c>
      <c r="E128" s="147">
        <f>E72+E77+E80+E84+E94+E99+E102+E115+E122+E126</f>
        <v>-1395799</v>
      </c>
      <c r="F128" s="147">
        <f>F72+F77+F80+F84+F94+F99+F102+F115+F122+F126</f>
        <v>-644423</v>
      </c>
      <c r="G128" s="147">
        <f>G72+G77+G80+G84+G94+G99+G102+G115+G122+G126</f>
        <v>-1874846</v>
      </c>
      <c r="H128" s="114">
        <f>SUM(C128:G128)</f>
        <v>-5166401</v>
      </c>
    </row>
    <row r="130" spans="4:8" ht="12.75" customHeight="1">
      <c r="D130" s="137">
        <f>SUM(D4:D66)+D128</f>
        <v>0</v>
      </c>
      <c r="E130" s="137">
        <f>SUM(E4:E66)+E128</f>
        <v>0</v>
      </c>
      <c r="F130" s="137">
        <f>SUM(F4:F66)+F128</f>
        <v>0</v>
      </c>
      <c r="G130" s="137">
        <f>SUM(G4:G66)+G128</f>
        <v>0</v>
      </c>
      <c r="H130" s="137">
        <f>SUM(H4:H66)+H128</f>
        <v>0</v>
      </c>
    </row>
    <row r="132" spans="4:8" ht="12.75" customHeight="1">
      <c r="H132" s="114">
        <f>H72+H77+H80+H84+H94+H102+H99+H115+H122+H126</f>
        <v>-5166401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0"/>
  <sheetViews>
    <sheetView topLeftCell="B12" zoomScale="94" zoomScaleNormal="100" workbookViewId="0">
      <selection activeCell="H88" sqref="H88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2.6640625" style="147" customWidth="1"/>
    <col min="4" max="4" width="22.44140625" style="147" bestFit="1" customWidth="1"/>
    <col min="5" max="6" width="22.44140625" style="147" customWidth="1"/>
    <col min="7" max="7" width="22.44140625" style="176" customWidth="1"/>
    <col min="8" max="8" width="18.33203125" style="177" bestFit="1" customWidth="1"/>
    <col min="9" max="9" width="11.88671875" style="1" customWidth="1"/>
    <col min="10" max="10" width="22.44140625" style="137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2.6640625" style="1" customWidth="1"/>
    <col min="260" max="260" width="22.44140625" style="1" bestFit="1" customWidth="1"/>
    <col min="261" max="263" width="22.44140625" style="1" customWidth="1"/>
    <col min="264" max="264" width="18.33203125" style="1" bestFit="1" customWidth="1"/>
    <col min="265" max="265" width="11.88671875" style="1" customWidth="1"/>
    <col min="266" max="266" width="22.44140625" style="1" customWidth="1"/>
    <col min="267" max="512" width="9.109375" style="1"/>
    <col min="513" max="513" width="21.109375" style="1" bestFit="1" customWidth="1"/>
    <col min="514" max="514" width="70" style="1" bestFit="1" customWidth="1"/>
    <col min="515" max="515" width="22.6640625" style="1" customWidth="1"/>
    <col min="516" max="516" width="22.44140625" style="1" bestFit="1" customWidth="1"/>
    <col min="517" max="519" width="22.44140625" style="1" customWidth="1"/>
    <col min="520" max="520" width="18.33203125" style="1" bestFit="1" customWidth="1"/>
    <col min="521" max="521" width="11.88671875" style="1" customWidth="1"/>
    <col min="522" max="522" width="22.44140625" style="1" customWidth="1"/>
    <col min="523" max="768" width="9.109375" style="1"/>
    <col min="769" max="769" width="21.109375" style="1" bestFit="1" customWidth="1"/>
    <col min="770" max="770" width="70" style="1" bestFit="1" customWidth="1"/>
    <col min="771" max="771" width="22.6640625" style="1" customWidth="1"/>
    <col min="772" max="772" width="22.44140625" style="1" bestFit="1" customWidth="1"/>
    <col min="773" max="775" width="22.44140625" style="1" customWidth="1"/>
    <col min="776" max="776" width="18.33203125" style="1" bestFit="1" customWidth="1"/>
    <col min="777" max="777" width="11.88671875" style="1" customWidth="1"/>
    <col min="778" max="778" width="22.44140625" style="1" customWidth="1"/>
    <col min="779" max="1024" width="9.109375" style="1"/>
    <col min="1025" max="1025" width="21.109375" style="1" bestFit="1" customWidth="1"/>
    <col min="1026" max="1026" width="70" style="1" bestFit="1" customWidth="1"/>
    <col min="1027" max="1027" width="22.6640625" style="1" customWidth="1"/>
    <col min="1028" max="1028" width="22.44140625" style="1" bestFit="1" customWidth="1"/>
    <col min="1029" max="1031" width="22.44140625" style="1" customWidth="1"/>
    <col min="1032" max="1032" width="18.33203125" style="1" bestFit="1" customWidth="1"/>
    <col min="1033" max="1033" width="11.88671875" style="1" customWidth="1"/>
    <col min="1034" max="1034" width="22.44140625" style="1" customWidth="1"/>
    <col min="1035" max="1280" width="9.109375" style="1"/>
    <col min="1281" max="1281" width="21.109375" style="1" bestFit="1" customWidth="1"/>
    <col min="1282" max="1282" width="70" style="1" bestFit="1" customWidth="1"/>
    <col min="1283" max="1283" width="22.6640625" style="1" customWidth="1"/>
    <col min="1284" max="1284" width="22.44140625" style="1" bestFit="1" customWidth="1"/>
    <col min="1285" max="1287" width="22.44140625" style="1" customWidth="1"/>
    <col min="1288" max="1288" width="18.33203125" style="1" bestFit="1" customWidth="1"/>
    <col min="1289" max="1289" width="11.88671875" style="1" customWidth="1"/>
    <col min="1290" max="1290" width="22.44140625" style="1" customWidth="1"/>
    <col min="1291" max="1536" width="9.109375" style="1"/>
    <col min="1537" max="1537" width="21.109375" style="1" bestFit="1" customWidth="1"/>
    <col min="1538" max="1538" width="70" style="1" bestFit="1" customWidth="1"/>
    <col min="1539" max="1539" width="22.6640625" style="1" customWidth="1"/>
    <col min="1540" max="1540" width="22.44140625" style="1" bestFit="1" customWidth="1"/>
    <col min="1541" max="1543" width="22.44140625" style="1" customWidth="1"/>
    <col min="1544" max="1544" width="18.33203125" style="1" bestFit="1" customWidth="1"/>
    <col min="1545" max="1545" width="11.88671875" style="1" customWidth="1"/>
    <col min="1546" max="1546" width="22.44140625" style="1" customWidth="1"/>
    <col min="1547" max="1792" width="9.109375" style="1"/>
    <col min="1793" max="1793" width="21.109375" style="1" bestFit="1" customWidth="1"/>
    <col min="1794" max="1794" width="70" style="1" bestFit="1" customWidth="1"/>
    <col min="1795" max="1795" width="22.6640625" style="1" customWidth="1"/>
    <col min="1796" max="1796" width="22.44140625" style="1" bestFit="1" customWidth="1"/>
    <col min="1797" max="1799" width="22.44140625" style="1" customWidth="1"/>
    <col min="1800" max="1800" width="18.33203125" style="1" bestFit="1" customWidth="1"/>
    <col min="1801" max="1801" width="11.88671875" style="1" customWidth="1"/>
    <col min="1802" max="1802" width="22.44140625" style="1" customWidth="1"/>
    <col min="1803" max="2048" width="9.109375" style="1"/>
    <col min="2049" max="2049" width="21.109375" style="1" bestFit="1" customWidth="1"/>
    <col min="2050" max="2050" width="70" style="1" bestFit="1" customWidth="1"/>
    <col min="2051" max="2051" width="22.6640625" style="1" customWidth="1"/>
    <col min="2052" max="2052" width="22.44140625" style="1" bestFit="1" customWidth="1"/>
    <col min="2053" max="2055" width="22.44140625" style="1" customWidth="1"/>
    <col min="2056" max="2056" width="18.33203125" style="1" bestFit="1" customWidth="1"/>
    <col min="2057" max="2057" width="11.88671875" style="1" customWidth="1"/>
    <col min="2058" max="2058" width="22.44140625" style="1" customWidth="1"/>
    <col min="2059" max="2304" width="9.109375" style="1"/>
    <col min="2305" max="2305" width="21.109375" style="1" bestFit="1" customWidth="1"/>
    <col min="2306" max="2306" width="70" style="1" bestFit="1" customWidth="1"/>
    <col min="2307" max="2307" width="22.6640625" style="1" customWidth="1"/>
    <col min="2308" max="2308" width="22.44140625" style="1" bestFit="1" customWidth="1"/>
    <col min="2309" max="2311" width="22.44140625" style="1" customWidth="1"/>
    <col min="2312" max="2312" width="18.33203125" style="1" bestFit="1" customWidth="1"/>
    <col min="2313" max="2313" width="11.88671875" style="1" customWidth="1"/>
    <col min="2314" max="2314" width="22.44140625" style="1" customWidth="1"/>
    <col min="2315" max="2560" width="9.109375" style="1"/>
    <col min="2561" max="2561" width="21.109375" style="1" bestFit="1" customWidth="1"/>
    <col min="2562" max="2562" width="70" style="1" bestFit="1" customWidth="1"/>
    <col min="2563" max="2563" width="22.6640625" style="1" customWidth="1"/>
    <col min="2564" max="2564" width="22.44140625" style="1" bestFit="1" customWidth="1"/>
    <col min="2565" max="2567" width="22.44140625" style="1" customWidth="1"/>
    <col min="2568" max="2568" width="18.33203125" style="1" bestFit="1" customWidth="1"/>
    <col min="2569" max="2569" width="11.88671875" style="1" customWidth="1"/>
    <col min="2570" max="2570" width="22.44140625" style="1" customWidth="1"/>
    <col min="2571" max="2816" width="9.109375" style="1"/>
    <col min="2817" max="2817" width="21.109375" style="1" bestFit="1" customWidth="1"/>
    <col min="2818" max="2818" width="70" style="1" bestFit="1" customWidth="1"/>
    <col min="2819" max="2819" width="22.6640625" style="1" customWidth="1"/>
    <col min="2820" max="2820" width="22.44140625" style="1" bestFit="1" customWidth="1"/>
    <col min="2821" max="2823" width="22.44140625" style="1" customWidth="1"/>
    <col min="2824" max="2824" width="18.33203125" style="1" bestFit="1" customWidth="1"/>
    <col min="2825" max="2825" width="11.88671875" style="1" customWidth="1"/>
    <col min="2826" max="2826" width="22.44140625" style="1" customWidth="1"/>
    <col min="2827" max="3072" width="9.109375" style="1"/>
    <col min="3073" max="3073" width="21.109375" style="1" bestFit="1" customWidth="1"/>
    <col min="3074" max="3074" width="70" style="1" bestFit="1" customWidth="1"/>
    <col min="3075" max="3075" width="22.6640625" style="1" customWidth="1"/>
    <col min="3076" max="3076" width="22.44140625" style="1" bestFit="1" customWidth="1"/>
    <col min="3077" max="3079" width="22.44140625" style="1" customWidth="1"/>
    <col min="3080" max="3080" width="18.33203125" style="1" bestFit="1" customWidth="1"/>
    <col min="3081" max="3081" width="11.88671875" style="1" customWidth="1"/>
    <col min="3082" max="3082" width="22.44140625" style="1" customWidth="1"/>
    <col min="3083" max="3328" width="9.109375" style="1"/>
    <col min="3329" max="3329" width="21.109375" style="1" bestFit="1" customWidth="1"/>
    <col min="3330" max="3330" width="70" style="1" bestFit="1" customWidth="1"/>
    <col min="3331" max="3331" width="22.6640625" style="1" customWidth="1"/>
    <col min="3332" max="3332" width="22.44140625" style="1" bestFit="1" customWidth="1"/>
    <col min="3333" max="3335" width="22.44140625" style="1" customWidth="1"/>
    <col min="3336" max="3336" width="18.33203125" style="1" bestFit="1" customWidth="1"/>
    <col min="3337" max="3337" width="11.88671875" style="1" customWidth="1"/>
    <col min="3338" max="3338" width="22.44140625" style="1" customWidth="1"/>
    <col min="3339" max="3584" width="9.109375" style="1"/>
    <col min="3585" max="3585" width="21.109375" style="1" bestFit="1" customWidth="1"/>
    <col min="3586" max="3586" width="70" style="1" bestFit="1" customWidth="1"/>
    <col min="3587" max="3587" width="22.6640625" style="1" customWidth="1"/>
    <col min="3588" max="3588" width="22.44140625" style="1" bestFit="1" customWidth="1"/>
    <col min="3589" max="3591" width="22.44140625" style="1" customWidth="1"/>
    <col min="3592" max="3592" width="18.33203125" style="1" bestFit="1" customWidth="1"/>
    <col min="3593" max="3593" width="11.88671875" style="1" customWidth="1"/>
    <col min="3594" max="3594" width="22.44140625" style="1" customWidth="1"/>
    <col min="3595" max="3840" width="9.109375" style="1"/>
    <col min="3841" max="3841" width="21.109375" style="1" bestFit="1" customWidth="1"/>
    <col min="3842" max="3842" width="70" style="1" bestFit="1" customWidth="1"/>
    <col min="3843" max="3843" width="22.6640625" style="1" customWidth="1"/>
    <col min="3844" max="3844" width="22.44140625" style="1" bestFit="1" customWidth="1"/>
    <col min="3845" max="3847" width="22.44140625" style="1" customWidth="1"/>
    <col min="3848" max="3848" width="18.33203125" style="1" bestFit="1" customWidth="1"/>
    <col min="3849" max="3849" width="11.88671875" style="1" customWidth="1"/>
    <col min="3850" max="3850" width="22.44140625" style="1" customWidth="1"/>
    <col min="3851" max="4096" width="9.109375" style="1"/>
    <col min="4097" max="4097" width="21.109375" style="1" bestFit="1" customWidth="1"/>
    <col min="4098" max="4098" width="70" style="1" bestFit="1" customWidth="1"/>
    <col min="4099" max="4099" width="22.6640625" style="1" customWidth="1"/>
    <col min="4100" max="4100" width="22.44140625" style="1" bestFit="1" customWidth="1"/>
    <col min="4101" max="4103" width="22.44140625" style="1" customWidth="1"/>
    <col min="4104" max="4104" width="18.33203125" style="1" bestFit="1" customWidth="1"/>
    <col min="4105" max="4105" width="11.88671875" style="1" customWidth="1"/>
    <col min="4106" max="4106" width="22.44140625" style="1" customWidth="1"/>
    <col min="4107" max="4352" width="9.109375" style="1"/>
    <col min="4353" max="4353" width="21.109375" style="1" bestFit="1" customWidth="1"/>
    <col min="4354" max="4354" width="70" style="1" bestFit="1" customWidth="1"/>
    <col min="4355" max="4355" width="22.6640625" style="1" customWidth="1"/>
    <col min="4356" max="4356" width="22.44140625" style="1" bestFit="1" customWidth="1"/>
    <col min="4357" max="4359" width="22.44140625" style="1" customWidth="1"/>
    <col min="4360" max="4360" width="18.33203125" style="1" bestFit="1" customWidth="1"/>
    <col min="4361" max="4361" width="11.88671875" style="1" customWidth="1"/>
    <col min="4362" max="4362" width="22.44140625" style="1" customWidth="1"/>
    <col min="4363" max="4608" width="9.109375" style="1"/>
    <col min="4609" max="4609" width="21.109375" style="1" bestFit="1" customWidth="1"/>
    <col min="4610" max="4610" width="70" style="1" bestFit="1" customWidth="1"/>
    <col min="4611" max="4611" width="22.6640625" style="1" customWidth="1"/>
    <col min="4612" max="4612" width="22.44140625" style="1" bestFit="1" customWidth="1"/>
    <col min="4613" max="4615" width="22.44140625" style="1" customWidth="1"/>
    <col min="4616" max="4616" width="18.33203125" style="1" bestFit="1" customWidth="1"/>
    <col min="4617" max="4617" width="11.88671875" style="1" customWidth="1"/>
    <col min="4618" max="4618" width="22.44140625" style="1" customWidth="1"/>
    <col min="4619" max="4864" width="9.109375" style="1"/>
    <col min="4865" max="4865" width="21.109375" style="1" bestFit="1" customWidth="1"/>
    <col min="4866" max="4866" width="70" style="1" bestFit="1" customWidth="1"/>
    <col min="4867" max="4867" width="22.6640625" style="1" customWidth="1"/>
    <col min="4868" max="4868" width="22.44140625" style="1" bestFit="1" customWidth="1"/>
    <col min="4869" max="4871" width="22.44140625" style="1" customWidth="1"/>
    <col min="4872" max="4872" width="18.33203125" style="1" bestFit="1" customWidth="1"/>
    <col min="4873" max="4873" width="11.88671875" style="1" customWidth="1"/>
    <col min="4874" max="4874" width="22.44140625" style="1" customWidth="1"/>
    <col min="4875" max="5120" width="9.109375" style="1"/>
    <col min="5121" max="5121" width="21.109375" style="1" bestFit="1" customWidth="1"/>
    <col min="5122" max="5122" width="70" style="1" bestFit="1" customWidth="1"/>
    <col min="5123" max="5123" width="22.6640625" style="1" customWidth="1"/>
    <col min="5124" max="5124" width="22.44140625" style="1" bestFit="1" customWidth="1"/>
    <col min="5125" max="5127" width="22.44140625" style="1" customWidth="1"/>
    <col min="5128" max="5128" width="18.33203125" style="1" bestFit="1" customWidth="1"/>
    <col min="5129" max="5129" width="11.88671875" style="1" customWidth="1"/>
    <col min="5130" max="5130" width="22.44140625" style="1" customWidth="1"/>
    <col min="5131" max="5376" width="9.109375" style="1"/>
    <col min="5377" max="5377" width="21.109375" style="1" bestFit="1" customWidth="1"/>
    <col min="5378" max="5378" width="70" style="1" bestFit="1" customWidth="1"/>
    <col min="5379" max="5379" width="22.6640625" style="1" customWidth="1"/>
    <col min="5380" max="5380" width="22.44140625" style="1" bestFit="1" customWidth="1"/>
    <col min="5381" max="5383" width="22.44140625" style="1" customWidth="1"/>
    <col min="5384" max="5384" width="18.33203125" style="1" bestFit="1" customWidth="1"/>
    <col min="5385" max="5385" width="11.88671875" style="1" customWidth="1"/>
    <col min="5386" max="5386" width="22.44140625" style="1" customWidth="1"/>
    <col min="5387" max="5632" width="9.109375" style="1"/>
    <col min="5633" max="5633" width="21.109375" style="1" bestFit="1" customWidth="1"/>
    <col min="5634" max="5634" width="70" style="1" bestFit="1" customWidth="1"/>
    <col min="5635" max="5635" width="22.6640625" style="1" customWidth="1"/>
    <col min="5636" max="5636" width="22.44140625" style="1" bestFit="1" customWidth="1"/>
    <col min="5637" max="5639" width="22.44140625" style="1" customWidth="1"/>
    <col min="5640" max="5640" width="18.33203125" style="1" bestFit="1" customWidth="1"/>
    <col min="5641" max="5641" width="11.88671875" style="1" customWidth="1"/>
    <col min="5642" max="5642" width="22.44140625" style="1" customWidth="1"/>
    <col min="5643" max="5888" width="9.109375" style="1"/>
    <col min="5889" max="5889" width="21.109375" style="1" bestFit="1" customWidth="1"/>
    <col min="5890" max="5890" width="70" style="1" bestFit="1" customWidth="1"/>
    <col min="5891" max="5891" width="22.6640625" style="1" customWidth="1"/>
    <col min="5892" max="5892" width="22.44140625" style="1" bestFit="1" customWidth="1"/>
    <col min="5893" max="5895" width="22.44140625" style="1" customWidth="1"/>
    <col min="5896" max="5896" width="18.33203125" style="1" bestFit="1" customWidth="1"/>
    <col min="5897" max="5897" width="11.88671875" style="1" customWidth="1"/>
    <col min="5898" max="5898" width="22.44140625" style="1" customWidth="1"/>
    <col min="5899" max="6144" width="9.109375" style="1"/>
    <col min="6145" max="6145" width="21.109375" style="1" bestFit="1" customWidth="1"/>
    <col min="6146" max="6146" width="70" style="1" bestFit="1" customWidth="1"/>
    <col min="6147" max="6147" width="22.6640625" style="1" customWidth="1"/>
    <col min="6148" max="6148" width="22.44140625" style="1" bestFit="1" customWidth="1"/>
    <col min="6149" max="6151" width="22.44140625" style="1" customWidth="1"/>
    <col min="6152" max="6152" width="18.33203125" style="1" bestFit="1" customWidth="1"/>
    <col min="6153" max="6153" width="11.88671875" style="1" customWidth="1"/>
    <col min="6154" max="6154" width="22.44140625" style="1" customWidth="1"/>
    <col min="6155" max="6400" width="9.109375" style="1"/>
    <col min="6401" max="6401" width="21.109375" style="1" bestFit="1" customWidth="1"/>
    <col min="6402" max="6402" width="70" style="1" bestFit="1" customWidth="1"/>
    <col min="6403" max="6403" width="22.6640625" style="1" customWidth="1"/>
    <col min="6404" max="6404" width="22.44140625" style="1" bestFit="1" customWidth="1"/>
    <col min="6405" max="6407" width="22.44140625" style="1" customWidth="1"/>
    <col min="6408" max="6408" width="18.33203125" style="1" bestFit="1" customWidth="1"/>
    <col min="6409" max="6409" width="11.88671875" style="1" customWidth="1"/>
    <col min="6410" max="6410" width="22.44140625" style="1" customWidth="1"/>
    <col min="6411" max="6656" width="9.109375" style="1"/>
    <col min="6657" max="6657" width="21.109375" style="1" bestFit="1" customWidth="1"/>
    <col min="6658" max="6658" width="70" style="1" bestFit="1" customWidth="1"/>
    <col min="6659" max="6659" width="22.6640625" style="1" customWidth="1"/>
    <col min="6660" max="6660" width="22.44140625" style="1" bestFit="1" customWidth="1"/>
    <col min="6661" max="6663" width="22.44140625" style="1" customWidth="1"/>
    <col min="6664" max="6664" width="18.33203125" style="1" bestFit="1" customWidth="1"/>
    <col min="6665" max="6665" width="11.88671875" style="1" customWidth="1"/>
    <col min="6666" max="6666" width="22.44140625" style="1" customWidth="1"/>
    <col min="6667" max="6912" width="9.109375" style="1"/>
    <col min="6913" max="6913" width="21.109375" style="1" bestFit="1" customWidth="1"/>
    <col min="6914" max="6914" width="70" style="1" bestFit="1" customWidth="1"/>
    <col min="6915" max="6915" width="22.6640625" style="1" customWidth="1"/>
    <col min="6916" max="6916" width="22.44140625" style="1" bestFit="1" customWidth="1"/>
    <col min="6917" max="6919" width="22.44140625" style="1" customWidth="1"/>
    <col min="6920" max="6920" width="18.33203125" style="1" bestFit="1" customWidth="1"/>
    <col min="6921" max="6921" width="11.88671875" style="1" customWidth="1"/>
    <col min="6922" max="6922" width="22.44140625" style="1" customWidth="1"/>
    <col min="6923" max="7168" width="9.109375" style="1"/>
    <col min="7169" max="7169" width="21.109375" style="1" bestFit="1" customWidth="1"/>
    <col min="7170" max="7170" width="70" style="1" bestFit="1" customWidth="1"/>
    <col min="7171" max="7171" width="22.6640625" style="1" customWidth="1"/>
    <col min="7172" max="7172" width="22.44140625" style="1" bestFit="1" customWidth="1"/>
    <col min="7173" max="7175" width="22.44140625" style="1" customWidth="1"/>
    <col min="7176" max="7176" width="18.33203125" style="1" bestFit="1" customWidth="1"/>
    <col min="7177" max="7177" width="11.88671875" style="1" customWidth="1"/>
    <col min="7178" max="7178" width="22.44140625" style="1" customWidth="1"/>
    <col min="7179" max="7424" width="9.109375" style="1"/>
    <col min="7425" max="7425" width="21.109375" style="1" bestFit="1" customWidth="1"/>
    <col min="7426" max="7426" width="70" style="1" bestFit="1" customWidth="1"/>
    <col min="7427" max="7427" width="22.6640625" style="1" customWidth="1"/>
    <col min="7428" max="7428" width="22.44140625" style="1" bestFit="1" customWidth="1"/>
    <col min="7429" max="7431" width="22.44140625" style="1" customWidth="1"/>
    <col min="7432" max="7432" width="18.33203125" style="1" bestFit="1" customWidth="1"/>
    <col min="7433" max="7433" width="11.88671875" style="1" customWidth="1"/>
    <col min="7434" max="7434" width="22.44140625" style="1" customWidth="1"/>
    <col min="7435" max="7680" width="9.109375" style="1"/>
    <col min="7681" max="7681" width="21.109375" style="1" bestFit="1" customWidth="1"/>
    <col min="7682" max="7682" width="70" style="1" bestFit="1" customWidth="1"/>
    <col min="7683" max="7683" width="22.6640625" style="1" customWidth="1"/>
    <col min="7684" max="7684" width="22.44140625" style="1" bestFit="1" customWidth="1"/>
    <col min="7685" max="7687" width="22.44140625" style="1" customWidth="1"/>
    <col min="7688" max="7688" width="18.33203125" style="1" bestFit="1" customWidth="1"/>
    <col min="7689" max="7689" width="11.88671875" style="1" customWidth="1"/>
    <col min="7690" max="7690" width="22.44140625" style="1" customWidth="1"/>
    <col min="7691" max="7936" width="9.109375" style="1"/>
    <col min="7937" max="7937" width="21.109375" style="1" bestFit="1" customWidth="1"/>
    <col min="7938" max="7938" width="70" style="1" bestFit="1" customWidth="1"/>
    <col min="7939" max="7939" width="22.6640625" style="1" customWidth="1"/>
    <col min="7940" max="7940" width="22.44140625" style="1" bestFit="1" customWidth="1"/>
    <col min="7941" max="7943" width="22.44140625" style="1" customWidth="1"/>
    <col min="7944" max="7944" width="18.33203125" style="1" bestFit="1" customWidth="1"/>
    <col min="7945" max="7945" width="11.88671875" style="1" customWidth="1"/>
    <col min="7946" max="7946" width="22.44140625" style="1" customWidth="1"/>
    <col min="7947" max="8192" width="9.109375" style="1"/>
    <col min="8193" max="8193" width="21.109375" style="1" bestFit="1" customWidth="1"/>
    <col min="8194" max="8194" width="70" style="1" bestFit="1" customWidth="1"/>
    <col min="8195" max="8195" width="22.6640625" style="1" customWidth="1"/>
    <col min="8196" max="8196" width="22.44140625" style="1" bestFit="1" customWidth="1"/>
    <col min="8197" max="8199" width="22.44140625" style="1" customWidth="1"/>
    <col min="8200" max="8200" width="18.33203125" style="1" bestFit="1" customWidth="1"/>
    <col min="8201" max="8201" width="11.88671875" style="1" customWidth="1"/>
    <col min="8202" max="8202" width="22.44140625" style="1" customWidth="1"/>
    <col min="8203" max="8448" width="9.109375" style="1"/>
    <col min="8449" max="8449" width="21.109375" style="1" bestFit="1" customWidth="1"/>
    <col min="8450" max="8450" width="70" style="1" bestFit="1" customWidth="1"/>
    <col min="8451" max="8451" width="22.6640625" style="1" customWidth="1"/>
    <col min="8452" max="8452" width="22.44140625" style="1" bestFit="1" customWidth="1"/>
    <col min="8453" max="8455" width="22.44140625" style="1" customWidth="1"/>
    <col min="8456" max="8456" width="18.33203125" style="1" bestFit="1" customWidth="1"/>
    <col min="8457" max="8457" width="11.88671875" style="1" customWidth="1"/>
    <col min="8458" max="8458" width="22.44140625" style="1" customWidth="1"/>
    <col min="8459" max="8704" width="9.109375" style="1"/>
    <col min="8705" max="8705" width="21.109375" style="1" bestFit="1" customWidth="1"/>
    <col min="8706" max="8706" width="70" style="1" bestFit="1" customWidth="1"/>
    <col min="8707" max="8707" width="22.6640625" style="1" customWidth="1"/>
    <col min="8708" max="8708" width="22.44140625" style="1" bestFit="1" customWidth="1"/>
    <col min="8709" max="8711" width="22.44140625" style="1" customWidth="1"/>
    <col min="8712" max="8712" width="18.33203125" style="1" bestFit="1" customWidth="1"/>
    <col min="8713" max="8713" width="11.88671875" style="1" customWidth="1"/>
    <col min="8714" max="8714" width="22.44140625" style="1" customWidth="1"/>
    <col min="8715" max="8960" width="9.109375" style="1"/>
    <col min="8961" max="8961" width="21.109375" style="1" bestFit="1" customWidth="1"/>
    <col min="8962" max="8962" width="70" style="1" bestFit="1" customWidth="1"/>
    <col min="8963" max="8963" width="22.6640625" style="1" customWidth="1"/>
    <col min="8964" max="8964" width="22.44140625" style="1" bestFit="1" customWidth="1"/>
    <col min="8965" max="8967" width="22.44140625" style="1" customWidth="1"/>
    <col min="8968" max="8968" width="18.33203125" style="1" bestFit="1" customWidth="1"/>
    <col min="8969" max="8969" width="11.88671875" style="1" customWidth="1"/>
    <col min="8970" max="8970" width="22.44140625" style="1" customWidth="1"/>
    <col min="8971" max="9216" width="9.109375" style="1"/>
    <col min="9217" max="9217" width="21.109375" style="1" bestFit="1" customWidth="1"/>
    <col min="9218" max="9218" width="70" style="1" bestFit="1" customWidth="1"/>
    <col min="9219" max="9219" width="22.6640625" style="1" customWidth="1"/>
    <col min="9220" max="9220" width="22.44140625" style="1" bestFit="1" customWidth="1"/>
    <col min="9221" max="9223" width="22.44140625" style="1" customWidth="1"/>
    <col min="9224" max="9224" width="18.33203125" style="1" bestFit="1" customWidth="1"/>
    <col min="9225" max="9225" width="11.88671875" style="1" customWidth="1"/>
    <col min="9226" max="9226" width="22.44140625" style="1" customWidth="1"/>
    <col min="9227" max="9472" width="9.109375" style="1"/>
    <col min="9473" max="9473" width="21.109375" style="1" bestFit="1" customWidth="1"/>
    <col min="9474" max="9474" width="70" style="1" bestFit="1" customWidth="1"/>
    <col min="9475" max="9475" width="22.6640625" style="1" customWidth="1"/>
    <col min="9476" max="9476" width="22.44140625" style="1" bestFit="1" customWidth="1"/>
    <col min="9477" max="9479" width="22.44140625" style="1" customWidth="1"/>
    <col min="9480" max="9480" width="18.33203125" style="1" bestFit="1" customWidth="1"/>
    <col min="9481" max="9481" width="11.88671875" style="1" customWidth="1"/>
    <col min="9482" max="9482" width="22.44140625" style="1" customWidth="1"/>
    <col min="9483" max="9728" width="9.109375" style="1"/>
    <col min="9729" max="9729" width="21.109375" style="1" bestFit="1" customWidth="1"/>
    <col min="9730" max="9730" width="70" style="1" bestFit="1" customWidth="1"/>
    <col min="9731" max="9731" width="22.6640625" style="1" customWidth="1"/>
    <col min="9732" max="9732" width="22.44140625" style="1" bestFit="1" customWidth="1"/>
    <col min="9733" max="9735" width="22.44140625" style="1" customWidth="1"/>
    <col min="9736" max="9736" width="18.33203125" style="1" bestFit="1" customWidth="1"/>
    <col min="9737" max="9737" width="11.88671875" style="1" customWidth="1"/>
    <col min="9738" max="9738" width="22.44140625" style="1" customWidth="1"/>
    <col min="9739" max="9984" width="9.109375" style="1"/>
    <col min="9985" max="9985" width="21.109375" style="1" bestFit="1" customWidth="1"/>
    <col min="9986" max="9986" width="70" style="1" bestFit="1" customWidth="1"/>
    <col min="9987" max="9987" width="22.6640625" style="1" customWidth="1"/>
    <col min="9988" max="9988" width="22.44140625" style="1" bestFit="1" customWidth="1"/>
    <col min="9989" max="9991" width="22.44140625" style="1" customWidth="1"/>
    <col min="9992" max="9992" width="18.33203125" style="1" bestFit="1" customWidth="1"/>
    <col min="9993" max="9993" width="11.88671875" style="1" customWidth="1"/>
    <col min="9994" max="9994" width="22.44140625" style="1" customWidth="1"/>
    <col min="9995" max="10240" width="9.109375" style="1"/>
    <col min="10241" max="10241" width="21.109375" style="1" bestFit="1" customWidth="1"/>
    <col min="10242" max="10242" width="70" style="1" bestFit="1" customWidth="1"/>
    <col min="10243" max="10243" width="22.6640625" style="1" customWidth="1"/>
    <col min="10244" max="10244" width="22.44140625" style="1" bestFit="1" customWidth="1"/>
    <col min="10245" max="10247" width="22.44140625" style="1" customWidth="1"/>
    <col min="10248" max="10248" width="18.33203125" style="1" bestFit="1" customWidth="1"/>
    <col min="10249" max="10249" width="11.88671875" style="1" customWidth="1"/>
    <col min="10250" max="10250" width="22.44140625" style="1" customWidth="1"/>
    <col min="10251" max="10496" width="9.109375" style="1"/>
    <col min="10497" max="10497" width="21.109375" style="1" bestFit="1" customWidth="1"/>
    <col min="10498" max="10498" width="70" style="1" bestFit="1" customWidth="1"/>
    <col min="10499" max="10499" width="22.6640625" style="1" customWidth="1"/>
    <col min="10500" max="10500" width="22.44140625" style="1" bestFit="1" customWidth="1"/>
    <col min="10501" max="10503" width="22.44140625" style="1" customWidth="1"/>
    <col min="10504" max="10504" width="18.33203125" style="1" bestFit="1" customWidth="1"/>
    <col min="10505" max="10505" width="11.88671875" style="1" customWidth="1"/>
    <col min="10506" max="10506" width="22.44140625" style="1" customWidth="1"/>
    <col min="10507" max="10752" width="9.109375" style="1"/>
    <col min="10753" max="10753" width="21.109375" style="1" bestFit="1" customWidth="1"/>
    <col min="10754" max="10754" width="70" style="1" bestFit="1" customWidth="1"/>
    <col min="10755" max="10755" width="22.6640625" style="1" customWidth="1"/>
    <col min="10756" max="10756" width="22.44140625" style="1" bestFit="1" customWidth="1"/>
    <col min="10757" max="10759" width="22.44140625" style="1" customWidth="1"/>
    <col min="10760" max="10760" width="18.33203125" style="1" bestFit="1" customWidth="1"/>
    <col min="10761" max="10761" width="11.88671875" style="1" customWidth="1"/>
    <col min="10762" max="10762" width="22.44140625" style="1" customWidth="1"/>
    <col min="10763" max="11008" width="9.109375" style="1"/>
    <col min="11009" max="11009" width="21.109375" style="1" bestFit="1" customWidth="1"/>
    <col min="11010" max="11010" width="70" style="1" bestFit="1" customWidth="1"/>
    <col min="11011" max="11011" width="22.6640625" style="1" customWidth="1"/>
    <col min="11012" max="11012" width="22.44140625" style="1" bestFit="1" customWidth="1"/>
    <col min="11013" max="11015" width="22.44140625" style="1" customWidth="1"/>
    <col min="11016" max="11016" width="18.33203125" style="1" bestFit="1" customWidth="1"/>
    <col min="11017" max="11017" width="11.88671875" style="1" customWidth="1"/>
    <col min="11018" max="11018" width="22.44140625" style="1" customWidth="1"/>
    <col min="11019" max="11264" width="9.109375" style="1"/>
    <col min="11265" max="11265" width="21.109375" style="1" bestFit="1" customWidth="1"/>
    <col min="11266" max="11266" width="70" style="1" bestFit="1" customWidth="1"/>
    <col min="11267" max="11267" width="22.6640625" style="1" customWidth="1"/>
    <col min="11268" max="11268" width="22.44140625" style="1" bestFit="1" customWidth="1"/>
    <col min="11269" max="11271" width="22.44140625" style="1" customWidth="1"/>
    <col min="11272" max="11272" width="18.33203125" style="1" bestFit="1" customWidth="1"/>
    <col min="11273" max="11273" width="11.88671875" style="1" customWidth="1"/>
    <col min="11274" max="11274" width="22.44140625" style="1" customWidth="1"/>
    <col min="11275" max="11520" width="9.109375" style="1"/>
    <col min="11521" max="11521" width="21.109375" style="1" bestFit="1" customWidth="1"/>
    <col min="11522" max="11522" width="70" style="1" bestFit="1" customWidth="1"/>
    <col min="11523" max="11523" width="22.6640625" style="1" customWidth="1"/>
    <col min="11524" max="11524" width="22.44140625" style="1" bestFit="1" customWidth="1"/>
    <col min="11525" max="11527" width="22.44140625" style="1" customWidth="1"/>
    <col min="11528" max="11528" width="18.33203125" style="1" bestFit="1" customWidth="1"/>
    <col min="11529" max="11529" width="11.88671875" style="1" customWidth="1"/>
    <col min="11530" max="11530" width="22.44140625" style="1" customWidth="1"/>
    <col min="11531" max="11776" width="9.109375" style="1"/>
    <col min="11777" max="11777" width="21.109375" style="1" bestFit="1" customWidth="1"/>
    <col min="11778" max="11778" width="70" style="1" bestFit="1" customWidth="1"/>
    <col min="11779" max="11779" width="22.6640625" style="1" customWidth="1"/>
    <col min="11780" max="11780" width="22.44140625" style="1" bestFit="1" customWidth="1"/>
    <col min="11781" max="11783" width="22.44140625" style="1" customWidth="1"/>
    <col min="11784" max="11784" width="18.33203125" style="1" bestFit="1" customWidth="1"/>
    <col min="11785" max="11785" width="11.88671875" style="1" customWidth="1"/>
    <col min="11786" max="11786" width="22.44140625" style="1" customWidth="1"/>
    <col min="11787" max="12032" width="9.109375" style="1"/>
    <col min="12033" max="12033" width="21.109375" style="1" bestFit="1" customWidth="1"/>
    <col min="12034" max="12034" width="70" style="1" bestFit="1" customWidth="1"/>
    <col min="12035" max="12035" width="22.6640625" style="1" customWidth="1"/>
    <col min="12036" max="12036" width="22.44140625" style="1" bestFit="1" customWidth="1"/>
    <col min="12037" max="12039" width="22.44140625" style="1" customWidth="1"/>
    <col min="12040" max="12040" width="18.33203125" style="1" bestFit="1" customWidth="1"/>
    <col min="12041" max="12041" width="11.88671875" style="1" customWidth="1"/>
    <col min="12042" max="12042" width="22.44140625" style="1" customWidth="1"/>
    <col min="12043" max="12288" width="9.109375" style="1"/>
    <col min="12289" max="12289" width="21.109375" style="1" bestFit="1" customWidth="1"/>
    <col min="12290" max="12290" width="70" style="1" bestFit="1" customWidth="1"/>
    <col min="12291" max="12291" width="22.6640625" style="1" customWidth="1"/>
    <col min="12292" max="12292" width="22.44140625" style="1" bestFit="1" customWidth="1"/>
    <col min="12293" max="12295" width="22.44140625" style="1" customWidth="1"/>
    <col min="12296" max="12296" width="18.33203125" style="1" bestFit="1" customWidth="1"/>
    <col min="12297" max="12297" width="11.88671875" style="1" customWidth="1"/>
    <col min="12298" max="12298" width="22.44140625" style="1" customWidth="1"/>
    <col min="12299" max="12544" width="9.109375" style="1"/>
    <col min="12545" max="12545" width="21.109375" style="1" bestFit="1" customWidth="1"/>
    <col min="12546" max="12546" width="70" style="1" bestFit="1" customWidth="1"/>
    <col min="12547" max="12547" width="22.6640625" style="1" customWidth="1"/>
    <col min="12548" max="12548" width="22.44140625" style="1" bestFit="1" customWidth="1"/>
    <col min="12549" max="12551" width="22.44140625" style="1" customWidth="1"/>
    <col min="12552" max="12552" width="18.33203125" style="1" bestFit="1" customWidth="1"/>
    <col min="12553" max="12553" width="11.88671875" style="1" customWidth="1"/>
    <col min="12554" max="12554" width="22.44140625" style="1" customWidth="1"/>
    <col min="12555" max="12800" width="9.109375" style="1"/>
    <col min="12801" max="12801" width="21.109375" style="1" bestFit="1" customWidth="1"/>
    <col min="12802" max="12802" width="70" style="1" bestFit="1" customWidth="1"/>
    <col min="12803" max="12803" width="22.6640625" style="1" customWidth="1"/>
    <col min="12804" max="12804" width="22.44140625" style="1" bestFit="1" customWidth="1"/>
    <col min="12805" max="12807" width="22.44140625" style="1" customWidth="1"/>
    <col min="12808" max="12808" width="18.33203125" style="1" bestFit="1" customWidth="1"/>
    <col min="12809" max="12809" width="11.88671875" style="1" customWidth="1"/>
    <col min="12810" max="12810" width="22.44140625" style="1" customWidth="1"/>
    <col min="12811" max="13056" width="9.109375" style="1"/>
    <col min="13057" max="13057" width="21.109375" style="1" bestFit="1" customWidth="1"/>
    <col min="13058" max="13058" width="70" style="1" bestFit="1" customWidth="1"/>
    <col min="13059" max="13059" width="22.6640625" style="1" customWidth="1"/>
    <col min="13060" max="13060" width="22.44140625" style="1" bestFit="1" customWidth="1"/>
    <col min="13061" max="13063" width="22.44140625" style="1" customWidth="1"/>
    <col min="13064" max="13064" width="18.33203125" style="1" bestFit="1" customWidth="1"/>
    <col min="13065" max="13065" width="11.88671875" style="1" customWidth="1"/>
    <col min="13066" max="13066" width="22.44140625" style="1" customWidth="1"/>
    <col min="13067" max="13312" width="9.109375" style="1"/>
    <col min="13313" max="13313" width="21.109375" style="1" bestFit="1" customWidth="1"/>
    <col min="13314" max="13314" width="70" style="1" bestFit="1" customWidth="1"/>
    <col min="13315" max="13315" width="22.6640625" style="1" customWidth="1"/>
    <col min="13316" max="13316" width="22.44140625" style="1" bestFit="1" customWidth="1"/>
    <col min="13317" max="13319" width="22.44140625" style="1" customWidth="1"/>
    <col min="13320" max="13320" width="18.33203125" style="1" bestFit="1" customWidth="1"/>
    <col min="13321" max="13321" width="11.88671875" style="1" customWidth="1"/>
    <col min="13322" max="13322" width="22.44140625" style="1" customWidth="1"/>
    <col min="13323" max="13568" width="9.109375" style="1"/>
    <col min="13569" max="13569" width="21.109375" style="1" bestFit="1" customWidth="1"/>
    <col min="13570" max="13570" width="70" style="1" bestFit="1" customWidth="1"/>
    <col min="13571" max="13571" width="22.6640625" style="1" customWidth="1"/>
    <col min="13572" max="13572" width="22.44140625" style="1" bestFit="1" customWidth="1"/>
    <col min="13573" max="13575" width="22.44140625" style="1" customWidth="1"/>
    <col min="13576" max="13576" width="18.33203125" style="1" bestFit="1" customWidth="1"/>
    <col min="13577" max="13577" width="11.88671875" style="1" customWidth="1"/>
    <col min="13578" max="13578" width="22.44140625" style="1" customWidth="1"/>
    <col min="13579" max="13824" width="9.109375" style="1"/>
    <col min="13825" max="13825" width="21.109375" style="1" bestFit="1" customWidth="1"/>
    <col min="13826" max="13826" width="70" style="1" bestFit="1" customWidth="1"/>
    <col min="13827" max="13827" width="22.6640625" style="1" customWidth="1"/>
    <col min="13828" max="13828" width="22.44140625" style="1" bestFit="1" customWidth="1"/>
    <col min="13829" max="13831" width="22.44140625" style="1" customWidth="1"/>
    <col min="13832" max="13832" width="18.33203125" style="1" bestFit="1" customWidth="1"/>
    <col min="13833" max="13833" width="11.88671875" style="1" customWidth="1"/>
    <col min="13834" max="13834" width="22.44140625" style="1" customWidth="1"/>
    <col min="13835" max="14080" width="9.109375" style="1"/>
    <col min="14081" max="14081" width="21.109375" style="1" bestFit="1" customWidth="1"/>
    <col min="14082" max="14082" width="70" style="1" bestFit="1" customWidth="1"/>
    <col min="14083" max="14083" width="22.6640625" style="1" customWidth="1"/>
    <col min="14084" max="14084" width="22.44140625" style="1" bestFit="1" customWidth="1"/>
    <col min="14085" max="14087" width="22.44140625" style="1" customWidth="1"/>
    <col min="14088" max="14088" width="18.33203125" style="1" bestFit="1" customWidth="1"/>
    <col min="14089" max="14089" width="11.88671875" style="1" customWidth="1"/>
    <col min="14090" max="14090" width="22.44140625" style="1" customWidth="1"/>
    <col min="14091" max="14336" width="9.109375" style="1"/>
    <col min="14337" max="14337" width="21.109375" style="1" bestFit="1" customWidth="1"/>
    <col min="14338" max="14338" width="70" style="1" bestFit="1" customWidth="1"/>
    <col min="14339" max="14339" width="22.6640625" style="1" customWidth="1"/>
    <col min="14340" max="14340" width="22.44140625" style="1" bestFit="1" customWidth="1"/>
    <col min="14341" max="14343" width="22.44140625" style="1" customWidth="1"/>
    <col min="14344" max="14344" width="18.33203125" style="1" bestFit="1" customWidth="1"/>
    <col min="14345" max="14345" width="11.88671875" style="1" customWidth="1"/>
    <col min="14346" max="14346" width="22.44140625" style="1" customWidth="1"/>
    <col min="14347" max="14592" width="9.109375" style="1"/>
    <col min="14593" max="14593" width="21.109375" style="1" bestFit="1" customWidth="1"/>
    <col min="14594" max="14594" width="70" style="1" bestFit="1" customWidth="1"/>
    <col min="14595" max="14595" width="22.6640625" style="1" customWidth="1"/>
    <col min="14596" max="14596" width="22.44140625" style="1" bestFit="1" customWidth="1"/>
    <col min="14597" max="14599" width="22.44140625" style="1" customWidth="1"/>
    <col min="14600" max="14600" width="18.33203125" style="1" bestFit="1" customWidth="1"/>
    <col min="14601" max="14601" width="11.88671875" style="1" customWidth="1"/>
    <col min="14602" max="14602" width="22.44140625" style="1" customWidth="1"/>
    <col min="14603" max="14848" width="9.109375" style="1"/>
    <col min="14849" max="14849" width="21.109375" style="1" bestFit="1" customWidth="1"/>
    <col min="14850" max="14850" width="70" style="1" bestFit="1" customWidth="1"/>
    <col min="14851" max="14851" width="22.6640625" style="1" customWidth="1"/>
    <col min="14852" max="14852" width="22.44140625" style="1" bestFit="1" customWidth="1"/>
    <col min="14853" max="14855" width="22.44140625" style="1" customWidth="1"/>
    <col min="14856" max="14856" width="18.33203125" style="1" bestFit="1" customWidth="1"/>
    <col min="14857" max="14857" width="11.88671875" style="1" customWidth="1"/>
    <col min="14858" max="14858" width="22.44140625" style="1" customWidth="1"/>
    <col min="14859" max="15104" width="9.109375" style="1"/>
    <col min="15105" max="15105" width="21.109375" style="1" bestFit="1" customWidth="1"/>
    <col min="15106" max="15106" width="70" style="1" bestFit="1" customWidth="1"/>
    <col min="15107" max="15107" width="22.6640625" style="1" customWidth="1"/>
    <col min="15108" max="15108" width="22.44140625" style="1" bestFit="1" customWidth="1"/>
    <col min="15109" max="15111" width="22.44140625" style="1" customWidth="1"/>
    <col min="15112" max="15112" width="18.33203125" style="1" bestFit="1" customWidth="1"/>
    <col min="15113" max="15113" width="11.88671875" style="1" customWidth="1"/>
    <col min="15114" max="15114" width="22.44140625" style="1" customWidth="1"/>
    <col min="15115" max="15360" width="9.109375" style="1"/>
    <col min="15361" max="15361" width="21.109375" style="1" bestFit="1" customWidth="1"/>
    <col min="15362" max="15362" width="70" style="1" bestFit="1" customWidth="1"/>
    <col min="15363" max="15363" width="22.6640625" style="1" customWidth="1"/>
    <col min="15364" max="15364" width="22.44140625" style="1" bestFit="1" customWidth="1"/>
    <col min="15365" max="15367" width="22.44140625" style="1" customWidth="1"/>
    <col min="15368" max="15368" width="18.33203125" style="1" bestFit="1" customWidth="1"/>
    <col min="15369" max="15369" width="11.88671875" style="1" customWidth="1"/>
    <col min="15370" max="15370" width="22.44140625" style="1" customWidth="1"/>
    <col min="15371" max="15616" width="9.109375" style="1"/>
    <col min="15617" max="15617" width="21.109375" style="1" bestFit="1" customWidth="1"/>
    <col min="15618" max="15618" width="70" style="1" bestFit="1" customWidth="1"/>
    <col min="15619" max="15619" width="22.6640625" style="1" customWidth="1"/>
    <col min="15620" max="15620" width="22.44140625" style="1" bestFit="1" customWidth="1"/>
    <col min="15621" max="15623" width="22.44140625" style="1" customWidth="1"/>
    <col min="15624" max="15624" width="18.33203125" style="1" bestFit="1" customWidth="1"/>
    <col min="15625" max="15625" width="11.88671875" style="1" customWidth="1"/>
    <col min="15626" max="15626" width="22.44140625" style="1" customWidth="1"/>
    <col min="15627" max="15872" width="9.109375" style="1"/>
    <col min="15873" max="15873" width="21.109375" style="1" bestFit="1" customWidth="1"/>
    <col min="15874" max="15874" width="70" style="1" bestFit="1" customWidth="1"/>
    <col min="15875" max="15875" width="22.6640625" style="1" customWidth="1"/>
    <col min="15876" max="15876" width="22.44140625" style="1" bestFit="1" customWidth="1"/>
    <col min="15877" max="15879" width="22.44140625" style="1" customWidth="1"/>
    <col min="15880" max="15880" width="18.33203125" style="1" bestFit="1" customWidth="1"/>
    <col min="15881" max="15881" width="11.88671875" style="1" customWidth="1"/>
    <col min="15882" max="15882" width="22.44140625" style="1" customWidth="1"/>
    <col min="15883" max="16128" width="9.109375" style="1"/>
    <col min="16129" max="16129" width="21.109375" style="1" bestFit="1" customWidth="1"/>
    <col min="16130" max="16130" width="70" style="1" bestFit="1" customWidth="1"/>
    <col min="16131" max="16131" width="22.6640625" style="1" customWidth="1"/>
    <col min="16132" max="16132" width="22.44140625" style="1" bestFit="1" customWidth="1"/>
    <col min="16133" max="16135" width="22.44140625" style="1" customWidth="1"/>
    <col min="16136" max="16136" width="18.33203125" style="1" bestFit="1" customWidth="1"/>
    <col min="16137" max="16137" width="11.88671875" style="1" customWidth="1"/>
    <col min="16138" max="16138" width="22.44140625" style="1" customWidth="1"/>
    <col min="16139" max="16384" width="9.109375" style="1"/>
  </cols>
  <sheetData>
    <row r="1" spans="1:9" ht="12.75" customHeight="1">
      <c r="C1" s="147" t="s">
        <v>448</v>
      </c>
      <c r="D1" s="147" t="s">
        <v>420</v>
      </c>
      <c r="E1" s="147" t="s">
        <v>426</v>
      </c>
      <c r="F1" s="147" t="s">
        <v>445</v>
      </c>
      <c r="G1" s="176" t="s">
        <v>449</v>
      </c>
      <c r="H1" s="177" t="s">
        <v>450</v>
      </c>
    </row>
    <row r="3" spans="1:9" ht="12.75" customHeight="1">
      <c r="A3" s="138" t="s">
        <v>16</v>
      </c>
    </row>
    <row r="4" spans="1:9" ht="12.75" customHeight="1">
      <c r="A4" s="136">
        <v>1600200</v>
      </c>
      <c r="B4" s="1" t="s">
        <v>22</v>
      </c>
      <c r="C4" s="147">
        <v>132670468</v>
      </c>
      <c r="E4" s="147">
        <v>0</v>
      </c>
      <c r="G4" s="176">
        <v>-3658477</v>
      </c>
      <c r="H4" s="177">
        <f>SUM(C4:G4)</f>
        <v>129011991</v>
      </c>
      <c r="I4" s="139"/>
    </row>
    <row r="5" spans="1:9" ht="12.75" customHeight="1">
      <c r="A5" s="136" t="s">
        <v>23</v>
      </c>
      <c r="B5" s="1" t="s">
        <v>24</v>
      </c>
      <c r="C5" s="147">
        <v>-8616762</v>
      </c>
      <c r="D5" s="147">
        <v>-650161</v>
      </c>
      <c r="E5" s="147">
        <v>-653662</v>
      </c>
      <c r="F5" s="147">
        <v>-656408</v>
      </c>
      <c r="G5" s="176">
        <v>-380013</v>
      </c>
      <c r="H5" s="177">
        <f>SUM(C5:G5)</f>
        <v>-10957006</v>
      </c>
    </row>
    <row r="6" spans="1:9" ht="12.75" customHeight="1">
      <c r="A6" s="136" t="s">
        <v>25</v>
      </c>
      <c r="B6" s="1" t="s">
        <v>26</v>
      </c>
      <c r="C6" s="147">
        <v>-651550</v>
      </c>
      <c r="D6" s="147">
        <v>-1101554</v>
      </c>
      <c r="E6" s="147">
        <v>-462286</v>
      </c>
      <c r="F6" s="174">
        <v>-1443087</v>
      </c>
      <c r="G6" s="178">
        <v>2472387</v>
      </c>
      <c r="H6" s="177">
        <f>SUM(C6:G6)</f>
        <v>-1186090</v>
      </c>
    </row>
    <row r="7" spans="1:9" ht="12.75" customHeight="1">
      <c r="A7" s="136" t="s">
        <v>427</v>
      </c>
      <c r="B7" s="1" t="s">
        <v>428</v>
      </c>
      <c r="C7" s="147">
        <v>41286</v>
      </c>
      <c r="D7" s="147">
        <v>71536</v>
      </c>
      <c r="E7" s="147">
        <v>33933</v>
      </c>
      <c r="F7" s="147">
        <v>116170</v>
      </c>
      <c r="G7" s="176">
        <v>-162402</v>
      </c>
      <c r="H7" s="177">
        <f>SUM(C7:G7)</f>
        <v>100523</v>
      </c>
    </row>
    <row r="8" spans="1:9" ht="12.75" customHeight="1">
      <c r="A8" s="1" t="s">
        <v>351</v>
      </c>
      <c r="I8" s="139"/>
    </row>
    <row r="10" spans="1:9" ht="12.75" customHeight="1">
      <c r="A10" s="136" t="s">
        <v>35</v>
      </c>
      <c r="B10" s="1" t="s">
        <v>36</v>
      </c>
      <c r="C10" s="147">
        <v>2564669</v>
      </c>
      <c r="D10" s="147">
        <v>142232</v>
      </c>
      <c r="E10" s="147">
        <v>153794</v>
      </c>
      <c r="F10" s="147">
        <v>129418</v>
      </c>
      <c r="G10" s="176">
        <v>-293081</v>
      </c>
      <c r="H10" s="177">
        <f>SUM(C10:G10)</f>
        <v>2697032</v>
      </c>
    </row>
    <row r="11" spans="1:9" ht="12.75" customHeight="1">
      <c r="A11" s="1" t="s">
        <v>352</v>
      </c>
    </row>
    <row r="13" spans="1:9" ht="12.75" customHeight="1">
      <c r="A13" s="136" t="s">
        <v>41</v>
      </c>
      <c r="B13" s="1" t="s">
        <v>42</v>
      </c>
      <c r="C13" s="147">
        <v>277548</v>
      </c>
      <c r="D13" s="147">
        <v>66045</v>
      </c>
      <c r="E13" s="147">
        <v>-93669</v>
      </c>
      <c r="F13" s="147">
        <v>-177050</v>
      </c>
      <c r="G13" s="176">
        <v>5313</v>
      </c>
      <c r="H13" s="177">
        <f>SUM(C13:G13)</f>
        <v>78187</v>
      </c>
    </row>
    <row r="14" spans="1:9" ht="12.75" customHeight="1">
      <c r="A14" s="136" t="s">
        <v>43</v>
      </c>
      <c r="B14" s="1" t="s">
        <v>44</v>
      </c>
      <c r="C14" s="147">
        <v>-64501</v>
      </c>
      <c r="D14" s="147">
        <v>0</v>
      </c>
      <c r="E14" s="147">
        <v>0</v>
      </c>
      <c r="F14" s="147">
        <v>0</v>
      </c>
      <c r="G14" s="176">
        <v>0</v>
      </c>
      <c r="H14" s="177">
        <f>SUM(C14:G14)</f>
        <v>-64501</v>
      </c>
    </row>
    <row r="15" spans="1:9" ht="12.75" customHeight="1">
      <c r="A15" s="1" t="s">
        <v>353</v>
      </c>
    </row>
    <row r="17" spans="1:8" ht="12.75" customHeight="1">
      <c r="A17" s="136">
        <v>2640000</v>
      </c>
      <c r="B17" s="1" t="s">
        <v>48</v>
      </c>
      <c r="C17" s="147">
        <v>110497</v>
      </c>
      <c r="D17" s="147">
        <v>0</v>
      </c>
      <c r="E17" s="147">
        <v>0</v>
      </c>
      <c r="F17" s="147">
        <v>0</v>
      </c>
      <c r="G17" s="176">
        <v>100000</v>
      </c>
      <c r="H17" s="177">
        <f>SUM(C17:G17)</f>
        <v>210497</v>
      </c>
    </row>
    <row r="18" spans="1:8" ht="12.75" customHeight="1">
      <c r="A18" s="1" t="s">
        <v>357</v>
      </c>
    </row>
    <row r="20" spans="1:8" ht="12.75" customHeight="1">
      <c r="A20" s="136">
        <v>2040200</v>
      </c>
      <c r="B20" s="1" t="s">
        <v>447</v>
      </c>
      <c r="C20" s="147">
        <v>0</v>
      </c>
      <c r="D20" s="147">
        <v>0</v>
      </c>
      <c r="E20" s="147">
        <v>0</v>
      </c>
      <c r="F20" s="147">
        <v>5000</v>
      </c>
      <c r="G20" s="176">
        <v>0</v>
      </c>
      <c r="H20" s="177">
        <f>SUM(C20:G20)</f>
        <v>5000</v>
      </c>
    </row>
    <row r="21" spans="1:8" ht="12.75" customHeight="1">
      <c r="A21" s="136" t="s">
        <v>53</v>
      </c>
      <c r="B21" s="1" t="s">
        <v>54</v>
      </c>
      <c r="C21" s="147">
        <v>15594</v>
      </c>
      <c r="D21" s="147">
        <v>0</v>
      </c>
      <c r="E21" s="147">
        <v>0</v>
      </c>
      <c r="F21" s="147">
        <v>-10713</v>
      </c>
      <c r="G21" s="176">
        <v>0</v>
      </c>
      <c r="H21" s="177">
        <f>SUM(C21:G21)</f>
        <v>4881</v>
      </c>
    </row>
    <row r="22" spans="1:8" ht="12.75" customHeight="1">
      <c r="A22" s="136" t="s">
        <v>55</v>
      </c>
      <c r="B22" s="1" t="s">
        <v>56</v>
      </c>
      <c r="C22" s="175"/>
      <c r="D22" s="147">
        <v>0</v>
      </c>
      <c r="E22" s="147">
        <v>0</v>
      </c>
      <c r="F22" s="147">
        <v>425</v>
      </c>
      <c r="G22" s="176">
        <v>0</v>
      </c>
      <c r="H22" s="177">
        <f>SUM(C22:G22)</f>
        <v>425</v>
      </c>
    </row>
    <row r="23" spans="1:8" ht="12.75" customHeight="1">
      <c r="A23" s="1" t="s">
        <v>407</v>
      </c>
    </row>
    <row r="25" spans="1:8" ht="12.75" customHeight="1">
      <c r="A25" s="136" t="s">
        <v>61</v>
      </c>
      <c r="B25" s="1" t="s">
        <v>62</v>
      </c>
      <c r="C25" s="147">
        <v>672</v>
      </c>
      <c r="D25" s="147">
        <v>-4010</v>
      </c>
      <c r="E25" s="147">
        <v>3338</v>
      </c>
      <c r="F25" s="147">
        <v>0</v>
      </c>
      <c r="H25" s="177">
        <f t="shared" ref="H25:H31" si="0">SUM(C25:G25)</f>
        <v>0</v>
      </c>
    </row>
    <row r="26" spans="1:8" ht="12.75" customHeight="1">
      <c r="A26" s="136" t="s">
        <v>65</v>
      </c>
      <c r="B26" s="1" t="s">
        <v>66</v>
      </c>
      <c r="C26" s="147">
        <v>538961</v>
      </c>
      <c r="D26" s="147">
        <v>-458920</v>
      </c>
      <c r="E26" s="147">
        <v>649658</v>
      </c>
      <c r="F26" s="147">
        <v>1729271</v>
      </c>
      <c r="G26" s="176">
        <v>-1031638</v>
      </c>
      <c r="H26" s="177">
        <f t="shared" si="0"/>
        <v>1427332</v>
      </c>
    </row>
    <row r="27" spans="1:8" ht="12.75" customHeight="1">
      <c r="A27" s="136" t="s">
        <v>67</v>
      </c>
      <c r="B27" s="1" t="s">
        <v>68</v>
      </c>
      <c r="C27" s="147">
        <v>1369615</v>
      </c>
      <c r="D27" s="147">
        <v>-1368856</v>
      </c>
      <c r="E27" s="147">
        <v>12154</v>
      </c>
      <c r="F27" s="147">
        <v>74896</v>
      </c>
      <c r="G27" s="176">
        <v>1058693</v>
      </c>
      <c r="H27" s="177">
        <f t="shared" si="0"/>
        <v>1146502</v>
      </c>
    </row>
    <row r="28" spans="1:8" ht="12.75" customHeight="1">
      <c r="A28" s="136" t="s">
        <v>69</v>
      </c>
      <c r="B28" s="1" t="s">
        <v>70</v>
      </c>
      <c r="C28" s="147">
        <v>1034628</v>
      </c>
      <c r="D28" s="147">
        <v>-1028597</v>
      </c>
      <c r="E28" s="147">
        <v>785758</v>
      </c>
      <c r="F28" s="147">
        <v>-19584</v>
      </c>
      <c r="G28" s="176">
        <v>-29065</v>
      </c>
      <c r="H28" s="177">
        <f t="shared" si="0"/>
        <v>743140</v>
      </c>
    </row>
    <row r="29" spans="1:8" ht="12.75" customHeight="1">
      <c r="A29" s="136" t="s">
        <v>71</v>
      </c>
      <c r="B29" s="1" t="s">
        <v>72</v>
      </c>
      <c r="C29" s="147">
        <v>601349</v>
      </c>
      <c r="D29" s="147">
        <v>44887</v>
      </c>
      <c r="E29" s="147">
        <v>-62925</v>
      </c>
      <c r="F29" s="147">
        <v>66151</v>
      </c>
      <c r="G29" s="176">
        <v>-46640</v>
      </c>
      <c r="H29" s="177">
        <f t="shared" si="0"/>
        <v>602822</v>
      </c>
    </row>
    <row r="30" spans="1:8" ht="12.75" customHeight="1">
      <c r="A30" s="136" t="s">
        <v>73</v>
      </c>
      <c r="B30" s="1" t="s">
        <v>74</v>
      </c>
      <c r="C30" s="147">
        <v>499737</v>
      </c>
      <c r="D30" s="147">
        <v>528567</v>
      </c>
      <c r="E30" s="147">
        <v>-364896</v>
      </c>
      <c r="F30" s="147">
        <v>1098220</v>
      </c>
      <c r="G30" s="176">
        <v>-73423</v>
      </c>
      <c r="H30" s="177">
        <f t="shared" si="0"/>
        <v>1688205</v>
      </c>
    </row>
    <row r="31" spans="1:8" ht="12.75" customHeight="1">
      <c r="A31" s="136" t="s">
        <v>75</v>
      </c>
      <c r="B31" s="1" t="s">
        <v>76</v>
      </c>
      <c r="C31" s="147">
        <v>58140</v>
      </c>
      <c r="D31" s="147">
        <v>58399</v>
      </c>
      <c r="E31" s="147">
        <v>-115700</v>
      </c>
      <c r="F31" s="147">
        <v>194761</v>
      </c>
      <c r="G31" s="176">
        <v>114437</v>
      </c>
      <c r="H31" s="177">
        <f t="shared" si="0"/>
        <v>310037</v>
      </c>
    </row>
    <row r="32" spans="1:8" ht="12.75" customHeight="1">
      <c r="A32" s="1" t="s">
        <v>358</v>
      </c>
    </row>
    <row r="34" spans="1:8" ht="12.75" customHeight="1">
      <c r="A34" s="136">
        <v>1000002</v>
      </c>
      <c r="B34" s="1" t="s">
        <v>429</v>
      </c>
      <c r="C34" s="147">
        <v>-1</v>
      </c>
      <c r="D34" s="147">
        <v>0</v>
      </c>
      <c r="E34" s="147">
        <v>0</v>
      </c>
      <c r="F34" s="147">
        <v>0</v>
      </c>
      <c r="G34" s="176">
        <v>0</v>
      </c>
      <c r="H34" s="177">
        <f>SUM(C34:G34)</f>
        <v>-1</v>
      </c>
    </row>
    <row r="35" spans="1:8" ht="12.75" customHeight="1">
      <c r="A35" s="136">
        <v>1100000</v>
      </c>
      <c r="B35" s="1" t="s">
        <v>430</v>
      </c>
      <c r="C35" s="147">
        <v>-19431219</v>
      </c>
      <c r="D35" s="147">
        <v>0</v>
      </c>
      <c r="E35" s="147">
        <v>0</v>
      </c>
      <c r="F35" s="147">
        <v>0</v>
      </c>
      <c r="G35" s="176">
        <v>0</v>
      </c>
      <c r="H35" s="177">
        <f>SUM(C35:G35)</f>
        <v>-19431219</v>
      </c>
    </row>
    <row r="36" spans="1:8" ht="12.75" customHeight="1">
      <c r="A36" s="136">
        <v>1160000</v>
      </c>
      <c r="B36" s="1" t="s">
        <v>94</v>
      </c>
      <c r="C36" s="147">
        <f>16276587-1251333-650</f>
        <v>15024604</v>
      </c>
      <c r="D36" s="147">
        <v>0</v>
      </c>
      <c r="E36" s="147">
        <v>0</v>
      </c>
      <c r="F36" s="147">
        <v>0</v>
      </c>
      <c r="G36" s="176">
        <v>0</v>
      </c>
      <c r="H36" s="177">
        <f>SUM(C36:G36)</f>
        <v>15024604</v>
      </c>
    </row>
    <row r="37" spans="1:8" ht="12.75" customHeight="1">
      <c r="A37" s="136" t="s">
        <v>95</v>
      </c>
      <c r="B37" s="1" t="s">
        <v>96</v>
      </c>
      <c r="C37" s="147">
        <v>310000</v>
      </c>
      <c r="D37" s="147">
        <v>225000</v>
      </c>
      <c r="E37" s="147">
        <v>285500</v>
      </c>
      <c r="F37" s="147">
        <v>235000</v>
      </c>
      <c r="G37" s="176">
        <v>1510938</v>
      </c>
      <c r="H37" s="177">
        <f>SUM(C37:G37)</f>
        <v>2566438</v>
      </c>
    </row>
    <row r="38" spans="1:8" ht="12.75" customHeight="1">
      <c r="A38" s="1" t="s">
        <v>359</v>
      </c>
    </row>
    <row r="40" spans="1:8" ht="12.75" customHeight="1">
      <c r="A40" s="136">
        <v>1930001</v>
      </c>
      <c r="B40" s="1" t="s">
        <v>104</v>
      </c>
      <c r="C40" s="147">
        <v>-130000000</v>
      </c>
      <c r="D40" s="147">
        <v>0</v>
      </c>
      <c r="E40" s="147">
        <v>0</v>
      </c>
      <c r="F40" s="147">
        <v>0</v>
      </c>
      <c r="G40" s="176">
        <v>0</v>
      </c>
      <c r="H40" s="177">
        <f>SUM(C40:G40)</f>
        <v>-130000000</v>
      </c>
    </row>
    <row r="41" spans="1:8" ht="12.75" customHeight="1">
      <c r="A41" s="136" t="s">
        <v>107</v>
      </c>
      <c r="B41" s="1" t="s">
        <v>108</v>
      </c>
      <c r="C41" s="147">
        <v>5070233</v>
      </c>
      <c r="D41" s="147">
        <v>4692972</v>
      </c>
      <c r="E41" s="147">
        <v>601184</v>
      </c>
      <c r="F41" s="147">
        <v>601184</v>
      </c>
      <c r="G41" s="176">
        <v>2258971</v>
      </c>
      <c r="H41" s="177">
        <f>SUM(C41:G41)</f>
        <v>13224544</v>
      </c>
    </row>
    <row r="42" spans="1:8" ht="12.75" customHeight="1">
      <c r="A42" s="136" t="s">
        <v>109</v>
      </c>
      <c r="B42" s="1" t="s">
        <v>110</v>
      </c>
      <c r="C42" s="147">
        <v>0</v>
      </c>
      <c r="D42" s="147">
        <v>0</v>
      </c>
      <c r="E42" s="147">
        <v>0</v>
      </c>
      <c r="F42" s="147">
        <v>0</v>
      </c>
      <c r="G42" s="176">
        <v>0</v>
      </c>
      <c r="H42" s="177">
        <f>SUM(C42:G42)</f>
        <v>0</v>
      </c>
    </row>
    <row r="43" spans="1:8" ht="12.75" customHeight="1">
      <c r="A43" s="1" t="s">
        <v>362</v>
      </c>
    </row>
    <row r="45" spans="1:8" ht="12.75" customHeight="1">
      <c r="A45" s="136" t="s">
        <v>121</v>
      </c>
      <c r="B45" s="1" t="s">
        <v>122</v>
      </c>
      <c r="C45" s="147">
        <v>-195693</v>
      </c>
      <c r="D45" s="147">
        <v>-5981</v>
      </c>
      <c r="E45" s="147">
        <v>28193</v>
      </c>
      <c r="F45" s="147">
        <v>-67126</v>
      </c>
      <c r="G45" s="176">
        <v>17250</v>
      </c>
      <c r="H45" s="177">
        <f>SUM(C45:G45)</f>
        <v>-223357</v>
      </c>
    </row>
    <row r="46" spans="1:8" ht="12.75" customHeight="1">
      <c r="A46" s="136" t="s">
        <v>123</v>
      </c>
      <c r="B46" s="1" t="s">
        <v>124</v>
      </c>
      <c r="C46" s="147">
        <v>0</v>
      </c>
      <c r="D46" s="147">
        <v>0</v>
      </c>
      <c r="E46" s="147">
        <v>0</v>
      </c>
      <c r="F46" s="147">
        <v>0</v>
      </c>
      <c r="G46" s="176">
        <v>0</v>
      </c>
      <c r="H46" s="177">
        <f>SUM(C46:G46)</f>
        <v>0</v>
      </c>
    </row>
    <row r="47" spans="1:8" ht="12.75" customHeight="1">
      <c r="A47" s="1" t="s">
        <v>363</v>
      </c>
    </row>
    <row r="48" spans="1:8" ht="12.75" customHeight="1">
      <c r="H48" s="177">
        <f>SUM(C48:F48)</f>
        <v>0</v>
      </c>
    </row>
    <row r="49" spans="1:8" ht="12.75" customHeight="1">
      <c r="A49" s="136" t="s">
        <v>129</v>
      </c>
      <c r="B49" s="1" t="s">
        <v>130</v>
      </c>
      <c r="C49" s="147">
        <v>-3716</v>
      </c>
      <c r="D49" s="147">
        <v>9</v>
      </c>
      <c r="E49" s="147">
        <v>-19</v>
      </c>
      <c r="F49" s="147">
        <v>-204</v>
      </c>
      <c r="G49" s="176">
        <v>17</v>
      </c>
      <c r="H49" s="177">
        <f>SUM(C49:G49)</f>
        <v>-3913</v>
      </c>
    </row>
    <row r="50" spans="1:8" ht="12.75" customHeight="1">
      <c r="A50" s="136" t="s">
        <v>133</v>
      </c>
      <c r="B50" s="1" t="s">
        <v>134</v>
      </c>
      <c r="C50" s="147">
        <v>-165928</v>
      </c>
      <c r="D50" s="147">
        <v>-197342</v>
      </c>
      <c r="E50" s="147">
        <v>-74792</v>
      </c>
      <c r="F50" s="147">
        <v>94944</v>
      </c>
      <c r="G50" s="176">
        <v>0</v>
      </c>
      <c r="H50" s="177">
        <f>SUM(C50:G50)</f>
        <v>-343118</v>
      </c>
    </row>
    <row r="51" spans="1:8" ht="12.75" customHeight="1">
      <c r="A51" s="136" t="s">
        <v>137</v>
      </c>
      <c r="B51" s="1" t="s">
        <v>138</v>
      </c>
      <c r="C51" s="147">
        <v>284637</v>
      </c>
      <c r="D51" s="147">
        <v>-94879</v>
      </c>
      <c r="E51" s="147">
        <v>-94878</v>
      </c>
      <c r="F51" s="147">
        <v>-94878</v>
      </c>
      <c r="G51" s="176">
        <v>0</v>
      </c>
      <c r="H51" s="177">
        <f>SUM(C51:G51)</f>
        <v>2</v>
      </c>
    </row>
    <row r="52" spans="1:8" ht="12.75" customHeight="1">
      <c r="A52" s="1" t="s">
        <v>366</v>
      </c>
    </row>
    <row r="54" spans="1:8" ht="12.75" customHeight="1">
      <c r="A54" s="136" t="s">
        <v>141</v>
      </c>
      <c r="B54" s="1" t="s">
        <v>142</v>
      </c>
      <c r="C54" s="147">
        <v>-678423</v>
      </c>
      <c r="D54" s="147">
        <v>-13448</v>
      </c>
      <c r="E54" s="147">
        <v>-8607</v>
      </c>
      <c r="F54" s="147">
        <v>-10299</v>
      </c>
      <c r="G54" s="176">
        <v>10687</v>
      </c>
      <c r="H54" s="177">
        <f t="shared" ref="H54:H65" si="1">SUM(C54:G54)</f>
        <v>-700090</v>
      </c>
    </row>
    <row r="55" spans="1:8" ht="12.75" customHeight="1">
      <c r="A55" s="136">
        <v>2740500</v>
      </c>
      <c r="B55" s="1" t="s">
        <v>144</v>
      </c>
      <c r="C55" s="147">
        <v>-22500</v>
      </c>
      <c r="D55" s="147">
        <v>0</v>
      </c>
      <c r="E55" s="147">
        <v>0</v>
      </c>
      <c r="F55" s="147">
        <v>0</v>
      </c>
      <c r="G55" s="176">
        <v>0</v>
      </c>
      <c r="H55" s="177">
        <f t="shared" si="1"/>
        <v>-22500</v>
      </c>
    </row>
    <row r="56" spans="1:8" ht="12.75" customHeight="1">
      <c r="A56" s="136" t="s">
        <v>145</v>
      </c>
      <c r="B56" s="1" t="s">
        <v>146</v>
      </c>
      <c r="C56" s="147">
        <v>-503883</v>
      </c>
      <c r="D56" s="147">
        <v>503883</v>
      </c>
      <c r="E56" s="147">
        <v>0</v>
      </c>
      <c r="F56" s="147">
        <v>0</v>
      </c>
      <c r="G56" s="176">
        <v>-457533</v>
      </c>
      <c r="H56" s="177">
        <f t="shared" si="1"/>
        <v>-457533</v>
      </c>
    </row>
    <row r="57" spans="1:8" ht="12.75" customHeight="1">
      <c r="A57" s="136" t="s">
        <v>367</v>
      </c>
      <c r="B57" s="1" t="s">
        <v>368</v>
      </c>
      <c r="C57" s="147">
        <v>47712</v>
      </c>
      <c r="D57" s="147">
        <v>-15904</v>
      </c>
      <c r="E57" s="147">
        <v>-15903</v>
      </c>
      <c r="F57" s="147">
        <v>-15903</v>
      </c>
      <c r="G57" s="176">
        <v>0</v>
      </c>
      <c r="H57" s="177">
        <f t="shared" si="1"/>
        <v>2</v>
      </c>
    </row>
    <row r="58" spans="1:8" ht="12.75" customHeight="1">
      <c r="A58" s="136" t="s">
        <v>147</v>
      </c>
      <c r="B58" s="1" t="s">
        <v>148</v>
      </c>
      <c r="C58" s="147">
        <v>8500</v>
      </c>
      <c r="D58" s="147">
        <v>-8500</v>
      </c>
      <c r="E58" s="147">
        <v>0</v>
      </c>
      <c r="F58" s="147">
        <v>0</v>
      </c>
      <c r="G58" s="176">
        <v>0</v>
      </c>
      <c r="H58" s="177">
        <f t="shared" si="1"/>
        <v>0</v>
      </c>
    </row>
    <row r="59" spans="1:8" ht="12.75" customHeight="1">
      <c r="A59" s="136" t="s">
        <v>149</v>
      </c>
      <c r="B59" s="1" t="s">
        <v>150</v>
      </c>
      <c r="C59" s="147">
        <v>0</v>
      </c>
      <c r="D59" s="147">
        <v>0</v>
      </c>
      <c r="E59" s="147">
        <v>0</v>
      </c>
      <c r="F59" s="147">
        <v>-2118</v>
      </c>
      <c r="G59" s="176">
        <v>0</v>
      </c>
      <c r="H59" s="177">
        <f t="shared" si="1"/>
        <v>-2118</v>
      </c>
    </row>
    <row r="60" spans="1:8" ht="12.75" customHeight="1">
      <c r="A60" s="136" t="s">
        <v>151</v>
      </c>
      <c r="B60" s="1" t="s">
        <v>152</v>
      </c>
      <c r="C60" s="147">
        <v>0</v>
      </c>
      <c r="D60" s="147">
        <v>0</v>
      </c>
      <c r="E60" s="147">
        <v>0</v>
      </c>
      <c r="F60" s="147">
        <v>-1846</v>
      </c>
      <c r="G60" s="176">
        <v>0</v>
      </c>
      <c r="H60" s="177">
        <f t="shared" si="1"/>
        <v>-1846</v>
      </c>
    </row>
    <row r="61" spans="1:8" ht="12.75" customHeight="1">
      <c r="A61" s="136" t="s">
        <v>155</v>
      </c>
      <c r="B61" s="1" t="s">
        <v>156</v>
      </c>
      <c r="C61" s="147">
        <v>-80046</v>
      </c>
      <c r="D61" s="147">
        <v>487</v>
      </c>
      <c r="E61" s="147">
        <v>38680</v>
      </c>
      <c r="F61" s="147">
        <v>61</v>
      </c>
      <c r="G61" s="176">
        <v>483</v>
      </c>
      <c r="H61" s="177">
        <f t="shared" si="1"/>
        <v>-40335</v>
      </c>
    </row>
    <row r="62" spans="1:8" ht="12.75" customHeight="1">
      <c r="A62" s="136" t="s">
        <v>157</v>
      </c>
      <c r="B62" s="1" t="s">
        <v>158</v>
      </c>
      <c r="C62" s="147">
        <v>0</v>
      </c>
      <c r="D62" s="147">
        <v>0</v>
      </c>
      <c r="E62" s="147">
        <v>0</v>
      </c>
      <c r="F62" s="147">
        <v>0</v>
      </c>
      <c r="G62" s="176">
        <v>0</v>
      </c>
      <c r="H62" s="177">
        <f t="shared" si="1"/>
        <v>0</v>
      </c>
    </row>
    <row r="63" spans="1:8" ht="12.75" customHeight="1">
      <c r="A63" s="136" t="s">
        <v>159</v>
      </c>
      <c r="B63" s="1" t="s">
        <v>160</v>
      </c>
      <c r="C63" s="147">
        <v>0</v>
      </c>
      <c r="D63" s="147">
        <v>0</v>
      </c>
      <c r="E63" s="147">
        <v>20000</v>
      </c>
      <c r="F63" s="147">
        <v>-1083</v>
      </c>
      <c r="G63" s="176">
        <v>0</v>
      </c>
      <c r="H63" s="177">
        <f t="shared" si="1"/>
        <v>18917</v>
      </c>
    </row>
    <row r="64" spans="1:8" ht="12.75" customHeight="1">
      <c r="A64" s="136" t="s">
        <v>161</v>
      </c>
      <c r="B64" s="1" t="s">
        <v>162</v>
      </c>
      <c r="D64" s="147">
        <v>163</v>
      </c>
      <c r="E64" s="147">
        <v>0</v>
      </c>
      <c r="F64" s="147">
        <v>-162</v>
      </c>
      <c r="G64" s="176">
        <v>851</v>
      </c>
      <c r="H64" s="177">
        <f t="shared" si="1"/>
        <v>852</v>
      </c>
    </row>
    <row r="65" spans="1:8" ht="12.75" customHeight="1">
      <c r="A65" s="136" t="s">
        <v>163</v>
      </c>
      <c r="B65" s="1" t="s">
        <v>164</v>
      </c>
      <c r="C65" s="147">
        <v>-114628</v>
      </c>
      <c r="D65" s="147">
        <v>5210</v>
      </c>
      <c r="E65" s="147">
        <f>-20427-5</f>
        <v>-20432</v>
      </c>
      <c r="F65" s="147">
        <v>-17605</v>
      </c>
      <c r="G65" s="176">
        <v>-5561</v>
      </c>
      <c r="H65" s="177">
        <f t="shared" si="1"/>
        <v>-153016</v>
      </c>
    </row>
    <row r="66" spans="1:8" ht="12.75" customHeight="1">
      <c r="A66" s="1" t="s">
        <v>369</v>
      </c>
    </row>
    <row r="69" spans="1:8" ht="12.75" customHeight="1">
      <c r="A69" s="138" t="s">
        <v>370</v>
      </c>
    </row>
    <row r="70" spans="1:8" ht="12.75" customHeight="1">
      <c r="A70" s="136" t="s">
        <v>174</v>
      </c>
      <c r="B70" s="1" t="s">
        <v>175</v>
      </c>
      <c r="D70" s="147">
        <v>-2785968</v>
      </c>
      <c r="E70" s="147">
        <v>-2864512</v>
      </c>
      <c r="F70" s="147">
        <v>-2858133</v>
      </c>
      <c r="G70" s="176">
        <v>-2847208</v>
      </c>
      <c r="H70" s="177">
        <f>SUM(C70:G70)</f>
        <v>-11355821</v>
      </c>
    </row>
    <row r="71" spans="1:8" ht="12.75" customHeight="1">
      <c r="A71" s="136" t="s">
        <v>176</v>
      </c>
      <c r="B71" s="1" t="s">
        <v>177</v>
      </c>
      <c r="D71" s="147">
        <v>52029</v>
      </c>
      <c r="E71" s="147">
        <v>66870</v>
      </c>
      <c r="F71" s="147">
        <v>63770</v>
      </c>
      <c r="G71" s="176">
        <v>69125</v>
      </c>
      <c r="H71" s="177">
        <f>SUM(C71:G71)</f>
        <v>251794</v>
      </c>
    </row>
    <row r="72" spans="1:8" ht="12.75" customHeight="1">
      <c r="A72" s="1" t="s">
        <v>381</v>
      </c>
      <c r="D72" s="147">
        <f>SUM(D70:D71)</f>
        <v>-2733939</v>
      </c>
      <c r="E72" s="147">
        <f>SUM(E70:E71)</f>
        <v>-2797642</v>
      </c>
      <c r="F72" s="147">
        <f>SUM(F70:F71)</f>
        <v>-2794363</v>
      </c>
      <c r="G72" s="176">
        <f>SUM(G70:G71)</f>
        <v>-2778083</v>
      </c>
      <c r="H72" s="177">
        <f>SUM(C72:G72)</f>
        <v>-11104027</v>
      </c>
    </row>
    <row r="74" spans="1:8" ht="12.75" customHeight="1">
      <c r="A74" s="136" t="s">
        <v>182</v>
      </c>
      <c r="B74" s="1" t="s">
        <v>183</v>
      </c>
      <c r="D74" s="147">
        <v>-175044</v>
      </c>
      <c r="E74" s="147">
        <v>-173416</v>
      </c>
      <c r="F74" s="147">
        <v>-173087</v>
      </c>
      <c r="G74" s="176">
        <v>-172417</v>
      </c>
      <c r="H74" s="177">
        <f>SUM(C74:G74)</f>
        <v>-693964</v>
      </c>
    </row>
    <row r="75" spans="1:8" ht="12.75" customHeight="1">
      <c r="A75" s="136" t="s">
        <v>184</v>
      </c>
      <c r="B75" s="1" t="s">
        <v>185</v>
      </c>
      <c r="D75" s="147">
        <v>8634</v>
      </c>
      <c r="E75" s="147">
        <v>8357</v>
      </c>
      <c r="F75" s="147">
        <v>29682</v>
      </c>
      <c r="G75" s="176">
        <v>10767</v>
      </c>
      <c r="H75" s="177">
        <f>SUM(C75:G75)</f>
        <v>57440</v>
      </c>
    </row>
    <row r="76" spans="1:8" ht="12.75" customHeight="1">
      <c r="A76" s="136" t="s">
        <v>186</v>
      </c>
      <c r="B76" s="1" t="s">
        <v>187</v>
      </c>
      <c r="D76" s="147">
        <v>181608</v>
      </c>
      <c r="E76" s="147">
        <v>162849</v>
      </c>
      <c r="F76" s="147">
        <v>86991</v>
      </c>
      <c r="G76" s="176">
        <v>133343</v>
      </c>
      <c r="H76" s="177">
        <f>SUM(C76:G76)</f>
        <v>564791</v>
      </c>
    </row>
    <row r="77" spans="1:8" ht="12.75" customHeight="1">
      <c r="A77" s="1" t="s">
        <v>382</v>
      </c>
      <c r="D77" s="147">
        <f>SUM(D74:D76)</f>
        <v>15198</v>
      </c>
      <c r="E77" s="147">
        <f>SUM(E74:E76)</f>
        <v>-2210</v>
      </c>
      <c r="F77" s="147">
        <f>SUM(F74:F76)</f>
        <v>-56414</v>
      </c>
      <c r="G77" s="176">
        <f>SUM(G74:G76)</f>
        <v>-28307</v>
      </c>
      <c r="H77" s="177">
        <f>SUM(C77:G77)</f>
        <v>-71733</v>
      </c>
    </row>
    <row r="79" spans="1:8" ht="12.75" customHeight="1">
      <c r="A79" s="136" t="s">
        <v>198</v>
      </c>
      <c r="B79" s="1" t="s">
        <v>199</v>
      </c>
      <c r="D79" s="147">
        <v>118277</v>
      </c>
      <c r="E79" s="147">
        <v>121669</v>
      </c>
      <c r="F79" s="147">
        <v>121336</v>
      </c>
      <c r="G79" s="176">
        <v>120736</v>
      </c>
      <c r="H79" s="177">
        <f>SUM(C79:G79)</f>
        <v>482018</v>
      </c>
    </row>
    <row r="80" spans="1:8" ht="12.75" customHeight="1">
      <c r="A80" s="1" t="s">
        <v>408</v>
      </c>
      <c r="D80" s="147">
        <f>SUM(D79)</f>
        <v>118277</v>
      </c>
      <c r="E80" s="147">
        <f>SUM(E79)</f>
        <v>121669</v>
      </c>
      <c r="F80" s="147">
        <f>SUM(F79)</f>
        <v>121336</v>
      </c>
      <c r="G80" s="176">
        <f>SUM(G79)</f>
        <v>120736</v>
      </c>
      <c r="H80" s="177">
        <f>SUM(C80:G80)</f>
        <v>482018</v>
      </c>
    </row>
    <row r="82" spans="1:8" ht="12.75" customHeight="1">
      <c r="A82" s="136" t="s">
        <v>204</v>
      </c>
      <c r="B82" s="1" t="s">
        <v>205</v>
      </c>
      <c r="D82" s="147">
        <v>650161</v>
      </c>
      <c r="E82" s="147">
        <v>653662</v>
      </c>
      <c r="F82" s="147">
        <v>656408</v>
      </c>
      <c r="G82" s="176">
        <v>642938</v>
      </c>
      <c r="H82" s="177">
        <f>SUM(C82:G82)</f>
        <v>2603169</v>
      </c>
    </row>
    <row r="83" spans="1:8" ht="12.75" customHeight="1">
      <c r="A83" s="136" t="s">
        <v>206</v>
      </c>
      <c r="B83" s="1" t="s">
        <v>207</v>
      </c>
      <c r="D83" s="147">
        <v>-899982</v>
      </c>
      <c r="E83" s="147">
        <v>-485647</v>
      </c>
      <c r="F83" s="147">
        <v>-1058583</v>
      </c>
      <c r="G83" s="176">
        <v>-987433</v>
      </c>
      <c r="H83" s="177">
        <f>SUM(C83:G83)</f>
        <v>-3431645</v>
      </c>
    </row>
    <row r="84" spans="1:8" ht="12.75" customHeight="1">
      <c r="A84" s="1" t="s">
        <v>384</v>
      </c>
      <c r="D84" s="147">
        <f>SUM(D82:D83)</f>
        <v>-249821</v>
      </c>
      <c r="E84" s="147">
        <f>SUM(E82:E83)</f>
        <v>168015</v>
      </c>
      <c r="F84" s="147">
        <f>SUM(F82:F83)</f>
        <v>-402175</v>
      </c>
      <c r="G84" s="176">
        <f>SUM(G82:G83)</f>
        <v>-344495</v>
      </c>
      <c r="H84" s="177">
        <f>SUM(C84:G84)</f>
        <v>-828476</v>
      </c>
    </row>
    <row r="86" spans="1:8" ht="12.75" customHeight="1">
      <c r="A86" s="136" t="s">
        <v>210</v>
      </c>
      <c r="B86" s="1" t="s">
        <v>211</v>
      </c>
      <c r="D86" s="147">
        <v>364950</v>
      </c>
      <c r="E86" s="147">
        <v>473207</v>
      </c>
      <c r="F86" s="147">
        <v>577916</v>
      </c>
      <c r="G86" s="176">
        <v>491958</v>
      </c>
      <c r="H86" s="177">
        <f>SUM(C86:G86)</f>
        <v>1908031</v>
      </c>
    </row>
    <row r="87" spans="1:8" ht="12.75" customHeight="1">
      <c r="A87" s="136" t="s">
        <v>212</v>
      </c>
      <c r="B87" s="1" t="s">
        <v>213</v>
      </c>
      <c r="D87" s="175">
        <v>671</v>
      </c>
      <c r="E87" s="147">
        <v>526216</v>
      </c>
      <c r="F87" s="147">
        <v>0</v>
      </c>
      <c r="G87" s="176">
        <v>0</v>
      </c>
      <c r="H87" s="177">
        <f t="shared" ref="H87:H126" si="2">SUM(C87:G87)</f>
        <v>526887</v>
      </c>
    </row>
    <row r="88" spans="1:8" ht="12.75" customHeight="1">
      <c r="A88" s="136" t="s">
        <v>214</v>
      </c>
      <c r="B88" s="1" t="s">
        <v>215</v>
      </c>
      <c r="D88" s="147">
        <v>82857</v>
      </c>
      <c r="E88" s="147">
        <v>65301</v>
      </c>
      <c r="F88" s="147">
        <v>65007</v>
      </c>
      <c r="G88" s="176">
        <v>47461</v>
      </c>
      <c r="H88" s="177">
        <f t="shared" si="2"/>
        <v>260626</v>
      </c>
    </row>
    <row r="89" spans="1:8" ht="12.75" customHeight="1">
      <c r="A89" s="136" t="s">
        <v>216</v>
      </c>
      <c r="B89" s="1" t="s">
        <v>217</v>
      </c>
      <c r="D89" s="147">
        <v>166785</v>
      </c>
      <c r="E89" s="147">
        <v>143177</v>
      </c>
      <c r="F89" s="147">
        <v>5404</v>
      </c>
      <c r="G89" s="176">
        <v>96652</v>
      </c>
      <c r="H89" s="177">
        <f t="shared" si="2"/>
        <v>412018</v>
      </c>
    </row>
    <row r="90" spans="1:8" ht="12.75" customHeight="1">
      <c r="A90" s="136" t="s">
        <v>218</v>
      </c>
      <c r="B90" s="1" t="s">
        <v>219</v>
      </c>
      <c r="D90" s="147">
        <v>41233</v>
      </c>
      <c r="E90" s="147">
        <v>29292</v>
      </c>
      <c r="F90" s="147">
        <v>29292</v>
      </c>
      <c r="G90" s="176">
        <v>39392</v>
      </c>
      <c r="H90" s="177">
        <f t="shared" si="2"/>
        <v>139209</v>
      </c>
    </row>
    <row r="91" spans="1:8" ht="12.75" customHeight="1">
      <c r="A91" s="136" t="s">
        <v>220</v>
      </c>
      <c r="B91" s="1" t="s">
        <v>221</v>
      </c>
      <c r="D91" s="147">
        <v>48210</v>
      </c>
      <c r="E91" s="147">
        <v>18196</v>
      </c>
      <c r="F91" s="147">
        <v>1661</v>
      </c>
      <c r="G91" s="176">
        <v>250</v>
      </c>
      <c r="H91" s="177">
        <f t="shared" si="2"/>
        <v>68317</v>
      </c>
    </row>
    <row r="92" spans="1:8" ht="12.75" customHeight="1">
      <c r="A92" s="136" t="s">
        <v>385</v>
      </c>
      <c r="B92" s="1" t="s">
        <v>386</v>
      </c>
      <c r="D92" s="147">
        <v>41592</v>
      </c>
      <c r="E92" s="147">
        <v>10273</v>
      </c>
      <c r="F92" s="147">
        <v>35598</v>
      </c>
      <c r="G92" s="176">
        <v>-799</v>
      </c>
      <c r="H92" s="177">
        <f t="shared" si="2"/>
        <v>86664</v>
      </c>
    </row>
    <row r="93" spans="1:8" ht="12.75" customHeight="1">
      <c r="A93" s="136" t="s">
        <v>431</v>
      </c>
      <c r="B93" s="1" t="s">
        <v>412</v>
      </c>
      <c r="D93" s="147">
        <v>39569</v>
      </c>
      <c r="E93" s="147">
        <v>0</v>
      </c>
      <c r="F93" s="147">
        <v>2153</v>
      </c>
      <c r="G93" s="176">
        <v>0</v>
      </c>
      <c r="H93" s="177">
        <f t="shared" si="2"/>
        <v>41722</v>
      </c>
    </row>
    <row r="94" spans="1:8" ht="12.75" customHeight="1">
      <c r="A94" s="1" t="s">
        <v>387</v>
      </c>
      <c r="D94" s="147">
        <f>SUM(D86:D93)</f>
        <v>785867</v>
      </c>
      <c r="E94" s="147">
        <f>SUM(E86:E93)</f>
        <v>1265662</v>
      </c>
      <c r="F94" s="147">
        <f>SUM(F86:F93)</f>
        <v>717031</v>
      </c>
      <c r="G94" s="176">
        <f>SUM(G86:G93)</f>
        <v>674914</v>
      </c>
      <c r="H94" s="177">
        <f t="shared" si="2"/>
        <v>3443474</v>
      </c>
    </row>
    <row r="96" spans="1:8" ht="12.75" customHeight="1">
      <c r="A96" s="136" t="s">
        <v>432</v>
      </c>
      <c r="B96" s="1" t="s">
        <v>433</v>
      </c>
      <c r="D96" s="147">
        <v>0</v>
      </c>
      <c r="E96" s="147">
        <v>4200</v>
      </c>
      <c r="F96" s="147">
        <v>0</v>
      </c>
      <c r="G96" s="176">
        <v>0</v>
      </c>
      <c r="H96" s="177">
        <f t="shared" si="2"/>
        <v>4200</v>
      </c>
    </row>
    <row r="97" spans="1:8" ht="12.75" customHeight="1">
      <c r="A97" s="136" t="s">
        <v>434</v>
      </c>
      <c r="B97" s="1" t="s">
        <v>413</v>
      </c>
      <c r="D97" s="147">
        <v>0</v>
      </c>
      <c r="E97" s="147">
        <v>0</v>
      </c>
      <c r="F97" s="147">
        <v>0</v>
      </c>
      <c r="G97" s="176">
        <v>0</v>
      </c>
      <c r="H97" s="177">
        <f t="shared" si="2"/>
        <v>0</v>
      </c>
    </row>
    <row r="98" spans="1:8" ht="12.75" customHeight="1">
      <c r="A98" s="136" t="s">
        <v>226</v>
      </c>
      <c r="B98" s="1" t="s">
        <v>227</v>
      </c>
      <c r="D98" s="147">
        <v>-800</v>
      </c>
      <c r="E98" s="147">
        <v>2282</v>
      </c>
      <c r="F98" s="147">
        <v>28608</v>
      </c>
      <c r="G98" s="176">
        <v>-164</v>
      </c>
      <c r="H98" s="177">
        <f t="shared" si="2"/>
        <v>29926</v>
      </c>
    </row>
    <row r="99" spans="1:8" ht="12.75" customHeight="1">
      <c r="A99" s="1" t="s">
        <v>388</v>
      </c>
      <c r="D99" s="147">
        <f>SUM(D96:D98)</f>
        <v>-800</v>
      </c>
      <c r="E99" s="147">
        <f>SUM(E96:E98)</f>
        <v>6482</v>
      </c>
      <c r="F99" s="147">
        <f>SUM(F96:F98)</f>
        <v>28608</v>
      </c>
      <c r="G99" s="176">
        <f>SUM(G96:G98)</f>
        <v>-164</v>
      </c>
      <c r="H99" s="177">
        <f t="shared" si="2"/>
        <v>34126</v>
      </c>
    </row>
    <row r="101" spans="1:8" ht="12.75" customHeight="1">
      <c r="A101" s="136" t="s">
        <v>230</v>
      </c>
      <c r="B101" s="1" t="s">
        <v>231</v>
      </c>
      <c r="D101" s="147">
        <v>0</v>
      </c>
      <c r="E101" s="147">
        <v>0</v>
      </c>
      <c r="F101" s="147">
        <v>-590</v>
      </c>
      <c r="G101" s="176">
        <v>0</v>
      </c>
      <c r="H101" s="177">
        <f t="shared" si="2"/>
        <v>-590</v>
      </c>
    </row>
    <row r="102" spans="1:8" ht="12.75" customHeight="1">
      <c r="A102" s="1" t="s">
        <v>389</v>
      </c>
      <c r="D102" s="147">
        <v>0</v>
      </c>
      <c r="E102" s="147">
        <f>SUM(E101)</f>
        <v>0</v>
      </c>
      <c r="F102" s="147">
        <f>SUM(F101)</f>
        <v>-590</v>
      </c>
      <c r="G102" s="176">
        <f>SUM(G101)</f>
        <v>0</v>
      </c>
      <c r="H102" s="177">
        <f t="shared" si="2"/>
        <v>-590</v>
      </c>
    </row>
    <row r="104" spans="1:8" ht="12.75" customHeight="1">
      <c r="A104" s="136" t="s">
        <v>435</v>
      </c>
      <c r="B104" s="1" t="s">
        <v>414</v>
      </c>
      <c r="D104" s="147">
        <v>4385</v>
      </c>
      <c r="E104" s="147">
        <v>0</v>
      </c>
      <c r="F104" s="147">
        <v>0</v>
      </c>
      <c r="G104" s="176">
        <v>4406</v>
      </c>
      <c r="H104" s="177">
        <f t="shared" si="2"/>
        <v>8791</v>
      </c>
    </row>
    <row r="105" spans="1:8" ht="12.75" customHeight="1">
      <c r="A105" s="136" t="s">
        <v>234</v>
      </c>
      <c r="B105" s="1" t="s">
        <v>235</v>
      </c>
      <c r="D105" s="147">
        <v>28966</v>
      </c>
      <c r="E105" s="147">
        <v>28072</v>
      </c>
      <c r="F105" s="147">
        <v>13908</v>
      </c>
      <c r="G105" s="176">
        <v>321</v>
      </c>
      <c r="H105" s="177">
        <f t="shared" si="2"/>
        <v>71267</v>
      </c>
    </row>
    <row r="106" spans="1:8" ht="12.75" customHeight="1">
      <c r="A106" s="136" t="s">
        <v>236</v>
      </c>
      <c r="B106" s="1" t="s">
        <v>237</v>
      </c>
      <c r="D106" s="147">
        <v>5445</v>
      </c>
      <c r="E106" s="147">
        <v>5445</v>
      </c>
      <c r="F106" s="147">
        <v>5445</v>
      </c>
      <c r="G106" s="176">
        <v>5445</v>
      </c>
      <c r="H106" s="177">
        <f t="shared" si="2"/>
        <v>21780</v>
      </c>
    </row>
    <row r="107" spans="1:8" ht="12.75" customHeight="1">
      <c r="A107" s="136" t="s">
        <v>238</v>
      </c>
      <c r="B107" s="1" t="s">
        <v>239</v>
      </c>
      <c r="D107" s="147">
        <v>54033</v>
      </c>
      <c r="E107" s="147">
        <v>16927</v>
      </c>
      <c r="F107" s="147">
        <v>21556</v>
      </c>
      <c r="G107" s="176">
        <v>6339</v>
      </c>
      <c r="H107" s="177">
        <f t="shared" si="2"/>
        <v>98855</v>
      </c>
    </row>
    <row r="108" spans="1:8" ht="12.75" customHeight="1">
      <c r="A108" s="136" t="s">
        <v>240</v>
      </c>
      <c r="B108" s="1" t="s">
        <v>241</v>
      </c>
      <c r="D108" s="147">
        <v>378</v>
      </c>
      <c r="E108" s="147">
        <v>0</v>
      </c>
      <c r="F108" s="147">
        <v>1491</v>
      </c>
      <c r="G108" s="176">
        <v>1210</v>
      </c>
      <c r="H108" s="177">
        <f t="shared" si="2"/>
        <v>3079</v>
      </c>
    </row>
    <row r="109" spans="1:8" ht="12.75" customHeight="1">
      <c r="A109" s="136" t="s">
        <v>242</v>
      </c>
      <c r="B109" s="1" t="s">
        <v>243</v>
      </c>
      <c r="D109" s="147">
        <v>85400</v>
      </c>
      <c r="E109" s="147">
        <v>39079</v>
      </c>
      <c r="F109" s="147">
        <v>54700</v>
      </c>
      <c r="G109" s="176">
        <v>62550</v>
      </c>
      <c r="H109" s="177">
        <f t="shared" si="2"/>
        <v>241729</v>
      </c>
    </row>
    <row r="110" spans="1:8" ht="12.75" customHeight="1">
      <c r="A110" s="136" t="s">
        <v>244</v>
      </c>
      <c r="B110" s="1" t="s">
        <v>245</v>
      </c>
      <c r="D110" s="147">
        <v>12796</v>
      </c>
      <c r="E110" s="147">
        <v>37004</v>
      </c>
      <c r="F110" s="147">
        <v>8809</v>
      </c>
      <c r="G110" s="176">
        <v>4418</v>
      </c>
      <c r="H110" s="177">
        <f t="shared" si="2"/>
        <v>63027</v>
      </c>
    </row>
    <row r="111" spans="1:8" ht="12.75" customHeight="1">
      <c r="A111" s="136" t="s">
        <v>246</v>
      </c>
      <c r="B111" s="1" t="s">
        <v>247</v>
      </c>
      <c r="D111" s="147">
        <v>0</v>
      </c>
      <c r="E111" s="147">
        <v>0</v>
      </c>
      <c r="F111" s="147">
        <v>0</v>
      </c>
      <c r="G111" s="176">
        <v>0</v>
      </c>
      <c r="H111" s="177">
        <f t="shared" si="2"/>
        <v>0</v>
      </c>
    </row>
    <row r="112" spans="1:8" ht="12.75" customHeight="1">
      <c r="A112" s="136" t="s">
        <v>248</v>
      </c>
      <c r="B112" s="1" t="s">
        <v>249</v>
      </c>
      <c r="D112" s="147">
        <v>1261</v>
      </c>
      <c r="E112" s="147">
        <v>1391</v>
      </c>
      <c r="F112" s="147">
        <v>1317</v>
      </c>
      <c r="G112" s="176">
        <v>1219</v>
      </c>
      <c r="H112" s="177">
        <f t="shared" si="2"/>
        <v>5188</v>
      </c>
    </row>
    <row r="113" spans="1:8" ht="12.75" customHeight="1">
      <c r="A113" s="136" t="s">
        <v>436</v>
      </c>
      <c r="B113" s="1" t="s">
        <v>437</v>
      </c>
      <c r="E113" s="147">
        <v>20000</v>
      </c>
      <c r="F113" s="147">
        <v>0</v>
      </c>
      <c r="G113" s="176">
        <v>0</v>
      </c>
      <c r="H113" s="177">
        <f t="shared" si="2"/>
        <v>20000</v>
      </c>
    </row>
    <row r="114" spans="1:8" ht="12.75" customHeight="1">
      <c r="A114" s="136" t="s">
        <v>250</v>
      </c>
      <c r="B114" s="1" t="s">
        <v>251</v>
      </c>
      <c r="D114" s="147">
        <v>974</v>
      </c>
      <c r="E114" s="147">
        <v>1210</v>
      </c>
      <c r="F114" s="174">
        <v>-1126</v>
      </c>
      <c r="G114" s="179">
        <v>0</v>
      </c>
      <c r="H114" s="177">
        <f t="shared" si="2"/>
        <v>1058</v>
      </c>
    </row>
    <row r="115" spans="1:8" ht="12.75" customHeight="1">
      <c r="A115" s="1" t="s">
        <v>391</v>
      </c>
      <c r="D115" s="147">
        <f>SUM(D104:D114)</f>
        <v>193638</v>
      </c>
      <c r="E115" s="147">
        <f>SUM(E104:E114)+2</f>
        <v>149130</v>
      </c>
      <c r="F115" s="147">
        <f>SUM(F104:F114)</f>
        <v>106100</v>
      </c>
      <c r="G115" s="176">
        <f>SUM(G104:G114)</f>
        <v>85908</v>
      </c>
      <c r="H115" s="177">
        <f t="shared" si="2"/>
        <v>534776</v>
      </c>
    </row>
    <row r="117" spans="1:8" ht="12.75" customHeight="1">
      <c r="A117" s="136" t="s">
        <v>258</v>
      </c>
      <c r="B117" s="1" t="s">
        <v>259</v>
      </c>
      <c r="D117" s="147">
        <v>0</v>
      </c>
      <c r="E117" s="147">
        <v>0</v>
      </c>
      <c r="F117" s="147">
        <v>0</v>
      </c>
      <c r="H117" s="177">
        <f t="shared" si="2"/>
        <v>0</v>
      </c>
    </row>
    <row r="118" spans="1:8" ht="12.75" customHeight="1">
      <c r="A118" s="136" t="s">
        <v>260</v>
      </c>
      <c r="B118" s="1" t="s">
        <v>261</v>
      </c>
      <c r="D118" s="147">
        <v>513800</v>
      </c>
      <c r="E118" s="147">
        <v>486625</v>
      </c>
      <c r="F118" s="147">
        <v>473890</v>
      </c>
      <c r="G118" s="176">
        <v>457533</v>
      </c>
      <c r="H118" s="177">
        <f t="shared" si="2"/>
        <v>1931848</v>
      </c>
    </row>
    <row r="119" spans="1:8" ht="12.75" customHeight="1">
      <c r="A119" s="136" t="s">
        <v>262</v>
      </c>
      <c r="B119" s="1" t="s">
        <v>263</v>
      </c>
      <c r="D119" s="147">
        <v>0</v>
      </c>
      <c r="E119" s="147">
        <v>0</v>
      </c>
      <c r="F119" s="147">
        <v>0</v>
      </c>
      <c r="G119" s="176">
        <v>0</v>
      </c>
      <c r="H119" s="177">
        <f t="shared" si="2"/>
        <v>0</v>
      </c>
    </row>
    <row r="120" spans="1:8" ht="12.75" customHeight="1">
      <c r="A120" s="136">
        <v>4630000</v>
      </c>
      <c r="B120" s="1" t="s">
        <v>265</v>
      </c>
      <c r="D120" s="147">
        <v>0</v>
      </c>
      <c r="E120" s="147">
        <v>0</v>
      </c>
      <c r="F120" s="147">
        <v>0</v>
      </c>
      <c r="G120" s="176">
        <v>0</v>
      </c>
      <c r="H120" s="177">
        <f t="shared" si="2"/>
        <v>0</v>
      </c>
    </row>
    <row r="121" spans="1:8" ht="12.75" customHeight="1">
      <c r="A121" s="136" t="s">
        <v>266</v>
      </c>
      <c r="B121" s="1" t="s">
        <v>267</v>
      </c>
      <c r="D121" s="147">
        <v>108774</v>
      </c>
      <c r="E121" s="147">
        <v>111640</v>
      </c>
      <c r="F121" s="147">
        <v>108560</v>
      </c>
      <c r="G121" s="176">
        <v>106683</v>
      </c>
      <c r="H121" s="177">
        <f t="shared" si="2"/>
        <v>435657</v>
      </c>
    </row>
    <row r="122" spans="1:8" ht="12.75" customHeight="1">
      <c r="A122" s="136" t="s">
        <v>393</v>
      </c>
      <c r="D122" s="147">
        <f>SUM(D117:D121)</f>
        <v>622574</v>
      </c>
      <c r="E122" s="147">
        <f>SUM(E117:E121)</f>
        <v>598265</v>
      </c>
      <c r="F122" s="147">
        <f>SUM(F117:F121)</f>
        <v>582450</v>
      </c>
      <c r="G122" s="176">
        <f>SUM(G117:G121)</f>
        <v>564216</v>
      </c>
      <c r="H122" s="177">
        <f t="shared" si="2"/>
        <v>2367505</v>
      </c>
    </row>
    <row r="124" spans="1:8" ht="12.75" customHeight="1">
      <c r="A124" s="136" t="s">
        <v>272</v>
      </c>
      <c r="B124" s="1" t="s">
        <v>273</v>
      </c>
      <c r="D124" s="147">
        <v>-142232</v>
      </c>
      <c r="E124" s="147">
        <v>-153794</v>
      </c>
      <c r="F124" s="147">
        <v>-129418</v>
      </c>
      <c r="G124" s="176">
        <v>293081</v>
      </c>
      <c r="H124" s="177">
        <f t="shared" si="2"/>
        <v>-132363</v>
      </c>
    </row>
    <row r="125" spans="1:8" ht="12.75" customHeight="1">
      <c r="A125" s="136">
        <v>9500100</v>
      </c>
      <c r="B125" s="1" t="s">
        <v>438</v>
      </c>
      <c r="E125" s="147">
        <v>0</v>
      </c>
      <c r="H125" s="177">
        <f t="shared" si="2"/>
        <v>0</v>
      </c>
    </row>
    <row r="126" spans="1:8" ht="12.75" customHeight="1">
      <c r="A126" s="136" t="s">
        <v>439</v>
      </c>
      <c r="D126" s="147">
        <f>SUM(D124:D125)</f>
        <v>-142232</v>
      </c>
      <c r="E126" s="147">
        <f>SUM(E124:E125)</f>
        <v>-153794</v>
      </c>
      <c r="F126" s="147">
        <f>SUM(F124:F125)</f>
        <v>-129418</v>
      </c>
      <c r="G126" s="176">
        <f>SUM(G124:G125)</f>
        <v>293081</v>
      </c>
      <c r="H126" s="177">
        <f t="shared" si="2"/>
        <v>-132363</v>
      </c>
    </row>
    <row r="127" spans="1:8" ht="12.75" customHeight="1">
      <c r="H127" s="177">
        <f>SUM(C127:F127)</f>
        <v>0</v>
      </c>
    </row>
    <row r="128" spans="1:8" ht="12.75" customHeight="1">
      <c r="A128" s="1" t="s">
        <v>440</v>
      </c>
      <c r="D128" s="147">
        <f>D72+D77+D80+D84+D94+D99+D102+D115+D122+D126</f>
        <v>-1391238</v>
      </c>
      <c r="E128" s="147">
        <f>E72+E77+E80+E84+E94+E99+E102+E115+E122+E126</f>
        <v>-644423</v>
      </c>
      <c r="F128" s="147">
        <f>F72+F77+F80+F84+F94+F99+F102+F115+F122+F126</f>
        <v>-1827435</v>
      </c>
      <c r="G128" s="176">
        <f>G72+G77+G80+G84+G94+G99+G102+G115+G122+G126</f>
        <v>-1412194</v>
      </c>
      <c r="H128" s="177">
        <f>SUM(C128:G128)</f>
        <v>-5275290</v>
      </c>
    </row>
    <row r="130" spans="3:8" ht="12.75" customHeight="1">
      <c r="C130" s="137"/>
      <c r="D130" s="137">
        <f>SUM(D4:D66)+D128</f>
        <v>0</v>
      </c>
      <c r="E130" s="137">
        <f>SUM(E4:E66)+E128</f>
        <v>0</v>
      </c>
      <c r="F130" s="137">
        <f>SUM(F4:F66)+F128</f>
        <v>0</v>
      </c>
      <c r="G130" s="180">
        <f>SUM(G4:G66)+G128</f>
        <v>0</v>
      </c>
      <c r="H130" s="180">
        <f>SUM(H4:H66)+H128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9F51-02B7-41D3-8679-07590AF5AA4F}">
  <dimension ref="A1:J131"/>
  <sheetViews>
    <sheetView topLeftCell="A87" zoomScale="77" zoomScaleNormal="115" workbookViewId="0">
      <selection activeCell="D112" sqref="D112"/>
    </sheetView>
  </sheetViews>
  <sheetFormatPr defaultRowHeight="12.75" customHeight="1"/>
  <cols>
    <col min="1" max="1" width="20" style="182" bestFit="1" customWidth="1"/>
    <col min="2" max="2" width="66.33203125" style="183" bestFit="1" customWidth="1"/>
    <col min="3" max="3" width="21.33203125" style="184" customWidth="1"/>
    <col min="4" max="6" width="21.33203125" style="185" customWidth="1"/>
    <col min="7" max="7" width="21.33203125" style="184" customWidth="1"/>
    <col min="8" max="8" width="17.33203125" style="186" bestFit="1" customWidth="1"/>
    <col min="9" max="9" width="11.109375" style="183" customWidth="1"/>
    <col min="10" max="10" width="21.33203125" style="187" customWidth="1"/>
    <col min="11" max="256" width="8.88671875" style="183"/>
    <col min="257" max="257" width="20" style="183" bestFit="1" customWidth="1"/>
    <col min="258" max="258" width="66.33203125" style="183" bestFit="1" customWidth="1"/>
    <col min="259" max="263" width="21.33203125" style="183" customWidth="1"/>
    <col min="264" max="264" width="17.33203125" style="183" bestFit="1" customWidth="1"/>
    <col min="265" max="265" width="11.109375" style="183" customWidth="1"/>
    <col min="266" max="266" width="21.33203125" style="183" customWidth="1"/>
    <col min="267" max="512" width="8.88671875" style="183"/>
    <col min="513" max="513" width="20" style="183" bestFit="1" customWidth="1"/>
    <col min="514" max="514" width="66.33203125" style="183" bestFit="1" customWidth="1"/>
    <col min="515" max="519" width="21.33203125" style="183" customWidth="1"/>
    <col min="520" max="520" width="17.33203125" style="183" bestFit="1" customWidth="1"/>
    <col min="521" max="521" width="11.109375" style="183" customWidth="1"/>
    <col min="522" max="522" width="21.33203125" style="183" customWidth="1"/>
    <col min="523" max="768" width="8.88671875" style="183"/>
    <col min="769" max="769" width="20" style="183" bestFit="1" customWidth="1"/>
    <col min="770" max="770" width="66.33203125" style="183" bestFit="1" customWidth="1"/>
    <col min="771" max="775" width="21.33203125" style="183" customWidth="1"/>
    <col min="776" max="776" width="17.33203125" style="183" bestFit="1" customWidth="1"/>
    <col min="777" max="777" width="11.109375" style="183" customWidth="1"/>
    <col min="778" max="778" width="21.33203125" style="183" customWidth="1"/>
    <col min="779" max="1024" width="8.88671875" style="183"/>
    <col min="1025" max="1025" width="20" style="183" bestFit="1" customWidth="1"/>
    <col min="1026" max="1026" width="66.33203125" style="183" bestFit="1" customWidth="1"/>
    <col min="1027" max="1031" width="21.33203125" style="183" customWidth="1"/>
    <col min="1032" max="1032" width="17.33203125" style="183" bestFit="1" customWidth="1"/>
    <col min="1033" max="1033" width="11.109375" style="183" customWidth="1"/>
    <col min="1034" max="1034" width="21.33203125" style="183" customWidth="1"/>
    <col min="1035" max="1280" width="8.88671875" style="183"/>
    <col min="1281" max="1281" width="20" style="183" bestFit="1" customWidth="1"/>
    <col min="1282" max="1282" width="66.33203125" style="183" bestFit="1" customWidth="1"/>
    <col min="1283" max="1287" width="21.33203125" style="183" customWidth="1"/>
    <col min="1288" max="1288" width="17.33203125" style="183" bestFit="1" customWidth="1"/>
    <col min="1289" max="1289" width="11.109375" style="183" customWidth="1"/>
    <col min="1290" max="1290" width="21.33203125" style="183" customWidth="1"/>
    <col min="1291" max="1536" width="8.88671875" style="183"/>
    <col min="1537" max="1537" width="20" style="183" bestFit="1" customWidth="1"/>
    <col min="1538" max="1538" width="66.33203125" style="183" bestFit="1" customWidth="1"/>
    <col min="1539" max="1543" width="21.33203125" style="183" customWidth="1"/>
    <col min="1544" max="1544" width="17.33203125" style="183" bestFit="1" customWidth="1"/>
    <col min="1545" max="1545" width="11.109375" style="183" customWidth="1"/>
    <col min="1546" max="1546" width="21.33203125" style="183" customWidth="1"/>
    <col min="1547" max="1792" width="8.88671875" style="183"/>
    <col min="1793" max="1793" width="20" style="183" bestFit="1" customWidth="1"/>
    <col min="1794" max="1794" width="66.33203125" style="183" bestFit="1" customWidth="1"/>
    <col min="1795" max="1799" width="21.33203125" style="183" customWidth="1"/>
    <col min="1800" max="1800" width="17.33203125" style="183" bestFit="1" customWidth="1"/>
    <col min="1801" max="1801" width="11.109375" style="183" customWidth="1"/>
    <col min="1802" max="1802" width="21.33203125" style="183" customWidth="1"/>
    <col min="1803" max="2048" width="8.88671875" style="183"/>
    <col min="2049" max="2049" width="20" style="183" bestFit="1" customWidth="1"/>
    <col min="2050" max="2050" width="66.33203125" style="183" bestFit="1" customWidth="1"/>
    <col min="2051" max="2055" width="21.33203125" style="183" customWidth="1"/>
    <col min="2056" max="2056" width="17.33203125" style="183" bestFit="1" customWidth="1"/>
    <col min="2057" max="2057" width="11.109375" style="183" customWidth="1"/>
    <col min="2058" max="2058" width="21.33203125" style="183" customWidth="1"/>
    <col min="2059" max="2304" width="8.88671875" style="183"/>
    <col min="2305" max="2305" width="20" style="183" bestFit="1" customWidth="1"/>
    <col min="2306" max="2306" width="66.33203125" style="183" bestFit="1" customWidth="1"/>
    <col min="2307" max="2311" width="21.33203125" style="183" customWidth="1"/>
    <col min="2312" max="2312" width="17.33203125" style="183" bestFit="1" customWidth="1"/>
    <col min="2313" max="2313" width="11.109375" style="183" customWidth="1"/>
    <col min="2314" max="2314" width="21.33203125" style="183" customWidth="1"/>
    <col min="2315" max="2560" width="8.88671875" style="183"/>
    <col min="2561" max="2561" width="20" style="183" bestFit="1" customWidth="1"/>
    <col min="2562" max="2562" width="66.33203125" style="183" bestFit="1" customWidth="1"/>
    <col min="2563" max="2567" width="21.33203125" style="183" customWidth="1"/>
    <col min="2568" max="2568" width="17.33203125" style="183" bestFit="1" customWidth="1"/>
    <col min="2569" max="2569" width="11.109375" style="183" customWidth="1"/>
    <col min="2570" max="2570" width="21.33203125" style="183" customWidth="1"/>
    <col min="2571" max="2816" width="8.88671875" style="183"/>
    <col min="2817" max="2817" width="20" style="183" bestFit="1" customWidth="1"/>
    <col min="2818" max="2818" width="66.33203125" style="183" bestFit="1" customWidth="1"/>
    <col min="2819" max="2823" width="21.33203125" style="183" customWidth="1"/>
    <col min="2824" max="2824" width="17.33203125" style="183" bestFit="1" customWidth="1"/>
    <col min="2825" max="2825" width="11.109375" style="183" customWidth="1"/>
    <col min="2826" max="2826" width="21.33203125" style="183" customWidth="1"/>
    <col min="2827" max="3072" width="8.88671875" style="183"/>
    <col min="3073" max="3073" width="20" style="183" bestFit="1" customWidth="1"/>
    <col min="3074" max="3074" width="66.33203125" style="183" bestFit="1" customWidth="1"/>
    <col min="3075" max="3079" width="21.33203125" style="183" customWidth="1"/>
    <col min="3080" max="3080" width="17.33203125" style="183" bestFit="1" customWidth="1"/>
    <col min="3081" max="3081" width="11.109375" style="183" customWidth="1"/>
    <col min="3082" max="3082" width="21.33203125" style="183" customWidth="1"/>
    <col min="3083" max="3328" width="8.88671875" style="183"/>
    <col min="3329" max="3329" width="20" style="183" bestFit="1" customWidth="1"/>
    <col min="3330" max="3330" width="66.33203125" style="183" bestFit="1" customWidth="1"/>
    <col min="3331" max="3335" width="21.33203125" style="183" customWidth="1"/>
    <col min="3336" max="3336" width="17.33203125" style="183" bestFit="1" customWidth="1"/>
    <col min="3337" max="3337" width="11.109375" style="183" customWidth="1"/>
    <col min="3338" max="3338" width="21.33203125" style="183" customWidth="1"/>
    <col min="3339" max="3584" width="8.88671875" style="183"/>
    <col min="3585" max="3585" width="20" style="183" bestFit="1" customWidth="1"/>
    <col min="3586" max="3586" width="66.33203125" style="183" bestFit="1" customWidth="1"/>
    <col min="3587" max="3591" width="21.33203125" style="183" customWidth="1"/>
    <col min="3592" max="3592" width="17.33203125" style="183" bestFit="1" customWidth="1"/>
    <col min="3593" max="3593" width="11.109375" style="183" customWidth="1"/>
    <col min="3594" max="3594" width="21.33203125" style="183" customWidth="1"/>
    <col min="3595" max="3840" width="8.88671875" style="183"/>
    <col min="3841" max="3841" width="20" style="183" bestFit="1" customWidth="1"/>
    <col min="3842" max="3842" width="66.33203125" style="183" bestFit="1" customWidth="1"/>
    <col min="3843" max="3847" width="21.33203125" style="183" customWidth="1"/>
    <col min="3848" max="3848" width="17.33203125" style="183" bestFit="1" customWidth="1"/>
    <col min="3849" max="3849" width="11.109375" style="183" customWidth="1"/>
    <col min="3850" max="3850" width="21.33203125" style="183" customWidth="1"/>
    <col min="3851" max="4096" width="8.88671875" style="183"/>
    <col min="4097" max="4097" width="20" style="183" bestFit="1" customWidth="1"/>
    <col min="4098" max="4098" width="66.33203125" style="183" bestFit="1" customWidth="1"/>
    <col min="4099" max="4103" width="21.33203125" style="183" customWidth="1"/>
    <col min="4104" max="4104" width="17.33203125" style="183" bestFit="1" customWidth="1"/>
    <col min="4105" max="4105" width="11.109375" style="183" customWidth="1"/>
    <col min="4106" max="4106" width="21.33203125" style="183" customWidth="1"/>
    <col min="4107" max="4352" width="8.88671875" style="183"/>
    <col min="4353" max="4353" width="20" style="183" bestFit="1" customWidth="1"/>
    <col min="4354" max="4354" width="66.33203125" style="183" bestFit="1" customWidth="1"/>
    <col min="4355" max="4359" width="21.33203125" style="183" customWidth="1"/>
    <col min="4360" max="4360" width="17.33203125" style="183" bestFit="1" customWidth="1"/>
    <col min="4361" max="4361" width="11.109375" style="183" customWidth="1"/>
    <col min="4362" max="4362" width="21.33203125" style="183" customWidth="1"/>
    <col min="4363" max="4608" width="8.88671875" style="183"/>
    <col min="4609" max="4609" width="20" style="183" bestFit="1" customWidth="1"/>
    <col min="4610" max="4610" width="66.33203125" style="183" bestFit="1" customWidth="1"/>
    <col min="4611" max="4615" width="21.33203125" style="183" customWidth="1"/>
    <col min="4616" max="4616" width="17.33203125" style="183" bestFit="1" customWidth="1"/>
    <col min="4617" max="4617" width="11.109375" style="183" customWidth="1"/>
    <col min="4618" max="4618" width="21.33203125" style="183" customWidth="1"/>
    <col min="4619" max="4864" width="8.88671875" style="183"/>
    <col min="4865" max="4865" width="20" style="183" bestFit="1" customWidth="1"/>
    <col min="4866" max="4866" width="66.33203125" style="183" bestFit="1" customWidth="1"/>
    <col min="4867" max="4871" width="21.33203125" style="183" customWidth="1"/>
    <col min="4872" max="4872" width="17.33203125" style="183" bestFit="1" customWidth="1"/>
    <col min="4873" max="4873" width="11.109375" style="183" customWidth="1"/>
    <col min="4874" max="4874" width="21.33203125" style="183" customWidth="1"/>
    <col min="4875" max="5120" width="8.88671875" style="183"/>
    <col min="5121" max="5121" width="20" style="183" bestFit="1" customWidth="1"/>
    <col min="5122" max="5122" width="66.33203125" style="183" bestFit="1" customWidth="1"/>
    <col min="5123" max="5127" width="21.33203125" style="183" customWidth="1"/>
    <col min="5128" max="5128" width="17.33203125" style="183" bestFit="1" customWidth="1"/>
    <col min="5129" max="5129" width="11.109375" style="183" customWidth="1"/>
    <col min="5130" max="5130" width="21.33203125" style="183" customWidth="1"/>
    <col min="5131" max="5376" width="8.88671875" style="183"/>
    <col min="5377" max="5377" width="20" style="183" bestFit="1" customWidth="1"/>
    <col min="5378" max="5378" width="66.33203125" style="183" bestFit="1" customWidth="1"/>
    <col min="5379" max="5383" width="21.33203125" style="183" customWidth="1"/>
    <col min="5384" max="5384" width="17.33203125" style="183" bestFit="1" customWidth="1"/>
    <col min="5385" max="5385" width="11.109375" style="183" customWidth="1"/>
    <col min="5386" max="5386" width="21.33203125" style="183" customWidth="1"/>
    <col min="5387" max="5632" width="8.88671875" style="183"/>
    <col min="5633" max="5633" width="20" style="183" bestFit="1" customWidth="1"/>
    <col min="5634" max="5634" width="66.33203125" style="183" bestFit="1" customWidth="1"/>
    <col min="5635" max="5639" width="21.33203125" style="183" customWidth="1"/>
    <col min="5640" max="5640" width="17.33203125" style="183" bestFit="1" customWidth="1"/>
    <col min="5641" max="5641" width="11.109375" style="183" customWidth="1"/>
    <col min="5642" max="5642" width="21.33203125" style="183" customWidth="1"/>
    <col min="5643" max="5888" width="8.88671875" style="183"/>
    <col min="5889" max="5889" width="20" style="183" bestFit="1" customWidth="1"/>
    <col min="5890" max="5890" width="66.33203125" style="183" bestFit="1" customWidth="1"/>
    <col min="5891" max="5895" width="21.33203125" style="183" customWidth="1"/>
    <col min="5896" max="5896" width="17.33203125" style="183" bestFit="1" customWidth="1"/>
    <col min="5897" max="5897" width="11.109375" style="183" customWidth="1"/>
    <col min="5898" max="5898" width="21.33203125" style="183" customWidth="1"/>
    <col min="5899" max="6144" width="8.88671875" style="183"/>
    <col min="6145" max="6145" width="20" style="183" bestFit="1" customWidth="1"/>
    <col min="6146" max="6146" width="66.33203125" style="183" bestFit="1" customWidth="1"/>
    <col min="6147" max="6151" width="21.33203125" style="183" customWidth="1"/>
    <col min="6152" max="6152" width="17.33203125" style="183" bestFit="1" customWidth="1"/>
    <col min="6153" max="6153" width="11.109375" style="183" customWidth="1"/>
    <col min="6154" max="6154" width="21.33203125" style="183" customWidth="1"/>
    <col min="6155" max="6400" width="8.88671875" style="183"/>
    <col min="6401" max="6401" width="20" style="183" bestFit="1" customWidth="1"/>
    <col min="6402" max="6402" width="66.33203125" style="183" bestFit="1" customWidth="1"/>
    <col min="6403" max="6407" width="21.33203125" style="183" customWidth="1"/>
    <col min="6408" max="6408" width="17.33203125" style="183" bestFit="1" customWidth="1"/>
    <col min="6409" max="6409" width="11.109375" style="183" customWidth="1"/>
    <col min="6410" max="6410" width="21.33203125" style="183" customWidth="1"/>
    <col min="6411" max="6656" width="8.88671875" style="183"/>
    <col min="6657" max="6657" width="20" style="183" bestFit="1" customWidth="1"/>
    <col min="6658" max="6658" width="66.33203125" style="183" bestFit="1" customWidth="1"/>
    <col min="6659" max="6663" width="21.33203125" style="183" customWidth="1"/>
    <col min="6664" max="6664" width="17.33203125" style="183" bestFit="1" customWidth="1"/>
    <col min="6665" max="6665" width="11.109375" style="183" customWidth="1"/>
    <col min="6666" max="6666" width="21.33203125" style="183" customWidth="1"/>
    <col min="6667" max="6912" width="8.88671875" style="183"/>
    <col min="6913" max="6913" width="20" style="183" bestFit="1" customWidth="1"/>
    <col min="6914" max="6914" width="66.33203125" style="183" bestFit="1" customWidth="1"/>
    <col min="6915" max="6919" width="21.33203125" style="183" customWidth="1"/>
    <col min="6920" max="6920" width="17.33203125" style="183" bestFit="1" customWidth="1"/>
    <col min="6921" max="6921" width="11.109375" style="183" customWidth="1"/>
    <col min="6922" max="6922" width="21.33203125" style="183" customWidth="1"/>
    <col min="6923" max="7168" width="8.88671875" style="183"/>
    <col min="7169" max="7169" width="20" style="183" bestFit="1" customWidth="1"/>
    <col min="7170" max="7170" width="66.33203125" style="183" bestFit="1" customWidth="1"/>
    <col min="7171" max="7175" width="21.33203125" style="183" customWidth="1"/>
    <col min="7176" max="7176" width="17.33203125" style="183" bestFit="1" customWidth="1"/>
    <col min="7177" max="7177" width="11.109375" style="183" customWidth="1"/>
    <col min="7178" max="7178" width="21.33203125" style="183" customWidth="1"/>
    <col min="7179" max="7424" width="8.88671875" style="183"/>
    <col min="7425" max="7425" width="20" style="183" bestFit="1" customWidth="1"/>
    <col min="7426" max="7426" width="66.33203125" style="183" bestFit="1" customWidth="1"/>
    <col min="7427" max="7431" width="21.33203125" style="183" customWidth="1"/>
    <col min="7432" max="7432" width="17.33203125" style="183" bestFit="1" customWidth="1"/>
    <col min="7433" max="7433" width="11.109375" style="183" customWidth="1"/>
    <col min="7434" max="7434" width="21.33203125" style="183" customWidth="1"/>
    <col min="7435" max="7680" width="8.88671875" style="183"/>
    <col min="7681" max="7681" width="20" style="183" bestFit="1" customWidth="1"/>
    <col min="7682" max="7682" width="66.33203125" style="183" bestFit="1" customWidth="1"/>
    <col min="7683" max="7687" width="21.33203125" style="183" customWidth="1"/>
    <col min="7688" max="7688" width="17.33203125" style="183" bestFit="1" customWidth="1"/>
    <col min="7689" max="7689" width="11.109375" style="183" customWidth="1"/>
    <col min="7690" max="7690" width="21.33203125" style="183" customWidth="1"/>
    <col min="7691" max="7936" width="8.88671875" style="183"/>
    <col min="7937" max="7937" width="20" style="183" bestFit="1" customWidth="1"/>
    <col min="7938" max="7938" width="66.33203125" style="183" bestFit="1" customWidth="1"/>
    <col min="7939" max="7943" width="21.33203125" style="183" customWidth="1"/>
    <col min="7944" max="7944" width="17.33203125" style="183" bestFit="1" customWidth="1"/>
    <col min="7945" max="7945" width="11.109375" style="183" customWidth="1"/>
    <col min="7946" max="7946" width="21.33203125" style="183" customWidth="1"/>
    <col min="7947" max="8192" width="8.88671875" style="183"/>
    <col min="8193" max="8193" width="20" style="183" bestFit="1" customWidth="1"/>
    <col min="8194" max="8194" width="66.33203125" style="183" bestFit="1" customWidth="1"/>
    <col min="8195" max="8199" width="21.33203125" style="183" customWidth="1"/>
    <col min="8200" max="8200" width="17.33203125" style="183" bestFit="1" customWidth="1"/>
    <col min="8201" max="8201" width="11.109375" style="183" customWidth="1"/>
    <col min="8202" max="8202" width="21.33203125" style="183" customWidth="1"/>
    <col min="8203" max="8448" width="8.88671875" style="183"/>
    <col min="8449" max="8449" width="20" style="183" bestFit="1" customWidth="1"/>
    <col min="8450" max="8450" width="66.33203125" style="183" bestFit="1" customWidth="1"/>
    <col min="8451" max="8455" width="21.33203125" style="183" customWidth="1"/>
    <col min="8456" max="8456" width="17.33203125" style="183" bestFit="1" customWidth="1"/>
    <col min="8457" max="8457" width="11.109375" style="183" customWidth="1"/>
    <col min="8458" max="8458" width="21.33203125" style="183" customWidth="1"/>
    <col min="8459" max="8704" width="8.88671875" style="183"/>
    <col min="8705" max="8705" width="20" style="183" bestFit="1" customWidth="1"/>
    <col min="8706" max="8706" width="66.33203125" style="183" bestFit="1" customWidth="1"/>
    <col min="8707" max="8711" width="21.33203125" style="183" customWidth="1"/>
    <col min="8712" max="8712" width="17.33203125" style="183" bestFit="1" customWidth="1"/>
    <col min="8713" max="8713" width="11.109375" style="183" customWidth="1"/>
    <col min="8714" max="8714" width="21.33203125" style="183" customWidth="1"/>
    <col min="8715" max="8960" width="8.88671875" style="183"/>
    <col min="8961" max="8961" width="20" style="183" bestFit="1" customWidth="1"/>
    <col min="8962" max="8962" width="66.33203125" style="183" bestFit="1" customWidth="1"/>
    <col min="8963" max="8967" width="21.33203125" style="183" customWidth="1"/>
    <col min="8968" max="8968" width="17.33203125" style="183" bestFit="1" customWidth="1"/>
    <col min="8969" max="8969" width="11.109375" style="183" customWidth="1"/>
    <col min="8970" max="8970" width="21.33203125" style="183" customWidth="1"/>
    <col min="8971" max="9216" width="8.88671875" style="183"/>
    <col min="9217" max="9217" width="20" style="183" bestFit="1" customWidth="1"/>
    <col min="9218" max="9218" width="66.33203125" style="183" bestFit="1" customWidth="1"/>
    <col min="9219" max="9223" width="21.33203125" style="183" customWidth="1"/>
    <col min="9224" max="9224" width="17.33203125" style="183" bestFit="1" customWidth="1"/>
    <col min="9225" max="9225" width="11.109375" style="183" customWidth="1"/>
    <col min="9226" max="9226" width="21.33203125" style="183" customWidth="1"/>
    <col min="9227" max="9472" width="8.88671875" style="183"/>
    <col min="9473" max="9473" width="20" style="183" bestFit="1" customWidth="1"/>
    <col min="9474" max="9474" width="66.33203125" style="183" bestFit="1" customWidth="1"/>
    <col min="9475" max="9479" width="21.33203125" style="183" customWidth="1"/>
    <col min="9480" max="9480" width="17.33203125" style="183" bestFit="1" customWidth="1"/>
    <col min="9481" max="9481" width="11.109375" style="183" customWidth="1"/>
    <col min="9482" max="9482" width="21.33203125" style="183" customWidth="1"/>
    <col min="9483" max="9728" width="8.88671875" style="183"/>
    <col min="9729" max="9729" width="20" style="183" bestFit="1" customWidth="1"/>
    <col min="9730" max="9730" width="66.33203125" style="183" bestFit="1" customWidth="1"/>
    <col min="9731" max="9735" width="21.33203125" style="183" customWidth="1"/>
    <col min="9736" max="9736" width="17.33203125" style="183" bestFit="1" customWidth="1"/>
    <col min="9737" max="9737" width="11.109375" style="183" customWidth="1"/>
    <col min="9738" max="9738" width="21.33203125" style="183" customWidth="1"/>
    <col min="9739" max="9984" width="8.88671875" style="183"/>
    <col min="9985" max="9985" width="20" style="183" bestFit="1" customWidth="1"/>
    <col min="9986" max="9986" width="66.33203125" style="183" bestFit="1" customWidth="1"/>
    <col min="9987" max="9991" width="21.33203125" style="183" customWidth="1"/>
    <col min="9992" max="9992" width="17.33203125" style="183" bestFit="1" customWidth="1"/>
    <col min="9993" max="9993" width="11.109375" style="183" customWidth="1"/>
    <col min="9994" max="9994" width="21.33203125" style="183" customWidth="1"/>
    <col min="9995" max="10240" width="8.88671875" style="183"/>
    <col min="10241" max="10241" width="20" style="183" bestFit="1" customWidth="1"/>
    <col min="10242" max="10242" width="66.33203125" style="183" bestFit="1" customWidth="1"/>
    <col min="10243" max="10247" width="21.33203125" style="183" customWidth="1"/>
    <col min="10248" max="10248" width="17.33203125" style="183" bestFit="1" customWidth="1"/>
    <col min="10249" max="10249" width="11.109375" style="183" customWidth="1"/>
    <col min="10250" max="10250" width="21.33203125" style="183" customWidth="1"/>
    <col min="10251" max="10496" width="8.88671875" style="183"/>
    <col min="10497" max="10497" width="20" style="183" bestFit="1" customWidth="1"/>
    <col min="10498" max="10498" width="66.33203125" style="183" bestFit="1" customWidth="1"/>
    <col min="10499" max="10503" width="21.33203125" style="183" customWidth="1"/>
    <col min="10504" max="10504" width="17.33203125" style="183" bestFit="1" customWidth="1"/>
    <col min="10505" max="10505" width="11.109375" style="183" customWidth="1"/>
    <col min="10506" max="10506" width="21.33203125" style="183" customWidth="1"/>
    <col min="10507" max="10752" width="8.88671875" style="183"/>
    <col min="10753" max="10753" width="20" style="183" bestFit="1" customWidth="1"/>
    <col min="10754" max="10754" width="66.33203125" style="183" bestFit="1" customWidth="1"/>
    <col min="10755" max="10759" width="21.33203125" style="183" customWidth="1"/>
    <col min="10760" max="10760" width="17.33203125" style="183" bestFit="1" customWidth="1"/>
    <col min="10761" max="10761" width="11.109375" style="183" customWidth="1"/>
    <col min="10762" max="10762" width="21.33203125" style="183" customWidth="1"/>
    <col min="10763" max="11008" width="8.88671875" style="183"/>
    <col min="11009" max="11009" width="20" style="183" bestFit="1" customWidth="1"/>
    <col min="11010" max="11010" width="66.33203125" style="183" bestFit="1" customWidth="1"/>
    <col min="11011" max="11015" width="21.33203125" style="183" customWidth="1"/>
    <col min="11016" max="11016" width="17.33203125" style="183" bestFit="1" customWidth="1"/>
    <col min="11017" max="11017" width="11.109375" style="183" customWidth="1"/>
    <col min="11018" max="11018" width="21.33203125" style="183" customWidth="1"/>
    <col min="11019" max="11264" width="8.88671875" style="183"/>
    <col min="11265" max="11265" width="20" style="183" bestFit="1" customWidth="1"/>
    <col min="11266" max="11266" width="66.33203125" style="183" bestFit="1" customWidth="1"/>
    <col min="11267" max="11271" width="21.33203125" style="183" customWidth="1"/>
    <col min="11272" max="11272" width="17.33203125" style="183" bestFit="1" customWidth="1"/>
    <col min="11273" max="11273" width="11.109375" style="183" customWidth="1"/>
    <col min="11274" max="11274" width="21.33203125" style="183" customWidth="1"/>
    <col min="11275" max="11520" width="8.88671875" style="183"/>
    <col min="11521" max="11521" width="20" style="183" bestFit="1" customWidth="1"/>
    <col min="11522" max="11522" width="66.33203125" style="183" bestFit="1" customWidth="1"/>
    <col min="11523" max="11527" width="21.33203125" style="183" customWidth="1"/>
    <col min="11528" max="11528" width="17.33203125" style="183" bestFit="1" customWidth="1"/>
    <col min="11529" max="11529" width="11.109375" style="183" customWidth="1"/>
    <col min="11530" max="11530" width="21.33203125" style="183" customWidth="1"/>
    <col min="11531" max="11776" width="8.88671875" style="183"/>
    <col min="11777" max="11777" width="20" style="183" bestFit="1" customWidth="1"/>
    <col min="11778" max="11778" width="66.33203125" style="183" bestFit="1" customWidth="1"/>
    <col min="11779" max="11783" width="21.33203125" style="183" customWidth="1"/>
    <col min="11784" max="11784" width="17.33203125" style="183" bestFit="1" customWidth="1"/>
    <col min="11785" max="11785" width="11.109375" style="183" customWidth="1"/>
    <col min="11786" max="11786" width="21.33203125" style="183" customWidth="1"/>
    <col min="11787" max="12032" width="8.88671875" style="183"/>
    <col min="12033" max="12033" width="20" style="183" bestFit="1" customWidth="1"/>
    <col min="12034" max="12034" width="66.33203125" style="183" bestFit="1" customWidth="1"/>
    <col min="12035" max="12039" width="21.33203125" style="183" customWidth="1"/>
    <col min="12040" max="12040" width="17.33203125" style="183" bestFit="1" customWidth="1"/>
    <col min="12041" max="12041" width="11.109375" style="183" customWidth="1"/>
    <col min="12042" max="12042" width="21.33203125" style="183" customWidth="1"/>
    <col min="12043" max="12288" width="8.88671875" style="183"/>
    <col min="12289" max="12289" width="20" style="183" bestFit="1" customWidth="1"/>
    <col min="12290" max="12290" width="66.33203125" style="183" bestFit="1" customWidth="1"/>
    <col min="12291" max="12295" width="21.33203125" style="183" customWidth="1"/>
    <col min="12296" max="12296" width="17.33203125" style="183" bestFit="1" customWidth="1"/>
    <col min="12297" max="12297" width="11.109375" style="183" customWidth="1"/>
    <col min="12298" max="12298" width="21.33203125" style="183" customWidth="1"/>
    <col min="12299" max="12544" width="8.88671875" style="183"/>
    <col min="12545" max="12545" width="20" style="183" bestFit="1" customWidth="1"/>
    <col min="12546" max="12546" width="66.33203125" style="183" bestFit="1" customWidth="1"/>
    <col min="12547" max="12551" width="21.33203125" style="183" customWidth="1"/>
    <col min="12552" max="12552" width="17.33203125" style="183" bestFit="1" customWidth="1"/>
    <col min="12553" max="12553" width="11.109375" style="183" customWidth="1"/>
    <col min="12554" max="12554" width="21.33203125" style="183" customWidth="1"/>
    <col min="12555" max="12800" width="8.88671875" style="183"/>
    <col min="12801" max="12801" width="20" style="183" bestFit="1" customWidth="1"/>
    <col min="12802" max="12802" width="66.33203125" style="183" bestFit="1" customWidth="1"/>
    <col min="12803" max="12807" width="21.33203125" style="183" customWidth="1"/>
    <col min="12808" max="12808" width="17.33203125" style="183" bestFit="1" customWidth="1"/>
    <col min="12809" max="12809" width="11.109375" style="183" customWidth="1"/>
    <col min="12810" max="12810" width="21.33203125" style="183" customWidth="1"/>
    <col min="12811" max="13056" width="8.88671875" style="183"/>
    <col min="13057" max="13057" width="20" style="183" bestFit="1" customWidth="1"/>
    <col min="13058" max="13058" width="66.33203125" style="183" bestFit="1" customWidth="1"/>
    <col min="13059" max="13063" width="21.33203125" style="183" customWidth="1"/>
    <col min="13064" max="13064" width="17.33203125" style="183" bestFit="1" customWidth="1"/>
    <col min="13065" max="13065" width="11.109375" style="183" customWidth="1"/>
    <col min="13066" max="13066" width="21.33203125" style="183" customWidth="1"/>
    <col min="13067" max="13312" width="8.88671875" style="183"/>
    <col min="13313" max="13313" width="20" style="183" bestFit="1" customWidth="1"/>
    <col min="13314" max="13314" width="66.33203125" style="183" bestFit="1" customWidth="1"/>
    <col min="13315" max="13319" width="21.33203125" style="183" customWidth="1"/>
    <col min="13320" max="13320" width="17.33203125" style="183" bestFit="1" customWidth="1"/>
    <col min="13321" max="13321" width="11.109375" style="183" customWidth="1"/>
    <col min="13322" max="13322" width="21.33203125" style="183" customWidth="1"/>
    <col min="13323" max="13568" width="8.88671875" style="183"/>
    <col min="13569" max="13569" width="20" style="183" bestFit="1" customWidth="1"/>
    <col min="13570" max="13570" width="66.33203125" style="183" bestFit="1" customWidth="1"/>
    <col min="13571" max="13575" width="21.33203125" style="183" customWidth="1"/>
    <col min="13576" max="13576" width="17.33203125" style="183" bestFit="1" customWidth="1"/>
    <col min="13577" max="13577" width="11.109375" style="183" customWidth="1"/>
    <col min="13578" max="13578" width="21.33203125" style="183" customWidth="1"/>
    <col min="13579" max="13824" width="8.88671875" style="183"/>
    <col min="13825" max="13825" width="20" style="183" bestFit="1" customWidth="1"/>
    <col min="13826" max="13826" width="66.33203125" style="183" bestFit="1" customWidth="1"/>
    <col min="13827" max="13831" width="21.33203125" style="183" customWidth="1"/>
    <col min="13832" max="13832" width="17.33203125" style="183" bestFit="1" customWidth="1"/>
    <col min="13833" max="13833" width="11.109375" style="183" customWidth="1"/>
    <col min="13834" max="13834" width="21.33203125" style="183" customWidth="1"/>
    <col min="13835" max="14080" width="8.88671875" style="183"/>
    <col min="14081" max="14081" width="20" style="183" bestFit="1" customWidth="1"/>
    <col min="14082" max="14082" width="66.33203125" style="183" bestFit="1" customWidth="1"/>
    <col min="14083" max="14087" width="21.33203125" style="183" customWidth="1"/>
    <col min="14088" max="14088" width="17.33203125" style="183" bestFit="1" customWidth="1"/>
    <col min="14089" max="14089" width="11.109375" style="183" customWidth="1"/>
    <col min="14090" max="14090" width="21.33203125" style="183" customWidth="1"/>
    <col min="14091" max="14336" width="8.88671875" style="183"/>
    <col min="14337" max="14337" width="20" style="183" bestFit="1" customWidth="1"/>
    <col min="14338" max="14338" width="66.33203125" style="183" bestFit="1" customWidth="1"/>
    <col min="14339" max="14343" width="21.33203125" style="183" customWidth="1"/>
    <col min="14344" max="14344" width="17.33203125" style="183" bestFit="1" customWidth="1"/>
    <col min="14345" max="14345" width="11.109375" style="183" customWidth="1"/>
    <col min="14346" max="14346" width="21.33203125" style="183" customWidth="1"/>
    <col min="14347" max="14592" width="8.88671875" style="183"/>
    <col min="14593" max="14593" width="20" style="183" bestFit="1" customWidth="1"/>
    <col min="14594" max="14594" width="66.33203125" style="183" bestFit="1" customWidth="1"/>
    <col min="14595" max="14599" width="21.33203125" style="183" customWidth="1"/>
    <col min="14600" max="14600" width="17.33203125" style="183" bestFit="1" customWidth="1"/>
    <col min="14601" max="14601" width="11.109375" style="183" customWidth="1"/>
    <col min="14602" max="14602" width="21.33203125" style="183" customWidth="1"/>
    <col min="14603" max="14848" width="8.88671875" style="183"/>
    <col min="14849" max="14849" width="20" style="183" bestFit="1" customWidth="1"/>
    <col min="14850" max="14850" width="66.33203125" style="183" bestFit="1" customWidth="1"/>
    <col min="14851" max="14855" width="21.33203125" style="183" customWidth="1"/>
    <col min="14856" max="14856" width="17.33203125" style="183" bestFit="1" customWidth="1"/>
    <col min="14857" max="14857" width="11.109375" style="183" customWidth="1"/>
    <col min="14858" max="14858" width="21.33203125" style="183" customWidth="1"/>
    <col min="14859" max="15104" width="8.88671875" style="183"/>
    <col min="15105" max="15105" width="20" style="183" bestFit="1" customWidth="1"/>
    <col min="15106" max="15106" width="66.33203125" style="183" bestFit="1" customWidth="1"/>
    <col min="15107" max="15111" width="21.33203125" style="183" customWidth="1"/>
    <col min="15112" max="15112" width="17.33203125" style="183" bestFit="1" customWidth="1"/>
    <col min="15113" max="15113" width="11.109375" style="183" customWidth="1"/>
    <col min="15114" max="15114" width="21.33203125" style="183" customWidth="1"/>
    <col min="15115" max="15360" width="8.88671875" style="183"/>
    <col min="15361" max="15361" width="20" style="183" bestFit="1" customWidth="1"/>
    <col min="15362" max="15362" width="66.33203125" style="183" bestFit="1" customWidth="1"/>
    <col min="15363" max="15367" width="21.33203125" style="183" customWidth="1"/>
    <col min="15368" max="15368" width="17.33203125" style="183" bestFit="1" customWidth="1"/>
    <col min="15369" max="15369" width="11.109375" style="183" customWidth="1"/>
    <col min="15370" max="15370" width="21.33203125" style="183" customWidth="1"/>
    <col min="15371" max="15616" width="8.88671875" style="183"/>
    <col min="15617" max="15617" width="20" style="183" bestFit="1" customWidth="1"/>
    <col min="15618" max="15618" width="66.33203125" style="183" bestFit="1" customWidth="1"/>
    <col min="15619" max="15623" width="21.33203125" style="183" customWidth="1"/>
    <col min="15624" max="15624" width="17.33203125" style="183" bestFit="1" customWidth="1"/>
    <col min="15625" max="15625" width="11.109375" style="183" customWidth="1"/>
    <col min="15626" max="15626" width="21.33203125" style="183" customWidth="1"/>
    <col min="15627" max="15872" width="8.88671875" style="183"/>
    <col min="15873" max="15873" width="20" style="183" bestFit="1" customWidth="1"/>
    <col min="15874" max="15874" width="66.33203125" style="183" bestFit="1" customWidth="1"/>
    <col min="15875" max="15879" width="21.33203125" style="183" customWidth="1"/>
    <col min="15880" max="15880" width="17.33203125" style="183" bestFit="1" customWidth="1"/>
    <col min="15881" max="15881" width="11.109375" style="183" customWidth="1"/>
    <col min="15882" max="15882" width="21.33203125" style="183" customWidth="1"/>
    <col min="15883" max="16128" width="8.88671875" style="183"/>
    <col min="16129" max="16129" width="20" style="183" bestFit="1" customWidth="1"/>
    <col min="16130" max="16130" width="66.33203125" style="183" bestFit="1" customWidth="1"/>
    <col min="16131" max="16135" width="21.33203125" style="183" customWidth="1"/>
    <col min="16136" max="16136" width="17.33203125" style="183" bestFit="1" customWidth="1"/>
    <col min="16137" max="16137" width="11.109375" style="183" customWidth="1"/>
    <col min="16138" max="16138" width="21.33203125" style="183" customWidth="1"/>
    <col min="16139" max="16384" width="8.88671875" style="183"/>
  </cols>
  <sheetData>
    <row r="1" spans="1:10" ht="12.75" customHeight="1">
      <c r="C1" s="184" t="s">
        <v>453</v>
      </c>
      <c r="D1" s="185" t="s">
        <v>426</v>
      </c>
      <c r="E1" s="185" t="s">
        <v>445</v>
      </c>
      <c r="F1" s="185" t="s">
        <v>449</v>
      </c>
      <c r="G1" s="184" t="s">
        <v>454</v>
      </c>
      <c r="H1" s="186" t="s">
        <v>455</v>
      </c>
    </row>
    <row r="2" spans="1:10" ht="12.75" customHeight="1">
      <c r="C2" s="184">
        <f>$C$4+SUM(C5:C7)</f>
        <v>121763263</v>
      </c>
      <c r="D2" s="184">
        <f>$C$4+SUM($C$5:D7)</f>
        <v>120681248</v>
      </c>
      <c r="E2" s="184">
        <f>$C$4+SUM($C$5:E7)</f>
        <v>118697923</v>
      </c>
      <c r="F2" s="184">
        <f>$C$4+SUM($C$5:F7)+F4</f>
        <v>116969418</v>
      </c>
      <c r="G2" s="184">
        <f>$C$4+SUM($C$5:G7)+F4</f>
        <v>115573453</v>
      </c>
    </row>
    <row r="3" spans="1:10" ht="12.75" customHeight="1">
      <c r="A3" s="188" t="s">
        <v>16</v>
      </c>
    </row>
    <row r="4" spans="1:10" ht="12.75" customHeight="1">
      <c r="A4" s="182">
        <v>1600200</v>
      </c>
      <c r="B4" s="183" t="s">
        <v>22</v>
      </c>
      <c r="C4" s="184">
        <v>132670468</v>
      </c>
      <c r="D4" s="185">
        <v>0</v>
      </c>
      <c r="F4" s="185">
        <v>-3658477</v>
      </c>
      <c r="H4" s="186">
        <f>SUM(C4:G4)</f>
        <v>129011991</v>
      </c>
      <c r="I4" s="189"/>
    </row>
    <row r="5" spans="1:10" ht="12.75" customHeight="1">
      <c r="A5" s="182" t="s">
        <v>23</v>
      </c>
      <c r="B5" s="183" t="s">
        <v>24</v>
      </c>
      <c r="C5" s="184">
        <v>-9266923</v>
      </c>
      <c r="D5" s="185">
        <v>-653662</v>
      </c>
      <c r="E5" s="185">
        <v>-656408</v>
      </c>
      <c r="F5" s="185">
        <v>-380013</v>
      </c>
      <c r="G5" s="184">
        <v>-630199</v>
      </c>
      <c r="H5" s="186">
        <f>SUM(C5:G5)</f>
        <v>-11587205</v>
      </c>
      <c r="J5" s="185">
        <v>540977</v>
      </c>
    </row>
    <row r="6" spans="1:10" ht="12.75" customHeight="1">
      <c r="A6" s="182" t="s">
        <v>25</v>
      </c>
      <c r="B6" s="183" t="s">
        <v>26</v>
      </c>
      <c r="C6" s="184">
        <v>-1753104</v>
      </c>
      <c r="D6" s="185">
        <v>-462286</v>
      </c>
      <c r="E6" s="190">
        <v>-1443087</v>
      </c>
      <c r="F6" s="190">
        <v>2472387</v>
      </c>
      <c r="G6" s="191">
        <v>-841866</v>
      </c>
      <c r="H6" s="186">
        <f>SUM(C6:G6)</f>
        <v>-2027956</v>
      </c>
    </row>
    <row r="7" spans="1:10" ht="12.75" customHeight="1">
      <c r="A7" s="182" t="s">
        <v>427</v>
      </c>
      <c r="B7" s="183" t="s">
        <v>428</v>
      </c>
      <c r="C7" s="184">
        <v>112822</v>
      </c>
      <c r="D7" s="185">
        <v>33933</v>
      </c>
      <c r="E7" s="185">
        <v>116170</v>
      </c>
      <c r="F7" s="185">
        <v>-162402</v>
      </c>
      <c r="G7" s="184">
        <v>76100</v>
      </c>
      <c r="H7" s="186">
        <f>SUM(C7:G7)</f>
        <v>176623</v>
      </c>
    </row>
    <row r="8" spans="1:10" ht="12.75" customHeight="1">
      <c r="A8" s="183" t="s">
        <v>351</v>
      </c>
      <c r="C8" s="184">
        <v>0</v>
      </c>
      <c r="I8" s="189"/>
    </row>
    <row r="9" spans="1:10" ht="12.75" customHeight="1">
      <c r="C9" s="184">
        <v>0</v>
      </c>
    </row>
    <row r="10" spans="1:10" ht="12.75" customHeight="1">
      <c r="A10" s="182" t="s">
        <v>35</v>
      </c>
      <c r="B10" s="183" t="s">
        <v>36</v>
      </c>
      <c r="C10" s="184">
        <v>2706901</v>
      </c>
      <c r="D10" s="185">
        <v>153794</v>
      </c>
      <c r="E10" s="185">
        <v>-278091</v>
      </c>
      <c r="F10" s="185">
        <v>-293081</v>
      </c>
      <c r="G10" s="184">
        <v>524916</v>
      </c>
      <c r="H10" s="186">
        <f>SUM(C10:G10)</f>
        <v>2814439</v>
      </c>
    </row>
    <row r="11" spans="1:10" ht="12.75" customHeight="1">
      <c r="A11" s="183" t="s">
        <v>352</v>
      </c>
      <c r="C11" s="184">
        <v>0</v>
      </c>
    </row>
    <row r="12" spans="1:10" ht="12.75" customHeight="1">
      <c r="C12" s="184">
        <v>0</v>
      </c>
    </row>
    <row r="13" spans="1:10" ht="12.75" customHeight="1">
      <c r="A13" s="182" t="s">
        <v>41</v>
      </c>
      <c r="B13" s="183" t="s">
        <v>42</v>
      </c>
      <c r="C13" s="184">
        <v>343593</v>
      </c>
      <c r="D13" s="185">
        <v>-93669</v>
      </c>
      <c r="E13" s="185">
        <v>-177050</v>
      </c>
      <c r="F13" s="185">
        <v>220477</v>
      </c>
      <c r="G13" s="184">
        <v>-208231</v>
      </c>
      <c r="H13" s="186">
        <f>SUM(C13:G13)</f>
        <v>85120</v>
      </c>
    </row>
    <row r="14" spans="1:10" ht="12.75" customHeight="1">
      <c r="A14" s="182" t="s">
        <v>43</v>
      </c>
      <c r="B14" s="183" t="s">
        <v>44</v>
      </c>
      <c r="C14" s="184">
        <v>-64501</v>
      </c>
      <c r="D14" s="185">
        <v>0</v>
      </c>
      <c r="E14" s="185">
        <v>8960</v>
      </c>
      <c r="F14" s="185">
        <v>0</v>
      </c>
      <c r="H14" s="186">
        <f>SUM(C14:G14)</f>
        <v>-55541</v>
      </c>
    </row>
    <row r="15" spans="1:10" ht="12.75" customHeight="1">
      <c r="A15" s="183" t="s">
        <v>353</v>
      </c>
      <c r="C15" s="184">
        <v>0</v>
      </c>
    </row>
    <row r="16" spans="1:10" ht="12.75" customHeight="1">
      <c r="C16" s="184">
        <v>0</v>
      </c>
    </row>
    <row r="17" spans="1:8" ht="12.75" customHeight="1">
      <c r="A17" s="182">
        <v>2640000</v>
      </c>
      <c r="B17" s="183" t="s">
        <v>48</v>
      </c>
      <c r="C17" s="184">
        <v>110497</v>
      </c>
      <c r="D17" s="185">
        <v>0</v>
      </c>
      <c r="E17" s="185">
        <v>-2023897</v>
      </c>
      <c r="H17" s="186">
        <f t="shared" ref="H17:H22" si="0">SUM(C17:G17)</f>
        <v>-1913400</v>
      </c>
    </row>
    <row r="18" spans="1:8" ht="12.75" customHeight="1">
      <c r="A18" s="183" t="s">
        <v>357</v>
      </c>
      <c r="C18" s="184">
        <v>0</v>
      </c>
    </row>
    <row r="19" spans="1:8" ht="12.75" customHeight="1">
      <c r="C19" s="184">
        <v>0</v>
      </c>
    </row>
    <row r="20" spans="1:8" ht="12.75" customHeight="1">
      <c r="A20" s="182">
        <v>2040200</v>
      </c>
      <c r="B20" s="183" t="s">
        <v>447</v>
      </c>
      <c r="C20" s="184">
        <v>0</v>
      </c>
      <c r="D20" s="185">
        <v>0</v>
      </c>
      <c r="E20" s="185">
        <v>5000</v>
      </c>
      <c r="F20" s="185">
        <v>0</v>
      </c>
      <c r="H20" s="186">
        <f t="shared" si="0"/>
        <v>5000</v>
      </c>
    </row>
    <row r="21" spans="1:8" ht="12.75" customHeight="1">
      <c r="A21" s="182" t="s">
        <v>53</v>
      </c>
      <c r="B21" s="183" t="s">
        <v>54</v>
      </c>
      <c r="C21" s="184">
        <v>15594</v>
      </c>
      <c r="D21" s="185">
        <v>0</v>
      </c>
      <c r="E21" s="185">
        <v>-11776</v>
      </c>
      <c r="F21" s="185">
        <v>0</v>
      </c>
      <c r="H21" s="186">
        <f t="shared" si="0"/>
        <v>3818</v>
      </c>
    </row>
    <row r="22" spans="1:8" ht="12.75" customHeight="1">
      <c r="A22" s="182" t="s">
        <v>55</v>
      </c>
      <c r="B22" s="183" t="s">
        <v>56</v>
      </c>
      <c r="C22" s="184">
        <v>0</v>
      </c>
      <c r="D22" s="185">
        <v>0</v>
      </c>
      <c r="E22" s="185">
        <v>425</v>
      </c>
      <c r="F22" s="185">
        <v>0</v>
      </c>
      <c r="G22" s="184">
        <f>I88+I90+I91+I105+I113</f>
        <v>407396</v>
      </c>
      <c r="H22" s="186">
        <f t="shared" si="0"/>
        <v>407821</v>
      </c>
    </row>
    <row r="23" spans="1:8" ht="12.75" customHeight="1">
      <c r="A23" s="183" t="s">
        <v>407</v>
      </c>
      <c r="C23" s="184">
        <v>0</v>
      </c>
    </row>
    <row r="24" spans="1:8" ht="12.75" customHeight="1">
      <c r="C24" s="184">
        <v>0</v>
      </c>
    </row>
    <row r="25" spans="1:8" ht="12.75" customHeight="1">
      <c r="A25" s="182" t="s">
        <v>61</v>
      </c>
      <c r="B25" s="183" t="s">
        <v>62</v>
      </c>
      <c r="C25" s="184">
        <v>-3338</v>
      </c>
      <c r="D25" s="185">
        <v>3338</v>
      </c>
      <c r="E25" s="185">
        <v>0</v>
      </c>
      <c r="G25" s="184">
        <v>0</v>
      </c>
      <c r="H25" s="186">
        <f t="shared" ref="H25:H31" si="1">SUM(C25:G25)</f>
        <v>0</v>
      </c>
    </row>
    <row r="26" spans="1:8" ht="12.75" customHeight="1">
      <c r="A26" s="182" t="s">
        <v>65</v>
      </c>
      <c r="B26" s="183" t="s">
        <v>66</v>
      </c>
      <c r="C26" s="184">
        <v>80041</v>
      </c>
      <c r="D26" s="185">
        <v>649658</v>
      </c>
      <c r="E26" s="185">
        <v>1729271</v>
      </c>
      <c r="F26" s="185">
        <v>-1031638</v>
      </c>
      <c r="G26" s="184">
        <v>-1408139</v>
      </c>
      <c r="H26" s="186">
        <f t="shared" si="1"/>
        <v>19193</v>
      </c>
    </row>
    <row r="27" spans="1:8" ht="12.75" customHeight="1">
      <c r="A27" s="182" t="s">
        <v>67</v>
      </c>
      <c r="B27" s="183" t="s">
        <v>68</v>
      </c>
      <c r="C27" s="184">
        <v>759</v>
      </c>
      <c r="D27" s="185">
        <v>12154</v>
      </c>
      <c r="E27" s="185">
        <v>74896</v>
      </c>
      <c r="F27" s="185">
        <v>1058693</v>
      </c>
      <c r="G27" s="184">
        <v>-1109732</v>
      </c>
      <c r="H27" s="186">
        <f t="shared" si="1"/>
        <v>36770</v>
      </c>
    </row>
    <row r="28" spans="1:8" ht="12.75" customHeight="1">
      <c r="A28" s="182" t="s">
        <v>69</v>
      </c>
      <c r="B28" s="183" t="s">
        <v>70</v>
      </c>
      <c r="C28" s="184">
        <v>6031</v>
      </c>
      <c r="D28" s="185">
        <v>785758</v>
      </c>
      <c r="E28" s="185">
        <v>-19584</v>
      </c>
      <c r="F28" s="185">
        <v>-29065</v>
      </c>
      <c r="G28" s="184">
        <v>-50664</v>
      </c>
      <c r="H28" s="186">
        <f t="shared" si="1"/>
        <v>692476</v>
      </c>
    </row>
    <row r="29" spans="1:8" ht="12.75" customHeight="1">
      <c r="A29" s="182" t="s">
        <v>71</v>
      </c>
      <c r="B29" s="183" t="s">
        <v>72</v>
      </c>
      <c r="C29" s="184">
        <v>646236</v>
      </c>
      <c r="D29" s="185">
        <v>-62925</v>
      </c>
      <c r="E29" s="185">
        <v>66151</v>
      </c>
      <c r="F29" s="185">
        <v>-46640</v>
      </c>
      <c r="G29" s="184">
        <v>-159674</v>
      </c>
      <c r="H29" s="186">
        <f t="shared" si="1"/>
        <v>443148</v>
      </c>
    </row>
    <row r="30" spans="1:8" ht="12.75" customHeight="1">
      <c r="A30" s="182" t="s">
        <v>73</v>
      </c>
      <c r="B30" s="183" t="s">
        <v>74</v>
      </c>
      <c r="C30" s="184">
        <v>1028304</v>
      </c>
      <c r="D30" s="185">
        <v>-364896</v>
      </c>
      <c r="E30" s="185">
        <v>1098220</v>
      </c>
      <c r="F30" s="185">
        <v>-73423</v>
      </c>
      <c r="G30" s="184">
        <v>-420964</v>
      </c>
      <c r="H30" s="186">
        <f t="shared" si="1"/>
        <v>1267241</v>
      </c>
    </row>
    <row r="31" spans="1:8" ht="12.75" customHeight="1">
      <c r="A31" s="182" t="s">
        <v>75</v>
      </c>
      <c r="B31" s="183" t="s">
        <v>76</v>
      </c>
      <c r="C31" s="184">
        <v>116539</v>
      </c>
      <c r="D31" s="185">
        <v>-115700</v>
      </c>
      <c r="E31" s="185">
        <v>194761</v>
      </c>
      <c r="F31" s="185">
        <v>114437</v>
      </c>
      <c r="G31" s="184">
        <v>-265290</v>
      </c>
      <c r="H31" s="186">
        <f t="shared" si="1"/>
        <v>44747</v>
      </c>
    </row>
    <row r="32" spans="1:8" ht="12.75" customHeight="1">
      <c r="A32" s="183" t="s">
        <v>358</v>
      </c>
      <c r="C32" s="184">
        <v>0</v>
      </c>
    </row>
    <row r="33" spans="1:9" ht="12.75" customHeight="1">
      <c r="C33" s="184">
        <v>0</v>
      </c>
    </row>
    <row r="34" spans="1:9" ht="12.75" customHeight="1">
      <c r="A34" s="182">
        <v>1000002</v>
      </c>
      <c r="B34" s="183" t="s">
        <v>429</v>
      </c>
      <c r="C34" s="184">
        <v>-1</v>
      </c>
      <c r="D34" s="185">
        <v>0</v>
      </c>
      <c r="E34" s="185">
        <v>0</v>
      </c>
      <c r="F34" s="185">
        <v>0</v>
      </c>
      <c r="H34" s="186">
        <f>SUM(C34:G34)</f>
        <v>-1</v>
      </c>
    </row>
    <row r="35" spans="1:9" ht="12.75" customHeight="1">
      <c r="A35" s="182">
        <v>1100000</v>
      </c>
      <c r="B35" s="183" t="s">
        <v>430</v>
      </c>
      <c r="C35" s="184">
        <v>-19431219</v>
      </c>
      <c r="D35" s="185">
        <v>0</v>
      </c>
      <c r="E35" s="185">
        <v>0</v>
      </c>
      <c r="F35" s="185">
        <v>100000</v>
      </c>
      <c r="H35" s="186">
        <f>SUM(C35:G35)</f>
        <v>-19331219</v>
      </c>
    </row>
    <row r="36" spans="1:9" ht="12.75" customHeight="1">
      <c r="A36" s="182">
        <v>1160000</v>
      </c>
      <c r="B36" s="183" t="s">
        <v>94</v>
      </c>
      <c r="C36" s="184">
        <v>13633366</v>
      </c>
      <c r="D36" s="185">
        <v>0</v>
      </c>
      <c r="E36" s="185">
        <v>0</v>
      </c>
      <c r="F36" s="185">
        <v>0</v>
      </c>
      <c r="H36" s="186">
        <f>SUM(C36:G36)</f>
        <v>13633366</v>
      </c>
      <c r="I36" s="186"/>
    </row>
    <row r="37" spans="1:9" ht="12.75" customHeight="1">
      <c r="A37" s="182" t="s">
        <v>95</v>
      </c>
      <c r="B37" s="183" t="s">
        <v>96</v>
      </c>
      <c r="C37" s="184">
        <v>535000</v>
      </c>
      <c r="D37" s="185">
        <v>285500</v>
      </c>
      <c r="E37" s="185">
        <v>235000</v>
      </c>
      <c r="F37" s="185">
        <v>1510938</v>
      </c>
      <c r="G37" s="184">
        <v>1397717</v>
      </c>
      <c r="H37" s="186">
        <f>SUM(C37:G37)</f>
        <v>3964155</v>
      </c>
    </row>
    <row r="38" spans="1:9" ht="12.75" customHeight="1">
      <c r="A38" s="183" t="s">
        <v>359</v>
      </c>
      <c r="C38" s="184">
        <v>0</v>
      </c>
    </row>
    <row r="39" spans="1:9" ht="12.75" customHeight="1">
      <c r="C39" s="184">
        <v>0</v>
      </c>
    </row>
    <row r="40" spans="1:9" ht="12.75" customHeight="1">
      <c r="A40" s="182">
        <v>1930001</v>
      </c>
      <c r="B40" s="183" t="s">
        <v>104</v>
      </c>
      <c r="C40" s="184">
        <v>-130000000</v>
      </c>
      <c r="D40" s="185">
        <v>0</v>
      </c>
      <c r="E40" s="185">
        <v>0</v>
      </c>
      <c r="F40" s="185">
        <v>0</v>
      </c>
      <c r="H40" s="186">
        <f>SUM(C40:G40)</f>
        <v>-130000000</v>
      </c>
    </row>
    <row r="41" spans="1:9" ht="12.75" customHeight="1">
      <c r="A41" s="182" t="s">
        <v>107</v>
      </c>
      <c r="B41" s="183" t="s">
        <v>108</v>
      </c>
      <c r="C41" s="184">
        <v>9763205</v>
      </c>
      <c r="D41" s="185">
        <v>601184</v>
      </c>
      <c r="E41" s="185">
        <v>601184</v>
      </c>
      <c r="F41" s="185">
        <v>2258971</v>
      </c>
      <c r="G41" s="184">
        <v>3569138</v>
      </c>
      <c r="H41" s="186">
        <f>SUM(C41:G41)</f>
        <v>16793682</v>
      </c>
    </row>
    <row r="42" spans="1:9" ht="12.75" customHeight="1">
      <c r="A42" s="182" t="s">
        <v>109</v>
      </c>
      <c r="B42" s="183" t="s">
        <v>110</v>
      </c>
      <c r="C42" s="184">
        <v>0</v>
      </c>
      <c r="D42" s="185">
        <v>0</v>
      </c>
      <c r="E42" s="185">
        <v>0</v>
      </c>
      <c r="F42" s="185">
        <v>0</v>
      </c>
      <c r="H42" s="186">
        <f>SUM(C42:G42)</f>
        <v>0</v>
      </c>
    </row>
    <row r="43" spans="1:9" ht="12.75" customHeight="1">
      <c r="A43" s="183" t="s">
        <v>362</v>
      </c>
      <c r="C43" s="184">
        <v>0</v>
      </c>
    </row>
    <row r="44" spans="1:9" ht="12.75" customHeight="1">
      <c r="C44" s="184">
        <v>0</v>
      </c>
    </row>
    <row r="45" spans="1:9" ht="12.75" customHeight="1">
      <c r="A45" s="182" t="s">
        <v>121</v>
      </c>
      <c r="B45" s="183" t="s">
        <v>122</v>
      </c>
      <c r="C45" s="184">
        <v>-201674</v>
      </c>
      <c r="D45" s="185">
        <v>28193</v>
      </c>
      <c r="E45" s="185">
        <v>-55987</v>
      </c>
      <c r="F45" s="185">
        <v>17250</v>
      </c>
      <c r="G45" s="184">
        <v>900</v>
      </c>
      <c r="H45" s="186">
        <f>SUM(C45:G45)</f>
        <v>-211318</v>
      </c>
    </row>
    <row r="46" spans="1:9" ht="12.75" customHeight="1">
      <c r="A46" s="182" t="s">
        <v>123</v>
      </c>
      <c r="B46" s="183" t="s">
        <v>124</v>
      </c>
      <c r="C46" s="184">
        <v>0</v>
      </c>
      <c r="D46" s="185">
        <v>0</v>
      </c>
      <c r="E46" s="185">
        <v>0</v>
      </c>
      <c r="F46" s="185">
        <v>0</v>
      </c>
      <c r="H46" s="186">
        <f>SUM(C46:F46)</f>
        <v>0</v>
      </c>
    </row>
    <row r="47" spans="1:9" ht="12.75" customHeight="1">
      <c r="A47" s="183" t="s">
        <v>363</v>
      </c>
      <c r="C47" s="184">
        <v>0</v>
      </c>
    </row>
    <row r="48" spans="1:9" ht="12.75" customHeight="1">
      <c r="C48" s="184">
        <v>0</v>
      </c>
      <c r="H48" s="186">
        <f>SUM(C48:E48)</f>
        <v>0</v>
      </c>
    </row>
    <row r="49" spans="1:8" ht="12.75" customHeight="1">
      <c r="A49" s="182" t="s">
        <v>129</v>
      </c>
      <c r="B49" s="183" t="s">
        <v>130</v>
      </c>
      <c r="C49" s="184">
        <v>-3707</v>
      </c>
      <c r="D49" s="185">
        <v>-19</v>
      </c>
      <c r="E49" s="185">
        <v>-204</v>
      </c>
      <c r="F49" s="185">
        <v>17</v>
      </c>
      <c r="G49" s="184">
        <v>271</v>
      </c>
      <c r="H49" s="186">
        <f>SUM(C49:G49)</f>
        <v>-3642</v>
      </c>
    </row>
    <row r="50" spans="1:8" ht="12.75" customHeight="1">
      <c r="A50" s="182" t="s">
        <v>133</v>
      </c>
      <c r="B50" s="183" t="s">
        <v>134</v>
      </c>
      <c r="C50" s="184">
        <v>-363270</v>
      </c>
      <c r="D50" s="185">
        <v>-74792</v>
      </c>
      <c r="E50" s="185">
        <v>438062</v>
      </c>
      <c r="F50" s="185">
        <v>0</v>
      </c>
      <c r="G50" s="184">
        <v>0</v>
      </c>
      <c r="H50" s="186">
        <f>SUM(C50:G50)</f>
        <v>0</v>
      </c>
    </row>
    <row r="51" spans="1:8" ht="12.75" customHeight="1">
      <c r="A51" s="182" t="s">
        <v>137</v>
      </c>
      <c r="B51" s="183" t="s">
        <v>138</v>
      </c>
      <c r="C51" s="184">
        <v>189758</v>
      </c>
      <c r="D51" s="185">
        <v>-94878</v>
      </c>
      <c r="E51" s="185">
        <v>-94878</v>
      </c>
      <c r="F51" s="185">
        <v>0</v>
      </c>
      <c r="G51" s="184">
        <v>0</v>
      </c>
      <c r="H51" s="186">
        <f>SUM(C51:G51)</f>
        <v>2</v>
      </c>
    </row>
    <row r="52" spans="1:8" ht="12.75" customHeight="1">
      <c r="A52" s="183" t="s">
        <v>366</v>
      </c>
      <c r="C52" s="184">
        <v>0</v>
      </c>
    </row>
    <row r="53" spans="1:8" ht="12.75" customHeight="1">
      <c r="C53" s="184">
        <v>0</v>
      </c>
    </row>
    <row r="54" spans="1:8" ht="12.75" customHeight="1">
      <c r="A54" s="182" t="s">
        <v>141</v>
      </c>
      <c r="B54" s="183" t="s">
        <v>142</v>
      </c>
      <c r="C54" s="184">
        <v>-691871</v>
      </c>
      <c r="D54" s="185">
        <v>-8607</v>
      </c>
      <c r="E54" s="185">
        <v>-10299</v>
      </c>
      <c r="F54" s="185">
        <v>10687</v>
      </c>
      <c r="G54" s="184">
        <v>-8611</v>
      </c>
      <c r="H54" s="186">
        <f t="shared" ref="H54:H65" si="2">SUM(C54:G54)</f>
        <v>-708701</v>
      </c>
    </row>
    <row r="55" spans="1:8" ht="12.75" customHeight="1">
      <c r="A55" s="182">
        <v>2740500</v>
      </c>
      <c r="B55" s="183" t="s">
        <v>144</v>
      </c>
      <c r="C55" s="184">
        <v>-22500</v>
      </c>
      <c r="D55" s="185">
        <v>0</v>
      </c>
      <c r="E55" s="185">
        <v>0</v>
      </c>
      <c r="F55" s="185">
        <v>0</v>
      </c>
      <c r="H55" s="186">
        <f t="shared" si="2"/>
        <v>-22500</v>
      </c>
    </row>
    <row r="56" spans="1:8" ht="12.75" customHeight="1">
      <c r="A56" s="182" t="s">
        <v>145</v>
      </c>
      <c r="B56" s="183" t="s">
        <v>146</v>
      </c>
      <c r="C56" s="184">
        <v>0</v>
      </c>
      <c r="D56" s="185">
        <v>0</v>
      </c>
      <c r="E56" s="185">
        <v>0</v>
      </c>
      <c r="F56" s="185">
        <v>-457533</v>
      </c>
      <c r="G56" s="184">
        <v>457533</v>
      </c>
      <c r="H56" s="186">
        <f t="shared" si="2"/>
        <v>0</v>
      </c>
    </row>
    <row r="57" spans="1:8" ht="12.75" customHeight="1">
      <c r="A57" s="182" t="s">
        <v>367</v>
      </c>
      <c r="B57" s="183" t="s">
        <v>368</v>
      </c>
      <c r="C57" s="184">
        <v>31808</v>
      </c>
      <c r="D57" s="185">
        <v>-15903</v>
      </c>
      <c r="E57" s="185">
        <v>-15903</v>
      </c>
      <c r="F57" s="185">
        <v>0</v>
      </c>
      <c r="H57" s="186">
        <f t="shared" si="2"/>
        <v>2</v>
      </c>
    </row>
    <row r="58" spans="1:8" ht="12.75" customHeight="1">
      <c r="A58" s="182" t="s">
        <v>147</v>
      </c>
      <c r="B58" s="183" t="s">
        <v>148</v>
      </c>
      <c r="C58" s="184">
        <v>0</v>
      </c>
      <c r="D58" s="185">
        <v>0</v>
      </c>
      <c r="E58" s="185">
        <v>-29200</v>
      </c>
      <c r="F58" s="185">
        <v>0</v>
      </c>
      <c r="H58" s="186">
        <f t="shared" si="2"/>
        <v>-29200</v>
      </c>
    </row>
    <row r="59" spans="1:8" ht="12.75" customHeight="1">
      <c r="A59" s="182" t="s">
        <v>149</v>
      </c>
      <c r="B59" s="183" t="s">
        <v>150</v>
      </c>
      <c r="C59" s="184">
        <v>0</v>
      </c>
      <c r="D59" s="185">
        <v>0</v>
      </c>
      <c r="E59" s="185">
        <v>-2118</v>
      </c>
      <c r="F59" s="185">
        <v>0</v>
      </c>
      <c r="H59" s="186">
        <f t="shared" si="2"/>
        <v>-2118</v>
      </c>
    </row>
    <row r="60" spans="1:8" ht="12.75" customHeight="1">
      <c r="A60" s="182" t="s">
        <v>151</v>
      </c>
      <c r="B60" s="183" t="s">
        <v>152</v>
      </c>
      <c r="C60" s="184">
        <v>0</v>
      </c>
      <c r="D60" s="185">
        <v>0</v>
      </c>
      <c r="E60" s="185">
        <v>-1846</v>
      </c>
      <c r="F60" s="185">
        <v>0</v>
      </c>
      <c r="H60" s="186">
        <f t="shared" si="2"/>
        <v>-1846</v>
      </c>
    </row>
    <row r="61" spans="1:8" ht="12.75" customHeight="1">
      <c r="A61" s="182" t="s">
        <v>155</v>
      </c>
      <c r="B61" s="183" t="s">
        <v>156</v>
      </c>
      <c r="C61" s="184">
        <v>-79559</v>
      </c>
      <c r="D61" s="185">
        <v>38680</v>
      </c>
      <c r="E61" s="185">
        <v>61</v>
      </c>
      <c r="F61" s="185">
        <v>483</v>
      </c>
      <c r="G61" s="184">
        <v>119</v>
      </c>
      <c r="H61" s="186">
        <f t="shared" si="2"/>
        <v>-40216</v>
      </c>
    </row>
    <row r="62" spans="1:8" ht="12.75" customHeight="1">
      <c r="A62" s="182" t="s">
        <v>157</v>
      </c>
      <c r="B62" s="183" t="s">
        <v>158</v>
      </c>
      <c r="C62" s="184">
        <v>0</v>
      </c>
      <c r="D62" s="185">
        <v>0</v>
      </c>
      <c r="E62" s="185">
        <v>0</v>
      </c>
      <c r="F62" s="185">
        <v>0</v>
      </c>
      <c r="H62" s="186">
        <f t="shared" si="2"/>
        <v>0</v>
      </c>
    </row>
    <row r="63" spans="1:8" ht="12.75" customHeight="1">
      <c r="A63" s="182" t="s">
        <v>159</v>
      </c>
      <c r="B63" s="183" t="s">
        <v>160</v>
      </c>
      <c r="C63" s="184">
        <v>0</v>
      </c>
      <c r="D63" s="185">
        <v>20000</v>
      </c>
      <c r="F63" s="185">
        <v>0</v>
      </c>
      <c r="G63" s="184">
        <v>-40000</v>
      </c>
      <c r="H63" s="186">
        <f t="shared" si="2"/>
        <v>-20000</v>
      </c>
    </row>
    <row r="64" spans="1:8" ht="12.75" customHeight="1">
      <c r="A64" s="182" t="s">
        <v>161</v>
      </c>
      <c r="B64" s="183" t="s">
        <v>162</v>
      </c>
      <c r="C64" s="184">
        <v>163</v>
      </c>
      <c r="D64" s="185">
        <v>0</v>
      </c>
      <c r="E64" s="185">
        <v>-162</v>
      </c>
      <c r="F64" s="185">
        <v>851</v>
      </c>
      <c r="G64" s="184">
        <v>-16811</v>
      </c>
      <c r="H64" s="186">
        <f t="shared" si="2"/>
        <v>-15959</v>
      </c>
    </row>
    <row r="65" spans="1:9" ht="12.75" customHeight="1">
      <c r="A65" s="182" t="s">
        <v>163</v>
      </c>
      <c r="B65" s="183" t="s">
        <v>164</v>
      </c>
      <c r="C65" s="184">
        <v>-109418</v>
      </c>
      <c r="D65" s="185">
        <f>-20427-5</f>
        <v>-20432</v>
      </c>
      <c r="E65" s="185">
        <v>-17605</v>
      </c>
      <c r="F65" s="185">
        <v>-5561</v>
      </c>
      <c r="G65" s="184">
        <v>21998</v>
      </c>
      <c r="H65" s="186">
        <f t="shared" si="2"/>
        <v>-131018</v>
      </c>
      <c r="I65" s="186">
        <f>SUM(H4:H65)-'Management Cijfers - Q2 2025'!AA19</f>
        <v>1038930.7100000223</v>
      </c>
    </row>
    <row r="66" spans="1:9" ht="12.75" customHeight="1">
      <c r="A66" s="183" t="s">
        <v>369</v>
      </c>
      <c r="C66" s="184">
        <v>0</v>
      </c>
    </row>
    <row r="68" spans="1:9" ht="12.75" customHeight="1">
      <c r="G68" s="184">
        <f>G70*4</f>
        <v>-11332784</v>
      </c>
    </row>
    <row r="69" spans="1:9" ht="12.75" customHeight="1">
      <c r="A69" s="188" t="s">
        <v>370</v>
      </c>
      <c r="F69" s="192">
        <f>F72/F70-1</f>
        <v>-2.4278170052907999E-2</v>
      </c>
      <c r="G69" s="193">
        <f>G72/G70-1</f>
        <v>-2.5098863615507061E-2</v>
      </c>
    </row>
    <row r="70" spans="1:9" ht="12.75" customHeight="1">
      <c r="A70" s="182" t="s">
        <v>174</v>
      </c>
      <c r="B70" s="183" t="s">
        <v>175</v>
      </c>
      <c r="D70" s="185">
        <v>-2864512</v>
      </c>
      <c r="E70" s="185">
        <v>-2858133</v>
      </c>
      <c r="F70" s="185">
        <v>-2847208</v>
      </c>
      <c r="G70" s="184">
        <v>-2833196</v>
      </c>
      <c r="H70" s="196">
        <f t="shared" ref="H70:H115" si="3">SUM(C70:G70)</f>
        <v>-11403049</v>
      </c>
    </row>
    <row r="71" spans="1:9" ht="12.75" customHeight="1">
      <c r="A71" s="182" t="s">
        <v>176</v>
      </c>
      <c r="B71" s="183" t="s">
        <v>177</v>
      </c>
      <c r="D71" s="185">
        <v>66870</v>
      </c>
      <c r="E71" s="185">
        <v>63770</v>
      </c>
      <c r="F71" s="185">
        <v>69125</v>
      </c>
      <c r="G71" s="184">
        <v>71110</v>
      </c>
      <c r="H71" s="196">
        <f t="shared" si="3"/>
        <v>270875</v>
      </c>
    </row>
    <row r="72" spans="1:9" ht="12.75" customHeight="1">
      <c r="A72" s="183" t="s">
        <v>381</v>
      </c>
      <c r="D72" s="185">
        <f>SUM(D70:D71)</f>
        <v>-2797642</v>
      </c>
      <c r="E72" s="185">
        <f>SUM(E70:E71)</f>
        <v>-2794363</v>
      </c>
      <c r="F72" s="185">
        <f>SUM(F70:F71)</f>
        <v>-2778083</v>
      </c>
      <c r="G72" s="184">
        <f>SUM(G70:G71)</f>
        <v>-2762086</v>
      </c>
      <c r="H72" s="196">
        <f t="shared" si="3"/>
        <v>-11132174</v>
      </c>
      <c r="I72" s="186"/>
    </row>
    <row r="73" spans="1:9" ht="12.75" customHeight="1">
      <c r="H73" s="196"/>
    </row>
    <row r="74" spans="1:9" ht="12.75" customHeight="1">
      <c r="A74" s="182" t="s">
        <v>182</v>
      </c>
      <c r="B74" s="183" t="s">
        <v>183</v>
      </c>
      <c r="D74" s="185">
        <v>-173416</v>
      </c>
      <c r="E74" s="185">
        <v>-173087</v>
      </c>
      <c r="F74" s="185">
        <v>-172417</v>
      </c>
      <c r="G74" s="184">
        <v>-171527</v>
      </c>
      <c r="H74" s="196">
        <f t="shared" si="3"/>
        <v>-690447</v>
      </c>
    </row>
    <row r="75" spans="1:9" ht="12.75" customHeight="1">
      <c r="A75" s="182" t="s">
        <v>184</v>
      </c>
      <c r="B75" s="183" t="s">
        <v>185</v>
      </c>
      <c r="D75" s="185">
        <v>8357</v>
      </c>
      <c r="E75" s="185">
        <v>29682</v>
      </c>
      <c r="F75" s="185">
        <v>10767</v>
      </c>
      <c r="G75" s="184">
        <v>3357</v>
      </c>
      <c r="H75" s="196">
        <f t="shared" si="3"/>
        <v>52163</v>
      </c>
    </row>
    <row r="76" spans="1:9" ht="12.75" customHeight="1">
      <c r="A76" s="182" t="s">
        <v>186</v>
      </c>
      <c r="B76" s="183" t="s">
        <v>187</v>
      </c>
      <c r="D76" s="185">
        <v>162849</v>
      </c>
      <c r="E76" s="185">
        <v>121812</v>
      </c>
      <c r="F76" s="185">
        <v>133343</v>
      </c>
      <c r="G76" s="184">
        <v>284624</v>
      </c>
      <c r="H76" s="196">
        <f t="shared" si="3"/>
        <v>702628</v>
      </c>
    </row>
    <row r="77" spans="1:9" ht="12.75" customHeight="1">
      <c r="A77" s="183" t="s">
        <v>382</v>
      </c>
      <c r="D77" s="185">
        <f>SUM(D74:D76)</f>
        <v>-2210</v>
      </c>
      <c r="E77" s="185">
        <f>SUM(E74:E76)</f>
        <v>-21593</v>
      </c>
      <c r="F77" s="185">
        <f>SUM(F74:F76)</f>
        <v>-28307</v>
      </c>
      <c r="G77" s="184">
        <f>SUM(G74:G76)</f>
        <v>116454</v>
      </c>
      <c r="H77" s="196">
        <f t="shared" si="3"/>
        <v>64344</v>
      </c>
      <c r="I77" s="186"/>
    </row>
    <row r="78" spans="1:9" ht="12.75" customHeight="1">
      <c r="H78" s="197"/>
    </row>
    <row r="79" spans="1:9" ht="12.75" customHeight="1">
      <c r="A79" s="182" t="s">
        <v>198</v>
      </c>
      <c r="B79" s="183" t="s">
        <v>199</v>
      </c>
      <c r="D79" s="185">
        <v>121669</v>
      </c>
      <c r="E79" s="185">
        <v>121336</v>
      </c>
      <c r="F79" s="185">
        <v>120736</v>
      </c>
      <c r="G79" s="184">
        <v>120105</v>
      </c>
      <c r="H79" s="197">
        <f t="shared" si="3"/>
        <v>483846</v>
      </c>
    </row>
    <row r="80" spans="1:9" ht="12.75" customHeight="1">
      <c r="A80" s="183" t="s">
        <v>408</v>
      </c>
      <c r="D80" s="185">
        <f>SUM(D79)</f>
        <v>121669</v>
      </c>
      <c r="E80" s="185">
        <f>SUM(E79)</f>
        <v>121336</v>
      </c>
      <c r="F80" s="185">
        <f>SUM(F79)</f>
        <v>120736</v>
      </c>
      <c r="G80" s="184">
        <f>SUM(G79)</f>
        <v>120105</v>
      </c>
      <c r="H80" s="197">
        <f t="shared" si="3"/>
        <v>483846</v>
      </c>
      <c r="I80" s="186"/>
    </row>
    <row r="81" spans="1:10" ht="12.75" customHeight="1">
      <c r="H81" s="197"/>
    </row>
    <row r="82" spans="1:10" ht="12.75" customHeight="1">
      <c r="A82" s="182" t="s">
        <v>204</v>
      </c>
      <c r="B82" s="183" t="s">
        <v>205</v>
      </c>
      <c r="D82" s="185">
        <v>653662</v>
      </c>
      <c r="E82" s="185">
        <v>656408</v>
      </c>
      <c r="F82" s="185">
        <v>642938</v>
      </c>
      <c r="G82" s="198">
        <f>630199+I86</f>
        <v>783814.32000000007</v>
      </c>
      <c r="H82" s="197">
        <f t="shared" si="3"/>
        <v>2736822.3200000003</v>
      </c>
    </row>
    <row r="83" spans="1:10" ht="12.75" customHeight="1">
      <c r="A83" s="182" t="s">
        <v>206</v>
      </c>
      <c r="B83" s="183" t="s">
        <v>207</v>
      </c>
      <c r="D83" s="185">
        <v>-485647</v>
      </c>
      <c r="E83" s="185">
        <v>-1058583</v>
      </c>
      <c r="F83" s="185">
        <v>-1206433</v>
      </c>
      <c r="G83" s="184">
        <v>-531244</v>
      </c>
      <c r="H83" s="197">
        <f t="shared" si="3"/>
        <v>-3281907</v>
      </c>
    </row>
    <row r="84" spans="1:10" ht="12.75" customHeight="1">
      <c r="A84" s="183" t="s">
        <v>384</v>
      </c>
      <c r="D84" s="185">
        <f>SUM(D82:D83)</f>
        <v>168015</v>
      </c>
      <c r="E84" s="185">
        <f>SUM(E82:E83)</f>
        <v>-402175</v>
      </c>
      <c r="F84" s="185">
        <f>SUM(F82:F83)</f>
        <v>-563495</v>
      </c>
      <c r="G84" s="184">
        <f>SUM(G82:G83)</f>
        <v>252570.32000000007</v>
      </c>
      <c r="H84" s="197">
        <f t="shared" si="3"/>
        <v>-545084.67999999993</v>
      </c>
      <c r="I84" s="186"/>
    </row>
    <row r="86" spans="1:10" ht="12.75" customHeight="1">
      <c r="A86" s="182" t="s">
        <v>210</v>
      </c>
      <c r="B86" s="183" t="s">
        <v>211</v>
      </c>
      <c r="D86" s="185">
        <v>473207</v>
      </c>
      <c r="E86" s="185">
        <f>38004+J5</f>
        <v>578981</v>
      </c>
      <c r="F86" s="185">
        <v>491958</v>
      </c>
      <c r="G86" s="184">
        <f>609565-I86</f>
        <v>455949.68</v>
      </c>
      <c r="H86" s="197">
        <f t="shared" si="3"/>
        <v>2000095.68</v>
      </c>
      <c r="I86" s="200">
        <v>153615.32</v>
      </c>
      <c r="J86" s="187" t="s">
        <v>457</v>
      </c>
    </row>
    <row r="87" spans="1:10" ht="12.75" customHeight="1">
      <c r="A87" s="182" t="s">
        <v>212</v>
      </c>
      <c r="B87" s="183" t="s">
        <v>213</v>
      </c>
      <c r="D87" s="185">
        <v>526216</v>
      </c>
      <c r="E87" s="185">
        <v>0</v>
      </c>
      <c r="F87" s="185">
        <v>0</v>
      </c>
      <c r="H87" s="197">
        <f t="shared" si="3"/>
        <v>526216</v>
      </c>
    </row>
    <row r="88" spans="1:10" ht="12.75" customHeight="1">
      <c r="A88" s="182" t="s">
        <v>214</v>
      </c>
      <c r="B88" s="183" t="s">
        <v>215</v>
      </c>
      <c r="D88" s="185">
        <v>65301</v>
      </c>
      <c r="E88" s="185">
        <v>65007</v>
      </c>
      <c r="F88" s="185">
        <v>47171</v>
      </c>
      <c r="G88" s="198">
        <f>267546/4</f>
        <v>66886.5</v>
      </c>
      <c r="H88" s="197">
        <f t="shared" si="3"/>
        <v>244365.5</v>
      </c>
      <c r="I88" s="199">
        <f>G88*3</f>
        <v>200659.5</v>
      </c>
    </row>
    <row r="89" spans="1:10" ht="12.75" customHeight="1">
      <c r="A89" s="182" t="s">
        <v>216</v>
      </c>
      <c r="B89" s="183" t="s">
        <v>217</v>
      </c>
      <c r="D89" s="185">
        <v>143177</v>
      </c>
      <c r="E89" s="185">
        <v>5404</v>
      </c>
      <c r="F89" s="185">
        <v>96652</v>
      </c>
      <c r="G89" s="184">
        <v>197933</v>
      </c>
      <c r="H89" s="197">
        <f t="shared" si="3"/>
        <v>443166</v>
      </c>
    </row>
    <row r="90" spans="1:10" ht="12.75" customHeight="1">
      <c r="A90" s="182" t="s">
        <v>218</v>
      </c>
      <c r="B90" s="183" t="s">
        <v>219</v>
      </c>
      <c r="D90" s="185">
        <v>29292</v>
      </c>
      <c r="E90" s="185">
        <v>29292</v>
      </c>
      <c r="F90" s="185">
        <v>39392</v>
      </c>
      <c r="G90" s="198">
        <f>90134/4</f>
        <v>22533.5</v>
      </c>
      <c r="H90" s="197">
        <f t="shared" si="3"/>
        <v>120509.5</v>
      </c>
      <c r="I90" s="199">
        <f>G90*3</f>
        <v>67600.5</v>
      </c>
    </row>
    <row r="91" spans="1:10" ht="12.75" customHeight="1">
      <c r="A91" s="182" t="s">
        <v>220</v>
      </c>
      <c r="B91" s="183" t="s">
        <v>221</v>
      </c>
      <c r="D91" s="185">
        <v>18196</v>
      </c>
      <c r="E91" s="185">
        <v>1661</v>
      </c>
      <c r="F91" s="185">
        <v>250</v>
      </c>
      <c r="G91" s="198">
        <f>54928/4</f>
        <v>13732</v>
      </c>
      <c r="H91" s="197">
        <f t="shared" si="3"/>
        <v>33839</v>
      </c>
      <c r="I91" s="199">
        <f>G91*3</f>
        <v>41196</v>
      </c>
    </row>
    <row r="92" spans="1:10" ht="12.75" customHeight="1">
      <c r="A92" s="182" t="s">
        <v>385</v>
      </c>
      <c r="B92" s="183" t="s">
        <v>386</v>
      </c>
      <c r="D92" s="185">
        <v>10273</v>
      </c>
      <c r="E92" s="185">
        <v>18836</v>
      </c>
      <c r="F92" s="185">
        <v>-799</v>
      </c>
      <c r="G92" s="184">
        <v>-820</v>
      </c>
      <c r="H92" s="197">
        <f t="shared" si="3"/>
        <v>27490</v>
      </c>
    </row>
    <row r="93" spans="1:10" ht="12.75" customHeight="1">
      <c r="A93" s="182" t="s">
        <v>431</v>
      </c>
      <c r="B93" s="183" t="s">
        <v>412</v>
      </c>
      <c r="D93" s="185">
        <v>0</v>
      </c>
      <c r="E93" s="185">
        <v>2153</v>
      </c>
      <c r="F93" s="185">
        <v>0</v>
      </c>
      <c r="H93" s="197">
        <f t="shared" si="3"/>
        <v>2153</v>
      </c>
      <c r="I93" s="186"/>
    </row>
    <row r="94" spans="1:10" ht="12.75" customHeight="1">
      <c r="A94" s="183" t="s">
        <v>387</v>
      </c>
      <c r="D94" s="185">
        <f>SUM(D86:D93)</f>
        <v>1265662</v>
      </c>
      <c r="E94" s="185">
        <f>SUM(E86:E93)</f>
        <v>701334</v>
      </c>
      <c r="F94" s="185">
        <f>SUM(F86:F93)</f>
        <v>674624</v>
      </c>
      <c r="G94" s="184">
        <f>SUM(G86:G93)</f>
        <v>756214.67999999993</v>
      </c>
      <c r="H94" s="186">
        <f t="shared" si="3"/>
        <v>3397834.6799999997</v>
      </c>
    </row>
    <row r="96" spans="1:10" ht="12.75" customHeight="1">
      <c r="A96" s="182" t="s">
        <v>432</v>
      </c>
      <c r="B96" s="183" t="s">
        <v>433</v>
      </c>
      <c r="D96" s="185">
        <v>4200</v>
      </c>
      <c r="E96" s="185">
        <v>0</v>
      </c>
      <c r="F96" s="185">
        <v>0</v>
      </c>
      <c r="H96" s="197">
        <f t="shared" si="3"/>
        <v>4200</v>
      </c>
    </row>
    <row r="97" spans="1:9" ht="12.75" customHeight="1">
      <c r="A97" s="182" t="s">
        <v>434</v>
      </c>
      <c r="B97" s="183" t="s">
        <v>413</v>
      </c>
      <c r="D97" s="185">
        <v>0</v>
      </c>
      <c r="E97" s="185">
        <v>-8960</v>
      </c>
      <c r="F97" s="185">
        <v>0</v>
      </c>
      <c r="H97" s="197">
        <f t="shared" si="3"/>
        <v>-8960</v>
      </c>
    </row>
    <row r="98" spans="1:9" ht="12.75" customHeight="1">
      <c r="A98" s="182" t="s">
        <v>226</v>
      </c>
      <c r="B98" s="183" t="s">
        <v>227</v>
      </c>
      <c r="D98" s="185">
        <v>2282</v>
      </c>
      <c r="E98" s="185">
        <v>28608</v>
      </c>
      <c r="F98" s="185">
        <v>-164</v>
      </c>
      <c r="G98" s="184">
        <v>1941</v>
      </c>
      <c r="H98" s="197">
        <f t="shared" si="3"/>
        <v>32667</v>
      </c>
    </row>
    <row r="99" spans="1:9" ht="12.75" customHeight="1">
      <c r="A99" s="183" t="s">
        <v>388</v>
      </c>
      <c r="D99" s="185">
        <f>SUM(D96:D98)</f>
        <v>6482</v>
      </c>
      <c r="E99" s="185">
        <f>SUM(E96:E98)</f>
        <v>19648</v>
      </c>
      <c r="F99" s="185">
        <f>SUM(F96:F98)</f>
        <v>-164</v>
      </c>
      <c r="G99" s="184">
        <f>SUM(G96:G98)</f>
        <v>1941</v>
      </c>
      <c r="H99" s="197">
        <f t="shared" si="3"/>
        <v>27907</v>
      </c>
    </row>
    <row r="100" spans="1:9" ht="12.75" customHeight="1">
      <c r="H100" s="197"/>
    </row>
    <row r="101" spans="1:9" ht="12.75" customHeight="1">
      <c r="A101" s="182" t="s">
        <v>230</v>
      </c>
      <c r="B101" s="183" t="s">
        <v>231</v>
      </c>
      <c r="D101" s="185">
        <v>0</v>
      </c>
      <c r="E101" s="185">
        <v>-590</v>
      </c>
      <c r="F101" s="185">
        <v>0</v>
      </c>
      <c r="H101" s="197">
        <f t="shared" si="3"/>
        <v>-590</v>
      </c>
    </row>
    <row r="102" spans="1:9" ht="12.75" customHeight="1">
      <c r="A102" s="183" t="s">
        <v>389</v>
      </c>
      <c r="D102" s="185">
        <f>SUM(D101)</f>
        <v>0</v>
      </c>
      <c r="E102" s="185">
        <f>SUM(E101)</f>
        <v>-590</v>
      </c>
      <c r="F102" s="185">
        <f>SUM(F101)</f>
        <v>0</v>
      </c>
      <c r="G102" s="184">
        <f>SUM(G101)</f>
        <v>0</v>
      </c>
      <c r="H102" s="197">
        <f t="shared" si="3"/>
        <v>-590</v>
      </c>
    </row>
    <row r="104" spans="1:9" ht="12.75" customHeight="1">
      <c r="A104" s="182" t="s">
        <v>435</v>
      </c>
      <c r="B104" s="183" t="s">
        <v>414</v>
      </c>
      <c r="D104" s="185">
        <v>0</v>
      </c>
      <c r="E104" s="185">
        <v>0</v>
      </c>
      <c r="F104" s="185">
        <v>4406</v>
      </c>
      <c r="H104" s="197">
        <f t="shared" si="3"/>
        <v>4406</v>
      </c>
    </row>
    <row r="105" spans="1:9" ht="12.75" customHeight="1">
      <c r="A105" s="182" t="s">
        <v>234</v>
      </c>
      <c r="B105" s="183" t="s">
        <v>235</v>
      </c>
      <c r="D105" s="185">
        <v>28072</v>
      </c>
      <c r="E105" s="185">
        <v>13908</v>
      </c>
      <c r="F105" s="185">
        <v>321</v>
      </c>
      <c r="G105" s="198">
        <f>103920/4</f>
        <v>25980</v>
      </c>
      <c r="H105" s="197">
        <f t="shared" si="3"/>
        <v>68281</v>
      </c>
      <c r="I105" s="199">
        <f>G105*3</f>
        <v>77940</v>
      </c>
    </row>
    <row r="106" spans="1:9" ht="12.75" customHeight="1">
      <c r="A106" s="182" t="s">
        <v>236</v>
      </c>
      <c r="B106" s="183" t="s">
        <v>237</v>
      </c>
      <c r="D106" s="185">
        <v>5445</v>
      </c>
      <c r="E106" s="185">
        <v>5445</v>
      </c>
      <c r="F106" s="185">
        <v>5445</v>
      </c>
      <c r="G106" s="184">
        <v>5445</v>
      </c>
      <c r="H106" s="197">
        <f t="shared" si="3"/>
        <v>21780</v>
      </c>
      <c r="I106" s="186"/>
    </row>
    <row r="107" spans="1:9" ht="12.75" customHeight="1">
      <c r="A107" s="182" t="s">
        <v>238</v>
      </c>
      <c r="B107" s="183" t="s">
        <v>239</v>
      </c>
      <c r="D107" s="185">
        <v>16927</v>
      </c>
      <c r="E107" s="185">
        <v>21556</v>
      </c>
      <c r="F107" s="185">
        <v>6339</v>
      </c>
      <c r="G107" s="184">
        <v>44292</v>
      </c>
      <c r="H107" s="197">
        <f t="shared" si="3"/>
        <v>89114</v>
      </c>
      <c r="I107" s="186"/>
    </row>
    <row r="108" spans="1:9" ht="12.75" customHeight="1">
      <c r="A108" s="182" t="s">
        <v>240</v>
      </c>
      <c r="B108" s="183" t="s">
        <v>241</v>
      </c>
      <c r="D108" s="185">
        <v>0</v>
      </c>
      <c r="E108" s="185">
        <v>1491</v>
      </c>
      <c r="F108" s="185">
        <v>1210</v>
      </c>
      <c r="H108" s="197">
        <f t="shared" si="3"/>
        <v>2701</v>
      </c>
    </row>
    <row r="109" spans="1:9" ht="12.75" customHeight="1">
      <c r="A109" s="182" t="s">
        <v>242</v>
      </c>
      <c r="B109" s="183" t="s">
        <v>243</v>
      </c>
      <c r="D109" s="185">
        <v>39079</v>
      </c>
      <c r="E109" s="185">
        <v>54700</v>
      </c>
      <c r="F109" s="185">
        <v>66525</v>
      </c>
      <c r="G109" s="184">
        <v>57342</v>
      </c>
      <c r="H109" s="197">
        <f t="shared" si="3"/>
        <v>217646</v>
      </c>
      <c r="I109" s="186"/>
    </row>
    <row r="110" spans="1:9" ht="12.75" customHeight="1">
      <c r="A110" s="182" t="s">
        <v>244</v>
      </c>
      <c r="B110" s="183" t="s">
        <v>245</v>
      </c>
      <c r="D110" s="185">
        <v>37004</v>
      </c>
      <c r="E110" s="185">
        <v>8809</v>
      </c>
      <c r="F110" s="185">
        <v>4569</v>
      </c>
      <c r="G110" s="184">
        <v>3745</v>
      </c>
      <c r="H110" s="197">
        <f t="shared" si="3"/>
        <v>54127</v>
      </c>
      <c r="I110" s="186"/>
    </row>
    <row r="111" spans="1:9" ht="12.75" customHeight="1">
      <c r="A111" s="182" t="s">
        <v>246</v>
      </c>
      <c r="B111" s="183" t="s">
        <v>247</v>
      </c>
      <c r="D111" s="185">
        <v>0</v>
      </c>
      <c r="E111" s="185">
        <v>0</v>
      </c>
      <c r="F111" s="185">
        <v>0</v>
      </c>
      <c r="H111" s="197">
        <f t="shared" si="3"/>
        <v>0</v>
      </c>
    </row>
    <row r="112" spans="1:9" ht="12.75" customHeight="1">
      <c r="A112" s="182" t="s">
        <v>248</v>
      </c>
      <c r="B112" s="183" t="s">
        <v>249</v>
      </c>
      <c r="D112" s="185">
        <v>1391</v>
      </c>
      <c r="E112" s="185">
        <v>1317</v>
      </c>
      <c r="F112" s="185">
        <v>1219</v>
      </c>
      <c r="G112" s="184">
        <v>1230</v>
      </c>
      <c r="H112" s="197">
        <f t="shared" si="3"/>
        <v>5157</v>
      </c>
    </row>
    <row r="113" spans="1:9" ht="12.75" customHeight="1">
      <c r="A113" s="182" t="s">
        <v>436</v>
      </c>
      <c r="B113" s="183" t="s">
        <v>437</v>
      </c>
      <c r="D113" s="185">
        <v>20000</v>
      </c>
      <c r="E113" s="185">
        <v>0</v>
      </c>
      <c r="F113" s="185">
        <v>0</v>
      </c>
      <c r="G113" s="198">
        <f>40000/2</f>
        <v>20000</v>
      </c>
      <c r="H113" s="197">
        <f t="shared" si="3"/>
        <v>40000</v>
      </c>
      <c r="I113" s="200">
        <f>G113</f>
        <v>20000</v>
      </c>
    </row>
    <row r="114" spans="1:9" ht="12.75" customHeight="1">
      <c r="A114" s="182" t="s">
        <v>250</v>
      </c>
      <c r="B114" s="183" t="s">
        <v>251</v>
      </c>
      <c r="D114" s="185">
        <v>1210</v>
      </c>
      <c r="E114" s="190">
        <v>-2209</v>
      </c>
      <c r="F114" s="194">
        <v>0</v>
      </c>
      <c r="G114" s="184">
        <v>28793</v>
      </c>
      <c r="H114" s="197">
        <f t="shared" si="3"/>
        <v>27794</v>
      </c>
    </row>
    <row r="115" spans="1:9" ht="12.75" customHeight="1">
      <c r="A115" s="183" t="s">
        <v>391</v>
      </c>
      <c r="D115" s="185">
        <f>SUM(D104:D114)+2</f>
        <v>149130</v>
      </c>
      <c r="E115" s="185">
        <f>SUM(E104:E114)</f>
        <v>105017</v>
      </c>
      <c r="F115" s="185">
        <f>SUM(F104:F114)</f>
        <v>90034</v>
      </c>
      <c r="G115" s="184">
        <f>SUM(G104:G114)</f>
        <v>186827</v>
      </c>
      <c r="H115" s="186">
        <f t="shared" si="3"/>
        <v>531008</v>
      </c>
    </row>
    <row r="117" spans="1:9" ht="12.75" customHeight="1">
      <c r="A117" s="182" t="s">
        <v>258</v>
      </c>
      <c r="B117" s="183" t="s">
        <v>259</v>
      </c>
      <c r="D117" s="185">
        <v>0</v>
      </c>
      <c r="E117" s="185">
        <v>0</v>
      </c>
      <c r="H117" s="186">
        <f>SUM(C117:F117)</f>
        <v>0</v>
      </c>
    </row>
    <row r="118" spans="1:9" ht="12.75" customHeight="1">
      <c r="A118" s="182" t="s">
        <v>260</v>
      </c>
      <c r="B118" s="183" t="s">
        <v>261</v>
      </c>
      <c r="D118" s="185">
        <v>486625</v>
      </c>
      <c r="E118" s="185">
        <v>473890</v>
      </c>
      <c r="F118" s="185">
        <v>457533</v>
      </c>
      <c r="G118" s="184">
        <v>450998</v>
      </c>
      <c r="H118" s="197">
        <f>SUM(C118:G118)</f>
        <v>1869046</v>
      </c>
      <c r="I118" s="186"/>
    </row>
    <row r="119" spans="1:9" ht="12.75" customHeight="1">
      <c r="A119" s="182" t="s">
        <v>262</v>
      </c>
      <c r="B119" s="183" t="s">
        <v>263</v>
      </c>
      <c r="D119" s="185">
        <v>0</v>
      </c>
      <c r="E119" s="185">
        <v>0</v>
      </c>
      <c r="F119" s="185">
        <v>0</v>
      </c>
      <c r="G119" s="184">
        <v>0</v>
      </c>
      <c r="H119" s="197">
        <f>SUM(C119:G119)</f>
        <v>0</v>
      </c>
    </row>
    <row r="120" spans="1:9" ht="12.75" customHeight="1">
      <c r="A120" s="182">
        <v>4630000</v>
      </c>
      <c r="B120" s="183" t="s">
        <v>265</v>
      </c>
      <c r="D120" s="185">
        <v>0</v>
      </c>
      <c r="E120" s="185">
        <v>7750</v>
      </c>
      <c r="F120" s="185">
        <v>0</v>
      </c>
      <c r="G120" s="184">
        <v>0</v>
      </c>
      <c r="H120" s="197">
        <f>SUM(C120:G120)</f>
        <v>7750</v>
      </c>
    </row>
    <row r="121" spans="1:9" ht="12.75" customHeight="1">
      <c r="A121" s="182" t="s">
        <v>266</v>
      </c>
      <c r="B121" s="183" t="s">
        <v>267</v>
      </c>
      <c r="D121" s="185">
        <v>111640</v>
      </c>
      <c r="E121" s="185">
        <v>108560</v>
      </c>
      <c r="F121" s="185">
        <v>106683</v>
      </c>
      <c r="G121" s="184">
        <v>105985</v>
      </c>
      <c r="H121" s="197">
        <f>SUM(C121:G121)</f>
        <v>432868</v>
      </c>
    </row>
    <row r="122" spans="1:9" ht="12.75" customHeight="1">
      <c r="A122" s="182" t="s">
        <v>393</v>
      </c>
      <c r="D122" s="185">
        <f>SUM(D117:D121)</f>
        <v>598265</v>
      </c>
      <c r="E122" s="185">
        <f>SUM(E117:E121)</f>
        <v>590200</v>
      </c>
      <c r="F122" s="185">
        <f>SUM(F117:F121)</f>
        <v>564216</v>
      </c>
      <c r="G122" s="184">
        <f>SUM(G117:G121)</f>
        <v>556983</v>
      </c>
      <c r="H122" s="186">
        <f>SUM(C122:G122)</f>
        <v>2309664</v>
      </c>
    </row>
    <row r="124" spans="1:9" ht="12.75" customHeight="1">
      <c r="A124" s="182">
        <v>9500000</v>
      </c>
      <c r="B124" s="183" t="s">
        <v>456</v>
      </c>
      <c r="E124" s="185">
        <v>1827377</v>
      </c>
    </row>
    <row r="125" spans="1:9" ht="12.75" customHeight="1">
      <c r="A125" s="182" t="s">
        <v>272</v>
      </c>
      <c r="B125" s="183" t="s">
        <v>273</v>
      </c>
      <c r="D125" s="185">
        <v>-153794</v>
      </c>
      <c r="E125" s="185">
        <v>278091</v>
      </c>
      <c r="F125" s="185">
        <v>293081</v>
      </c>
      <c r="G125" s="184">
        <v>-524916</v>
      </c>
      <c r="H125" s="186">
        <f>SUM(C125:G125)</f>
        <v>-107538</v>
      </c>
      <c r="I125" s="186"/>
    </row>
    <row r="126" spans="1:9" ht="12.75" customHeight="1">
      <c r="A126" s="182">
        <v>9500100</v>
      </c>
      <c r="B126" s="183" t="s">
        <v>438</v>
      </c>
      <c r="D126" s="185">
        <v>0</v>
      </c>
      <c r="E126" s="185">
        <v>-154348</v>
      </c>
      <c r="G126" s="184">
        <v>0</v>
      </c>
      <c r="H126" s="186">
        <f>SUM(C126:G126)</f>
        <v>-154348</v>
      </c>
    </row>
    <row r="127" spans="1:9" ht="12.75" customHeight="1">
      <c r="A127" s="182" t="s">
        <v>439</v>
      </c>
      <c r="D127" s="185">
        <f>SUM(D125:D126)</f>
        <v>-153794</v>
      </c>
      <c r="E127" s="185">
        <f>SUM(E124:E126)</f>
        <v>1951120</v>
      </c>
      <c r="F127" s="185">
        <f>SUM(F125:F126)</f>
        <v>293081</v>
      </c>
      <c r="G127" s="184">
        <f>SUM(G125:G126)</f>
        <v>-524916</v>
      </c>
      <c r="H127" s="186">
        <f>SUM(C127:G127)</f>
        <v>1565491</v>
      </c>
    </row>
    <row r="128" spans="1:9" ht="12.75" customHeight="1">
      <c r="H128" s="186">
        <f>SUM(C128:E128)</f>
        <v>0</v>
      </c>
    </row>
    <row r="129" spans="1:10" ht="12.75" customHeight="1">
      <c r="A129" s="183" t="s">
        <v>440</v>
      </c>
      <c r="D129" s="185">
        <f>D72+D77+D80+D84+D94+D99+D102+D115+D122+D127</f>
        <v>-644423</v>
      </c>
      <c r="E129" s="185">
        <f>E72+E77+E80+E84+E94+E99+E102+E115+E122+E127</f>
        <v>269934</v>
      </c>
      <c r="F129" s="185">
        <f>F72+F77+F80+F84+F94+F99+F102+F115+F122+F127</f>
        <v>-1627358</v>
      </c>
      <c r="G129" s="184">
        <f>G72+G77+G80+G84+G94+G99+G102+G115+G122+G127</f>
        <v>-1295906.9999999998</v>
      </c>
      <c r="H129" s="184">
        <f>H72+H77+H80+H84+H94+H99+H102+H115+H122+H127</f>
        <v>-3297754</v>
      </c>
      <c r="I129" s="186"/>
      <c r="J129" s="186"/>
    </row>
    <row r="131" spans="1:10" ht="12.75" customHeight="1">
      <c r="C131" s="195"/>
      <c r="D131" s="187">
        <f>SUM(D4:D66)+D129</f>
        <v>0</v>
      </c>
      <c r="E131" s="187">
        <f>SUM(E4:E66)+E129</f>
        <v>0</v>
      </c>
      <c r="F131" s="187">
        <f>SUM(F4:F66)+F129</f>
        <v>0</v>
      </c>
      <c r="G131" s="195">
        <f>SUM(G4:G66)+G129</f>
        <v>0</v>
      </c>
      <c r="H131" s="187">
        <f>SUM(H4:H66)+H129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F0E7-DE2C-4CEC-BA3B-F75B5B7D53E5}">
  <dimension ref="A1:J138"/>
  <sheetViews>
    <sheetView topLeftCell="A3" zoomScale="70" zoomScaleNormal="70" workbookViewId="0">
      <selection activeCell="H50" sqref="H50"/>
    </sheetView>
  </sheetViews>
  <sheetFormatPr defaultRowHeight="14.4"/>
  <cols>
    <col min="1" max="1" width="20" style="119" bestFit="1" customWidth="1"/>
    <col min="2" max="2" width="66.33203125" style="117" bestFit="1" customWidth="1"/>
    <col min="3" max="5" width="21.33203125" style="185" customWidth="1"/>
    <col min="6" max="7" width="21.33203125" style="184" customWidth="1"/>
    <col min="8" max="8" width="17.33203125" style="160" bestFit="1" customWidth="1"/>
    <col min="9" max="9" width="11.109375" style="117" customWidth="1"/>
    <col min="10" max="10" width="21.33203125" style="187" customWidth="1"/>
    <col min="11" max="256" width="8.88671875" style="117"/>
    <col min="257" max="257" width="20" style="117" bestFit="1" customWidth="1"/>
    <col min="258" max="258" width="66.33203125" style="117" bestFit="1" customWidth="1"/>
    <col min="259" max="263" width="21.33203125" style="117" customWidth="1"/>
    <col min="264" max="264" width="17.33203125" style="117" bestFit="1" customWidth="1"/>
    <col min="265" max="265" width="11.109375" style="117" customWidth="1"/>
    <col min="266" max="266" width="21.33203125" style="117" customWidth="1"/>
    <col min="267" max="512" width="8.88671875" style="117"/>
    <col min="513" max="513" width="20" style="117" bestFit="1" customWidth="1"/>
    <col min="514" max="514" width="66.33203125" style="117" bestFit="1" customWidth="1"/>
    <col min="515" max="519" width="21.33203125" style="117" customWidth="1"/>
    <col min="520" max="520" width="17.33203125" style="117" bestFit="1" customWidth="1"/>
    <col min="521" max="521" width="11.109375" style="117" customWidth="1"/>
    <col min="522" max="522" width="21.33203125" style="117" customWidth="1"/>
    <col min="523" max="768" width="8.88671875" style="117"/>
    <col min="769" max="769" width="20" style="117" bestFit="1" customWidth="1"/>
    <col min="770" max="770" width="66.33203125" style="117" bestFit="1" customWidth="1"/>
    <col min="771" max="775" width="21.33203125" style="117" customWidth="1"/>
    <col min="776" max="776" width="17.33203125" style="117" bestFit="1" customWidth="1"/>
    <col min="777" max="777" width="11.109375" style="117" customWidth="1"/>
    <col min="778" max="778" width="21.33203125" style="117" customWidth="1"/>
    <col min="779" max="1024" width="8.88671875" style="117"/>
    <col min="1025" max="1025" width="20" style="117" bestFit="1" customWidth="1"/>
    <col min="1026" max="1026" width="66.33203125" style="117" bestFit="1" customWidth="1"/>
    <col min="1027" max="1031" width="21.33203125" style="117" customWidth="1"/>
    <col min="1032" max="1032" width="17.33203125" style="117" bestFit="1" customWidth="1"/>
    <col min="1033" max="1033" width="11.109375" style="117" customWidth="1"/>
    <col min="1034" max="1034" width="21.33203125" style="117" customWidth="1"/>
    <col min="1035" max="1280" width="8.88671875" style="117"/>
    <col min="1281" max="1281" width="20" style="117" bestFit="1" customWidth="1"/>
    <col min="1282" max="1282" width="66.33203125" style="117" bestFit="1" customWidth="1"/>
    <col min="1283" max="1287" width="21.33203125" style="117" customWidth="1"/>
    <col min="1288" max="1288" width="17.33203125" style="117" bestFit="1" customWidth="1"/>
    <col min="1289" max="1289" width="11.109375" style="117" customWidth="1"/>
    <col min="1290" max="1290" width="21.33203125" style="117" customWidth="1"/>
    <col min="1291" max="1536" width="8.88671875" style="117"/>
    <col min="1537" max="1537" width="20" style="117" bestFit="1" customWidth="1"/>
    <col min="1538" max="1538" width="66.33203125" style="117" bestFit="1" customWidth="1"/>
    <col min="1539" max="1543" width="21.33203125" style="117" customWidth="1"/>
    <col min="1544" max="1544" width="17.33203125" style="117" bestFit="1" customWidth="1"/>
    <col min="1545" max="1545" width="11.109375" style="117" customWidth="1"/>
    <col min="1546" max="1546" width="21.33203125" style="117" customWidth="1"/>
    <col min="1547" max="1792" width="8.88671875" style="117"/>
    <col min="1793" max="1793" width="20" style="117" bestFit="1" customWidth="1"/>
    <col min="1794" max="1794" width="66.33203125" style="117" bestFit="1" customWidth="1"/>
    <col min="1795" max="1799" width="21.33203125" style="117" customWidth="1"/>
    <col min="1800" max="1800" width="17.33203125" style="117" bestFit="1" customWidth="1"/>
    <col min="1801" max="1801" width="11.109375" style="117" customWidth="1"/>
    <col min="1802" max="1802" width="21.33203125" style="117" customWidth="1"/>
    <col min="1803" max="2048" width="8.88671875" style="117"/>
    <col min="2049" max="2049" width="20" style="117" bestFit="1" customWidth="1"/>
    <col min="2050" max="2050" width="66.33203125" style="117" bestFit="1" customWidth="1"/>
    <col min="2051" max="2055" width="21.33203125" style="117" customWidth="1"/>
    <col min="2056" max="2056" width="17.33203125" style="117" bestFit="1" customWidth="1"/>
    <col min="2057" max="2057" width="11.109375" style="117" customWidth="1"/>
    <col min="2058" max="2058" width="21.33203125" style="117" customWidth="1"/>
    <col min="2059" max="2304" width="8.88671875" style="117"/>
    <col min="2305" max="2305" width="20" style="117" bestFit="1" customWidth="1"/>
    <col min="2306" max="2306" width="66.33203125" style="117" bestFit="1" customWidth="1"/>
    <col min="2307" max="2311" width="21.33203125" style="117" customWidth="1"/>
    <col min="2312" max="2312" width="17.33203125" style="117" bestFit="1" customWidth="1"/>
    <col min="2313" max="2313" width="11.109375" style="117" customWidth="1"/>
    <col min="2314" max="2314" width="21.33203125" style="117" customWidth="1"/>
    <col min="2315" max="2560" width="8.88671875" style="117"/>
    <col min="2561" max="2561" width="20" style="117" bestFit="1" customWidth="1"/>
    <col min="2562" max="2562" width="66.33203125" style="117" bestFit="1" customWidth="1"/>
    <col min="2563" max="2567" width="21.33203125" style="117" customWidth="1"/>
    <col min="2568" max="2568" width="17.33203125" style="117" bestFit="1" customWidth="1"/>
    <col min="2569" max="2569" width="11.109375" style="117" customWidth="1"/>
    <col min="2570" max="2570" width="21.33203125" style="117" customWidth="1"/>
    <col min="2571" max="2816" width="8.88671875" style="117"/>
    <col min="2817" max="2817" width="20" style="117" bestFit="1" customWidth="1"/>
    <col min="2818" max="2818" width="66.33203125" style="117" bestFit="1" customWidth="1"/>
    <col min="2819" max="2823" width="21.33203125" style="117" customWidth="1"/>
    <col min="2824" max="2824" width="17.33203125" style="117" bestFit="1" customWidth="1"/>
    <col min="2825" max="2825" width="11.109375" style="117" customWidth="1"/>
    <col min="2826" max="2826" width="21.33203125" style="117" customWidth="1"/>
    <col min="2827" max="3072" width="8.88671875" style="117"/>
    <col min="3073" max="3073" width="20" style="117" bestFit="1" customWidth="1"/>
    <col min="3074" max="3074" width="66.33203125" style="117" bestFit="1" customWidth="1"/>
    <col min="3075" max="3079" width="21.33203125" style="117" customWidth="1"/>
    <col min="3080" max="3080" width="17.33203125" style="117" bestFit="1" customWidth="1"/>
    <col min="3081" max="3081" width="11.109375" style="117" customWidth="1"/>
    <col min="3082" max="3082" width="21.33203125" style="117" customWidth="1"/>
    <col min="3083" max="3328" width="8.88671875" style="117"/>
    <col min="3329" max="3329" width="20" style="117" bestFit="1" customWidth="1"/>
    <col min="3330" max="3330" width="66.33203125" style="117" bestFit="1" customWidth="1"/>
    <col min="3331" max="3335" width="21.33203125" style="117" customWidth="1"/>
    <col min="3336" max="3336" width="17.33203125" style="117" bestFit="1" customWidth="1"/>
    <col min="3337" max="3337" width="11.109375" style="117" customWidth="1"/>
    <col min="3338" max="3338" width="21.33203125" style="117" customWidth="1"/>
    <col min="3339" max="3584" width="8.88671875" style="117"/>
    <col min="3585" max="3585" width="20" style="117" bestFit="1" customWidth="1"/>
    <col min="3586" max="3586" width="66.33203125" style="117" bestFit="1" customWidth="1"/>
    <col min="3587" max="3591" width="21.33203125" style="117" customWidth="1"/>
    <col min="3592" max="3592" width="17.33203125" style="117" bestFit="1" customWidth="1"/>
    <col min="3593" max="3593" width="11.109375" style="117" customWidth="1"/>
    <col min="3594" max="3594" width="21.33203125" style="117" customWidth="1"/>
    <col min="3595" max="3840" width="8.88671875" style="117"/>
    <col min="3841" max="3841" width="20" style="117" bestFit="1" customWidth="1"/>
    <col min="3842" max="3842" width="66.33203125" style="117" bestFit="1" customWidth="1"/>
    <col min="3843" max="3847" width="21.33203125" style="117" customWidth="1"/>
    <col min="3848" max="3848" width="17.33203125" style="117" bestFit="1" customWidth="1"/>
    <col min="3849" max="3849" width="11.109375" style="117" customWidth="1"/>
    <col min="3850" max="3850" width="21.33203125" style="117" customWidth="1"/>
    <col min="3851" max="4096" width="8.88671875" style="117"/>
    <col min="4097" max="4097" width="20" style="117" bestFit="1" customWidth="1"/>
    <col min="4098" max="4098" width="66.33203125" style="117" bestFit="1" customWidth="1"/>
    <col min="4099" max="4103" width="21.33203125" style="117" customWidth="1"/>
    <col min="4104" max="4104" width="17.33203125" style="117" bestFit="1" customWidth="1"/>
    <col min="4105" max="4105" width="11.109375" style="117" customWidth="1"/>
    <col min="4106" max="4106" width="21.33203125" style="117" customWidth="1"/>
    <col min="4107" max="4352" width="8.88671875" style="117"/>
    <col min="4353" max="4353" width="20" style="117" bestFit="1" customWidth="1"/>
    <col min="4354" max="4354" width="66.33203125" style="117" bestFit="1" customWidth="1"/>
    <col min="4355" max="4359" width="21.33203125" style="117" customWidth="1"/>
    <col min="4360" max="4360" width="17.33203125" style="117" bestFit="1" customWidth="1"/>
    <col min="4361" max="4361" width="11.109375" style="117" customWidth="1"/>
    <col min="4362" max="4362" width="21.33203125" style="117" customWidth="1"/>
    <col min="4363" max="4608" width="8.88671875" style="117"/>
    <col min="4609" max="4609" width="20" style="117" bestFit="1" customWidth="1"/>
    <col min="4610" max="4610" width="66.33203125" style="117" bestFit="1" customWidth="1"/>
    <col min="4611" max="4615" width="21.33203125" style="117" customWidth="1"/>
    <col min="4616" max="4616" width="17.33203125" style="117" bestFit="1" customWidth="1"/>
    <col min="4617" max="4617" width="11.109375" style="117" customWidth="1"/>
    <col min="4618" max="4618" width="21.33203125" style="117" customWidth="1"/>
    <col min="4619" max="4864" width="8.88671875" style="117"/>
    <col min="4865" max="4865" width="20" style="117" bestFit="1" customWidth="1"/>
    <col min="4866" max="4866" width="66.33203125" style="117" bestFit="1" customWidth="1"/>
    <col min="4867" max="4871" width="21.33203125" style="117" customWidth="1"/>
    <col min="4872" max="4872" width="17.33203125" style="117" bestFit="1" customWidth="1"/>
    <col min="4873" max="4873" width="11.109375" style="117" customWidth="1"/>
    <col min="4874" max="4874" width="21.33203125" style="117" customWidth="1"/>
    <col min="4875" max="5120" width="8.88671875" style="117"/>
    <col min="5121" max="5121" width="20" style="117" bestFit="1" customWidth="1"/>
    <col min="5122" max="5122" width="66.33203125" style="117" bestFit="1" customWidth="1"/>
    <col min="5123" max="5127" width="21.33203125" style="117" customWidth="1"/>
    <col min="5128" max="5128" width="17.33203125" style="117" bestFit="1" customWidth="1"/>
    <col min="5129" max="5129" width="11.109375" style="117" customWidth="1"/>
    <col min="5130" max="5130" width="21.33203125" style="117" customWidth="1"/>
    <col min="5131" max="5376" width="8.88671875" style="117"/>
    <col min="5377" max="5377" width="20" style="117" bestFit="1" customWidth="1"/>
    <col min="5378" max="5378" width="66.33203125" style="117" bestFit="1" customWidth="1"/>
    <col min="5379" max="5383" width="21.33203125" style="117" customWidth="1"/>
    <col min="5384" max="5384" width="17.33203125" style="117" bestFit="1" customWidth="1"/>
    <col min="5385" max="5385" width="11.109375" style="117" customWidth="1"/>
    <col min="5386" max="5386" width="21.33203125" style="117" customWidth="1"/>
    <col min="5387" max="5632" width="8.88671875" style="117"/>
    <col min="5633" max="5633" width="20" style="117" bestFit="1" customWidth="1"/>
    <col min="5634" max="5634" width="66.33203125" style="117" bestFit="1" customWidth="1"/>
    <col min="5635" max="5639" width="21.33203125" style="117" customWidth="1"/>
    <col min="5640" max="5640" width="17.33203125" style="117" bestFit="1" customWidth="1"/>
    <col min="5641" max="5641" width="11.109375" style="117" customWidth="1"/>
    <col min="5642" max="5642" width="21.33203125" style="117" customWidth="1"/>
    <col min="5643" max="5888" width="8.88671875" style="117"/>
    <col min="5889" max="5889" width="20" style="117" bestFit="1" customWidth="1"/>
    <col min="5890" max="5890" width="66.33203125" style="117" bestFit="1" customWidth="1"/>
    <col min="5891" max="5895" width="21.33203125" style="117" customWidth="1"/>
    <col min="5896" max="5896" width="17.33203125" style="117" bestFit="1" customWidth="1"/>
    <col min="5897" max="5897" width="11.109375" style="117" customWidth="1"/>
    <col min="5898" max="5898" width="21.33203125" style="117" customWidth="1"/>
    <col min="5899" max="6144" width="8.88671875" style="117"/>
    <col min="6145" max="6145" width="20" style="117" bestFit="1" customWidth="1"/>
    <col min="6146" max="6146" width="66.33203125" style="117" bestFit="1" customWidth="1"/>
    <col min="6147" max="6151" width="21.33203125" style="117" customWidth="1"/>
    <col min="6152" max="6152" width="17.33203125" style="117" bestFit="1" customWidth="1"/>
    <col min="6153" max="6153" width="11.109375" style="117" customWidth="1"/>
    <col min="6154" max="6154" width="21.33203125" style="117" customWidth="1"/>
    <col min="6155" max="6400" width="8.88671875" style="117"/>
    <col min="6401" max="6401" width="20" style="117" bestFit="1" customWidth="1"/>
    <col min="6402" max="6402" width="66.33203125" style="117" bestFit="1" customWidth="1"/>
    <col min="6403" max="6407" width="21.33203125" style="117" customWidth="1"/>
    <col min="6408" max="6408" width="17.33203125" style="117" bestFit="1" customWidth="1"/>
    <col min="6409" max="6409" width="11.109375" style="117" customWidth="1"/>
    <col min="6410" max="6410" width="21.33203125" style="117" customWidth="1"/>
    <col min="6411" max="6656" width="8.88671875" style="117"/>
    <col min="6657" max="6657" width="20" style="117" bestFit="1" customWidth="1"/>
    <col min="6658" max="6658" width="66.33203125" style="117" bestFit="1" customWidth="1"/>
    <col min="6659" max="6663" width="21.33203125" style="117" customWidth="1"/>
    <col min="6664" max="6664" width="17.33203125" style="117" bestFit="1" customWidth="1"/>
    <col min="6665" max="6665" width="11.109375" style="117" customWidth="1"/>
    <col min="6666" max="6666" width="21.33203125" style="117" customWidth="1"/>
    <col min="6667" max="6912" width="8.88671875" style="117"/>
    <col min="6913" max="6913" width="20" style="117" bestFit="1" customWidth="1"/>
    <col min="6914" max="6914" width="66.33203125" style="117" bestFit="1" customWidth="1"/>
    <col min="6915" max="6919" width="21.33203125" style="117" customWidth="1"/>
    <col min="6920" max="6920" width="17.33203125" style="117" bestFit="1" customWidth="1"/>
    <col min="6921" max="6921" width="11.109375" style="117" customWidth="1"/>
    <col min="6922" max="6922" width="21.33203125" style="117" customWidth="1"/>
    <col min="6923" max="7168" width="8.88671875" style="117"/>
    <col min="7169" max="7169" width="20" style="117" bestFit="1" customWidth="1"/>
    <col min="7170" max="7170" width="66.33203125" style="117" bestFit="1" customWidth="1"/>
    <col min="7171" max="7175" width="21.33203125" style="117" customWidth="1"/>
    <col min="7176" max="7176" width="17.33203125" style="117" bestFit="1" customWidth="1"/>
    <col min="7177" max="7177" width="11.109375" style="117" customWidth="1"/>
    <col min="7178" max="7178" width="21.33203125" style="117" customWidth="1"/>
    <col min="7179" max="7424" width="8.88671875" style="117"/>
    <col min="7425" max="7425" width="20" style="117" bestFit="1" customWidth="1"/>
    <col min="7426" max="7426" width="66.33203125" style="117" bestFit="1" customWidth="1"/>
    <col min="7427" max="7431" width="21.33203125" style="117" customWidth="1"/>
    <col min="7432" max="7432" width="17.33203125" style="117" bestFit="1" customWidth="1"/>
    <col min="7433" max="7433" width="11.109375" style="117" customWidth="1"/>
    <col min="7434" max="7434" width="21.33203125" style="117" customWidth="1"/>
    <col min="7435" max="7680" width="8.88671875" style="117"/>
    <col min="7681" max="7681" width="20" style="117" bestFit="1" customWidth="1"/>
    <col min="7682" max="7682" width="66.33203125" style="117" bestFit="1" customWidth="1"/>
    <col min="7683" max="7687" width="21.33203125" style="117" customWidth="1"/>
    <col min="7688" max="7688" width="17.33203125" style="117" bestFit="1" customWidth="1"/>
    <col min="7689" max="7689" width="11.109375" style="117" customWidth="1"/>
    <col min="7690" max="7690" width="21.33203125" style="117" customWidth="1"/>
    <col min="7691" max="7936" width="8.88671875" style="117"/>
    <col min="7937" max="7937" width="20" style="117" bestFit="1" customWidth="1"/>
    <col min="7938" max="7938" width="66.33203125" style="117" bestFit="1" customWidth="1"/>
    <col min="7939" max="7943" width="21.33203125" style="117" customWidth="1"/>
    <col min="7944" max="7944" width="17.33203125" style="117" bestFit="1" customWidth="1"/>
    <col min="7945" max="7945" width="11.109375" style="117" customWidth="1"/>
    <col min="7946" max="7946" width="21.33203125" style="117" customWidth="1"/>
    <col min="7947" max="8192" width="8.88671875" style="117"/>
    <col min="8193" max="8193" width="20" style="117" bestFit="1" customWidth="1"/>
    <col min="8194" max="8194" width="66.33203125" style="117" bestFit="1" customWidth="1"/>
    <col min="8195" max="8199" width="21.33203125" style="117" customWidth="1"/>
    <col min="8200" max="8200" width="17.33203125" style="117" bestFit="1" customWidth="1"/>
    <col min="8201" max="8201" width="11.109375" style="117" customWidth="1"/>
    <col min="8202" max="8202" width="21.33203125" style="117" customWidth="1"/>
    <col min="8203" max="8448" width="8.88671875" style="117"/>
    <col min="8449" max="8449" width="20" style="117" bestFit="1" customWidth="1"/>
    <col min="8450" max="8450" width="66.33203125" style="117" bestFit="1" customWidth="1"/>
    <col min="8451" max="8455" width="21.33203125" style="117" customWidth="1"/>
    <col min="8456" max="8456" width="17.33203125" style="117" bestFit="1" customWidth="1"/>
    <col min="8457" max="8457" width="11.109375" style="117" customWidth="1"/>
    <col min="8458" max="8458" width="21.33203125" style="117" customWidth="1"/>
    <col min="8459" max="8704" width="8.88671875" style="117"/>
    <col min="8705" max="8705" width="20" style="117" bestFit="1" customWidth="1"/>
    <col min="8706" max="8706" width="66.33203125" style="117" bestFit="1" customWidth="1"/>
    <col min="8707" max="8711" width="21.33203125" style="117" customWidth="1"/>
    <col min="8712" max="8712" width="17.33203125" style="117" bestFit="1" customWidth="1"/>
    <col min="8713" max="8713" width="11.109375" style="117" customWidth="1"/>
    <col min="8714" max="8714" width="21.33203125" style="117" customWidth="1"/>
    <col min="8715" max="8960" width="8.88671875" style="117"/>
    <col min="8961" max="8961" width="20" style="117" bestFit="1" customWidth="1"/>
    <col min="8962" max="8962" width="66.33203125" style="117" bestFit="1" customWidth="1"/>
    <col min="8963" max="8967" width="21.33203125" style="117" customWidth="1"/>
    <col min="8968" max="8968" width="17.33203125" style="117" bestFit="1" customWidth="1"/>
    <col min="8969" max="8969" width="11.109375" style="117" customWidth="1"/>
    <col min="8970" max="8970" width="21.33203125" style="117" customWidth="1"/>
    <col min="8971" max="9216" width="8.88671875" style="117"/>
    <col min="9217" max="9217" width="20" style="117" bestFit="1" customWidth="1"/>
    <col min="9218" max="9218" width="66.33203125" style="117" bestFit="1" customWidth="1"/>
    <col min="9219" max="9223" width="21.33203125" style="117" customWidth="1"/>
    <col min="9224" max="9224" width="17.33203125" style="117" bestFit="1" customWidth="1"/>
    <col min="9225" max="9225" width="11.109375" style="117" customWidth="1"/>
    <col min="9226" max="9226" width="21.33203125" style="117" customWidth="1"/>
    <col min="9227" max="9472" width="8.88671875" style="117"/>
    <col min="9473" max="9473" width="20" style="117" bestFit="1" customWidth="1"/>
    <col min="9474" max="9474" width="66.33203125" style="117" bestFit="1" customWidth="1"/>
    <col min="9475" max="9479" width="21.33203125" style="117" customWidth="1"/>
    <col min="9480" max="9480" width="17.33203125" style="117" bestFit="1" customWidth="1"/>
    <col min="9481" max="9481" width="11.109375" style="117" customWidth="1"/>
    <col min="9482" max="9482" width="21.33203125" style="117" customWidth="1"/>
    <col min="9483" max="9728" width="8.88671875" style="117"/>
    <col min="9729" max="9729" width="20" style="117" bestFit="1" customWidth="1"/>
    <col min="9730" max="9730" width="66.33203125" style="117" bestFit="1" customWidth="1"/>
    <col min="9731" max="9735" width="21.33203125" style="117" customWidth="1"/>
    <col min="9736" max="9736" width="17.33203125" style="117" bestFit="1" customWidth="1"/>
    <col min="9737" max="9737" width="11.109375" style="117" customWidth="1"/>
    <col min="9738" max="9738" width="21.33203125" style="117" customWidth="1"/>
    <col min="9739" max="9984" width="8.88671875" style="117"/>
    <col min="9985" max="9985" width="20" style="117" bestFit="1" customWidth="1"/>
    <col min="9986" max="9986" width="66.33203125" style="117" bestFit="1" customWidth="1"/>
    <col min="9987" max="9991" width="21.33203125" style="117" customWidth="1"/>
    <col min="9992" max="9992" width="17.33203125" style="117" bestFit="1" customWidth="1"/>
    <col min="9993" max="9993" width="11.109375" style="117" customWidth="1"/>
    <col min="9994" max="9994" width="21.33203125" style="117" customWidth="1"/>
    <col min="9995" max="10240" width="8.88671875" style="117"/>
    <col min="10241" max="10241" width="20" style="117" bestFit="1" customWidth="1"/>
    <col min="10242" max="10242" width="66.33203125" style="117" bestFit="1" customWidth="1"/>
    <col min="10243" max="10247" width="21.33203125" style="117" customWidth="1"/>
    <col min="10248" max="10248" width="17.33203125" style="117" bestFit="1" customWidth="1"/>
    <col min="10249" max="10249" width="11.109375" style="117" customWidth="1"/>
    <col min="10250" max="10250" width="21.33203125" style="117" customWidth="1"/>
    <col min="10251" max="10496" width="8.88671875" style="117"/>
    <col min="10497" max="10497" width="20" style="117" bestFit="1" customWidth="1"/>
    <col min="10498" max="10498" width="66.33203125" style="117" bestFit="1" customWidth="1"/>
    <col min="10499" max="10503" width="21.33203125" style="117" customWidth="1"/>
    <col min="10504" max="10504" width="17.33203125" style="117" bestFit="1" customWidth="1"/>
    <col min="10505" max="10505" width="11.109375" style="117" customWidth="1"/>
    <col min="10506" max="10506" width="21.33203125" style="117" customWidth="1"/>
    <col min="10507" max="10752" width="8.88671875" style="117"/>
    <col min="10753" max="10753" width="20" style="117" bestFit="1" customWidth="1"/>
    <col min="10754" max="10754" width="66.33203125" style="117" bestFit="1" customWidth="1"/>
    <col min="10755" max="10759" width="21.33203125" style="117" customWidth="1"/>
    <col min="10760" max="10760" width="17.33203125" style="117" bestFit="1" customWidth="1"/>
    <col min="10761" max="10761" width="11.109375" style="117" customWidth="1"/>
    <col min="10762" max="10762" width="21.33203125" style="117" customWidth="1"/>
    <col min="10763" max="11008" width="8.88671875" style="117"/>
    <col min="11009" max="11009" width="20" style="117" bestFit="1" customWidth="1"/>
    <col min="11010" max="11010" width="66.33203125" style="117" bestFit="1" customWidth="1"/>
    <col min="11011" max="11015" width="21.33203125" style="117" customWidth="1"/>
    <col min="11016" max="11016" width="17.33203125" style="117" bestFit="1" customWidth="1"/>
    <col min="11017" max="11017" width="11.109375" style="117" customWidth="1"/>
    <col min="11018" max="11018" width="21.33203125" style="117" customWidth="1"/>
    <col min="11019" max="11264" width="8.88671875" style="117"/>
    <col min="11265" max="11265" width="20" style="117" bestFit="1" customWidth="1"/>
    <col min="11266" max="11266" width="66.33203125" style="117" bestFit="1" customWidth="1"/>
    <col min="11267" max="11271" width="21.33203125" style="117" customWidth="1"/>
    <col min="11272" max="11272" width="17.33203125" style="117" bestFit="1" customWidth="1"/>
    <col min="11273" max="11273" width="11.109375" style="117" customWidth="1"/>
    <col min="11274" max="11274" width="21.33203125" style="117" customWidth="1"/>
    <col min="11275" max="11520" width="8.88671875" style="117"/>
    <col min="11521" max="11521" width="20" style="117" bestFit="1" customWidth="1"/>
    <col min="11522" max="11522" width="66.33203125" style="117" bestFit="1" customWidth="1"/>
    <col min="11523" max="11527" width="21.33203125" style="117" customWidth="1"/>
    <col min="11528" max="11528" width="17.33203125" style="117" bestFit="1" customWidth="1"/>
    <col min="11529" max="11529" width="11.109375" style="117" customWidth="1"/>
    <col min="11530" max="11530" width="21.33203125" style="117" customWidth="1"/>
    <col min="11531" max="11776" width="8.88671875" style="117"/>
    <col min="11777" max="11777" width="20" style="117" bestFit="1" customWidth="1"/>
    <col min="11778" max="11778" width="66.33203125" style="117" bestFit="1" customWidth="1"/>
    <col min="11779" max="11783" width="21.33203125" style="117" customWidth="1"/>
    <col min="11784" max="11784" width="17.33203125" style="117" bestFit="1" customWidth="1"/>
    <col min="11785" max="11785" width="11.109375" style="117" customWidth="1"/>
    <col min="11786" max="11786" width="21.33203125" style="117" customWidth="1"/>
    <col min="11787" max="12032" width="8.88671875" style="117"/>
    <col min="12033" max="12033" width="20" style="117" bestFit="1" customWidth="1"/>
    <col min="12034" max="12034" width="66.33203125" style="117" bestFit="1" customWidth="1"/>
    <col min="12035" max="12039" width="21.33203125" style="117" customWidth="1"/>
    <col min="12040" max="12040" width="17.33203125" style="117" bestFit="1" customWidth="1"/>
    <col min="12041" max="12041" width="11.109375" style="117" customWidth="1"/>
    <col min="12042" max="12042" width="21.33203125" style="117" customWidth="1"/>
    <col min="12043" max="12288" width="8.88671875" style="117"/>
    <col min="12289" max="12289" width="20" style="117" bestFit="1" customWidth="1"/>
    <col min="12290" max="12290" width="66.33203125" style="117" bestFit="1" customWidth="1"/>
    <col min="12291" max="12295" width="21.33203125" style="117" customWidth="1"/>
    <col min="12296" max="12296" width="17.33203125" style="117" bestFit="1" customWidth="1"/>
    <col min="12297" max="12297" width="11.109375" style="117" customWidth="1"/>
    <col min="12298" max="12298" width="21.33203125" style="117" customWidth="1"/>
    <col min="12299" max="12544" width="8.88671875" style="117"/>
    <col min="12545" max="12545" width="20" style="117" bestFit="1" customWidth="1"/>
    <col min="12546" max="12546" width="66.33203125" style="117" bestFit="1" customWidth="1"/>
    <col min="12547" max="12551" width="21.33203125" style="117" customWidth="1"/>
    <col min="12552" max="12552" width="17.33203125" style="117" bestFit="1" customWidth="1"/>
    <col min="12553" max="12553" width="11.109375" style="117" customWidth="1"/>
    <col min="12554" max="12554" width="21.33203125" style="117" customWidth="1"/>
    <col min="12555" max="12800" width="8.88671875" style="117"/>
    <col min="12801" max="12801" width="20" style="117" bestFit="1" customWidth="1"/>
    <col min="12802" max="12802" width="66.33203125" style="117" bestFit="1" customWidth="1"/>
    <col min="12803" max="12807" width="21.33203125" style="117" customWidth="1"/>
    <col min="12808" max="12808" width="17.33203125" style="117" bestFit="1" customWidth="1"/>
    <col min="12809" max="12809" width="11.109375" style="117" customWidth="1"/>
    <col min="12810" max="12810" width="21.33203125" style="117" customWidth="1"/>
    <col min="12811" max="13056" width="8.88671875" style="117"/>
    <col min="13057" max="13057" width="20" style="117" bestFit="1" customWidth="1"/>
    <col min="13058" max="13058" width="66.33203125" style="117" bestFit="1" customWidth="1"/>
    <col min="13059" max="13063" width="21.33203125" style="117" customWidth="1"/>
    <col min="13064" max="13064" width="17.33203125" style="117" bestFit="1" customWidth="1"/>
    <col min="13065" max="13065" width="11.109375" style="117" customWidth="1"/>
    <col min="13066" max="13066" width="21.33203125" style="117" customWidth="1"/>
    <col min="13067" max="13312" width="8.88671875" style="117"/>
    <col min="13313" max="13313" width="20" style="117" bestFit="1" customWidth="1"/>
    <col min="13314" max="13314" width="66.33203125" style="117" bestFit="1" customWidth="1"/>
    <col min="13315" max="13319" width="21.33203125" style="117" customWidth="1"/>
    <col min="13320" max="13320" width="17.33203125" style="117" bestFit="1" customWidth="1"/>
    <col min="13321" max="13321" width="11.109375" style="117" customWidth="1"/>
    <col min="13322" max="13322" width="21.33203125" style="117" customWidth="1"/>
    <col min="13323" max="13568" width="8.88671875" style="117"/>
    <col min="13569" max="13569" width="20" style="117" bestFit="1" customWidth="1"/>
    <col min="13570" max="13570" width="66.33203125" style="117" bestFit="1" customWidth="1"/>
    <col min="13571" max="13575" width="21.33203125" style="117" customWidth="1"/>
    <col min="13576" max="13576" width="17.33203125" style="117" bestFit="1" customWidth="1"/>
    <col min="13577" max="13577" width="11.109375" style="117" customWidth="1"/>
    <col min="13578" max="13578" width="21.33203125" style="117" customWidth="1"/>
    <col min="13579" max="13824" width="8.88671875" style="117"/>
    <col min="13825" max="13825" width="20" style="117" bestFit="1" customWidth="1"/>
    <col min="13826" max="13826" width="66.33203125" style="117" bestFit="1" customWidth="1"/>
    <col min="13827" max="13831" width="21.33203125" style="117" customWidth="1"/>
    <col min="13832" max="13832" width="17.33203125" style="117" bestFit="1" customWidth="1"/>
    <col min="13833" max="13833" width="11.109375" style="117" customWidth="1"/>
    <col min="13834" max="13834" width="21.33203125" style="117" customWidth="1"/>
    <col min="13835" max="14080" width="8.88671875" style="117"/>
    <col min="14081" max="14081" width="20" style="117" bestFit="1" customWidth="1"/>
    <col min="14082" max="14082" width="66.33203125" style="117" bestFit="1" customWidth="1"/>
    <col min="14083" max="14087" width="21.33203125" style="117" customWidth="1"/>
    <col min="14088" max="14088" width="17.33203125" style="117" bestFit="1" customWidth="1"/>
    <col min="14089" max="14089" width="11.109375" style="117" customWidth="1"/>
    <col min="14090" max="14090" width="21.33203125" style="117" customWidth="1"/>
    <col min="14091" max="14336" width="8.88671875" style="117"/>
    <col min="14337" max="14337" width="20" style="117" bestFit="1" customWidth="1"/>
    <col min="14338" max="14338" width="66.33203125" style="117" bestFit="1" customWidth="1"/>
    <col min="14339" max="14343" width="21.33203125" style="117" customWidth="1"/>
    <col min="14344" max="14344" width="17.33203125" style="117" bestFit="1" customWidth="1"/>
    <col min="14345" max="14345" width="11.109375" style="117" customWidth="1"/>
    <col min="14346" max="14346" width="21.33203125" style="117" customWidth="1"/>
    <col min="14347" max="14592" width="8.88671875" style="117"/>
    <col min="14593" max="14593" width="20" style="117" bestFit="1" customWidth="1"/>
    <col min="14594" max="14594" width="66.33203125" style="117" bestFit="1" customWidth="1"/>
    <col min="14595" max="14599" width="21.33203125" style="117" customWidth="1"/>
    <col min="14600" max="14600" width="17.33203125" style="117" bestFit="1" customWidth="1"/>
    <col min="14601" max="14601" width="11.109375" style="117" customWidth="1"/>
    <col min="14602" max="14602" width="21.33203125" style="117" customWidth="1"/>
    <col min="14603" max="14848" width="8.88671875" style="117"/>
    <col min="14849" max="14849" width="20" style="117" bestFit="1" customWidth="1"/>
    <col min="14850" max="14850" width="66.33203125" style="117" bestFit="1" customWidth="1"/>
    <col min="14851" max="14855" width="21.33203125" style="117" customWidth="1"/>
    <col min="14856" max="14856" width="17.33203125" style="117" bestFit="1" customWidth="1"/>
    <col min="14857" max="14857" width="11.109375" style="117" customWidth="1"/>
    <col min="14858" max="14858" width="21.33203125" style="117" customWidth="1"/>
    <col min="14859" max="15104" width="8.88671875" style="117"/>
    <col min="15105" max="15105" width="20" style="117" bestFit="1" customWidth="1"/>
    <col min="15106" max="15106" width="66.33203125" style="117" bestFit="1" customWidth="1"/>
    <col min="15107" max="15111" width="21.33203125" style="117" customWidth="1"/>
    <col min="15112" max="15112" width="17.33203125" style="117" bestFit="1" customWidth="1"/>
    <col min="15113" max="15113" width="11.109375" style="117" customWidth="1"/>
    <col min="15114" max="15114" width="21.33203125" style="117" customWidth="1"/>
    <col min="15115" max="15360" width="8.88671875" style="117"/>
    <col min="15361" max="15361" width="20" style="117" bestFit="1" customWidth="1"/>
    <col min="15362" max="15362" width="66.33203125" style="117" bestFit="1" customWidth="1"/>
    <col min="15363" max="15367" width="21.33203125" style="117" customWidth="1"/>
    <col min="15368" max="15368" width="17.33203125" style="117" bestFit="1" customWidth="1"/>
    <col min="15369" max="15369" width="11.109375" style="117" customWidth="1"/>
    <col min="15370" max="15370" width="21.33203125" style="117" customWidth="1"/>
    <col min="15371" max="15616" width="8.88671875" style="117"/>
    <col min="15617" max="15617" width="20" style="117" bestFit="1" customWidth="1"/>
    <col min="15618" max="15618" width="66.33203125" style="117" bestFit="1" customWidth="1"/>
    <col min="15619" max="15623" width="21.33203125" style="117" customWidth="1"/>
    <col min="15624" max="15624" width="17.33203125" style="117" bestFit="1" customWidth="1"/>
    <col min="15625" max="15625" width="11.109375" style="117" customWidth="1"/>
    <col min="15626" max="15626" width="21.33203125" style="117" customWidth="1"/>
    <col min="15627" max="15872" width="8.88671875" style="117"/>
    <col min="15873" max="15873" width="20" style="117" bestFit="1" customWidth="1"/>
    <col min="15874" max="15874" width="66.33203125" style="117" bestFit="1" customWidth="1"/>
    <col min="15875" max="15879" width="21.33203125" style="117" customWidth="1"/>
    <col min="15880" max="15880" width="17.33203125" style="117" bestFit="1" customWidth="1"/>
    <col min="15881" max="15881" width="11.109375" style="117" customWidth="1"/>
    <col min="15882" max="15882" width="21.33203125" style="117" customWidth="1"/>
    <col min="15883" max="16128" width="8.88671875" style="117"/>
    <col min="16129" max="16129" width="20" style="117" bestFit="1" customWidth="1"/>
    <col min="16130" max="16130" width="66.33203125" style="117" bestFit="1" customWidth="1"/>
    <col min="16131" max="16135" width="21.33203125" style="117" customWidth="1"/>
    <col min="16136" max="16136" width="17.33203125" style="117" bestFit="1" customWidth="1"/>
    <col min="16137" max="16137" width="11.109375" style="117" customWidth="1"/>
    <col min="16138" max="16138" width="21.33203125" style="117" customWidth="1"/>
    <col min="16139" max="16384" width="8.88671875" style="117"/>
  </cols>
  <sheetData>
    <row r="1" spans="1:9" ht="12.75" customHeight="1">
      <c r="C1" s="185" t="s">
        <v>459</v>
      </c>
      <c r="D1" s="185" t="s">
        <v>445</v>
      </c>
      <c r="E1" s="185" t="s">
        <v>449</v>
      </c>
      <c r="F1" s="184" t="s">
        <v>454</v>
      </c>
      <c r="G1" s="208" t="s">
        <v>460</v>
      </c>
      <c r="H1" s="160" t="s">
        <v>461</v>
      </c>
    </row>
    <row r="2" spans="1:9" ht="12.75" customHeight="1"/>
    <row r="3" spans="1:9" ht="12.75" customHeight="1">
      <c r="A3" s="118" t="s">
        <v>16</v>
      </c>
    </row>
    <row r="4" spans="1:9" ht="12.75" customHeight="1">
      <c r="A4" s="119">
        <v>1600200</v>
      </c>
      <c r="B4" s="117" t="s">
        <v>22</v>
      </c>
      <c r="C4" s="185">
        <v>132670468</v>
      </c>
      <c r="D4" s="198"/>
      <c r="E4" s="185">
        <v>-3658477</v>
      </c>
      <c r="F4" s="198">
        <v>153567</v>
      </c>
      <c r="H4" s="160">
        <f>SUM(C4:G4)</f>
        <v>129165558</v>
      </c>
      <c r="I4" s="120" t="s">
        <v>464</v>
      </c>
    </row>
    <row r="5" spans="1:9" ht="12.75" customHeight="1">
      <c r="A5" s="119" t="s">
        <v>23</v>
      </c>
      <c r="B5" s="117" t="s">
        <v>24</v>
      </c>
      <c r="C5" s="185">
        <v>-9920585</v>
      </c>
      <c r="D5" s="185">
        <v>-656408</v>
      </c>
      <c r="E5" s="185">
        <v>-380013</v>
      </c>
      <c r="F5" s="184">
        <f>-630199</f>
        <v>-630199</v>
      </c>
      <c r="G5" s="184">
        <v>-653151</v>
      </c>
      <c r="H5" s="160">
        <f>SUM(C5:G5)</f>
        <v>-12240356</v>
      </c>
      <c r="I5" s="117" t="s">
        <v>464</v>
      </c>
    </row>
    <row r="6" spans="1:9" ht="12.75" customHeight="1">
      <c r="A6" s="119" t="s">
        <v>25</v>
      </c>
      <c r="B6" s="117" t="s">
        <v>26</v>
      </c>
      <c r="C6" s="185">
        <v>-2215390</v>
      </c>
      <c r="D6" s="190">
        <v>-1443087</v>
      </c>
      <c r="E6" s="190">
        <v>2472387</v>
      </c>
      <c r="F6" s="191">
        <v>-841866</v>
      </c>
      <c r="G6" s="191">
        <v>-947310</v>
      </c>
      <c r="H6" s="160">
        <f>SUM(C6:G6)</f>
        <v>-2975266</v>
      </c>
      <c r="I6" s="117" t="s">
        <v>464</v>
      </c>
    </row>
    <row r="7" spans="1:9" ht="12.75" customHeight="1">
      <c r="A7" s="119" t="s">
        <v>427</v>
      </c>
      <c r="B7" s="117" t="s">
        <v>428</v>
      </c>
      <c r="C7" s="185">
        <v>146755</v>
      </c>
      <c r="D7" s="185">
        <v>116170</v>
      </c>
      <c r="E7" s="185">
        <v>-162402</v>
      </c>
      <c r="F7" s="184">
        <v>76100</v>
      </c>
      <c r="G7" s="184">
        <v>90299</v>
      </c>
      <c r="H7" s="160">
        <f>SUM(C7:G7)</f>
        <v>266922</v>
      </c>
      <c r="I7" s="117" t="s">
        <v>464</v>
      </c>
    </row>
    <row r="8" spans="1:9" ht="12.75" customHeight="1">
      <c r="A8" s="117" t="s">
        <v>351</v>
      </c>
      <c r="C8" s="185">
        <v>0</v>
      </c>
      <c r="I8" s="120"/>
    </row>
    <row r="9" spans="1:9" ht="12.75" customHeight="1">
      <c r="C9" s="185">
        <v>0</v>
      </c>
    </row>
    <row r="10" spans="1:9" ht="12.75" customHeight="1">
      <c r="A10" s="119" t="s">
        <v>35</v>
      </c>
      <c r="B10" s="117" t="s">
        <v>36</v>
      </c>
      <c r="C10" s="185">
        <v>2860695</v>
      </c>
      <c r="D10" s="185">
        <v>-278091</v>
      </c>
      <c r="E10" s="185">
        <v>-293081</v>
      </c>
      <c r="F10" s="184">
        <v>524916</v>
      </c>
      <c r="G10" s="184">
        <v>118583</v>
      </c>
      <c r="H10" s="160">
        <f>SUM(C10:G10)</f>
        <v>2933022</v>
      </c>
      <c r="I10" s="117" t="s">
        <v>464</v>
      </c>
    </row>
    <row r="11" spans="1:9" ht="12.75" customHeight="1">
      <c r="A11" s="117" t="s">
        <v>352</v>
      </c>
      <c r="C11" s="185">
        <v>0</v>
      </c>
    </row>
    <row r="12" spans="1:9" ht="12.75" customHeight="1">
      <c r="C12" s="185">
        <v>0</v>
      </c>
    </row>
    <row r="13" spans="1:9" ht="12.75" customHeight="1">
      <c r="A13" s="119" t="s">
        <v>41</v>
      </c>
      <c r="B13" s="117" t="s">
        <v>42</v>
      </c>
      <c r="C13" s="185">
        <v>249924</v>
      </c>
      <c r="D13" s="185">
        <v>-177050</v>
      </c>
      <c r="E13" s="185">
        <v>220477</v>
      </c>
      <c r="F13" s="184">
        <v>-208231</v>
      </c>
      <c r="G13" s="184">
        <v>316526</v>
      </c>
      <c r="H13" s="160">
        <f>SUM(C13:G13)</f>
        <v>401646</v>
      </c>
      <c r="I13" s="117" t="s">
        <v>464</v>
      </c>
    </row>
    <row r="14" spans="1:9" ht="12.75" customHeight="1">
      <c r="A14" s="119" t="s">
        <v>43</v>
      </c>
      <c r="B14" s="117" t="s">
        <v>44</v>
      </c>
      <c r="C14" s="185">
        <v>-64501</v>
      </c>
      <c r="D14" s="185">
        <v>8960</v>
      </c>
      <c r="E14" s="185">
        <v>0</v>
      </c>
      <c r="H14" s="160">
        <f>SUM(C14:F14)</f>
        <v>-55541</v>
      </c>
      <c r="I14" s="117" t="s">
        <v>464</v>
      </c>
    </row>
    <row r="15" spans="1:9" ht="12.75" customHeight="1">
      <c r="A15" s="117" t="s">
        <v>353</v>
      </c>
      <c r="C15" s="185">
        <v>0</v>
      </c>
    </row>
    <row r="16" spans="1:9" ht="12.75" customHeight="1">
      <c r="C16" s="185">
        <v>0</v>
      </c>
    </row>
    <row r="17" spans="1:9" ht="12.75" customHeight="1">
      <c r="A17" s="119">
        <v>2640000</v>
      </c>
      <c r="B17" s="117" t="s">
        <v>48</v>
      </c>
      <c r="C17" s="185">
        <v>110497</v>
      </c>
      <c r="D17" s="185">
        <v>-2023897</v>
      </c>
      <c r="G17" s="184">
        <v>1642583</v>
      </c>
      <c r="H17" s="160">
        <f>SUM(C17:G17)</f>
        <v>-270817</v>
      </c>
      <c r="I17" s="117" t="s">
        <v>464</v>
      </c>
    </row>
    <row r="18" spans="1:9" ht="12.75" customHeight="1">
      <c r="A18" s="117" t="s">
        <v>357</v>
      </c>
      <c r="C18" s="185">
        <v>0</v>
      </c>
    </row>
    <row r="19" spans="1:9" ht="12.75" customHeight="1">
      <c r="C19" s="185">
        <v>0</v>
      </c>
    </row>
    <row r="20" spans="1:9" ht="12.75" customHeight="1">
      <c r="A20" s="119">
        <v>2040200</v>
      </c>
      <c r="B20" s="117" t="s">
        <v>447</v>
      </c>
      <c r="C20" s="185">
        <v>0</v>
      </c>
      <c r="D20" s="185">
        <v>5000</v>
      </c>
      <c r="E20" s="185">
        <v>0</v>
      </c>
      <c r="H20" s="160">
        <f>SUM(C20:F20)</f>
        <v>5000</v>
      </c>
      <c r="I20" s="117" t="s">
        <v>464</v>
      </c>
    </row>
    <row r="21" spans="1:9" ht="12.75" customHeight="1">
      <c r="A21" s="119" t="s">
        <v>53</v>
      </c>
      <c r="B21" s="117" t="s">
        <v>54</v>
      </c>
      <c r="C21" s="185">
        <v>15594</v>
      </c>
      <c r="D21" s="185">
        <v>-11776</v>
      </c>
      <c r="E21" s="185">
        <v>0</v>
      </c>
      <c r="H21" s="160">
        <f>SUM(C21:F21)</f>
        <v>3818</v>
      </c>
      <c r="I21" s="117" t="s">
        <v>464</v>
      </c>
    </row>
    <row r="22" spans="1:9" ht="12.75" customHeight="1">
      <c r="A22" s="119" t="s">
        <v>55</v>
      </c>
      <c r="B22" s="117" t="s">
        <v>56</v>
      </c>
      <c r="C22" s="185">
        <v>0</v>
      </c>
      <c r="D22" s="185">
        <v>425</v>
      </c>
      <c r="E22" s="198">
        <v>-65069</v>
      </c>
      <c r="F22" s="198">
        <v>360152</v>
      </c>
      <c r="G22" s="184">
        <v>-139615</v>
      </c>
      <c r="H22" s="160">
        <f>SUM(C22:G22)</f>
        <v>155893</v>
      </c>
      <c r="I22" s="117" t="s">
        <v>464</v>
      </c>
    </row>
    <row r="23" spans="1:9" ht="12.75" customHeight="1">
      <c r="A23" s="117" t="s">
        <v>407</v>
      </c>
      <c r="C23" s="185">
        <v>0</v>
      </c>
    </row>
    <row r="24" spans="1:9" ht="12.75" customHeight="1">
      <c r="C24" s="185">
        <v>0</v>
      </c>
    </row>
    <row r="25" spans="1:9" ht="12.75" customHeight="1">
      <c r="A25" s="119" t="s">
        <v>61</v>
      </c>
      <c r="B25" s="117" t="s">
        <v>62</v>
      </c>
      <c r="C25" s="185">
        <v>0</v>
      </c>
      <c r="D25" s="185">
        <v>0</v>
      </c>
      <c r="F25" s="184">
        <v>0</v>
      </c>
      <c r="H25" s="160">
        <f>SUM(C25:F25)</f>
        <v>0</v>
      </c>
    </row>
    <row r="26" spans="1:9" ht="12.75" customHeight="1">
      <c r="A26" s="119" t="s">
        <v>65</v>
      </c>
      <c r="B26" s="117" t="s">
        <v>66</v>
      </c>
      <c r="C26" s="185">
        <v>729699</v>
      </c>
      <c r="D26" s="185">
        <v>1729271</v>
      </c>
      <c r="E26" s="185">
        <v>-1031638</v>
      </c>
      <c r="F26" s="184">
        <v>-1408139</v>
      </c>
      <c r="G26" s="184">
        <v>-18700</v>
      </c>
      <c r="H26" s="160">
        <f t="shared" ref="H26:H31" si="0">SUM(C26:G26)</f>
        <v>493</v>
      </c>
    </row>
    <row r="27" spans="1:9" ht="12.75" customHeight="1">
      <c r="A27" s="119" t="s">
        <v>67</v>
      </c>
      <c r="B27" s="117" t="s">
        <v>68</v>
      </c>
      <c r="C27" s="185">
        <v>12913</v>
      </c>
      <c r="D27" s="185">
        <v>74896</v>
      </c>
      <c r="E27" s="185">
        <v>1058693</v>
      </c>
      <c r="F27" s="184">
        <v>-1109732</v>
      </c>
      <c r="G27" s="184">
        <v>-19</v>
      </c>
      <c r="H27" s="160">
        <f t="shared" si="0"/>
        <v>36751</v>
      </c>
    </row>
    <row r="28" spans="1:9" ht="12.75" customHeight="1">
      <c r="A28" s="119" t="s">
        <v>69</v>
      </c>
      <c r="B28" s="117" t="s">
        <v>70</v>
      </c>
      <c r="C28" s="185">
        <v>791789</v>
      </c>
      <c r="D28" s="185">
        <v>-19584</v>
      </c>
      <c r="E28" s="185">
        <v>-29065</v>
      </c>
      <c r="F28" s="184">
        <v>-50664</v>
      </c>
      <c r="G28" s="184">
        <v>-417400</v>
      </c>
      <c r="H28" s="160">
        <f t="shared" si="0"/>
        <v>275076</v>
      </c>
    </row>
    <row r="29" spans="1:9" ht="12.75" customHeight="1">
      <c r="A29" s="119" t="s">
        <v>71</v>
      </c>
      <c r="B29" s="117" t="s">
        <v>72</v>
      </c>
      <c r="C29" s="185">
        <v>583311</v>
      </c>
      <c r="D29" s="185">
        <v>66151</v>
      </c>
      <c r="E29" s="185">
        <v>-46640</v>
      </c>
      <c r="F29" s="184">
        <v>-159674</v>
      </c>
      <c r="G29" s="184">
        <v>145814</v>
      </c>
      <c r="H29" s="160">
        <f t="shared" si="0"/>
        <v>588962</v>
      </c>
    </row>
    <row r="30" spans="1:9" ht="12.75" customHeight="1">
      <c r="A30" s="119" t="s">
        <v>73</v>
      </c>
      <c r="B30" s="117" t="s">
        <v>74</v>
      </c>
      <c r="C30" s="185">
        <v>663408</v>
      </c>
      <c r="D30" s="185">
        <v>1098220</v>
      </c>
      <c r="E30" s="185">
        <v>-73423</v>
      </c>
      <c r="F30" s="184">
        <v>-420964</v>
      </c>
      <c r="G30" s="184">
        <v>-850699</v>
      </c>
      <c r="H30" s="160">
        <f t="shared" si="0"/>
        <v>416542</v>
      </c>
    </row>
    <row r="31" spans="1:9" ht="12.75" customHeight="1">
      <c r="A31" s="119" t="s">
        <v>75</v>
      </c>
      <c r="B31" s="117" t="s">
        <v>76</v>
      </c>
      <c r="C31" s="185">
        <v>839</v>
      </c>
      <c r="D31" s="185">
        <v>194761</v>
      </c>
      <c r="E31" s="185">
        <v>114437</v>
      </c>
      <c r="F31" s="184">
        <v>-265290</v>
      </c>
      <c r="G31" s="184">
        <v>133175</v>
      </c>
      <c r="H31" s="160">
        <f t="shared" si="0"/>
        <v>177922</v>
      </c>
    </row>
    <row r="32" spans="1:9" ht="12.75" customHeight="1">
      <c r="A32" s="117" t="s">
        <v>358</v>
      </c>
      <c r="C32" s="185">
        <v>0</v>
      </c>
    </row>
    <row r="33" spans="1:9" ht="12.75" customHeight="1">
      <c r="C33" s="185">
        <v>0</v>
      </c>
    </row>
    <row r="34" spans="1:9" ht="12.75" customHeight="1">
      <c r="A34" s="119">
        <v>1000002</v>
      </c>
      <c r="B34" s="117" t="s">
        <v>429</v>
      </c>
      <c r="C34" s="185">
        <v>-1</v>
      </c>
      <c r="D34" s="185">
        <v>0</v>
      </c>
      <c r="E34" s="185">
        <v>0</v>
      </c>
      <c r="H34" s="160">
        <f>SUM(C34:F34)</f>
        <v>-1</v>
      </c>
      <c r="I34" s="117" t="s">
        <v>464</v>
      </c>
    </row>
    <row r="35" spans="1:9" ht="12.75" customHeight="1">
      <c r="A35" s="119">
        <v>1100000</v>
      </c>
      <c r="B35" s="117" t="s">
        <v>430</v>
      </c>
      <c r="C35" s="185">
        <v>-19431219</v>
      </c>
      <c r="D35" s="185">
        <v>0</v>
      </c>
      <c r="E35" s="185">
        <v>100000</v>
      </c>
      <c r="H35" s="160">
        <f>SUM(C35:F35)</f>
        <v>-19331219</v>
      </c>
      <c r="I35" s="117" t="s">
        <v>464</v>
      </c>
    </row>
    <row r="36" spans="1:9" ht="12.75" customHeight="1">
      <c r="A36" s="119">
        <v>1160000</v>
      </c>
      <c r="B36" s="117" t="s">
        <v>94</v>
      </c>
      <c r="C36" s="185">
        <v>12988943</v>
      </c>
      <c r="D36" s="185">
        <v>0</v>
      </c>
      <c r="E36" s="185">
        <v>0</v>
      </c>
      <c r="H36" s="160">
        <f>SUM(C36:F36)</f>
        <v>12988943</v>
      </c>
      <c r="I36" s="160" t="s">
        <v>464</v>
      </c>
    </row>
    <row r="37" spans="1:9" ht="12.75" customHeight="1">
      <c r="A37" s="119" t="s">
        <v>95</v>
      </c>
      <c r="B37" s="117" t="s">
        <v>96</v>
      </c>
      <c r="C37" s="185">
        <v>820500</v>
      </c>
      <c r="D37" s="185">
        <v>235000</v>
      </c>
      <c r="E37" s="185">
        <v>1510938</v>
      </c>
      <c r="F37" s="184">
        <v>1397717</v>
      </c>
      <c r="G37" s="184">
        <v>207000</v>
      </c>
      <c r="H37" s="160">
        <f>SUM(C37:G37)</f>
        <v>4171155</v>
      </c>
      <c r="I37" s="117" t="s">
        <v>464</v>
      </c>
    </row>
    <row r="38" spans="1:9" ht="12.75" customHeight="1">
      <c r="A38" s="117" t="s">
        <v>359</v>
      </c>
      <c r="C38" s="185">
        <v>0</v>
      </c>
    </row>
    <row r="39" spans="1:9" ht="12.75" customHeight="1">
      <c r="C39" s="185">
        <v>0</v>
      </c>
    </row>
    <row r="40" spans="1:9" ht="12.75" customHeight="1">
      <c r="A40" s="119">
        <v>1930001</v>
      </c>
      <c r="B40" s="117" t="s">
        <v>104</v>
      </c>
      <c r="C40" s="185">
        <v>-130000000</v>
      </c>
      <c r="D40" s="185">
        <v>0</v>
      </c>
      <c r="E40" s="185">
        <v>0</v>
      </c>
      <c r="H40" s="160">
        <f>SUM(C40:F40)</f>
        <v>-130000000</v>
      </c>
      <c r="I40" s="117" t="s">
        <v>464</v>
      </c>
    </row>
    <row r="41" spans="1:9" ht="12.75" customHeight="1">
      <c r="A41" s="119" t="s">
        <v>107</v>
      </c>
      <c r="B41" s="117" t="s">
        <v>108</v>
      </c>
      <c r="C41" s="185">
        <v>10364389</v>
      </c>
      <c r="D41" s="185">
        <v>601184</v>
      </c>
      <c r="E41" s="185">
        <v>2258971</v>
      </c>
      <c r="F41" s="184">
        <v>3569138</v>
      </c>
      <c r="G41" s="184">
        <v>1387184</v>
      </c>
      <c r="H41" s="160">
        <f>SUM(C41:G41)</f>
        <v>18180866</v>
      </c>
      <c r="I41" s="117" t="s">
        <v>464</v>
      </c>
    </row>
    <row r="42" spans="1:9" ht="12.75" customHeight="1">
      <c r="A42" s="119" t="s">
        <v>109</v>
      </c>
      <c r="B42" s="117" t="s">
        <v>110</v>
      </c>
      <c r="C42" s="185">
        <v>0</v>
      </c>
      <c r="D42" s="185">
        <v>0</v>
      </c>
      <c r="E42" s="185">
        <v>0</v>
      </c>
      <c r="H42" s="160">
        <f>SUM(C42:F42)</f>
        <v>0</v>
      </c>
    </row>
    <row r="43" spans="1:9" ht="12.75" customHeight="1">
      <c r="A43" s="117" t="s">
        <v>362</v>
      </c>
      <c r="C43" s="185">
        <v>0</v>
      </c>
    </row>
    <row r="44" spans="1:9" ht="12.75" customHeight="1">
      <c r="C44" s="185">
        <v>0</v>
      </c>
    </row>
    <row r="45" spans="1:9" ht="12.75" customHeight="1">
      <c r="A45" s="119" t="s">
        <v>121</v>
      </c>
      <c r="B45" s="117" t="s">
        <v>122</v>
      </c>
      <c r="C45" s="185">
        <v>-173481</v>
      </c>
      <c r="D45" s="185">
        <v>-55987</v>
      </c>
      <c r="E45" s="185">
        <v>17250</v>
      </c>
      <c r="F45" s="184">
        <v>900</v>
      </c>
      <c r="G45" s="184">
        <v>-11928</v>
      </c>
      <c r="H45" s="160">
        <f>SUM(C45:G45)</f>
        <v>-223246</v>
      </c>
    </row>
    <row r="46" spans="1:9" ht="12.75" customHeight="1">
      <c r="A46" s="119" t="s">
        <v>123</v>
      </c>
      <c r="B46" s="117" t="s">
        <v>124</v>
      </c>
      <c r="C46" s="185">
        <v>0</v>
      </c>
      <c r="D46" s="185">
        <v>0</v>
      </c>
      <c r="E46" s="185">
        <v>0</v>
      </c>
      <c r="H46" s="160">
        <f>SUM(C46:E46)</f>
        <v>0</v>
      </c>
    </row>
    <row r="47" spans="1:9" ht="12.75" customHeight="1">
      <c r="A47" s="117" t="s">
        <v>363</v>
      </c>
      <c r="C47" s="185">
        <v>0</v>
      </c>
    </row>
    <row r="48" spans="1:9" ht="12.75" customHeight="1">
      <c r="C48" s="185">
        <v>0</v>
      </c>
      <c r="H48" s="160">
        <f>SUM(C48:D48)</f>
        <v>0</v>
      </c>
    </row>
    <row r="49" spans="1:9" ht="12.75" customHeight="1">
      <c r="A49" s="119" t="s">
        <v>129</v>
      </c>
      <c r="B49" s="117" t="s">
        <v>130</v>
      </c>
      <c r="C49" s="185">
        <v>-3726</v>
      </c>
      <c r="D49" s="185">
        <v>-204</v>
      </c>
      <c r="E49" s="185">
        <v>17</v>
      </c>
      <c r="F49" s="184">
        <v>271</v>
      </c>
      <c r="G49" s="184">
        <v>-22</v>
      </c>
      <c r="H49" s="160">
        <f>SUM(C49:G49)</f>
        <v>-3664</v>
      </c>
      <c r="I49" s="117" t="s">
        <v>464</v>
      </c>
    </row>
    <row r="50" spans="1:9" ht="12.75" customHeight="1">
      <c r="A50" s="119" t="s">
        <v>133</v>
      </c>
      <c r="B50" s="117" t="s">
        <v>134</v>
      </c>
      <c r="C50" s="185">
        <v>-438062</v>
      </c>
      <c r="D50" s="185">
        <v>438062</v>
      </c>
      <c r="E50" s="185">
        <v>0</v>
      </c>
      <c r="F50" s="184">
        <v>0</v>
      </c>
      <c r="H50" s="160">
        <f>SUM(C50:F50)</f>
        <v>0</v>
      </c>
    </row>
    <row r="51" spans="1:9" ht="12.75" customHeight="1">
      <c r="A51" s="119" t="s">
        <v>137</v>
      </c>
      <c r="B51" s="117" t="s">
        <v>138</v>
      </c>
      <c r="C51" s="185">
        <v>94880</v>
      </c>
      <c r="D51" s="185">
        <v>-94878</v>
      </c>
      <c r="E51" s="185">
        <v>0</v>
      </c>
      <c r="F51" s="184">
        <v>0</v>
      </c>
      <c r="H51" s="160">
        <v>4</v>
      </c>
      <c r="I51" s="117" t="s">
        <v>464</v>
      </c>
    </row>
    <row r="52" spans="1:9" ht="12.75" customHeight="1">
      <c r="A52" s="117" t="s">
        <v>366</v>
      </c>
      <c r="C52" s="185">
        <v>0</v>
      </c>
    </row>
    <row r="53" spans="1:9" ht="12.75" customHeight="1">
      <c r="C53" s="185">
        <v>0</v>
      </c>
    </row>
    <row r="54" spans="1:9" ht="12.75" customHeight="1">
      <c r="A54" s="119" t="s">
        <v>141</v>
      </c>
      <c r="B54" s="117" t="s">
        <v>142</v>
      </c>
      <c r="C54" s="185">
        <v>-700478</v>
      </c>
      <c r="D54" s="185">
        <v>-10299</v>
      </c>
      <c r="E54" s="185">
        <v>10687</v>
      </c>
      <c r="F54" s="184">
        <v>-8611</v>
      </c>
      <c r="G54" s="184">
        <v>-21291</v>
      </c>
      <c r="H54" s="160">
        <f>SUM(C54:G54)</f>
        <v>-729992</v>
      </c>
      <c r="I54" s="117" t="s">
        <v>464</v>
      </c>
    </row>
    <row r="55" spans="1:9" ht="12.75" customHeight="1">
      <c r="A55" s="119">
        <v>2740500</v>
      </c>
      <c r="B55" s="117" t="s">
        <v>144</v>
      </c>
      <c r="C55" s="185">
        <v>-22500</v>
      </c>
      <c r="D55" s="185">
        <v>0</v>
      </c>
      <c r="E55" s="185">
        <v>0</v>
      </c>
      <c r="H55" s="160">
        <f>SUM(C55:F55)</f>
        <v>-22500</v>
      </c>
    </row>
    <row r="56" spans="1:9" ht="12.75" customHeight="1">
      <c r="A56" s="119" t="s">
        <v>145</v>
      </c>
      <c r="B56" s="117" t="s">
        <v>146</v>
      </c>
      <c r="C56" s="185">
        <v>0</v>
      </c>
      <c r="D56" s="185">
        <v>0</v>
      </c>
      <c r="E56" s="185">
        <v>-457533</v>
      </c>
      <c r="F56" s="184">
        <v>457533</v>
      </c>
      <c r="H56" s="160">
        <f>SUM(C56:F56)</f>
        <v>0</v>
      </c>
    </row>
    <row r="57" spans="1:9" ht="12.75" customHeight="1">
      <c r="A57" s="119" t="s">
        <v>367</v>
      </c>
      <c r="B57" s="117" t="s">
        <v>368</v>
      </c>
      <c r="C57" s="185">
        <v>15905</v>
      </c>
      <c r="D57" s="185">
        <v>-15903</v>
      </c>
      <c r="E57" s="185">
        <v>0</v>
      </c>
      <c r="H57" s="160">
        <v>0</v>
      </c>
    </row>
    <row r="58" spans="1:9" ht="12.75" customHeight="1">
      <c r="A58" s="119" t="s">
        <v>147</v>
      </c>
      <c r="B58" s="117" t="s">
        <v>148</v>
      </c>
      <c r="C58" s="185">
        <v>0</v>
      </c>
      <c r="D58" s="185">
        <v>-29200</v>
      </c>
      <c r="E58" s="185">
        <v>0</v>
      </c>
      <c r="H58" s="160">
        <f>SUM(C58:F58)</f>
        <v>-29200</v>
      </c>
    </row>
    <row r="59" spans="1:9" ht="12.75" customHeight="1">
      <c r="A59" s="119" t="s">
        <v>149</v>
      </c>
      <c r="B59" s="117" t="s">
        <v>150</v>
      </c>
      <c r="C59" s="185">
        <v>0</v>
      </c>
      <c r="D59" s="185">
        <v>-2118</v>
      </c>
      <c r="E59" s="185">
        <v>0</v>
      </c>
      <c r="H59" s="160">
        <f>SUM(C59:F59)</f>
        <v>-2118</v>
      </c>
    </row>
    <row r="60" spans="1:9" ht="12.75" customHeight="1">
      <c r="A60" s="119" t="s">
        <v>151</v>
      </c>
      <c r="B60" s="117" t="s">
        <v>152</v>
      </c>
      <c r="C60" s="185">
        <v>0</v>
      </c>
      <c r="D60" s="185">
        <v>-1846</v>
      </c>
      <c r="E60" s="185">
        <v>0</v>
      </c>
      <c r="H60" s="160">
        <f>SUM(C60:F60)</f>
        <v>-1846</v>
      </c>
    </row>
    <row r="61" spans="1:9" ht="12.75" customHeight="1">
      <c r="A61" s="119" t="s">
        <v>155</v>
      </c>
      <c r="B61" s="117" t="s">
        <v>156</v>
      </c>
      <c r="C61" s="185">
        <v>-40879</v>
      </c>
      <c r="D61" s="185">
        <v>61</v>
      </c>
      <c r="E61" s="185">
        <v>483</v>
      </c>
      <c r="F61" s="184">
        <v>119</v>
      </c>
      <c r="G61" s="184">
        <v>-40364</v>
      </c>
      <c r="H61" s="160">
        <f>SUM(C61:G61)</f>
        <v>-80580</v>
      </c>
    </row>
    <row r="62" spans="1:9" ht="12.6" customHeight="1">
      <c r="A62" s="119" t="s">
        <v>157</v>
      </c>
      <c r="B62" s="117" t="s">
        <v>158</v>
      </c>
      <c r="C62" s="185">
        <v>0</v>
      </c>
      <c r="D62" s="185">
        <v>0</v>
      </c>
      <c r="E62" s="185">
        <v>0</v>
      </c>
      <c r="H62" s="160">
        <f>SUM(C62:F62)</f>
        <v>0</v>
      </c>
    </row>
    <row r="63" spans="1:9" ht="12.75" customHeight="1">
      <c r="A63" s="119" t="s">
        <v>159</v>
      </c>
      <c r="B63" s="117" t="s">
        <v>160</v>
      </c>
      <c r="C63" s="185">
        <v>20000</v>
      </c>
      <c r="E63" s="198">
        <v>0</v>
      </c>
      <c r="F63" s="198">
        <v>-20000</v>
      </c>
      <c r="G63" s="184">
        <v>20000</v>
      </c>
      <c r="H63" s="160">
        <f>SUM(C63:G63)</f>
        <v>20000</v>
      </c>
    </row>
    <row r="64" spans="1:9" ht="12.75" customHeight="1">
      <c r="A64" s="119" t="s">
        <v>161</v>
      </c>
      <c r="B64" s="117" t="s">
        <v>162</v>
      </c>
      <c r="C64" s="185">
        <v>163</v>
      </c>
      <c r="D64" s="185">
        <v>-162</v>
      </c>
      <c r="E64" s="185">
        <v>851</v>
      </c>
      <c r="F64" s="184">
        <v>-16811</v>
      </c>
      <c r="G64" s="184">
        <v>15046</v>
      </c>
      <c r="H64" s="160">
        <f>SUM(C64:G64)</f>
        <v>-913</v>
      </c>
    </row>
    <row r="65" spans="1:9" ht="12.75" customHeight="1">
      <c r="A65" s="119" t="s">
        <v>163</v>
      </c>
      <c r="B65" s="117" t="s">
        <v>164</v>
      </c>
      <c r="C65" s="185">
        <v>-129850</v>
      </c>
      <c r="D65" s="185">
        <v>-17605</v>
      </c>
      <c r="E65" s="185">
        <v>-5561</v>
      </c>
      <c r="F65" s="184">
        <v>21998</v>
      </c>
      <c r="G65" s="184">
        <v>-5661</v>
      </c>
      <c r="H65" s="160">
        <f>SUM(C65:G65)</f>
        <v>-136679</v>
      </c>
      <c r="I65" s="117" t="s">
        <v>464</v>
      </c>
    </row>
    <row r="66" spans="1:9" ht="12.75" customHeight="1">
      <c r="A66" s="117" t="s">
        <v>369</v>
      </c>
      <c r="C66" s="185">
        <v>0</v>
      </c>
    </row>
    <row r="67" spans="1:9" ht="12.75" customHeight="1"/>
    <row r="68" spans="1:9" ht="12.75" customHeight="1">
      <c r="E68" s="184">
        <f>E70*4</f>
        <v>-11388832</v>
      </c>
      <c r="F68" s="184">
        <f>F70*4</f>
        <v>-11332784</v>
      </c>
      <c r="G68" s="184">
        <f>G70*4</f>
        <v>-11305856</v>
      </c>
      <c r="H68" s="160">
        <f>-11610000/4</f>
        <v>-2902500</v>
      </c>
    </row>
    <row r="69" spans="1:9" ht="12.75" customHeight="1">
      <c r="A69" s="118" t="s">
        <v>370</v>
      </c>
    </row>
    <row r="70" spans="1:9" ht="12.75" customHeight="1">
      <c r="A70" s="119" t="s">
        <v>174</v>
      </c>
      <c r="B70" s="117" t="s">
        <v>175</v>
      </c>
      <c r="D70" s="185">
        <v>-2858133</v>
      </c>
      <c r="E70" s="185">
        <v>-2847208</v>
      </c>
      <c r="F70" s="184">
        <v>-2833196</v>
      </c>
      <c r="G70" s="184">
        <v>-2826464</v>
      </c>
      <c r="H70" s="160">
        <f>SUM(C70:G70)</f>
        <v>-11365001</v>
      </c>
    </row>
    <row r="71" spans="1:9" ht="12.75" customHeight="1">
      <c r="A71" s="119" t="s">
        <v>176</v>
      </c>
      <c r="B71" s="117" t="s">
        <v>177</v>
      </c>
      <c r="D71" s="185">
        <v>63770</v>
      </c>
      <c r="E71" s="185">
        <v>69125</v>
      </c>
      <c r="F71" s="184">
        <v>71110</v>
      </c>
      <c r="G71" s="184">
        <v>63061</v>
      </c>
      <c r="H71" s="160">
        <f>SUM(C71:G71)</f>
        <v>267066</v>
      </c>
    </row>
    <row r="72" spans="1:9" ht="12.75" customHeight="1">
      <c r="A72" s="117" t="s">
        <v>381</v>
      </c>
      <c r="D72" s="185">
        <f>SUM(D70:D71)</f>
        <v>-2794363</v>
      </c>
      <c r="E72" s="185">
        <f>SUM(E70:E71)</f>
        <v>-2778083</v>
      </c>
      <c r="F72" s="184">
        <f>SUM(F70:F71)</f>
        <v>-2762086</v>
      </c>
      <c r="G72" s="184">
        <f>SUM(G70:G71)</f>
        <v>-2763403</v>
      </c>
      <c r="H72" s="184">
        <f>SUM(H70:H71)</f>
        <v>-11097935</v>
      </c>
    </row>
    <row r="73" spans="1:9" ht="12.75" customHeight="1">
      <c r="E73" s="213">
        <f>1-(E72/E70)</f>
        <v>2.4278170052907999E-2</v>
      </c>
    </row>
    <row r="74" spans="1:9" ht="12.75" customHeight="1">
      <c r="A74" s="119" t="s">
        <v>182</v>
      </c>
      <c r="B74" s="117" t="s">
        <v>183</v>
      </c>
      <c r="D74" s="185">
        <v>-173087</v>
      </c>
      <c r="E74" s="185">
        <v>-172417</v>
      </c>
      <c r="F74" s="184">
        <v>-171527</v>
      </c>
      <c r="G74" s="184">
        <v>-172398</v>
      </c>
      <c r="H74" s="160">
        <f>SUM(C74:G74)</f>
        <v>-689429</v>
      </c>
    </row>
    <row r="75" spans="1:9" ht="12.75" customHeight="1">
      <c r="A75" s="119" t="s">
        <v>184</v>
      </c>
      <c r="B75" s="117" t="s">
        <v>185</v>
      </c>
      <c r="D75" s="185">
        <v>29682</v>
      </c>
      <c r="E75" s="185">
        <v>10767</v>
      </c>
      <c r="F75" s="184">
        <v>3357</v>
      </c>
      <c r="G75" s="184">
        <v>7281</v>
      </c>
      <c r="H75" s="160">
        <f>SUM(C75:G75)</f>
        <v>51087</v>
      </c>
    </row>
    <row r="76" spans="1:9" ht="12.75" customHeight="1">
      <c r="A76" s="119" t="s">
        <v>186</v>
      </c>
      <c r="B76" s="117" t="s">
        <v>187</v>
      </c>
      <c r="D76" s="185">
        <v>121812</v>
      </c>
      <c r="E76" s="185">
        <v>133343</v>
      </c>
      <c r="F76" s="184">
        <v>284624</v>
      </c>
      <c r="G76" s="184">
        <v>127725</v>
      </c>
      <c r="H76" s="160">
        <f>SUM(C76:G76)</f>
        <v>667504</v>
      </c>
    </row>
    <row r="77" spans="1:9" ht="12.75" customHeight="1">
      <c r="A77" s="117" t="s">
        <v>382</v>
      </c>
      <c r="D77" s="185">
        <f>SUM(D74:D76)</f>
        <v>-21593</v>
      </c>
      <c r="E77" s="185">
        <f>SUM(E74:E76)</f>
        <v>-28307</v>
      </c>
      <c r="F77" s="184">
        <f>SUM(F74:F76)</f>
        <v>116454</v>
      </c>
      <c r="G77" s="184">
        <f>SUM(G74:G76)</f>
        <v>-37392</v>
      </c>
      <c r="H77" s="184">
        <f>SUM(H74:H76)</f>
        <v>29162</v>
      </c>
    </row>
    <row r="78" spans="1:9" ht="12.75" customHeight="1"/>
    <row r="79" spans="1:9" ht="12.75" customHeight="1">
      <c r="A79" s="119" t="s">
        <v>198</v>
      </c>
      <c r="B79" s="117" t="s">
        <v>199</v>
      </c>
      <c r="D79" s="185">
        <v>121336</v>
      </c>
      <c r="E79" s="185">
        <v>120736</v>
      </c>
      <c r="F79" s="184">
        <v>120105</v>
      </c>
      <c r="G79" s="184">
        <v>119839</v>
      </c>
      <c r="H79" s="160">
        <f>SUM(C79:G79)</f>
        <v>482016</v>
      </c>
    </row>
    <row r="80" spans="1:9" ht="12.75" customHeight="1">
      <c r="A80" s="117" t="s">
        <v>408</v>
      </c>
      <c r="D80" s="185">
        <f>SUM(D79)</f>
        <v>121336</v>
      </c>
      <c r="E80" s="185">
        <f>SUM(E79)</f>
        <v>120736</v>
      </c>
      <c r="F80" s="184">
        <f>SUM(F79)</f>
        <v>120105</v>
      </c>
      <c r="G80" s="184">
        <f>SUM(G79)</f>
        <v>119839</v>
      </c>
      <c r="H80" s="184">
        <f>SUM(H79)</f>
        <v>482016</v>
      </c>
    </row>
    <row r="81" spans="1:8" ht="12.75" customHeight="1"/>
    <row r="82" spans="1:8" ht="12.75" customHeight="1">
      <c r="A82" s="119" t="s">
        <v>204</v>
      </c>
      <c r="B82" s="117" t="s">
        <v>205</v>
      </c>
      <c r="D82" s="185">
        <v>656408</v>
      </c>
      <c r="E82" s="185">
        <v>642938</v>
      </c>
      <c r="F82" s="184">
        <f>630199</f>
        <v>630199</v>
      </c>
      <c r="G82" s="184">
        <v>653151</v>
      </c>
      <c r="H82" s="160">
        <f>SUM(C82:G82)</f>
        <v>2582696</v>
      </c>
    </row>
    <row r="83" spans="1:8" ht="12.75" customHeight="1">
      <c r="A83" s="119" t="s">
        <v>206</v>
      </c>
      <c r="B83" s="117" t="s">
        <v>207</v>
      </c>
      <c r="D83" s="185">
        <v>-1058583</v>
      </c>
      <c r="E83" s="185">
        <v>-1206433</v>
      </c>
      <c r="F83" s="184">
        <v>-531244</v>
      </c>
      <c r="G83" s="184">
        <v>-636242</v>
      </c>
      <c r="H83" s="160">
        <f>SUM(C83:G83)</f>
        <v>-3432502</v>
      </c>
    </row>
    <row r="84" spans="1:8" ht="12.75" customHeight="1">
      <c r="A84" s="117" t="s">
        <v>384</v>
      </c>
      <c r="D84" s="185">
        <f>SUM(D82:D83)</f>
        <v>-402175</v>
      </c>
      <c r="E84" s="185">
        <f>SUM(E82:E83)</f>
        <v>-563495</v>
      </c>
      <c r="F84" s="184">
        <f>SUM(F82:F83)</f>
        <v>98955</v>
      </c>
      <c r="G84" s="184">
        <f>SUM(G82:G83)</f>
        <v>16909</v>
      </c>
      <c r="H84" s="184">
        <f>SUM(H82:H83)</f>
        <v>-849806</v>
      </c>
    </row>
    <row r="85" spans="1:8" ht="12.75" customHeight="1"/>
    <row r="86" spans="1:8" ht="12.75" customHeight="1">
      <c r="A86" s="119" t="s">
        <v>210</v>
      </c>
      <c r="B86" s="117" t="s">
        <v>211</v>
      </c>
      <c r="D86" s="198">
        <f>38004+540977</f>
        <v>578981</v>
      </c>
      <c r="E86" s="185">
        <v>491958</v>
      </c>
      <c r="F86" s="198">
        <f>455997</f>
        <v>455997</v>
      </c>
      <c r="G86" s="184">
        <v>204327</v>
      </c>
      <c r="H86" s="160">
        <f t="shared" ref="H86:H92" si="1">SUM(C86:G86)</f>
        <v>1731263</v>
      </c>
    </row>
    <row r="87" spans="1:8" ht="12.75" customHeight="1">
      <c r="A87" s="119" t="s">
        <v>212</v>
      </c>
      <c r="B87" s="117" t="s">
        <v>213</v>
      </c>
      <c r="D87" s="185">
        <v>0</v>
      </c>
      <c r="E87" s="184"/>
      <c r="G87" s="184">
        <v>531958</v>
      </c>
      <c r="H87" s="160">
        <f t="shared" si="1"/>
        <v>531958</v>
      </c>
    </row>
    <row r="88" spans="1:8" ht="12.75" customHeight="1">
      <c r="A88" s="119" t="s">
        <v>214</v>
      </c>
      <c r="B88" s="117" t="s">
        <v>215</v>
      </c>
      <c r="D88" s="185">
        <v>65007</v>
      </c>
      <c r="E88" s="198">
        <v>75792</v>
      </c>
      <c r="F88" s="198">
        <v>79670</v>
      </c>
      <c r="G88" s="184">
        <v>78467</v>
      </c>
      <c r="H88" s="160">
        <f t="shared" si="1"/>
        <v>298936</v>
      </c>
    </row>
    <row r="89" spans="1:8" ht="12.75" customHeight="1">
      <c r="A89" s="119" t="s">
        <v>216</v>
      </c>
      <c r="B89" s="117" t="s">
        <v>217</v>
      </c>
      <c r="D89" s="185">
        <v>5404</v>
      </c>
      <c r="E89" s="185">
        <v>96652</v>
      </c>
      <c r="F89" s="184">
        <v>197933</v>
      </c>
      <c r="G89" s="184">
        <v>136830</v>
      </c>
      <c r="H89" s="160">
        <f t="shared" si="1"/>
        <v>436819</v>
      </c>
    </row>
    <row r="90" spans="1:8" ht="12.75" customHeight="1">
      <c r="A90" s="119" t="s">
        <v>218</v>
      </c>
      <c r="B90" s="117" t="s">
        <v>219</v>
      </c>
      <c r="D90" s="185">
        <v>29292</v>
      </c>
      <c r="E90" s="198">
        <v>32166</v>
      </c>
      <c r="F90" s="198">
        <v>33030</v>
      </c>
      <c r="G90" s="184">
        <v>32166</v>
      </c>
      <c r="H90" s="160">
        <f t="shared" si="1"/>
        <v>126654</v>
      </c>
    </row>
    <row r="91" spans="1:8" ht="12.75" customHeight="1">
      <c r="A91" s="119" t="s">
        <v>220</v>
      </c>
      <c r="B91" s="117" t="s">
        <v>221</v>
      </c>
      <c r="D91" s="185">
        <v>1661</v>
      </c>
      <c r="E91" s="198">
        <v>17945</v>
      </c>
      <c r="F91" s="198">
        <v>17695</v>
      </c>
      <c r="G91" s="184">
        <v>19123</v>
      </c>
      <c r="H91" s="160">
        <f t="shared" si="1"/>
        <v>56424</v>
      </c>
    </row>
    <row r="92" spans="1:8" ht="12.75" customHeight="1">
      <c r="A92" s="119" t="s">
        <v>385</v>
      </c>
      <c r="B92" s="117" t="s">
        <v>386</v>
      </c>
      <c r="D92" s="185">
        <v>18836</v>
      </c>
      <c r="E92" s="185">
        <v>-801</v>
      </c>
      <c r="F92" s="184">
        <v>-820</v>
      </c>
      <c r="G92" s="184">
        <v>45430</v>
      </c>
      <c r="H92" s="160">
        <f t="shared" si="1"/>
        <v>62645</v>
      </c>
    </row>
    <row r="93" spans="1:8" ht="12.75" customHeight="1">
      <c r="A93" s="119" t="s">
        <v>431</v>
      </c>
      <c r="B93" s="117" t="s">
        <v>412</v>
      </c>
      <c r="D93" s="185">
        <v>2153</v>
      </c>
      <c r="E93" s="185">
        <v>0</v>
      </c>
      <c r="H93" s="160">
        <f>SUM(C93:F93)</f>
        <v>2153</v>
      </c>
    </row>
    <row r="94" spans="1:8" ht="12.75" customHeight="1">
      <c r="A94" s="117" t="s">
        <v>387</v>
      </c>
      <c r="D94" s="185">
        <f>SUM(D86:D93)</f>
        <v>701334</v>
      </c>
      <c r="E94" s="185">
        <f>SUM(E86:E93)</f>
        <v>713712</v>
      </c>
      <c r="F94" s="184">
        <f>SUM(F86:F93)</f>
        <v>783505</v>
      </c>
      <c r="G94" s="184">
        <f>SUM(G86:G93)</f>
        <v>1048301</v>
      </c>
      <c r="H94" s="184">
        <f>SUM(H86:H93)</f>
        <v>3246852</v>
      </c>
    </row>
    <row r="95" spans="1:8" ht="12.75" customHeight="1"/>
    <row r="96" spans="1:8" ht="12.75" customHeight="1">
      <c r="A96" s="119" t="s">
        <v>432</v>
      </c>
      <c r="B96" s="117" t="s">
        <v>433</v>
      </c>
      <c r="D96" s="185">
        <v>0</v>
      </c>
      <c r="E96" s="185">
        <v>0</v>
      </c>
      <c r="H96" s="160">
        <f>SUM(C96:F96)</f>
        <v>0</v>
      </c>
    </row>
    <row r="97" spans="1:8" ht="12.75" customHeight="1">
      <c r="A97" s="119" t="s">
        <v>434</v>
      </c>
      <c r="B97" s="117" t="s">
        <v>413</v>
      </c>
      <c r="D97" s="185">
        <v>-8960</v>
      </c>
      <c r="E97" s="185">
        <v>0</v>
      </c>
      <c r="H97" s="160">
        <f>SUM(C97:G97)</f>
        <v>-8960</v>
      </c>
    </row>
    <row r="98" spans="1:8" ht="12.75" customHeight="1">
      <c r="A98" s="119" t="s">
        <v>226</v>
      </c>
      <c r="B98" s="117" t="s">
        <v>227</v>
      </c>
      <c r="D98" s="185">
        <v>28608</v>
      </c>
      <c r="E98" s="185">
        <v>-164</v>
      </c>
      <c r="F98" s="184">
        <v>1941</v>
      </c>
      <c r="G98" s="184">
        <v>4198</v>
      </c>
      <c r="H98" s="160">
        <f>SUM(C98:G98)</f>
        <v>34583</v>
      </c>
    </row>
    <row r="99" spans="1:8" ht="12.75" customHeight="1">
      <c r="A99" s="117" t="s">
        <v>388</v>
      </c>
      <c r="D99" s="185">
        <f>SUM(D96:D98)</f>
        <v>19648</v>
      </c>
      <c r="E99" s="185">
        <f>SUM(E96:E98)</f>
        <v>-164</v>
      </c>
      <c r="F99" s="184">
        <f>SUM(F96:F98)</f>
        <v>1941</v>
      </c>
      <c r="G99" s="184">
        <f>SUM(G96:G98)</f>
        <v>4198</v>
      </c>
      <c r="H99" s="184">
        <f>SUM(H96:H98)</f>
        <v>25623</v>
      </c>
    </row>
    <row r="100" spans="1:8" ht="12.75" customHeight="1"/>
    <row r="101" spans="1:8" ht="12.75" customHeight="1">
      <c r="A101" s="119" t="s">
        <v>230</v>
      </c>
      <c r="B101" s="117" t="s">
        <v>231</v>
      </c>
      <c r="D101" s="185">
        <v>-590</v>
      </c>
      <c r="E101" s="185">
        <v>0</v>
      </c>
      <c r="G101" s="184">
        <v>950</v>
      </c>
      <c r="H101" s="160">
        <f>SUM(C101:G101)</f>
        <v>360</v>
      </c>
    </row>
    <row r="102" spans="1:8" ht="12.75" customHeight="1">
      <c r="A102" s="117" t="s">
        <v>389</v>
      </c>
      <c r="D102" s="185">
        <f>SUM(D101)</f>
        <v>-590</v>
      </c>
      <c r="E102" s="185">
        <f>SUM(E101)</f>
        <v>0</v>
      </c>
      <c r="F102" s="184">
        <f>SUM(F101)</f>
        <v>0</v>
      </c>
      <c r="G102" s="184">
        <f>SUM(G101)</f>
        <v>950</v>
      </c>
      <c r="H102" s="184">
        <f>SUM(H101)</f>
        <v>360</v>
      </c>
    </row>
    <row r="103" spans="1:8" ht="12.75" customHeight="1"/>
    <row r="104" spans="1:8" ht="12.75" customHeight="1">
      <c r="A104" s="119" t="s">
        <v>435</v>
      </c>
      <c r="B104" s="117" t="s">
        <v>414</v>
      </c>
      <c r="D104" s="185">
        <v>0</v>
      </c>
      <c r="E104" s="185">
        <v>4406</v>
      </c>
      <c r="H104" s="160">
        <f>SUM(C104:F104)</f>
        <v>4406</v>
      </c>
    </row>
    <row r="105" spans="1:8" ht="12.75" customHeight="1">
      <c r="A105" s="119" t="s">
        <v>234</v>
      </c>
      <c r="B105" s="117" t="s">
        <v>235</v>
      </c>
      <c r="D105" s="185">
        <v>13908</v>
      </c>
      <c r="E105" s="198">
        <v>26301</v>
      </c>
      <c r="F105" s="198">
        <v>25980</v>
      </c>
      <c r="G105" s="184">
        <v>25980</v>
      </c>
      <c r="H105" s="160">
        <f t="shared" ref="H105:H110" si="2">SUM(C105:G105)</f>
        <v>92169</v>
      </c>
    </row>
    <row r="106" spans="1:8" ht="12.75" customHeight="1">
      <c r="A106" s="119" t="s">
        <v>236</v>
      </c>
      <c r="B106" s="117" t="s">
        <v>237</v>
      </c>
      <c r="D106" s="185">
        <v>5445</v>
      </c>
      <c r="E106" s="185">
        <v>5445</v>
      </c>
      <c r="F106" s="184">
        <v>5445</v>
      </c>
      <c r="G106" s="184">
        <v>5445</v>
      </c>
      <c r="H106" s="160">
        <f t="shared" si="2"/>
        <v>21780</v>
      </c>
    </row>
    <row r="107" spans="1:8" ht="12.75" customHeight="1">
      <c r="A107" s="119" t="s">
        <v>238</v>
      </c>
      <c r="B107" s="117" t="s">
        <v>239</v>
      </c>
      <c r="D107" s="185">
        <v>21556</v>
      </c>
      <c r="E107" s="185">
        <v>6339</v>
      </c>
      <c r="F107" s="184">
        <v>44292</v>
      </c>
      <c r="G107" s="184">
        <v>24945</v>
      </c>
      <c r="H107" s="160">
        <f t="shared" si="2"/>
        <v>97132</v>
      </c>
    </row>
    <row r="108" spans="1:8" ht="12.75" customHeight="1">
      <c r="A108" s="119" t="s">
        <v>240</v>
      </c>
      <c r="B108" s="117" t="s">
        <v>241</v>
      </c>
      <c r="D108" s="185">
        <v>1491</v>
      </c>
      <c r="E108" s="185">
        <v>1210</v>
      </c>
      <c r="G108" s="184">
        <v>2420</v>
      </c>
      <c r="H108" s="160">
        <f t="shared" si="2"/>
        <v>5121</v>
      </c>
    </row>
    <row r="109" spans="1:8" ht="12.75" customHeight="1">
      <c r="A109" s="119" t="s">
        <v>242</v>
      </c>
      <c r="B109" s="117" t="s">
        <v>243</v>
      </c>
      <c r="D109" s="185">
        <v>54700</v>
      </c>
      <c r="E109" s="185">
        <v>66525</v>
      </c>
      <c r="F109" s="184">
        <v>57342</v>
      </c>
      <c r="G109" s="184">
        <v>61064</v>
      </c>
      <c r="H109" s="160">
        <f t="shared" si="2"/>
        <v>239631</v>
      </c>
    </row>
    <row r="110" spans="1:8" ht="12.75" customHeight="1">
      <c r="A110" s="119" t="s">
        <v>244</v>
      </c>
      <c r="B110" s="117" t="s">
        <v>245</v>
      </c>
      <c r="D110" s="185">
        <v>8809</v>
      </c>
      <c r="E110" s="185">
        <v>4570</v>
      </c>
      <c r="F110" s="184">
        <v>3745</v>
      </c>
      <c r="G110" s="184">
        <v>-2123</v>
      </c>
      <c r="H110" s="160">
        <f t="shared" si="2"/>
        <v>15001</v>
      </c>
    </row>
    <row r="111" spans="1:8" ht="12.75" customHeight="1">
      <c r="A111" s="119" t="s">
        <v>246</v>
      </c>
      <c r="B111" s="117" t="s">
        <v>247</v>
      </c>
      <c r="D111" s="185">
        <v>0</v>
      </c>
      <c r="E111" s="185">
        <v>0</v>
      </c>
      <c r="H111" s="160">
        <f>SUM(C111:F111)</f>
        <v>0</v>
      </c>
    </row>
    <row r="112" spans="1:8" ht="12.75" customHeight="1">
      <c r="A112" s="119" t="s">
        <v>248</v>
      </c>
      <c r="B112" s="117" t="s">
        <v>249</v>
      </c>
      <c r="D112" s="185">
        <v>1317</v>
      </c>
      <c r="E112" s="185">
        <v>1219</v>
      </c>
      <c r="F112" s="184">
        <v>1232</v>
      </c>
      <c r="G112" s="184">
        <v>1227</v>
      </c>
      <c r="H112" s="160">
        <f>SUM(C112:G112)</f>
        <v>4995</v>
      </c>
    </row>
    <row r="113" spans="1:8" ht="12.75" customHeight="1">
      <c r="A113" s="119" t="s">
        <v>436</v>
      </c>
      <c r="B113" s="117" t="s">
        <v>437</v>
      </c>
      <c r="D113" s="185">
        <v>0</v>
      </c>
      <c r="E113" s="184">
        <v>0</v>
      </c>
      <c r="F113" s="184">
        <v>20000</v>
      </c>
      <c r="G113" s="198">
        <v>20000</v>
      </c>
      <c r="H113" s="160">
        <f>SUM(C113:G113)</f>
        <v>40000</v>
      </c>
    </row>
    <row r="114" spans="1:8" ht="12.75" customHeight="1">
      <c r="A114" s="119" t="s">
        <v>250</v>
      </c>
      <c r="B114" s="117" t="s">
        <v>251</v>
      </c>
      <c r="D114" s="190">
        <v>-2209</v>
      </c>
      <c r="E114" s="209">
        <v>0</v>
      </c>
      <c r="F114" s="184">
        <v>28793</v>
      </c>
      <c r="G114" s="184">
        <v>477</v>
      </c>
      <c r="H114" s="160">
        <f>SUM(C114:G114)</f>
        <v>27061</v>
      </c>
    </row>
    <row r="115" spans="1:8" ht="12.75" customHeight="1">
      <c r="A115" s="117" t="s">
        <v>391</v>
      </c>
      <c r="D115" s="185">
        <f>SUM(D104:D114)</f>
        <v>105017</v>
      </c>
      <c r="E115" s="185">
        <f>SUM(E104:E114)</f>
        <v>116015</v>
      </c>
      <c r="F115" s="184">
        <f>SUM(F104:F114)</f>
        <v>186829</v>
      </c>
      <c r="G115" s="184">
        <f>SUM(G104:G114)</f>
        <v>139435</v>
      </c>
      <c r="H115" s="184">
        <f>SUM(H104:H114)</f>
        <v>547296</v>
      </c>
    </row>
    <row r="116" spans="1:8" ht="12.75" customHeight="1"/>
    <row r="117" spans="1:8" ht="12.75" customHeight="1">
      <c r="A117" s="119" t="s">
        <v>258</v>
      </c>
      <c r="B117" s="117" t="s">
        <v>259</v>
      </c>
      <c r="D117" s="185">
        <v>0</v>
      </c>
      <c r="H117" s="160">
        <f>SUM(C117:E117)</f>
        <v>0</v>
      </c>
    </row>
    <row r="118" spans="1:8" ht="12.75" customHeight="1">
      <c r="A118" s="119" t="s">
        <v>260</v>
      </c>
      <c r="B118" s="117" t="s">
        <v>261</v>
      </c>
      <c r="D118" s="185">
        <v>473890</v>
      </c>
      <c r="E118" s="185">
        <v>457533</v>
      </c>
      <c r="F118" s="184">
        <v>450998</v>
      </c>
      <c r="G118" s="184">
        <v>448423</v>
      </c>
      <c r="H118" s="160">
        <f>SUM(C118:G118)</f>
        <v>1830844</v>
      </c>
    </row>
    <row r="119" spans="1:8" ht="12.75" customHeight="1">
      <c r="A119" s="119" t="s">
        <v>262</v>
      </c>
      <c r="B119" s="117" t="s">
        <v>263</v>
      </c>
      <c r="D119" s="185">
        <v>0</v>
      </c>
      <c r="E119" s="185">
        <v>0</v>
      </c>
      <c r="F119" s="184">
        <v>0</v>
      </c>
      <c r="H119" s="160">
        <f>SUM(C119:F119)</f>
        <v>0</v>
      </c>
    </row>
    <row r="120" spans="1:8" ht="12.75" customHeight="1">
      <c r="A120" s="119">
        <v>4630000</v>
      </c>
      <c r="B120" s="117" t="s">
        <v>265</v>
      </c>
      <c r="D120" s="185">
        <v>7750</v>
      </c>
      <c r="E120" s="185">
        <v>0</v>
      </c>
      <c r="F120" s="184">
        <v>0</v>
      </c>
      <c r="G120" s="184">
        <v>8219</v>
      </c>
      <c r="H120" s="160">
        <f>SUM(C120:G120)</f>
        <v>15969</v>
      </c>
    </row>
    <row r="121" spans="1:8" ht="12.75" customHeight="1">
      <c r="A121" s="119" t="s">
        <v>266</v>
      </c>
      <c r="B121" s="117" t="s">
        <v>267</v>
      </c>
      <c r="D121" s="185">
        <v>108560</v>
      </c>
      <c r="E121" s="185">
        <v>106683</v>
      </c>
      <c r="F121" s="184">
        <v>105985</v>
      </c>
      <c r="G121" s="184">
        <v>106445</v>
      </c>
      <c r="H121" s="160">
        <f>SUM(C121:G121)</f>
        <v>427673</v>
      </c>
    </row>
    <row r="122" spans="1:8" ht="12.75" customHeight="1">
      <c r="A122" s="119">
        <v>4642000</v>
      </c>
      <c r="B122" s="117" t="s">
        <v>462</v>
      </c>
      <c r="G122" s="184">
        <v>3012</v>
      </c>
      <c r="H122" s="160">
        <f>SUM(C122:G122)</f>
        <v>3012</v>
      </c>
    </row>
    <row r="123" spans="1:8" ht="12.75" customHeight="1">
      <c r="A123" s="119" t="s">
        <v>393</v>
      </c>
      <c r="D123" s="185">
        <f>SUM(D117:D121)</f>
        <v>590200</v>
      </c>
      <c r="E123" s="185">
        <f>SUM(E117:E121)</f>
        <v>564216</v>
      </c>
      <c r="F123" s="184">
        <f>SUM(F117:F121)</f>
        <v>556983</v>
      </c>
      <c r="G123" s="184">
        <f>SUM(G117:G122)</f>
        <v>566099</v>
      </c>
      <c r="H123" s="184">
        <f>SUM(H117:H122)</f>
        <v>2277498</v>
      </c>
    </row>
    <row r="124" spans="1:8" ht="12.75" customHeight="1"/>
    <row r="125" spans="1:8" ht="12.75" customHeight="1">
      <c r="A125" s="119">
        <v>9500000</v>
      </c>
      <c r="B125" s="117" t="s">
        <v>456</v>
      </c>
      <c r="D125" s="185">
        <v>1827377</v>
      </c>
      <c r="H125" s="160">
        <f>SUM(C125:G125)</f>
        <v>1827377</v>
      </c>
    </row>
    <row r="126" spans="1:8" ht="12.75" customHeight="1">
      <c r="A126" s="119" t="s">
        <v>272</v>
      </c>
      <c r="B126" s="117" t="s">
        <v>273</v>
      </c>
      <c r="D126" s="185">
        <v>278091</v>
      </c>
      <c r="E126" s="185">
        <v>293081</v>
      </c>
      <c r="F126" s="184">
        <v>-524916</v>
      </c>
      <c r="G126" s="184">
        <v>-118583</v>
      </c>
      <c r="H126" s="160">
        <f>SUM(C126:G126)</f>
        <v>-72327</v>
      </c>
    </row>
    <row r="127" spans="1:8" ht="12.75" customHeight="1">
      <c r="A127" s="119">
        <v>9500100</v>
      </c>
      <c r="B127" s="117" t="s">
        <v>438</v>
      </c>
      <c r="D127" s="185">
        <v>-154348</v>
      </c>
      <c r="F127" s="184">
        <v>0</v>
      </c>
      <c r="G127" s="184">
        <v>53597</v>
      </c>
      <c r="H127" s="160">
        <f>SUM(C127:G127)</f>
        <v>-100751</v>
      </c>
    </row>
    <row r="128" spans="1:8" ht="12.75" customHeight="1">
      <c r="A128" s="119" t="s">
        <v>439</v>
      </c>
      <c r="D128" s="185">
        <f>SUM(D125:D127)</f>
        <v>1951120</v>
      </c>
      <c r="E128" s="185">
        <f>SUM(E125:E127)</f>
        <v>293081</v>
      </c>
      <c r="F128" s="185">
        <f>SUM(F125:F127)</f>
        <v>-524916</v>
      </c>
      <c r="G128" s="185">
        <f>SUM(G125:G127)</f>
        <v>-64986</v>
      </c>
      <c r="H128" s="185">
        <f>SUM(H125:H127)</f>
        <v>1654299</v>
      </c>
    </row>
    <row r="129" spans="1:9" ht="12.75" customHeight="1"/>
    <row r="130" spans="1:9" ht="12.75" customHeight="1">
      <c r="A130" s="117" t="s">
        <v>440</v>
      </c>
      <c r="D130" s="185">
        <f>D72+D77+D80+D84+D94+D99+D102+D115+D123+D128</f>
        <v>269934</v>
      </c>
      <c r="E130" s="185">
        <f>E72+E77+E80+E84+E94+E99+E102+E115+E123+E128</f>
        <v>-1562289</v>
      </c>
      <c r="F130" s="184">
        <f>F72+F77+F80+F84+F94+F99+F102+F115+F123+F128</f>
        <v>-1422230</v>
      </c>
      <c r="G130" s="184">
        <f>G72+G77+G80+G84+G94+G99+G102+G115+G123+G128</f>
        <v>-970050</v>
      </c>
      <c r="H130" s="184">
        <f>H72+H77+H80+H84+H94+H99+H102+H115+H123+H128</f>
        <v>-3684635</v>
      </c>
    </row>
    <row r="131" spans="1:9" ht="12.75" customHeight="1"/>
    <row r="132" spans="1:9" ht="12.75" customHeight="1">
      <c r="C132" s="187"/>
      <c r="D132" s="187">
        <f>SUM(D4:D66)+D130</f>
        <v>0</v>
      </c>
      <c r="E132" s="187">
        <f>SUM(E4:E66)+E130</f>
        <v>0</v>
      </c>
      <c r="F132" s="195">
        <f>SUM(F4:F66)+F130</f>
        <v>0</v>
      </c>
      <c r="G132" s="195">
        <f>SUM(G4:G66)+G130</f>
        <v>0</v>
      </c>
      <c r="H132" s="187">
        <f>SUM(H4:H66)+H130</f>
        <v>0</v>
      </c>
    </row>
    <row r="133" spans="1:9" ht="12.75" customHeight="1"/>
    <row r="134" spans="1:9" ht="12.75" customHeight="1">
      <c r="H134" s="160">
        <f>3974568+271041</f>
        <v>4245609</v>
      </c>
      <c r="I134" s="117" t="s">
        <v>465</v>
      </c>
    </row>
    <row r="135" spans="1:9" ht="12.75" customHeight="1">
      <c r="H135" s="160">
        <f>-H130</f>
        <v>3684635</v>
      </c>
      <c r="I135" s="117" t="s">
        <v>466</v>
      </c>
    </row>
    <row r="136" spans="1:9" ht="12.75" customHeight="1">
      <c r="H136" s="210">
        <f>H134-H135</f>
        <v>560974</v>
      </c>
      <c r="I136" s="117" t="s">
        <v>467</v>
      </c>
    </row>
    <row r="137" spans="1:9" ht="12.75" customHeight="1">
      <c r="H137" s="160">
        <v>540977</v>
      </c>
      <c r="I137" s="117" t="s">
        <v>468</v>
      </c>
    </row>
    <row r="138" spans="1:9" ht="12.75" customHeight="1">
      <c r="H138" s="210">
        <f>H136-H137</f>
        <v>19997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D54-C4FA-4530-A12A-5D4FA7C3B9A8}">
  <dimension ref="A1:J138"/>
  <sheetViews>
    <sheetView zoomScale="70" zoomScaleNormal="70" workbookViewId="0">
      <selection activeCell="G85" sqref="G85"/>
    </sheetView>
  </sheetViews>
  <sheetFormatPr defaultRowHeight="14.4"/>
  <cols>
    <col min="1" max="1" width="20" style="119" bestFit="1" customWidth="1"/>
    <col min="2" max="2" width="66.33203125" style="117" bestFit="1" customWidth="1"/>
    <col min="3" max="4" width="21.33203125" style="185" customWidth="1"/>
    <col min="5" max="7" width="21.33203125" style="184" customWidth="1"/>
    <col min="8" max="8" width="17.33203125" style="160" bestFit="1" customWidth="1"/>
    <col min="9" max="9" width="11.109375" style="117" customWidth="1"/>
    <col min="10" max="10" width="21.33203125" style="187" customWidth="1"/>
    <col min="11" max="256" width="8.88671875" style="117"/>
    <col min="257" max="257" width="20" style="117" bestFit="1" customWidth="1"/>
    <col min="258" max="258" width="66.33203125" style="117" bestFit="1" customWidth="1"/>
    <col min="259" max="263" width="21.33203125" style="117" customWidth="1"/>
    <col min="264" max="264" width="17.33203125" style="117" bestFit="1" customWidth="1"/>
    <col min="265" max="265" width="11.109375" style="117" customWidth="1"/>
    <col min="266" max="266" width="21.33203125" style="117" customWidth="1"/>
    <col min="267" max="512" width="8.88671875" style="117"/>
    <col min="513" max="513" width="20" style="117" bestFit="1" customWidth="1"/>
    <col min="514" max="514" width="66.33203125" style="117" bestFit="1" customWidth="1"/>
    <col min="515" max="519" width="21.33203125" style="117" customWidth="1"/>
    <col min="520" max="520" width="17.33203125" style="117" bestFit="1" customWidth="1"/>
    <col min="521" max="521" width="11.109375" style="117" customWidth="1"/>
    <col min="522" max="522" width="21.33203125" style="117" customWidth="1"/>
    <col min="523" max="768" width="8.88671875" style="117"/>
    <col min="769" max="769" width="20" style="117" bestFit="1" customWidth="1"/>
    <col min="770" max="770" width="66.33203125" style="117" bestFit="1" customWidth="1"/>
    <col min="771" max="775" width="21.33203125" style="117" customWidth="1"/>
    <col min="776" max="776" width="17.33203125" style="117" bestFit="1" customWidth="1"/>
    <col min="777" max="777" width="11.109375" style="117" customWidth="1"/>
    <col min="778" max="778" width="21.33203125" style="117" customWidth="1"/>
    <col min="779" max="1024" width="8.88671875" style="117"/>
    <col min="1025" max="1025" width="20" style="117" bestFit="1" customWidth="1"/>
    <col min="1026" max="1026" width="66.33203125" style="117" bestFit="1" customWidth="1"/>
    <col min="1027" max="1031" width="21.33203125" style="117" customWidth="1"/>
    <col min="1032" max="1032" width="17.33203125" style="117" bestFit="1" customWidth="1"/>
    <col min="1033" max="1033" width="11.109375" style="117" customWidth="1"/>
    <col min="1034" max="1034" width="21.33203125" style="117" customWidth="1"/>
    <col min="1035" max="1280" width="8.88671875" style="117"/>
    <col min="1281" max="1281" width="20" style="117" bestFit="1" customWidth="1"/>
    <col min="1282" max="1282" width="66.33203125" style="117" bestFit="1" customWidth="1"/>
    <col min="1283" max="1287" width="21.33203125" style="117" customWidth="1"/>
    <col min="1288" max="1288" width="17.33203125" style="117" bestFit="1" customWidth="1"/>
    <col min="1289" max="1289" width="11.109375" style="117" customWidth="1"/>
    <col min="1290" max="1290" width="21.33203125" style="117" customWidth="1"/>
    <col min="1291" max="1536" width="8.88671875" style="117"/>
    <col min="1537" max="1537" width="20" style="117" bestFit="1" customWidth="1"/>
    <col min="1538" max="1538" width="66.33203125" style="117" bestFit="1" customWidth="1"/>
    <col min="1539" max="1543" width="21.33203125" style="117" customWidth="1"/>
    <col min="1544" max="1544" width="17.33203125" style="117" bestFit="1" customWidth="1"/>
    <col min="1545" max="1545" width="11.109375" style="117" customWidth="1"/>
    <col min="1546" max="1546" width="21.33203125" style="117" customWidth="1"/>
    <col min="1547" max="1792" width="8.88671875" style="117"/>
    <col min="1793" max="1793" width="20" style="117" bestFit="1" customWidth="1"/>
    <col min="1794" max="1794" width="66.33203125" style="117" bestFit="1" customWidth="1"/>
    <col min="1795" max="1799" width="21.33203125" style="117" customWidth="1"/>
    <col min="1800" max="1800" width="17.33203125" style="117" bestFit="1" customWidth="1"/>
    <col min="1801" max="1801" width="11.109375" style="117" customWidth="1"/>
    <col min="1802" max="1802" width="21.33203125" style="117" customWidth="1"/>
    <col min="1803" max="2048" width="8.88671875" style="117"/>
    <col min="2049" max="2049" width="20" style="117" bestFit="1" customWidth="1"/>
    <col min="2050" max="2050" width="66.33203125" style="117" bestFit="1" customWidth="1"/>
    <col min="2051" max="2055" width="21.33203125" style="117" customWidth="1"/>
    <col min="2056" max="2056" width="17.33203125" style="117" bestFit="1" customWidth="1"/>
    <col min="2057" max="2057" width="11.109375" style="117" customWidth="1"/>
    <col min="2058" max="2058" width="21.33203125" style="117" customWidth="1"/>
    <col min="2059" max="2304" width="8.88671875" style="117"/>
    <col min="2305" max="2305" width="20" style="117" bestFit="1" customWidth="1"/>
    <col min="2306" max="2306" width="66.33203125" style="117" bestFit="1" customWidth="1"/>
    <col min="2307" max="2311" width="21.33203125" style="117" customWidth="1"/>
    <col min="2312" max="2312" width="17.33203125" style="117" bestFit="1" customWidth="1"/>
    <col min="2313" max="2313" width="11.109375" style="117" customWidth="1"/>
    <col min="2314" max="2314" width="21.33203125" style="117" customWidth="1"/>
    <col min="2315" max="2560" width="8.88671875" style="117"/>
    <col min="2561" max="2561" width="20" style="117" bestFit="1" customWidth="1"/>
    <col min="2562" max="2562" width="66.33203125" style="117" bestFit="1" customWidth="1"/>
    <col min="2563" max="2567" width="21.33203125" style="117" customWidth="1"/>
    <col min="2568" max="2568" width="17.33203125" style="117" bestFit="1" customWidth="1"/>
    <col min="2569" max="2569" width="11.109375" style="117" customWidth="1"/>
    <col min="2570" max="2570" width="21.33203125" style="117" customWidth="1"/>
    <col min="2571" max="2816" width="8.88671875" style="117"/>
    <col min="2817" max="2817" width="20" style="117" bestFit="1" customWidth="1"/>
    <col min="2818" max="2818" width="66.33203125" style="117" bestFit="1" customWidth="1"/>
    <col min="2819" max="2823" width="21.33203125" style="117" customWidth="1"/>
    <col min="2824" max="2824" width="17.33203125" style="117" bestFit="1" customWidth="1"/>
    <col min="2825" max="2825" width="11.109375" style="117" customWidth="1"/>
    <col min="2826" max="2826" width="21.33203125" style="117" customWidth="1"/>
    <col min="2827" max="3072" width="8.88671875" style="117"/>
    <col min="3073" max="3073" width="20" style="117" bestFit="1" customWidth="1"/>
    <col min="3074" max="3074" width="66.33203125" style="117" bestFit="1" customWidth="1"/>
    <col min="3075" max="3079" width="21.33203125" style="117" customWidth="1"/>
    <col min="3080" max="3080" width="17.33203125" style="117" bestFit="1" customWidth="1"/>
    <col min="3081" max="3081" width="11.109375" style="117" customWidth="1"/>
    <col min="3082" max="3082" width="21.33203125" style="117" customWidth="1"/>
    <col min="3083" max="3328" width="8.88671875" style="117"/>
    <col min="3329" max="3329" width="20" style="117" bestFit="1" customWidth="1"/>
    <col min="3330" max="3330" width="66.33203125" style="117" bestFit="1" customWidth="1"/>
    <col min="3331" max="3335" width="21.33203125" style="117" customWidth="1"/>
    <col min="3336" max="3336" width="17.33203125" style="117" bestFit="1" customWidth="1"/>
    <col min="3337" max="3337" width="11.109375" style="117" customWidth="1"/>
    <col min="3338" max="3338" width="21.33203125" style="117" customWidth="1"/>
    <col min="3339" max="3584" width="8.88671875" style="117"/>
    <col min="3585" max="3585" width="20" style="117" bestFit="1" customWidth="1"/>
    <col min="3586" max="3586" width="66.33203125" style="117" bestFit="1" customWidth="1"/>
    <col min="3587" max="3591" width="21.33203125" style="117" customWidth="1"/>
    <col min="3592" max="3592" width="17.33203125" style="117" bestFit="1" customWidth="1"/>
    <col min="3593" max="3593" width="11.109375" style="117" customWidth="1"/>
    <col min="3594" max="3594" width="21.33203125" style="117" customWidth="1"/>
    <col min="3595" max="3840" width="8.88671875" style="117"/>
    <col min="3841" max="3841" width="20" style="117" bestFit="1" customWidth="1"/>
    <col min="3842" max="3842" width="66.33203125" style="117" bestFit="1" customWidth="1"/>
    <col min="3843" max="3847" width="21.33203125" style="117" customWidth="1"/>
    <col min="3848" max="3848" width="17.33203125" style="117" bestFit="1" customWidth="1"/>
    <col min="3849" max="3849" width="11.109375" style="117" customWidth="1"/>
    <col min="3850" max="3850" width="21.33203125" style="117" customWidth="1"/>
    <col min="3851" max="4096" width="8.88671875" style="117"/>
    <col min="4097" max="4097" width="20" style="117" bestFit="1" customWidth="1"/>
    <col min="4098" max="4098" width="66.33203125" style="117" bestFit="1" customWidth="1"/>
    <col min="4099" max="4103" width="21.33203125" style="117" customWidth="1"/>
    <col min="4104" max="4104" width="17.33203125" style="117" bestFit="1" customWidth="1"/>
    <col min="4105" max="4105" width="11.109375" style="117" customWidth="1"/>
    <col min="4106" max="4106" width="21.33203125" style="117" customWidth="1"/>
    <col min="4107" max="4352" width="8.88671875" style="117"/>
    <col min="4353" max="4353" width="20" style="117" bestFit="1" customWidth="1"/>
    <col min="4354" max="4354" width="66.33203125" style="117" bestFit="1" customWidth="1"/>
    <col min="4355" max="4359" width="21.33203125" style="117" customWidth="1"/>
    <col min="4360" max="4360" width="17.33203125" style="117" bestFit="1" customWidth="1"/>
    <col min="4361" max="4361" width="11.109375" style="117" customWidth="1"/>
    <col min="4362" max="4362" width="21.33203125" style="117" customWidth="1"/>
    <col min="4363" max="4608" width="8.88671875" style="117"/>
    <col min="4609" max="4609" width="20" style="117" bestFit="1" customWidth="1"/>
    <col min="4610" max="4610" width="66.33203125" style="117" bestFit="1" customWidth="1"/>
    <col min="4611" max="4615" width="21.33203125" style="117" customWidth="1"/>
    <col min="4616" max="4616" width="17.33203125" style="117" bestFit="1" customWidth="1"/>
    <col min="4617" max="4617" width="11.109375" style="117" customWidth="1"/>
    <col min="4618" max="4618" width="21.33203125" style="117" customWidth="1"/>
    <col min="4619" max="4864" width="8.88671875" style="117"/>
    <col min="4865" max="4865" width="20" style="117" bestFit="1" customWidth="1"/>
    <col min="4866" max="4866" width="66.33203125" style="117" bestFit="1" customWidth="1"/>
    <col min="4867" max="4871" width="21.33203125" style="117" customWidth="1"/>
    <col min="4872" max="4872" width="17.33203125" style="117" bestFit="1" customWidth="1"/>
    <col min="4873" max="4873" width="11.109375" style="117" customWidth="1"/>
    <col min="4874" max="4874" width="21.33203125" style="117" customWidth="1"/>
    <col min="4875" max="5120" width="8.88671875" style="117"/>
    <col min="5121" max="5121" width="20" style="117" bestFit="1" customWidth="1"/>
    <col min="5122" max="5122" width="66.33203125" style="117" bestFit="1" customWidth="1"/>
    <col min="5123" max="5127" width="21.33203125" style="117" customWidth="1"/>
    <col min="5128" max="5128" width="17.33203125" style="117" bestFit="1" customWidth="1"/>
    <col min="5129" max="5129" width="11.109375" style="117" customWidth="1"/>
    <col min="5130" max="5130" width="21.33203125" style="117" customWidth="1"/>
    <col min="5131" max="5376" width="8.88671875" style="117"/>
    <col min="5377" max="5377" width="20" style="117" bestFit="1" customWidth="1"/>
    <col min="5378" max="5378" width="66.33203125" style="117" bestFit="1" customWidth="1"/>
    <col min="5379" max="5383" width="21.33203125" style="117" customWidth="1"/>
    <col min="5384" max="5384" width="17.33203125" style="117" bestFit="1" customWidth="1"/>
    <col min="5385" max="5385" width="11.109375" style="117" customWidth="1"/>
    <col min="5386" max="5386" width="21.33203125" style="117" customWidth="1"/>
    <col min="5387" max="5632" width="8.88671875" style="117"/>
    <col min="5633" max="5633" width="20" style="117" bestFit="1" customWidth="1"/>
    <col min="5634" max="5634" width="66.33203125" style="117" bestFit="1" customWidth="1"/>
    <col min="5635" max="5639" width="21.33203125" style="117" customWidth="1"/>
    <col min="5640" max="5640" width="17.33203125" style="117" bestFit="1" customWidth="1"/>
    <col min="5641" max="5641" width="11.109375" style="117" customWidth="1"/>
    <col min="5642" max="5642" width="21.33203125" style="117" customWidth="1"/>
    <col min="5643" max="5888" width="8.88671875" style="117"/>
    <col min="5889" max="5889" width="20" style="117" bestFit="1" customWidth="1"/>
    <col min="5890" max="5890" width="66.33203125" style="117" bestFit="1" customWidth="1"/>
    <col min="5891" max="5895" width="21.33203125" style="117" customWidth="1"/>
    <col min="5896" max="5896" width="17.33203125" style="117" bestFit="1" customWidth="1"/>
    <col min="5897" max="5897" width="11.109375" style="117" customWidth="1"/>
    <col min="5898" max="5898" width="21.33203125" style="117" customWidth="1"/>
    <col min="5899" max="6144" width="8.88671875" style="117"/>
    <col min="6145" max="6145" width="20" style="117" bestFit="1" customWidth="1"/>
    <col min="6146" max="6146" width="66.33203125" style="117" bestFit="1" customWidth="1"/>
    <col min="6147" max="6151" width="21.33203125" style="117" customWidth="1"/>
    <col min="6152" max="6152" width="17.33203125" style="117" bestFit="1" customWidth="1"/>
    <col min="6153" max="6153" width="11.109375" style="117" customWidth="1"/>
    <col min="6154" max="6154" width="21.33203125" style="117" customWidth="1"/>
    <col min="6155" max="6400" width="8.88671875" style="117"/>
    <col min="6401" max="6401" width="20" style="117" bestFit="1" customWidth="1"/>
    <col min="6402" max="6402" width="66.33203125" style="117" bestFit="1" customWidth="1"/>
    <col min="6403" max="6407" width="21.33203125" style="117" customWidth="1"/>
    <col min="6408" max="6408" width="17.33203125" style="117" bestFit="1" customWidth="1"/>
    <col min="6409" max="6409" width="11.109375" style="117" customWidth="1"/>
    <col min="6410" max="6410" width="21.33203125" style="117" customWidth="1"/>
    <col min="6411" max="6656" width="8.88671875" style="117"/>
    <col min="6657" max="6657" width="20" style="117" bestFit="1" customWidth="1"/>
    <col min="6658" max="6658" width="66.33203125" style="117" bestFit="1" customWidth="1"/>
    <col min="6659" max="6663" width="21.33203125" style="117" customWidth="1"/>
    <col min="6664" max="6664" width="17.33203125" style="117" bestFit="1" customWidth="1"/>
    <col min="6665" max="6665" width="11.109375" style="117" customWidth="1"/>
    <col min="6666" max="6666" width="21.33203125" style="117" customWidth="1"/>
    <col min="6667" max="6912" width="8.88671875" style="117"/>
    <col min="6913" max="6913" width="20" style="117" bestFit="1" customWidth="1"/>
    <col min="6914" max="6914" width="66.33203125" style="117" bestFit="1" customWidth="1"/>
    <col min="6915" max="6919" width="21.33203125" style="117" customWidth="1"/>
    <col min="6920" max="6920" width="17.33203125" style="117" bestFit="1" customWidth="1"/>
    <col min="6921" max="6921" width="11.109375" style="117" customWidth="1"/>
    <col min="6922" max="6922" width="21.33203125" style="117" customWidth="1"/>
    <col min="6923" max="7168" width="8.88671875" style="117"/>
    <col min="7169" max="7169" width="20" style="117" bestFit="1" customWidth="1"/>
    <col min="7170" max="7170" width="66.33203125" style="117" bestFit="1" customWidth="1"/>
    <col min="7171" max="7175" width="21.33203125" style="117" customWidth="1"/>
    <col min="7176" max="7176" width="17.33203125" style="117" bestFit="1" customWidth="1"/>
    <col min="7177" max="7177" width="11.109375" style="117" customWidth="1"/>
    <col min="7178" max="7178" width="21.33203125" style="117" customWidth="1"/>
    <col min="7179" max="7424" width="8.88671875" style="117"/>
    <col min="7425" max="7425" width="20" style="117" bestFit="1" customWidth="1"/>
    <col min="7426" max="7426" width="66.33203125" style="117" bestFit="1" customWidth="1"/>
    <col min="7427" max="7431" width="21.33203125" style="117" customWidth="1"/>
    <col min="7432" max="7432" width="17.33203125" style="117" bestFit="1" customWidth="1"/>
    <col min="7433" max="7433" width="11.109375" style="117" customWidth="1"/>
    <col min="7434" max="7434" width="21.33203125" style="117" customWidth="1"/>
    <col min="7435" max="7680" width="8.88671875" style="117"/>
    <col min="7681" max="7681" width="20" style="117" bestFit="1" customWidth="1"/>
    <col min="7682" max="7682" width="66.33203125" style="117" bestFit="1" customWidth="1"/>
    <col min="7683" max="7687" width="21.33203125" style="117" customWidth="1"/>
    <col min="7688" max="7688" width="17.33203125" style="117" bestFit="1" customWidth="1"/>
    <col min="7689" max="7689" width="11.109375" style="117" customWidth="1"/>
    <col min="7690" max="7690" width="21.33203125" style="117" customWidth="1"/>
    <col min="7691" max="7936" width="8.88671875" style="117"/>
    <col min="7937" max="7937" width="20" style="117" bestFit="1" customWidth="1"/>
    <col min="7938" max="7938" width="66.33203125" style="117" bestFit="1" customWidth="1"/>
    <col min="7939" max="7943" width="21.33203125" style="117" customWidth="1"/>
    <col min="7944" max="7944" width="17.33203125" style="117" bestFit="1" customWidth="1"/>
    <col min="7945" max="7945" width="11.109375" style="117" customWidth="1"/>
    <col min="7946" max="7946" width="21.33203125" style="117" customWidth="1"/>
    <col min="7947" max="8192" width="8.88671875" style="117"/>
    <col min="8193" max="8193" width="20" style="117" bestFit="1" customWidth="1"/>
    <col min="8194" max="8194" width="66.33203125" style="117" bestFit="1" customWidth="1"/>
    <col min="8195" max="8199" width="21.33203125" style="117" customWidth="1"/>
    <col min="8200" max="8200" width="17.33203125" style="117" bestFit="1" customWidth="1"/>
    <col min="8201" max="8201" width="11.109375" style="117" customWidth="1"/>
    <col min="8202" max="8202" width="21.33203125" style="117" customWidth="1"/>
    <col min="8203" max="8448" width="8.88671875" style="117"/>
    <col min="8449" max="8449" width="20" style="117" bestFit="1" customWidth="1"/>
    <col min="8450" max="8450" width="66.33203125" style="117" bestFit="1" customWidth="1"/>
    <col min="8451" max="8455" width="21.33203125" style="117" customWidth="1"/>
    <col min="8456" max="8456" width="17.33203125" style="117" bestFit="1" customWidth="1"/>
    <col min="8457" max="8457" width="11.109375" style="117" customWidth="1"/>
    <col min="8458" max="8458" width="21.33203125" style="117" customWidth="1"/>
    <col min="8459" max="8704" width="8.88671875" style="117"/>
    <col min="8705" max="8705" width="20" style="117" bestFit="1" customWidth="1"/>
    <col min="8706" max="8706" width="66.33203125" style="117" bestFit="1" customWidth="1"/>
    <col min="8707" max="8711" width="21.33203125" style="117" customWidth="1"/>
    <col min="8712" max="8712" width="17.33203125" style="117" bestFit="1" customWidth="1"/>
    <col min="8713" max="8713" width="11.109375" style="117" customWidth="1"/>
    <col min="8714" max="8714" width="21.33203125" style="117" customWidth="1"/>
    <col min="8715" max="8960" width="8.88671875" style="117"/>
    <col min="8961" max="8961" width="20" style="117" bestFit="1" customWidth="1"/>
    <col min="8962" max="8962" width="66.33203125" style="117" bestFit="1" customWidth="1"/>
    <col min="8963" max="8967" width="21.33203125" style="117" customWidth="1"/>
    <col min="8968" max="8968" width="17.33203125" style="117" bestFit="1" customWidth="1"/>
    <col min="8969" max="8969" width="11.109375" style="117" customWidth="1"/>
    <col min="8970" max="8970" width="21.33203125" style="117" customWidth="1"/>
    <col min="8971" max="9216" width="8.88671875" style="117"/>
    <col min="9217" max="9217" width="20" style="117" bestFit="1" customWidth="1"/>
    <col min="9218" max="9218" width="66.33203125" style="117" bestFit="1" customWidth="1"/>
    <col min="9219" max="9223" width="21.33203125" style="117" customWidth="1"/>
    <col min="9224" max="9224" width="17.33203125" style="117" bestFit="1" customWidth="1"/>
    <col min="9225" max="9225" width="11.109375" style="117" customWidth="1"/>
    <col min="9226" max="9226" width="21.33203125" style="117" customWidth="1"/>
    <col min="9227" max="9472" width="8.88671875" style="117"/>
    <col min="9473" max="9473" width="20" style="117" bestFit="1" customWidth="1"/>
    <col min="9474" max="9474" width="66.33203125" style="117" bestFit="1" customWidth="1"/>
    <col min="9475" max="9479" width="21.33203125" style="117" customWidth="1"/>
    <col min="9480" max="9480" width="17.33203125" style="117" bestFit="1" customWidth="1"/>
    <col min="9481" max="9481" width="11.109375" style="117" customWidth="1"/>
    <col min="9482" max="9482" width="21.33203125" style="117" customWidth="1"/>
    <col min="9483" max="9728" width="8.88671875" style="117"/>
    <col min="9729" max="9729" width="20" style="117" bestFit="1" customWidth="1"/>
    <col min="9730" max="9730" width="66.33203125" style="117" bestFit="1" customWidth="1"/>
    <col min="9731" max="9735" width="21.33203125" style="117" customWidth="1"/>
    <col min="9736" max="9736" width="17.33203125" style="117" bestFit="1" customWidth="1"/>
    <col min="9737" max="9737" width="11.109375" style="117" customWidth="1"/>
    <col min="9738" max="9738" width="21.33203125" style="117" customWidth="1"/>
    <col min="9739" max="9984" width="8.88671875" style="117"/>
    <col min="9985" max="9985" width="20" style="117" bestFit="1" customWidth="1"/>
    <col min="9986" max="9986" width="66.33203125" style="117" bestFit="1" customWidth="1"/>
    <col min="9987" max="9991" width="21.33203125" style="117" customWidth="1"/>
    <col min="9992" max="9992" width="17.33203125" style="117" bestFit="1" customWidth="1"/>
    <col min="9993" max="9993" width="11.109375" style="117" customWidth="1"/>
    <col min="9994" max="9994" width="21.33203125" style="117" customWidth="1"/>
    <col min="9995" max="10240" width="8.88671875" style="117"/>
    <col min="10241" max="10241" width="20" style="117" bestFit="1" customWidth="1"/>
    <col min="10242" max="10242" width="66.33203125" style="117" bestFit="1" customWidth="1"/>
    <col min="10243" max="10247" width="21.33203125" style="117" customWidth="1"/>
    <col min="10248" max="10248" width="17.33203125" style="117" bestFit="1" customWidth="1"/>
    <col min="10249" max="10249" width="11.109375" style="117" customWidth="1"/>
    <col min="10250" max="10250" width="21.33203125" style="117" customWidth="1"/>
    <col min="10251" max="10496" width="8.88671875" style="117"/>
    <col min="10497" max="10497" width="20" style="117" bestFit="1" customWidth="1"/>
    <col min="10498" max="10498" width="66.33203125" style="117" bestFit="1" customWidth="1"/>
    <col min="10499" max="10503" width="21.33203125" style="117" customWidth="1"/>
    <col min="10504" max="10504" width="17.33203125" style="117" bestFit="1" customWidth="1"/>
    <col min="10505" max="10505" width="11.109375" style="117" customWidth="1"/>
    <col min="10506" max="10506" width="21.33203125" style="117" customWidth="1"/>
    <col min="10507" max="10752" width="8.88671875" style="117"/>
    <col min="10753" max="10753" width="20" style="117" bestFit="1" customWidth="1"/>
    <col min="10754" max="10754" width="66.33203125" style="117" bestFit="1" customWidth="1"/>
    <col min="10755" max="10759" width="21.33203125" style="117" customWidth="1"/>
    <col min="10760" max="10760" width="17.33203125" style="117" bestFit="1" customWidth="1"/>
    <col min="10761" max="10761" width="11.109375" style="117" customWidth="1"/>
    <col min="10762" max="10762" width="21.33203125" style="117" customWidth="1"/>
    <col min="10763" max="11008" width="8.88671875" style="117"/>
    <col min="11009" max="11009" width="20" style="117" bestFit="1" customWidth="1"/>
    <col min="11010" max="11010" width="66.33203125" style="117" bestFit="1" customWidth="1"/>
    <col min="11011" max="11015" width="21.33203125" style="117" customWidth="1"/>
    <col min="11016" max="11016" width="17.33203125" style="117" bestFit="1" customWidth="1"/>
    <col min="11017" max="11017" width="11.109375" style="117" customWidth="1"/>
    <col min="11018" max="11018" width="21.33203125" style="117" customWidth="1"/>
    <col min="11019" max="11264" width="8.88671875" style="117"/>
    <col min="11265" max="11265" width="20" style="117" bestFit="1" customWidth="1"/>
    <col min="11266" max="11266" width="66.33203125" style="117" bestFit="1" customWidth="1"/>
    <col min="11267" max="11271" width="21.33203125" style="117" customWidth="1"/>
    <col min="11272" max="11272" width="17.33203125" style="117" bestFit="1" customWidth="1"/>
    <col min="11273" max="11273" width="11.109375" style="117" customWidth="1"/>
    <col min="11274" max="11274" width="21.33203125" style="117" customWidth="1"/>
    <col min="11275" max="11520" width="8.88671875" style="117"/>
    <col min="11521" max="11521" width="20" style="117" bestFit="1" customWidth="1"/>
    <col min="11522" max="11522" width="66.33203125" style="117" bestFit="1" customWidth="1"/>
    <col min="11523" max="11527" width="21.33203125" style="117" customWidth="1"/>
    <col min="11528" max="11528" width="17.33203125" style="117" bestFit="1" customWidth="1"/>
    <col min="11529" max="11529" width="11.109375" style="117" customWidth="1"/>
    <col min="11530" max="11530" width="21.33203125" style="117" customWidth="1"/>
    <col min="11531" max="11776" width="8.88671875" style="117"/>
    <col min="11777" max="11777" width="20" style="117" bestFit="1" customWidth="1"/>
    <col min="11778" max="11778" width="66.33203125" style="117" bestFit="1" customWidth="1"/>
    <col min="11779" max="11783" width="21.33203125" style="117" customWidth="1"/>
    <col min="11784" max="11784" width="17.33203125" style="117" bestFit="1" customWidth="1"/>
    <col min="11785" max="11785" width="11.109375" style="117" customWidth="1"/>
    <col min="11786" max="11786" width="21.33203125" style="117" customWidth="1"/>
    <col min="11787" max="12032" width="8.88671875" style="117"/>
    <col min="12033" max="12033" width="20" style="117" bestFit="1" customWidth="1"/>
    <col min="12034" max="12034" width="66.33203125" style="117" bestFit="1" customWidth="1"/>
    <col min="12035" max="12039" width="21.33203125" style="117" customWidth="1"/>
    <col min="12040" max="12040" width="17.33203125" style="117" bestFit="1" customWidth="1"/>
    <col min="12041" max="12041" width="11.109375" style="117" customWidth="1"/>
    <col min="12042" max="12042" width="21.33203125" style="117" customWidth="1"/>
    <col min="12043" max="12288" width="8.88671875" style="117"/>
    <col min="12289" max="12289" width="20" style="117" bestFit="1" customWidth="1"/>
    <col min="12290" max="12290" width="66.33203125" style="117" bestFit="1" customWidth="1"/>
    <col min="12291" max="12295" width="21.33203125" style="117" customWidth="1"/>
    <col min="12296" max="12296" width="17.33203125" style="117" bestFit="1" customWidth="1"/>
    <col min="12297" max="12297" width="11.109375" style="117" customWidth="1"/>
    <col min="12298" max="12298" width="21.33203125" style="117" customWidth="1"/>
    <col min="12299" max="12544" width="8.88671875" style="117"/>
    <col min="12545" max="12545" width="20" style="117" bestFit="1" customWidth="1"/>
    <col min="12546" max="12546" width="66.33203125" style="117" bestFit="1" customWidth="1"/>
    <col min="12547" max="12551" width="21.33203125" style="117" customWidth="1"/>
    <col min="12552" max="12552" width="17.33203125" style="117" bestFit="1" customWidth="1"/>
    <col min="12553" max="12553" width="11.109375" style="117" customWidth="1"/>
    <col min="12554" max="12554" width="21.33203125" style="117" customWidth="1"/>
    <col min="12555" max="12800" width="8.88671875" style="117"/>
    <col min="12801" max="12801" width="20" style="117" bestFit="1" customWidth="1"/>
    <col min="12802" max="12802" width="66.33203125" style="117" bestFit="1" customWidth="1"/>
    <col min="12803" max="12807" width="21.33203125" style="117" customWidth="1"/>
    <col min="12808" max="12808" width="17.33203125" style="117" bestFit="1" customWidth="1"/>
    <col min="12809" max="12809" width="11.109375" style="117" customWidth="1"/>
    <col min="12810" max="12810" width="21.33203125" style="117" customWidth="1"/>
    <col min="12811" max="13056" width="8.88671875" style="117"/>
    <col min="13057" max="13057" width="20" style="117" bestFit="1" customWidth="1"/>
    <col min="13058" max="13058" width="66.33203125" style="117" bestFit="1" customWidth="1"/>
    <col min="13059" max="13063" width="21.33203125" style="117" customWidth="1"/>
    <col min="13064" max="13064" width="17.33203125" style="117" bestFit="1" customWidth="1"/>
    <col min="13065" max="13065" width="11.109375" style="117" customWidth="1"/>
    <col min="13066" max="13066" width="21.33203125" style="117" customWidth="1"/>
    <col min="13067" max="13312" width="8.88671875" style="117"/>
    <col min="13313" max="13313" width="20" style="117" bestFit="1" customWidth="1"/>
    <col min="13314" max="13314" width="66.33203125" style="117" bestFit="1" customWidth="1"/>
    <col min="13315" max="13319" width="21.33203125" style="117" customWidth="1"/>
    <col min="13320" max="13320" width="17.33203125" style="117" bestFit="1" customWidth="1"/>
    <col min="13321" max="13321" width="11.109375" style="117" customWidth="1"/>
    <col min="13322" max="13322" width="21.33203125" style="117" customWidth="1"/>
    <col min="13323" max="13568" width="8.88671875" style="117"/>
    <col min="13569" max="13569" width="20" style="117" bestFit="1" customWidth="1"/>
    <col min="13570" max="13570" width="66.33203125" style="117" bestFit="1" customWidth="1"/>
    <col min="13571" max="13575" width="21.33203125" style="117" customWidth="1"/>
    <col min="13576" max="13576" width="17.33203125" style="117" bestFit="1" customWidth="1"/>
    <col min="13577" max="13577" width="11.109375" style="117" customWidth="1"/>
    <col min="13578" max="13578" width="21.33203125" style="117" customWidth="1"/>
    <col min="13579" max="13824" width="8.88671875" style="117"/>
    <col min="13825" max="13825" width="20" style="117" bestFit="1" customWidth="1"/>
    <col min="13826" max="13826" width="66.33203125" style="117" bestFit="1" customWidth="1"/>
    <col min="13827" max="13831" width="21.33203125" style="117" customWidth="1"/>
    <col min="13832" max="13832" width="17.33203125" style="117" bestFit="1" customWidth="1"/>
    <col min="13833" max="13833" width="11.109375" style="117" customWidth="1"/>
    <col min="13834" max="13834" width="21.33203125" style="117" customWidth="1"/>
    <col min="13835" max="14080" width="8.88671875" style="117"/>
    <col min="14081" max="14081" width="20" style="117" bestFit="1" customWidth="1"/>
    <col min="14082" max="14082" width="66.33203125" style="117" bestFit="1" customWidth="1"/>
    <col min="14083" max="14087" width="21.33203125" style="117" customWidth="1"/>
    <col min="14088" max="14088" width="17.33203125" style="117" bestFit="1" customWidth="1"/>
    <col min="14089" max="14089" width="11.109375" style="117" customWidth="1"/>
    <col min="14090" max="14090" width="21.33203125" style="117" customWidth="1"/>
    <col min="14091" max="14336" width="8.88671875" style="117"/>
    <col min="14337" max="14337" width="20" style="117" bestFit="1" customWidth="1"/>
    <col min="14338" max="14338" width="66.33203125" style="117" bestFit="1" customWidth="1"/>
    <col min="14339" max="14343" width="21.33203125" style="117" customWidth="1"/>
    <col min="14344" max="14344" width="17.33203125" style="117" bestFit="1" customWidth="1"/>
    <col min="14345" max="14345" width="11.109375" style="117" customWidth="1"/>
    <col min="14346" max="14346" width="21.33203125" style="117" customWidth="1"/>
    <col min="14347" max="14592" width="8.88671875" style="117"/>
    <col min="14593" max="14593" width="20" style="117" bestFit="1" customWidth="1"/>
    <col min="14594" max="14594" width="66.33203125" style="117" bestFit="1" customWidth="1"/>
    <col min="14595" max="14599" width="21.33203125" style="117" customWidth="1"/>
    <col min="14600" max="14600" width="17.33203125" style="117" bestFit="1" customWidth="1"/>
    <col min="14601" max="14601" width="11.109375" style="117" customWidth="1"/>
    <col min="14602" max="14602" width="21.33203125" style="117" customWidth="1"/>
    <col min="14603" max="14848" width="8.88671875" style="117"/>
    <col min="14849" max="14849" width="20" style="117" bestFit="1" customWidth="1"/>
    <col min="14850" max="14850" width="66.33203125" style="117" bestFit="1" customWidth="1"/>
    <col min="14851" max="14855" width="21.33203125" style="117" customWidth="1"/>
    <col min="14856" max="14856" width="17.33203125" style="117" bestFit="1" customWidth="1"/>
    <col min="14857" max="14857" width="11.109375" style="117" customWidth="1"/>
    <col min="14858" max="14858" width="21.33203125" style="117" customWidth="1"/>
    <col min="14859" max="15104" width="8.88671875" style="117"/>
    <col min="15105" max="15105" width="20" style="117" bestFit="1" customWidth="1"/>
    <col min="15106" max="15106" width="66.33203125" style="117" bestFit="1" customWidth="1"/>
    <col min="15107" max="15111" width="21.33203125" style="117" customWidth="1"/>
    <col min="15112" max="15112" width="17.33203125" style="117" bestFit="1" customWidth="1"/>
    <col min="15113" max="15113" width="11.109375" style="117" customWidth="1"/>
    <col min="15114" max="15114" width="21.33203125" style="117" customWidth="1"/>
    <col min="15115" max="15360" width="8.88671875" style="117"/>
    <col min="15361" max="15361" width="20" style="117" bestFit="1" customWidth="1"/>
    <col min="15362" max="15362" width="66.33203125" style="117" bestFit="1" customWidth="1"/>
    <col min="15363" max="15367" width="21.33203125" style="117" customWidth="1"/>
    <col min="15368" max="15368" width="17.33203125" style="117" bestFit="1" customWidth="1"/>
    <col min="15369" max="15369" width="11.109375" style="117" customWidth="1"/>
    <col min="15370" max="15370" width="21.33203125" style="117" customWidth="1"/>
    <col min="15371" max="15616" width="8.88671875" style="117"/>
    <col min="15617" max="15617" width="20" style="117" bestFit="1" customWidth="1"/>
    <col min="15618" max="15618" width="66.33203125" style="117" bestFit="1" customWidth="1"/>
    <col min="15619" max="15623" width="21.33203125" style="117" customWidth="1"/>
    <col min="15624" max="15624" width="17.33203125" style="117" bestFit="1" customWidth="1"/>
    <col min="15625" max="15625" width="11.109375" style="117" customWidth="1"/>
    <col min="15626" max="15626" width="21.33203125" style="117" customWidth="1"/>
    <col min="15627" max="15872" width="8.88671875" style="117"/>
    <col min="15873" max="15873" width="20" style="117" bestFit="1" customWidth="1"/>
    <col min="15874" max="15874" width="66.33203125" style="117" bestFit="1" customWidth="1"/>
    <col min="15875" max="15879" width="21.33203125" style="117" customWidth="1"/>
    <col min="15880" max="15880" width="17.33203125" style="117" bestFit="1" customWidth="1"/>
    <col min="15881" max="15881" width="11.109375" style="117" customWidth="1"/>
    <col min="15882" max="15882" width="21.33203125" style="117" customWidth="1"/>
    <col min="15883" max="16128" width="8.88671875" style="117"/>
    <col min="16129" max="16129" width="20" style="117" bestFit="1" customWidth="1"/>
    <col min="16130" max="16130" width="66.33203125" style="117" bestFit="1" customWidth="1"/>
    <col min="16131" max="16135" width="21.33203125" style="117" customWidth="1"/>
    <col min="16136" max="16136" width="17.33203125" style="117" bestFit="1" customWidth="1"/>
    <col min="16137" max="16137" width="11.109375" style="117" customWidth="1"/>
    <col min="16138" max="16138" width="21.33203125" style="117" customWidth="1"/>
    <col min="16139" max="16384" width="8.88671875" style="117"/>
  </cols>
  <sheetData>
    <row r="1" spans="1:9" ht="12.75" customHeight="1">
      <c r="C1" s="185" t="s">
        <v>469</v>
      </c>
      <c r="D1" s="185" t="s">
        <v>449</v>
      </c>
      <c r="E1" s="184" t="s">
        <v>454</v>
      </c>
      <c r="F1" s="208" t="s">
        <v>460</v>
      </c>
      <c r="G1" s="208" t="s">
        <v>470</v>
      </c>
      <c r="H1" s="160" t="s">
        <v>471</v>
      </c>
    </row>
    <row r="2" spans="1:9" ht="12.75" customHeight="1"/>
    <row r="3" spans="1:9" ht="12.75" customHeight="1">
      <c r="A3" s="118" t="s">
        <v>16</v>
      </c>
      <c r="D3" s="208"/>
    </row>
    <row r="4" spans="1:9" ht="12.75" customHeight="1">
      <c r="A4" s="119">
        <v>1600200</v>
      </c>
      <c r="B4" s="117" t="s">
        <v>22</v>
      </c>
      <c r="C4" s="184">
        <v>133211445</v>
      </c>
      <c r="D4" s="208">
        <v>-3658477</v>
      </c>
      <c r="E4" s="184">
        <v>153567</v>
      </c>
      <c r="G4" s="184">
        <v>74328</v>
      </c>
      <c r="H4" s="160">
        <f>SUM(C4:G4)</f>
        <v>129780863</v>
      </c>
      <c r="I4" s="120"/>
    </row>
    <row r="5" spans="1:9" ht="12.75" customHeight="1">
      <c r="A5" s="119" t="s">
        <v>23</v>
      </c>
      <c r="B5" s="117" t="s">
        <v>24</v>
      </c>
      <c r="C5" s="185">
        <v>-10576993</v>
      </c>
      <c r="D5" s="208">
        <v>-380013</v>
      </c>
      <c r="E5" s="184">
        <f>-630199</f>
        <v>-630199</v>
      </c>
      <c r="F5" s="184">
        <v>-653151</v>
      </c>
      <c r="G5" s="184">
        <v>-654632</v>
      </c>
      <c r="H5" s="160">
        <f>SUM(C5:G5)</f>
        <v>-12894988</v>
      </c>
    </row>
    <row r="6" spans="1:9" ht="12.75" customHeight="1">
      <c r="A6" s="119" t="s">
        <v>25</v>
      </c>
      <c r="B6" s="117" t="s">
        <v>26</v>
      </c>
      <c r="C6" s="190">
        <v>-3658477</v>
      </c>
      <c r="D6" s="191">
        <v>2472387</v>
      </c>
      <c r="E6" s="191">
        <v>-841866</v>
      </c>
      <c r="F6" s="191">
        <v>-947310</v>
      </c>
      <c r="G6" s="191">
        <v>-1073484</v>
      </c>
      <c r="H6" s="160">
        <f>SUM(C6:G6)</f>
        <v>-4048750</v>
      </c>
    </row>
    <row r="7" spans="1:9" ht="12.75" customHeight="1">
      <c r="A7" s="119" t="s">
        <v>427</v>
      </c>
      <c r="B7" s="117" t="s">
        <v>428</v>
      </c>
      <c r="C7" s="185">
        <v>262925</v>
      </c>
      <c r="D7" s="208">
        <v>-162402</v>
      </c>
      <c r="E7" s="184">
        <v>76100</v>
      </c>
      <c r="F7" s="184">
        <v>90299</v>
      </c>
      <c r="G7" s="184">
        <v>110448</v>
      </c>
      <c r="H7" s="160">
        <f>SUM(C7:G7)</f>
        <v>377370</v>
      </c>
    </row>
    <row r="8" spans="1:9" ht="12.75" customHeight="1">
      <c r="A8" s="117" t="s">
        <v>351</v>
      </c>
      <c r="D8" s="208"/>
      <c r="I8" s="120"/>
    </row>
    <row r="9" spans="1:9" ht="12.75" customHeight="1">
      <c r="D9" s="208"/>
    </row>
    <row r="10" spans="1:9" ht="12.75" customHeight="1">
      <c r="A10" s="119" t="s">
        <v>35</v>
      </c>
      <c r="B10" s="117" t="s">
        <v>36</v>
      </c>
      <c r="C10" s="185">
        <v>2582604</v>
      </c>
      <c r="D10" s="208">
        <v>-293081</v>
      </c>
      <c r="E10" s="184">
        <v>524916</v>
      </c>
      <c r="F10" s="184">
        <v>118583</v>
      </c>
      <c r="G10" s="184">
        <v>576960</v>
      </c>
      <c r="H10" s="160">
        <f>SUM(C10:G10)</f>
        <v>3509982</v>
      </c>
    </row>
    <row r="11" spans="1:9" ht="12.75" customHeight="1">
      <c r="A11" s="117" t="s">
        <v>352</v>
      </c>
      <c r="D11" s="208"/>
    </row>
    <row r="12" spans="1:9" ht="12.75" customHeight="1">
      <c r="D12" s="208"/>
    </row>
    <row r="13" spans="1:9" ht="12.75" customHeight="1">
      <c r="A13" s="119" t="s">
        <v>41</v>
      </c>
      <c r="B13" s="117" t="s">
        <v>42</v>
      </c>
      <c r="C13" s="185">
        <v>72874</v>
      </c>
      <c r="D13" s="208">
        <v>220477</v>
      </c>
      <c r="E13" s="184">
        <v>-208231</v>
      </c>
      <c r="F13" s="184">
        <v>316526</v>
      </c>
      <c r="G13" s="184">
        <v>-108369</v>
      </c>
      <c r="H13" s="160">
        <f>SUM(C13:G13)</f>
        <v>293277</v>
      </c>
    </row>
    <row r="14" spans="1:9" ht="12.75" customHeight="1">
      <c r="A14" s="119" t="s">
        <v>43</v>
      </c>
      <c r="B14" s="117" t="s">
        <v>44</v>
      </c>
      <c r="C14" s="185">
        <v>-55541</v>
      </c>
      <c r="D14" s="208">
        <v>0</v>
      </c>
      <c r="G14" s="184">
        <v>0</v>
      </c>
      <c r="H14" s="160">
        <f>SUM(C14:G14)</f>
        <v>-55541</v>
      </c>
    </row>
    <row r="15" spans="1:9" ht="12.75" customHeight="1">
      <c r="A15" s="117" t="s">
        <v>353</v>
      </c>
      <c r="D15" s="208"/>
    </row>
    <row r="16" spans="1:9" ht="12.75" customHeight="1">
      <c r="D16" s="208"/>
    </row>
    <row r="17" spans="1:8" ht="12.75" customHeight="1">
      <c r="A17" s="119">
        <v>2640000</v>
      </c>
      <c r="B17" s="117" t="s">
        <v>48</v>
      </c>
      <c r="C17" s="185">
        <v>-1913400</v>
      </c>
      <c r="D17" s="208"/>
      <c r="F17" s="184">
        <v>1642583</v>
      </c>
      <c r="G17" s="184">
        <v>1116604</v>
      </c>
      <c r="H17" s="160">
        <f>SUM(C17:G17)</f>
        <v>845787</v>
      </c>
    </row>
    <row r="18" spans="1:8" ht="12.75" customHeight="1">
      <c r="A18" s="117" t="s">
        <v>357</v>
      </c>
      <c r="D18" s="208"/>
    </row>
    <row r="19" spans="1:8" ht="12.75" customHeight="1">
      <c r="D19" s="208"/>
    </row>
    <row r="20" spans="1:8" ht="12.75" customHeight="1">
      <c r="A20" s="119">
        <v>2040200</v>
      </c>
      <c r="B20" s="117" t="s">
        <v>447</v>
      </c>
      <c r="C20" s="185">
        <v>5000</v>
      </c>
      <c r="D20" s="208">
        <v>0</v>
      </c>
      <c r="H20" s="160">
        <f>SUM(C20:G20)</f>
        <v>5000</v>
      </c>
    </row>
    <row r="21" spans="1:8" ht="12.75" customHeight="1">
      <c r="A21" s="119" t="s">
        <v>53</v>
      </c>
      <c r="B21" s="117" t="s">
        <v>54</v>
      </c>
      <c r="C21" s="185">
        <v>3818</v>
      </c>
      <c r="D21" s="208">
        <v>0</v>
      </c>
      <c r="H21" s="160">
        <f>SUM(C21:G21)</f>
        <v>3818</v>
      </c>
    </row>
    <row r="22" spans="1:8" ht="12.75" customHeight="1">
      <c r="A22" s="119" t="s">
        <v>55</v>
      </c>
      <c r="B22" s="117" t="s">
        <v>56</v>
      </c>
      <c r="C22" s="185">
        <v>425</v>
      </c>
      <c r="D22" s="184">
        <v>-65069</v>
      </c>
      <c r="E22" s="184">
        <v>360152</v>
      </c>
      <c r="F22" s="184">
        <v>-139615</v>
      </c>
      <c r="G22" s="184">
        <v>-155468</v>
      </c>
      <c r="H22" s="160">
        <f>SUM(C22:G22)</f>
        <v>425</v>
      </c>
    </row>
    <row r="23" spans="1:8" ht="12.75" customHeight="1">
      <c r="A23" s="117" t="s">
        <v>407</v>
      </c>
      <c r="D23" s="208"/>
    </row>
    <row r="24" spans="1:8" ht="12.75" customHeight="1">
      <c r="D24" s="208"/>
    </row>
    <row r="25" spans="1:8" ht="12.75" customHeight="1">
      <c r="A25" s="119" t="s">
        <v>61</v>
      </c>
      <c r="B25" s="117" t="s">
        <v>62</v>
      </c>
      <c r="C25" s="185">
        <v>0</v>
      </c>
      <c r="D25" s="208"/>
      <c r="E25" s="184">
        <v>0</v>
      </c>
      <c r="H25" s="160">
        <f t="shared" ref="H25:H31" si="0">SUM(C25:G25)</f>
        <v>0</v>
      </c>
    </row>
    <row r="26" spans="1:8" ht="12.75" customHeight="1">
      <c r="A26" s="119" t="s">
        <v>65</v>
      </c>
      <c r="B26" s="117" t="s">
        <v>66</v>
      </c>
      <c r="C26" s="185">
        <v>2458970</v>
      </c>
      <c r="D26" s="185">
        <v>-1031638</v>
      </c>
      <c r="E26" s="184">
        <v>-1408139</v>
      </c>
      <c r="F26" s="184">
        <v>-18700</v>
      </c>
      <c r="G26" s="184">
        <v>-482</v>
      </c>
      <c r="H26" s="160">
        <f t="shared" si="0"/>
        <v>11</v>
      </c>
    </row>
    <row r="27" spans="1:8" ht="12.75" customHeight="1">
      <c r="A27" s="119" t="s">
        <v>67</v>
      </c>
      <c r="B27" s="117" t="s">
        <v>68</v>
      </c>
      <c r="C27" s="185">
        <v>87809</v>
      </c>
      <c r="D27" s="185">
        <v>1058693</v>
      </c>
      <c r="E27" s="184">
        <v>-1109732</v>
      </c>
      <c r="F27" s="184">
        <v>-19</v>
      </c>
      <c r="G27" s="184">
        <v>-19</v>
      </c>
      <c r="H27" s="160">
        <f t="shared" si="0"/>
        <v>36732</v>
      </c>
    </row>
    <row r="28" spans="1:8" ht="12.75" customHeight="1">
      <c r="A28" s="119" t="s">
        <v>69</v>
      </c>
      <c r="B28" s="117" t="s">
        <v>70</v>
      </c>
      <c r="C28" s="185">
        <v>772205</v>
      </c>
      <c r="D28" s="185">
        <v>-29065</v>
      </c>
      <c r="E28" s="184">
        <v>-50664</v>
      </c>
      <c r="F28" s="184">
        <v>-417400</v>
      </c>
      <c r="G28" s="184">
        <v>-13600</v>
      </c>
      <c r="H28" s="160">
        <f t="shared" si="0"/>
        <v>261476</v>
      </c>
    </row>
    <row r="29" spans="1:8" ht="12.75" customHeight="1">
      <c r="A29" s="119" t="s">
        <v>71</v>
      </c>
      <c r="B29" s="117" t="s">
        <v>72</v>
      </c>
      <c r="C29" s="185">
        <v>649462</v>
      </c>
      <c r="D29" s="185">
        <v>-46640</v>
      </c>
      <c r="E29" s="184">
        <v>-159674</v>
      </c>
      <c r="F29" s="184">
        <v>145814</v>
      </c>
      <c r="G29" s="184">
        <v>-495089</v>
      </c>
      <c r="H29" s="160">
        <f t="shared" si="0"/>
        <v>93873</v>
      </c>
    </row>
    <row r="30" spans="1:8" ht="12.75" customHeight="1">
      <c r="A30" s="119" t="s">
        <v>73</v>
      </c>
      <c r="B30" s="117" t="s">
        <v>74</v>
      </c>
      <c r="C30" s="185">
        <v>1761630</v>
      </c>
      <c r="D30" s="185">
        <v>-73423</v>
      </c>
      <c r="E30" s="184">
        <v>-420964</v>
      </c>
      <c r="F30" s="184">
        <v>-850699</v>
      </c>
      <c r="G30" s="184">
        <v>550068</v>
      </c>
      <c r="H30" s="160">
        <f t="shared" si="0"/>
        <v>966612</v>
      </c>
    </row>
    <row r="31" spans="1:8" ht="12.75" customHeight="1">
      <c r="A31" s="119" t="s">
        <v>75</v>
      </c>
      <c r="B31" s="117" t="s">
        <v>76</v>
      </c>
      <c r="C31" s="185">
        <v>195600</v>
      </c>
      <c r="D31" s="185">
        <v>114437</v>
      </c>
      <c r="E31" s="184">
        <v>-265290</v>
      </c>
      <c r="F31" s="184">
        <v>133175</v>
      </c>
      <c r="G31" s="184">
        <v>-24647</v>
      </c>
      <c r="H31" s="160">
        <f t="shared" si="0"/>
        <v>153275</v>
      </c>
    </row>
    <row r="32" spans="1:8" ht="12.75" customHeight="1">
      <c r="A32" s="117" t="s">
        <v>358</v>
      </c>
    </row>
    <row r="33" spans="1:9" ht="12.75" customHeight="1"/>
    <row r="34" spans="1:9" ht="12.75" customHeight="1">
      <c r="A34" s="119">
        <v>1000002</v>
      </c>
      <c r="B34" s="117" t="s">
        <v>429</v>
      </c>
      <c r="C34" s="185">
        <v>-1</v>
      </c>
      <c r="D34" s="185">
        <v>0</v>
      </c>
      <c r="G34" s="184">
        <v>0</v>
      </c>
      <c r="H34" s="160">
        <f>SUM(C34:G34)</f>
        <v>-1</v>
      </c>
    </row>
    <row r="35" spans="1:9" ht="12.75" customHeight="1">
      <c r="A35" s="119">
        <v>1100000</v>
      </c>
      <c r="B35" s="117" t="s">
        <v>430</v>
      </c>
      <c r="C35" s="185">
        <v>-19431219</v>
      </c>
      <c r="D35" s="185">
        <v>100000</v>
      </c>
      <c r="G35" s="184">
        <v>0</v>
      </c>
      <c r="H35" s="160">
        <f>SUM(C35:G35)</f>
        <v>-19331219</v>
      </c>
    </row>
    <row r="36" spans="1:9" ht="12.75" customHeight="1">
      <c r="A36" s="119">
        <v>1160000</v>
      </c>
      <c r="B36" s="117" t="s">
        <v>94</v>
      </c>
      <c r="C36" s="185">
        <v>12717900</v>
      </c>
      <c r="D36" s="185">
        <v>0</v>
      </c>
      <c r="G36" s="184">
        <v>0</v>
      </c>
      <c r="H36" s="160">
        <f>SUM(C36:G36)</f>
        <v>12717900</v>
      </c>
      <c r="I36" s="160"/>
    </row>
    <row r="37" spans="1:9" ht="12.75" customHeight="1">
      <c r="A37" s="119" t="s">
        <v>95</v>
      </c>
      <c r="B37" s="117" t="s">
        <v>96</v>
      </c>
      <c r="C37" s="185">
        <v>1055500</v>
      </c>
      <c r="D37" s="185">
        <v>1510938</v>
      </c>
      <c r="E37" s="184">
        <v>1397717</v>
      </c>
      <c r="F37" s="184">
        <v>207000</v>
      </c>
      <c r="G37" s="184">
        <v>0</v>
      </c>
      <c r="H37" s="160">
        <f>SUM(C37:G37)</f>
        <v>4171155</v>
      </c>
    </row>
    <row r="38" spans="1:9" ht="12.75" customHeight="1">
      <c r="A38" s="117" t="s">
        <v>359</v>
      </c>
    </row>
    <row r="39" spans="1:9" ht="12.75" customHeight="1"/>
    <row r="40" spans="1:9" ht="12.75" customHeight="1">
      <c r="A40" s="119">
        <v>1930001</v>
      </c>
      <c r="B40" s="117" t="s">
        <v>104</v>
      </c>
      <c r="C40" s="185">
        <v>-130000000</v>
      </c>
      <c r="D40" s="185">
        <v>0</v>
      </c>
      <c r="E40" s="184">
        <v>0</v>
      </c>
      <c r="F40" s="184">
        <v>0</v>
      </c>
      <c r="G40" s="184">
        <v>0</v>
      </c>
      <c r="H40" s="160">
        <f>SUM(C40:G40)</f>
        <v>-130000000</v>
      </c>
    </row>
    <row r="41" spans="1:9" ht="12.75" customHeight="1">
      <c r="A41" s="119" t="s">
        <v>107</v>
      </c>
      <c r="B41" s="117" t="s">
        <v>108</v>
      </c>
      <c r="C41" s="185">
        <v>10965573</v>
      </c>
      <c r="D41" s="185">
        <v>2258971</v>
      </c>
      <c r="E41" s="184">
        <v>3569138</v>
      </c>
      <c r="F41" s="184">
        <v>1387184</v>
      </c>
      <c r="G41" s="184">
        <v>1984184</v>
      </c>
      <c r="H41" s="160">
        <f>SUM(C41:G41)</f>
        <v>20165050</v>
      </c>
    </row>
    <row r="42" spans="1:9" ht="12.75" customHeight="1">
      <c r="A42" s="117" t="s">
        <v>362</v>
      </c>
    </row>
    <row r="43" spans="1:9" ht="12.75" customHeight="1"/>
    <row r="44" spans="1:9" ht="12.75" customHeight="1">
      <c r="A44" s="119" t="s">
        <v>121</v>
      </c>
      <c r="B44" s="117" t="s">
        <v>122</v>
      </c>
      <c r="C44" s="185">
        <v>-229468</v>
      </c>
      <c r="D44" s="185">
        <v>17250</v>
      </c>
      <c r="E44" s="184">
        <v>900</v>
      </c>
      <c r="F44" s="184">
        <v>-11928</v>
      </c>
      <c r="G44" s="184">
        <v>0</v>
      </c>
      <c r="H44" s="160">
        <f>SUM(C44:G44)</f>
        <v>-223246</v>
      </c>
    </row>
    <row r="45" spans="1:9" ht="12.75" customHeight="1">
      <c r="A45" s="119" t="s">
        <v>123</v>
      </c>
      <c r="B45" s="117" t="s">
        <v>124</v>
      </c>
      <c r="C45" s="185">
        <v>0</v>
      </c>
      <c r="D45" s="185">
        <v>0</v>
      </c>
      <c r="E45" s="184">
        <v>0</v>
      </c>
      <c r="F45" s="184">
        <v>0</v>
      </c>
      <c r="G45" s="184">
        <v>0</v>
      </c>
      <c r="H45" s="160">
        <f>SUM(C45:G45)</f>
        <v>0</v>
      </c>
    </row>
    <row r="46" spans="1:9" ht="12.75" customHeight="1">
      <c r="A46" s="117" t="s">
        <v>363</v>
      </c>
    </row>
    <row r="47" spans="1:9" ht="12.75" customHeight="1"/>
    <row r="48" spans="1:9" ht="12.75" customHeight="1">
      <c r="A48" s="119" t="s">
        <v>129</v>
      </c>
      <c r="B48" s="117" t="s">
        <v>130</v>
      </c>
      <c r="C48" s="185">
        <v>-3930</v>
      </c>
      <c r="D48" s="185">
        <v>17</v>
      </c>
      <c r="E48" s="184">
        <v>271</v>
      </c>
      <c r="F48" s="184">
        <v>-22</v>
      </c>
      <c r="G48" s="184">
        <v>2114</v>
      </c>
      <c r="H48" s="160">
        <f>SUM(C48:G48)</f>
        <v>-1550</v>
      </c>
    </row>
    <row r="49" spans="1:9" ht="12.75" customHeight="1">
      <c r="A49" s="119" t="s">
        <v>133</v>
      </c>
      <c r="B49" s="117" t="s">
        <v>134</v>
      </c>
      <c r="C49" s="185">
        <v>0</v>
      </c>
      <c r="D49" s="185">
        <v>0</v>
      </c>
      <c r="E49" s="184">
        <v>0</v>
      </c>
      <c r="F49" s="184">
        <v>0</v>
      </c>
      <c r="G49" s="184">
        <v>0</v>
      </c>
      <c r="H49" s="160">
        <f>SUM(C49:G49)</f>
        <v>0</v>
      </c>
    </row>
    <row r="50" spans="1:9" ht="12.75" customHeight="1">
      <c r="A50" s="119" t="s">
        <v>137</v>
      </c>
      <c r="B50" s="117" t="s">
        <v>138</v>
      </c>
      <c r="C50" s="185">
        <v>0</v>
      </c>
      <c r="D50" s="185">
        <v>0</v>
      </c>
      <c r="E50" s="184">
        <v>0</v>
      </c>
      <c r="F50" s="184">
        <v>0</v>
      </c>
      <c r="G50" s="184">
        <v>0</v>
      </c>
      <c r="H50" s="160">
        <f>SUM(C50:G50)</f>
        <v>0</v>
      </c>
    </row>
    <row r="51" spans="1:9" ht="12.75" customHeight="1">
      <c r="A51" s="117" t="s">
        <v>366</v>
      </c>
    </row>
    <row r="52" spans="1:9" ht="12.75" customHeight="1"/>
    <row r="53" spans="1:9" ht="12.75" customHeight="1">
      <c r="A53" s="119" t="s">
        <v>141</v>
      </c>
      <c r="B53" s="117" t="s">
        <v>142</v>
      </c>
      <c r="C53" s="185">
        <v>-710777</v>
      </c>
      <c r="D53" s="185">
        <v>10687</v>
      </c>
      <c r="E53" s="184">
        <v>-8611</v>
      </c>
      <c r="F53" s="184">
        <v>-21291</v>
      </c>
      <c r="G53" s="184">
        <v>-37329</v>
      </c>
      <c r="H53" s="160">
        <f t="shared" ref="H53:H64" si="1">SUM(C53:G53)</f>
        <v>-767321</v>
      </c>
    </row>
    <row r="54" spans="1:9" ht="12.75" customHeight="1">
      <c r="A54" s="119">
        <v>2740500</v>
      </c>
      <c r="B54" s="117" t="s">
        <v>144</v>
      </c>
      <c r="C54" s="185">
        <v>-22500</v>
      </c>
      <c r="D54" s="185">
        <v>0</v>
      </c>
      <c r="G54" s="184">
        <v>0</v>
      </c>
      <c r="H54" s="160">
        <f t="shared" si="1"/>
        <v>-22500</v>
      </c>
    </row>
    <row r="55" spans="1:9" ht="12.75" customHeight="1">
      <c r="A55" s="119" t="s">
        <v>145</v>
      </c>
      <c r="B55" s="117" t="s">
        <v>146</v>
      </c>
      <c r="C55" s="185">
        <v>0</v>
      </c>
      <c r="D55" s="185">
        <v>-457533</v>
      </c>
      <c r="E55" s="184">
        <v>457533</v>
      </c>
      <c r="G55" s="184">
        <v>0</v>
      </c>
      <c r="H55" s="160">
        <f t="shared" si="1"/>
        <v>0</v>
      </c>
    </row>
    <row r="56" spans="1:9" ht="12.75" customHeight="1">
      <c r="A56" s="119" t="s">
        <v>367</v>
      </c>
      <c r="B56" s="117" t="s">
        <v>368</v>
      </c>
      <c r="C56" s="185">
        <v>2</v>
      </c>
      <c r="D56" s="185">
        <v>0</v>
      </c>
      <c r="G56" s="184">
        <v>-2</v>
      </c>
      <c r="H56" s="160">
        <f t="shared" si="1"/>
        <v>0</v>
      </c>
    </row>
    <row r="57" spans="1:9" ht="12.75" customHeight="1">
      <c r="A57" s="119" t="s">
        <v>147</v>
      </c>
      <c r="B57" s="117" t="s">
        <v>148</v>
      </c>
      <c r="C57" s="185">
        <v>-29200</v>
      </c>
      <c r="D57" s="208">
        <v>0</v>
      </c>
      <c r="G57" s="184">
        <v>0</v>
      </c>
      <c r="H57" s="160">
        <f t="shared" si="1"/>
        <v>-29200</v>
      </c>
    </row>
    <row r="58" spans="1:9" ht="12.75" customHeight="1">
      <c r="A58" s="119" t="s">
        <v>149</v>
      </c>
      <c r="B58" s="117" t="s">
        <v>150</v>
      </c>
      <c r="C58" s="185">
        <v>-2118</v>
      </c>
      <c r="D58" s="208">
        <v>0</v>
      </c>
      <c r="G58" s="184">
        <v>0</v>
      </c>
      <c r="H58" s="160">
        <f t="shared" si="1"/>
        <v>-2118</v>
      </c>
    </row>
    <row r="59" spans="1:9" ht="12.75" customHeight="1">
      <c r="A59" s="119" t="s">
        <v>151</v>
      </c>
      <c r="B59" s="117" t="s">
        <v>152</v>
      </c>
      <c r="C59" s="185">
        <v>-1846</v>
      </c>
      <c r="D59" s="208">
        <v>0</v>
      </c>
      <c r="G59" s="184">
        <v>0</v>
      </c>
      <c r="H59" s="160">
        <f t="shared" si="1"/>
        <v>-1846</v>
      </c>
    </row>
    <row r="60" spans="1:9" ht="12.75" customHeight="1">
      <c r="A60" s="119" t="s">
        <v>155</v>
      </c>
      <c r="B60" s="117" t="s">
        <v>156</v>
      </c>
      <c r="C60" s="185">
        <v>-40818</v>
      </c>
      <c r="D60" s="208">
        <v>483</v>
      </c>
      <c r="E60" s="184">
        <v>119</v>
      </c>
      <c r="F60" s="184">
        <v>-40364</v>
      </c>
      <c r="G60" s="184">
        <v>41453</v>
      </c>
      <c r="H60" s="160">
        <f t="shared" si="1"/>
        <v>-39127</v>
      </c>
    </row>
    <row r="61" spans="1:9" ht="12.75" customHeight="1">
      <c r="A61" s="119" t="s">
        <v>157</v>
      </c>
      <c r="B61" s="117" t="s">
        <v>158</v>
      </c>
      <c r="C61" s="185">
        <v>0</v>
      </c>
      <c r="D61" s="208">
        <v>0</v>
      </c>
      <c r="E61" s="184">
        <v>0</v>
      </c>
      <c r="F61" s="184">
        <v>0</v>
      </c>
      <c r="G61" s="184">
        <v>-2445</v>
      </c>
      <c r="H61" s="160">
        <f t="shared" si="1"/>
        <v>-2445</v>
      </c>
    </row>
    <row r="62" spans="1:9" ht="12.75" customHeight="1">
      <c r="A62" s="119" t="s">
        <v>159</v>
      </c>
      <c r="B62" s="117" t="s">
        <v>160</v>
      </c>
      <c r="C62" s="185">
        <v>20000</v>
      </c>
      <c r="D62" s="184">
        <v>0</v>
      </c>
      <c r="E62" s="184">
        <v>-20000</v>
      </c>
      <c r="F62" s="184">
        <v>20000</v>
      </c>
      <c r="G62" s="184">
        <v>0</v>
      </c>
      <c r="H62" s="160">
        <f t="shared" si="1"/>
        <v>20000</v>
      </c>
    </row>
    <row r="63" spans="1:9" ht="12.75" customHeight="1">
      <c r="A63" s="119" t="s">
        <v>161</v>
      </c>
      <c r="B63" s="117" t="s">
        <v>162</v>
      </c>
      <c r="C63" s="185">
        <v>1</v>
      </c>
      <c r="D63" s="208">
        <v>851</v>
      </c>
      <c r="E63" s="184">
        <v>-16811</v>
      </c>
      <c r="F63" s="184">
        <v>15046</v>
      </c>
      <c r="G63" s="184">
        <v>913</v>
      </c>
      <c r="H63" s="160">
        <f t="shared" si="1"/>
        <v>0</v>
      </c>
    </row>
    <row r="64" spans="1:9" ht="12.75" customHeight="1">
      <c r="A64" s="119" t="s">
        <v>163</v>
      </c>
      <c r="B64" s="117" t="s">
        <v>164</v>
      </c>
      <c r="C64" s="185">
        <v>-147455</v>
      </c>
      <c r="D64" s="208">
        <v>-5561</v>
      </c>
      <c r="E64" s="184">
        <v>21998</v>
      </c>
      <c r="F64" s="184">
        <v>-5661</v>
      </c>
      <c r="G64" s="184">
        <v>-9926</v>
      </c>
      <c r="H64" s="160">
        <f t="shared" si="1"/>
        <v>-146605</v>
      </c>
      <c r="I64" s="160">
        <f>SUM(H4:H64)</f>
        <v>5836149</v>
      </c>
    </row>
    <row r="65" spans="1:8" ht="12.75" customHeight="1">
      <c r="A65" s="117" t="s">
        <v>369</v>
      </c>
      <c r="D65" s="208"/>
    </row>
    <row r="66" spans="1:8" ht="12.75" customHeight="1"/>
    <row r="67" spans="1:8" ht="12.75" customHeight="1"/>
    <row r="68" spans="1:8" ht="12.75" customHeight="1">
      <c r="A68" s="118" t="s">
        <v>370</v>
      </c>
    </row>
    <row r="69" spans="1:8" ht="12.75" customHeight="1">
      <c r="A69" s="119" t="s">
        <v>174</v>
      </c>
      <c r="B69" s="117" t="s">
        <v>175</v>
      </c>
      <c r="D69" s="185">
        <v>-2847208</v>
      </c>
      <c r="E69" s="184">
        <v>-2833196</v>
      </c>
      <c r="F69" s="184">
        <v>-2826464</v>
      </c>
      <c r="G69" s="184">
        <v>-2904099</v>
      </c>
      <c r="H69" s="160">
        <f>SUM(C69:G69)</f>
        <v>-11410967</v>
      </c>
    </row>
    <row r="70" spans="1:8" ht="12.75" customHeight="1">
      <c r="A70" s="119" t="s">
        <v>176</v>
      </c>
      <c r="B70" s="117" t="s">
        <v>177</v>
      </c>
      <c r="D70" s="185">
        <v>69125</v>
      </c>
      <c r="E70" s="184">
        <v>71110</v>
      </c>
      <c r="F70" s="184">
        <v>63061</v>
      </c>
      <c r="G70" s="184">
        <v>64143</v>
      </c>
      <c r="H70" s="160">
        <f>SUM(C70:G70)</f>
        <v>267439</v>
      </c>
    </row>
    <row r="71" spans="1:8" ht="12.75" customHeight="1">
      <c r="A71" s="117" t="s">
        <v>381</v>
      </c>
      <c r="D71" s="185">
        <f>SUM(D69:D70)</f>
        <v>-2778083</v>
      </c>
      <c r="E71" s="184">
        <f>SUM(E69:E70)</f>
        <v>-2762086</v>
      </c>
      <c r="F71" s="184">
        <f>SUM(F69:F70)</f>
        <v>-2763403</v>
      </c>
      <c r="G71" s="184">
        <f>SUM(G69:G70)</f>
        <v>-2839956</v>
      </c>
      <c r="H71" s="184">
        <f>SUM(H69:H70)</f>
        <v>-11143528</v>
      </c>
    </row>
    <row r="72" spans="1:8" ht="12.75" customHeight="1"/>
    <row r="73" spans="1:8" ht="12.75" customHeight="1">
      <c r="A73" s="119" t="s">
        <v>182</v>
      </c>
      <c r="B73" s="117" t="s">
        <v>183</v>
      </c>
      <c r="D73" s="185">
        <v>-172417</v>
      </c>
      <c r="E73" s="184">
        <v>-171527</v>
      </c>
      <c r="F73" s="184">
        <v>-172398</v>
      </c>
      <c r="G73" s="184">
        <v>-170326</v>
      </c>
      <c r="H73" s="160">
        <f>SUM(C73:G73)</f>
        <v>-686668</v>
      </c>
    </row>
    <row r="74" spans="1:8" ht="12.75" customHeight="1">
      <c r="A74" s="119" t="s">
        <v>184</v>
      </c>
      <c r="B74" s="117" t="s">
        <v>185</v>
      </c>
      <c r="D74" s="185">
        <v>10767</v>
      </c>
      <c r="E74" s="184">
        <v>3357</v>
      </c>
      <c r="F74" s="184">
        <v>7281</v>
      </c>
      <c r="G74" s="184">
        <v>6641</v>
      </c>
      <c r="H74" s="160">
        <f>SUM(C74:G74)</f>
        <v>28046</v>
      </c>
    </row>
    <row r="75" spans="1:8" ht="12.75" customHeight="1">
      <c r="A75" s="119" t="s">
        <v>186</v>
      </c>
      <c r="B75" s="117" t="s">
        <v>187</v>
      </c>
      <c r="D75" s="185">
        <v>133343</v>
      </c>
      <c r="E75" s="184">
        <v>284624</v>
      </c>
      <c r="F75" s="184">
        <v>127725</v>
      </c>
      <c r="G75" s="184">
        <v>171365</v>
      </c>
      <c r="H75" s="160">
        <f>SUM(C75:G75)</f>
        <v>717057</v>
      </c>
    </row>
    <row r="76" spans="1:8" ht="12.75" customHeight="1">
      <c r="A76" s="117" t="s">
        <v>382</v>
      </c>
      <c r="D76" s="185">
        <f>SUM(D73:D75)</f>
        <v>-28307</v>
      </c>
      <c r="E76" s="184">
        <f>SUM(E73:E75)</f>
        <v>116454</v>
      </c>
      <c r="F76" s="184">
        <f>SUM(F73:F75)</f>
        <v>-37392</v>
      </c>
      <c r="G76" s="184">
        <f>SUM(G73:G75)</f>
        <v>7680</v>
      </c>
      <c r="H76" s="184">
        <f>SUM(H73:H75)</f>
        <v>58435</v>
      </c>
    </row>
    <row r="77" spans="1:8" ht="12.75" customHeight="1"/>
    <row r="78" spans="1:8" ht="12.75" customHeight="1">
      <c r="A78" s="119" t="s">
        <v>198</v>
      </c>
      <c r="B78" s="117" t="s">
        <v>199</v>
      </c>
      <c r="D78" s="185">
        <v>120736</v>
      </c>
      <c r="E78" s="184">
        <v>120105</v>
      </c>
      <c r="F78" s="184">
        <v>119839</v>
      </c>
      <c r="G78" s="184">
        <v>123182</v>
      </c>
      <c r="H78" s="160">
        <f>SUM(C78:G78)</f>
        <v>483862</v>
      </c>
    </row>
    <row r="79" spans="1:8" ht="12.75" customHeight="1">
      <c r="A79" s="117" t="s">
        <v>408</v>
      </c>
      <c r="D79" s="185">
        <f>SUM(D78)</f>
        <v>120736</v>
      </c>
      <c r="E79" s="184">
        <f>SUM(E78)</f>
        <v>120105</v>
      </c>
      <c r="F79" s="184">
        <f>SUM(F78)</f>
        <v>119839</v>
      </c>
      <c r="G79" s="184">
        <f>SUM(G78)</f>
        <v>123182</v>
      </c>
      <c r="H79" s="184">
        <f>SUM(H78)</f>
        <v>483862</v>
      </c>
    </row>
    <row r="80" spans="1:8" ht="12.75" customHeight="1"/>
    <row r="81" spans="1:8" ht="12.75" customHeight="1">
      <c r="A81" s="119" t="s">
        <v>204</v>
      </c>
      <c r="B81" s="117" t="s">
        <v>205</v>
      </c>
      <c r="D81" s="185">
        <v>642938</v>
      </c>
      <c r="E81" s="184">
        <f>630199</f>
        <v>630199</v>
      </c>
      <c r="F81" s="184">
        <v>653151</v>
      </c>
      <c r="G81" s="184">
        <v>654632</v>
      </c>
      <c r="H81" s="160">
        <f>SUM(C81:G81)</f>
        <v>2580920</v>
      </c>
    </row>
    <row r="82" spans="1:8" ht="12.75" customHeight="1">
      <c r="A82" s="119" t="s">
        <v>206</v>
      </c>
      <c r="B82" s="117" t="s">
        <v>207</v>
      </c>
      <c r="D82" s="185">
        <v>-1206433</v>
      </c>
      <c r="E82" s="184">
        <v>-531244</v>
      </c>
      <c r="F82" s="184">
        <v>-636242</v>
      </c>
      <c r="G82" s="184">
        <v>-812075</v>
      </c>
      <c r="H82" s="160">
        <f>SUM(C82:G82)</f>
        <v>-3185994</v>
      </c>
    </row>
    <row r="83" spans="1:8" ht="12.75" customHeight="1">
      <c r="A83" s="117"/>
      <c r="D83" s="208">
        <f>SUM(D81:D82)</f>
        <v>-563495</v>
      </c>
      <c r="E83" s="184">
        <f>SUM(E81:E82)</f>
        <v>98955</v>
      </c>
      <c r="F83" s="184">
        <f>SUM(F81:F82)</f>
        <v>16909</v>
      </c>
      <c r="G83" s="184">
        <f>SUM(G81:G82)</f>
        <v>-157443</v>
      </c>
      <c r="H83" s="184">
        <f>SUM(H81:H82)</f>
        <v>-605074</v>
      </c>
    </row>
    <row r="84" spans="1:8" ht="12.75" customHeight="1">
      <c r="D84" s="208"/>
    </row>
    <row r="85" spans="1:8" ht="12.75" customHeight="1">
      <c r="A85" s="119" t="s">
        <v>210</v>
      </c>
      <c r="B85" s="117" t="s">
        <v>211</v>
      </c>
      <c r="C85" s="184"/>
      <c r="D85" s="208">
        <v>491958</v>
      </c>
      <c r="E85" s="184">
        <f>455997</f>
        <v>455997</v>
      </c>
      <c r="F85" s="184">
        <v>204327</v>
      </c>
      <c r="G85" s="184">
        <v>637420</v>
      </c>
      <c r="H85" s="160">
        <f>SUM(C85:G85)</f>
        <v>1789702</v>
      </c>
    </row>
    <row r="86" spans="1:8" ht="12.75" customHeight="1">
      <c r="A86" s="119" t="s">
        <v>212</v>
      </c>
      <c r="B86" s="117" t="s">
        <v>213</v>
      </c>
      <c r="D86" s="184">
        <v>0</v>
      </c>
      <c r="E86" s="184">
        <v>0</v>
      </c>
      <c r="F86" s="184">
        <v>531958</v>
      </c>
      <c r="G86" s="184">
        <v>2047</v>
      </c>
      <c r="H86" s="160">
        <f t="shared" ref="H86:H92" si="2">SUM(C86:G86)</f>
        <v>534005</v>
      </c>
    </row>
    <row r="87" spans="1:8" ht="12.75" customHeight="1">
      <c r="A87" s="119" t="s">
        <v>214</v>
      </c>
      <c r="B87" s="117" t="s">
        <v>215</v>
      </c>
      <c r="D87" s="184">
        <v>75792</v>
      </c>
      <c r="E87" s="184">
        <v>79670</v>
      </c>
      <c r="F87" s="184">
        <v>78467</v>
      </c>
      <c r="G87" s="184">
        <v>79424</v>
      </c>
      <c r="H87" s="160">
        <f t="shared" si="2"/>
        <v>313353</v>
      </c>
    </row>
    <row r="88" spans="1:8" ht="12.75" customHeight="1">
      <c r="A88" s="119" t="s">
        <v>216</v>
      </c>
      <c r="B88" s="117" t="s">
        <v>217</v>
      </c>
      <c r="D88" s="208">
        <v>96652</v>
      </c>
      <c r="E88" s="184">
        <v>197933</v>
      </c>
      <c r="F88" s="184">
        <v>136830</v>
      </c>
      <c r="G88" s="184">
        <v>153831</v>
      </c>
      <c r="H88" s="160">
        <f t="shared" si="2"/>
        <v>585246</v>
      </c>
    </row>
    <row r="89" spans="1:8" ht="12.75" customHeight="1">
      <c r="A89" s="119" t="s">
        <v>218</v>
      </c>
      <c r="B89" s="117" t="s">
        <v>219</v>
      </c>
      <c r="D89" s="184">
        <v>32166</v>
      </c>
      <c r="E89" s="184">
        <v>33030</v>
      </c>
      <c r="F89" s="184">
        <v>32166</v>
      </c>
      <c r="G89" s="184">
        <v>32352</v>
      </c>
      <c r="H89" s="160">
        <f t="shared" si="2"/>
        <v>129714</v>
      </c>
    </row>
    <row r="90" spans="1:8" ht="12.75" customHeight="1">
      <c r="A90" s="119" t="s">
        <v>220</v>
      </c>
      <c r="B90" s="117" t="s">
        <v>221</v>
      </c>
      <c r="D90" s="184">
        <v>17945</v>
      </c>
      <c r="E90" s="184">
        <v>17695</v>
      </c>
      <c r="F90" s="184">
        <v>19123</v>
      </c>
      <c r="G90" s="184">
        <v>20143</v>
      </c>
      <c r="H90" s="160">
        <f t="shared" si="2"/>
        <v>74906</v>
      </c>
    </row>
    <row r="91" spans="1:8" ht="12.75" customHeight="1">
      <c r="A91" s="119" t="s">
        <v>385</v>
      </c>
      <c r="B91" s="117" t="s">
        <v>386</v>
      </c>
      <c r="D91" s="208">
        <v>-801</v>
      </c>
      <c r="E91" s="184">
        <v>-820</v>
      </c>
      <c r="F91" s="184">
        <v>45430</v>
      </c>
      <c r="G91" s="184">
        <v>5515</v>
      </c>
      <c r="H91" s="160">
        <f>SUM(C91:G91)</f>
        <v>49324</v>
      </c>
    </row>
    <row r="92" spans="1:8" ht="12.75" customHeight="1">
      <c r="A92" s="119" t="s">
        <v>431</v>
      </c>
      <c r="B92" s="117" t="s">
        <v>412</v>
      </c>
      <c r="D92" s="208">
        <v>0</v>
      </c>
      <c r="G92" s="184">
        <v>0</v>
      </c>
      <c r="H92" s="160">
        <f t="shared" si="2"/>
        <v>0</v>
      </c>
    </row>
    <row r="93" spans="1:8" ht="12.75" customHeight="1">
      <c r="A93" s="117" t="s">
        <v>387</v>
      </c>
      <c r="D93" s="185">
        <f>SUM(D85:D92)</f>
        <v>713712</v>
      </c>
      <c r="E93" s="184">
        <f>SUM(E85:E92)</f>
        <v>783505</v>
      </c>
      <c r="F93" s="184">
        <f>SUM(F85:F92)</f>
        <v>1048301</v>
      </c>
      <c r="G93" s="184">
        <f>SUM(G85:G92)</f>
        <v>930732</v>
      </c>
      <c r="H93" s="184">
        <f>SUM(H85:H92)</f>
        <v>3476250</v>
      </c>
    </row>
    <row r="94" spans="1:8" ht="12.75" customHeight="1"/>
    <row r="95" spans="1:8" ht="12.75" customHeight="1">
      <c r="A95" s="119" t="s">
        <v>432</v>
      </c>
      <c r="B95" s="117" t="s">
        <v>433</v>
      </c>
      <c r="D95" s="185">
        <v>0</v>
      </c>
      <c r="E95" s="184">
        <v>0</v>
      </c>
      <c r="F95" s="184">
        <v>0</v>
      </c>
      <c r="G95" s="184">
        <v>0</v>
      </c>
      <c r="H95" s="160">
        <f>SUM(C95:G95)</f>
        <v>0</v>
      </c>
    </row>
    <row r="96" spans="1:8" ht="12.75" customHeight="1">
      <c r="A96" s="119" t="s">
        <v>434</v>
      </c>
      <c r="B96" s="117" t="s">
        <v>413</v>
      </c>
      <c r="D96" s="185">
        <v>0</v>
      </c>
      <c r="E96" s="184">
        <v>0</v>
      </c>
      <c r="F96" s="184">
        <v>0</v>
      </c>
      <c r="G96" s="184">
        <v>0</v>
      </c>
      <c r="H96" s="160">
        <f>SUM(C96:G96)</f>
        <v>0</v>
      </c>
    </row>
    <row r="97" spans="1:8" ht="12.75" customHeight="1">
      <c r="A97" s="119" t="s">
        <v>226</v>
      </c>
      <c r="B97" s="117" t="s">
        <v>227</v>
      </c>
      <c r="D97" s="185">
        <v>-164</v>
      </c>
      <c r="E97" s="184">
        <v>1941</v>
      </c>
      <c r="F97" s="184">
        <v>4198</v>
      </c>
      <c r="G97" s="184">
        <v>15255</v>
      </c>
      <c r="H97" s="160">
        <f>SUM(C97:G97)</f>
        <v>21230</v>
      </c>
    </row>
    <row r="98" spans="1:8" ht="12.75" customHeight="1">
      <c r="A98" s="117" t="s">
        <v>388</v>
      </c>
      <c r="D98" s="185">
        <f>SUM(D95:D97)</f>
        <v>-164</v>
      </c>
      <c r="E98" s="184">
        <f>SUM(E95:E97)</f>
        <v>1941</v>
      </c>
      <c r="F98" s="184">
        <f>SUM(F95:F97)</f>
        <v>4198</v>
      </c>
      <c r="G98" s="184">
        <f>SUM(G95:G97)</f>
        <v>15255</v>
      </c>
      <c r="H98" s="184">
        <f>SUM(H95:H97)</f>
        <v>21230</v>
      </c>
    </row>
    <row r="99" spans="1:8" ht="12.75" customHeight="1"/>
    <row r="100" spans="1:8" ht="12.75" customHeight="1">
      <c r="A100" s="119" t="s">
        <v>230</v>
      </c>
      <c r="B100" s="117" t="s">
        <v>231</v>
      </c>
      <c r="D100" s="208">
        <v>0</v>
      </c>
      <c r="F100" s="184">
        <v>950</v>
      </c>
      <c r="G100" s="184">
        <v>0</v>
      </c>
      <c r="H100" s="160">
        <f>SUM(C100:G100)</f>
        <v>950</v>
      </c>
    </row>
    <row r="101" spans="1:8" ht="12.75" customHeight="1">
      <c r="A101" s="117" t="s">
        <v>389</v>
      </c>
      <c r="D101" s="208">
        <f>SUM(D100)</f>
        <v>0</v>
      </c>
      <c r="E101" s="184">
        <f>SUM(E100)</f>
        <v>0</v>
      </c>
      <c r="F101" s="184">
        <f>SUM(F100)</f>
        <v>950</v>
      </c>
      <c r="G101" s="184">
        <f>SUM(G100)</f>
        <v>0</v>
      </c>
      <c r="H101" s="184">
        <f>SUM(H100)</f>
        <v>950</v>
      </c>
    </row>
    <row r="102" spans="1:8" ht="12.75" customHeight="1">
      <c r="D102" s="208"/>
    </row>
    <row r="103" spans="1:8" ht="12.75" customHeight="1">
      <c r="A103" s="119" t="s">
        <v>435</v>
      </c>
      <c r="B103" s="117" t="s">
        <v>414</v>
      </c>
      <c r="D103" s="208">
        <v>4406</v>
      </c>
      <c r="E103" s="184">
        <v>0</v>
      </c>
      <c r="F103" s="184">
        <v>0</v>
      </c>
      <c r="G103" s="184">
        <v>0</v>
      </c>
      <c r="H103" s="160">
        <f t="shared" ref="H103:H113" si="3">SUM(C103:G103)</f>
        <v>4406</v>
      </c>
    </row>
    <row r="104" spans="1:8" ht="12.75" customHeight="1">
      <c r="A104" s="119" t="s">
        <v>234</v>
      </c>
      <c r="B104" s="117" t="s">
        <v>235</v>
      </c>
      <c r="D104" s="184">
        <v>26301</v>
      </c>
      <c r="E104" s="184">
        <v>25980</v>
      </c>
      <c r="F104" s="184">
        <v>25980</v>
      </c>
      <c r="G104" s="184">
        <v>22776</v>
      </c>
      <c r="H104" s="160">
        <f t="shared" si="3"/>
        <v>101037</v>
      </c>
    </row>
    <row r="105" spans="1:8" ht="12.75" customHeight="1">
      <c r="A105" s="119" t="s">
        <v>236</v>
      </c>
      <c r="B105" s="117" t="s">
        <v>237</v>
      </c>
      <c r="D105" s="208">
        <v>5445</v>
      </c>
      <c r="E105" s="184">
        <v>5445</v>
      </c>
      <c r="F105" s="184">
        <v>5445</v>
      </c>
      <c r="G105" s="184">
        <v>5445</v>
      </c>
      <c r="H105" s="160">
        <f t="shared" si="3"/>
        <v>21780</v>
      </c>
    </row>
    <row r="106" spans="1:8" ht="12.75" customHeight="1">
      <c r="A106" s="119" t="s">
        <v>238</v>
      </c>
      <c r="B106" s="117" t="s">
        <v>239</v>
      </c>
      <c r="D106" s="208">
        <v>6339</v>
      </c>
      <c r="E106" s="184">
        <v>44292</v>
      </c>
      <c r="F106" s="184">
        <v>24945</v>
      </c>
      <c r="G106" s="184">
        <v>6639</v>
      </c>
      <c r="H106" s="160">
        <f t="shared" si="3"/>
        <v>82215</v>
      </c>
    </row>
    <row r="107" spans="1:8" ht="12.75" customHeight="1">
      <c r="A107" s="119" t="s">
        <v>240</v>
      </c>
      <c r="B107" s="117" t="s">
        <v>241</v>
      </c>
      <c r="D107" s="208">
        <v>1210</v>
      </c>
      <c r="F107" s="184">
        <v>2420</v>
      </c>
      <c r="G107" s="184">
        <v>0</v>
      </c>
      <c r="H107" s="160">
        <f t="shared" si="3"/>
        <v>3630</v>
      </c>
    </row>
    <row r="108" spans="1:8" ht="12.75" customHeight="1">
      <c r="A108" s="119" t="s">
        <v>242</v>
      </c>
      <c r="B108" s="117" t="s">
        <v>243</v>
      </c>
      <c r="D108" s="208">
        <v>66525</v>
      </c>
      <c r="E108" s="184">
        <v>57342</v>
      </c>
      <c r="F108" s="184">
        <v>61064</v>
      </c>
      <c r="G108" s="184">
        <v>77632</v>
      </c>
      <c r="H108" s="160">
        <f t="shared" si="3"/>
        <v>262563</v>
      </c>
    </row>
    <row r="109" spans="1:8" ht="12.75" customHeight="1">
      <c r="A109" s="119" t="s">
        <v>244</v>
      </c>
      <c r="B109" s="117" t="s">
        <v>245</v>
      </c>
      <c r="D109" s="185">
        <v>4570</v>
      </c>
      <c r="E109" s="184">
        <v>3745</v>
      </c>
      <c r="F109" s="184">
        <v>-2123</v>
      </c>
      <c r="G109" s="184">
        <v>5528</v>
      </c>
      <c r="H109" s="160">
        <f t="shared" si="3"/>
        <v>11720</v>
      </c>
    </row>
    <row r="110" spans="1:8" ht="12.75" customHeight="1">
      <c r="A110" s="119" t="s">
        <v>246</v>
      </c>
      <c r="B110" s="117" t="s">
        <v>247</v>
      </c>
      <c r="D110" s="185">
        <v>0</v>
      </c>
      <c r="E110" s="184">
        <v>28435</v>
      </c>
      <c r="G110" s="184">
        <v>0</v>
      </c>
      <c r="H110" s="160">
        <f t="shared" si="3"/>
        <v>28435</v>
      </c>
    </row>
    <row r="111" spans="1:8" ht="12" customHeight="1">
      <c r="A111" s="119" t="s">
        <v>248</v>
      </c>
      <c r="B111" s="117" t="s">
        <v>249</v>
      </c>
      <c r="D111" s="185">
        <v>1219</v>
      </c>
      <c r="E111" s="184">
        <v>1232</v>
      </c>
      <c r="F111" s="184">
        <v>1227</v>
      </c>
      <c r="G111" s="184">
        <v>3761</v>
      </c>
      <c r="H111" s="160">
        <f t="shared" si="3"/>
        <v>7439</v>
      </c>
    </row>
    <row r="112" spans="1:8" ht="12.75" customHeight="1">
      <c r="A112" s="119" t="s">
        <v>436</v>
      </c>
      <c r="B112" s="117" t="s">
        <v>437</v>
      </c>
      <c r="D112" s="184">
        <v>0</v>
      </c>
      <c r="E112" s="184">
        <v>20000</v>
      </c>
      <c r="F112" s="184">
        <v>20000</v>
      </c>
      <c r="G112" s="184">
        <v>0</v>
      </c>
      <c r="H112" s="160">
        <f t="shared" si="3"/>
        <v>40000</v>
      </c>
    </row>
    <row r="113" spans="1:8" ht="12.75" customHeight="1">
      <c r="A113" s="119" t="s">
        <v>250</v>
      </c>
      <c r="B113" s="117" t="s">
        <v>251</v>
      </c>
      <c r="C113" s="190"/>
      <c r="D113" s="209">
        <v>0</v>
      </c>
      <c r="E113" s="184">
        <v>358</v>
      </c>
      <c r="F113" s="184">
        <v>477</v>
      </c>
      <c r="G113" s="184">
        <v>-922</v>
      </c>
      <c r="H113" s="160">
        <f t="shared" si="3"/>
        <v>-87</v>
      </c>
    </row>
    <row r="114" spans="1:8" ht="12.75" customHeight="1">
      <c r="A114" s="117" t="s">
        <v>391</v>
      </c>
      <c r="D114" s="185">
        <f>SUM(D103:D113)</f>
        <v>116015</v>
      </c>
      <c r="E114" s="184">
        <f>SUM(E103:E113)</f>
        <v>186829</v>
      </c>
      <c r="F114" s="184">
        <f>SUM(F103:F113)</f>
        <v>139435</v>
      </c>
      <c r="G114" s="184">
        <f>SUM(G103:G113)</f>
        <v>120859</v>
      </c>
      <c r="H114" s="184">
        <f>SUM(H103:H113)</f>
        <v>563138</v>
      </c>
    </row>
    <row r="115" spans="1:8" ht="12.75" customHeight="1"/>
    <row r="116" spans="1:8" ht="12.75" customHeight="1">
      <c r="A116" s="119" t="s">
        <v>260</v>
      </c>
      <c r="B116" s="117" t="s">
        <v>261</v>
      </c>
      <c r="D116" s="185">
        <v>457533</v>
      </c>
      <c r="E116" s="184">
        <v>450998</v>
      </c>
      <c r="F116" s="184">
        <v>448423</v>
      </c>
      <c r="G116" s="184">
        <v>442928</v>
      </c>
      <c r="H116" s="160">
        <f>SUM(C116:G116)</f>
        <v>1799882</v>
      </c>
    </row>
    <row r="117" spans="1:8" ht="12.75" customHeight="1">
      <c r="A117" s="119">
        <v>4630000</v>
      </c>
      <c r="B117" s="117" t="s">
        <v>265</v>
      </c>
      <c r="D117" s="185">
        <v>0</v>
      </c>
      <c r="E117" s="184">
        <v>0</v>
      </c>
      <c r="F117" s="184">
        <v>8219</v>
      </c>
      <c r="G117" s="184">
        <v>0</v>
      </c>
      <c r="H117" s="160">
        <f>SUM(C117:G117)</f>
        <v>8219</v>
      </c>
    </row>
    <row r="118" spans="1:8" ht="12.75" customHeight="1">
      <c r="A118" s="119" t="s">
        <v>266</v>
      </c>
      <c r="B118" s="117" t="s">
        <v>267</v>
      </c>
      <c r="D118" s="185">
        <v>106683</v>
      </c>
      <c r="E118" s="184">
        <v>105985</v>
      </c>
      <c r="F118" s="184">
        <v>106445</v>
      </c>
      <c r="G118" s="184">
        <v>105740</v>
      </c>
      <c r="H118" s="160">
        <f>SUM(C118:G118)</f>
        <v>424853</v>
      </c>
    </row>
    <row r="119" spans="1:8" ht="12.75" customHeight="1">
      <c r="A119" s="119">
        <v>4642000</v>
      </c>
      <c r="B119" s="117" t="s">
        <v>462</v>
      </c>
      <c r="D119" s="185">
        <v>0</v>
      </c>
      <c r="E119" s="184">
        <v>0</v>
      </c>
      <c r="F119" s="184">
        <v>3012</v>
      </c>
      <c r="G119" s="184">
        <v>0</v>
      </c>
      <c r="H119" s="160">
        <f>SUM(C119:G119)</f>
        <v>3012</v>
      </c>
    </row>
    <row r="120" spans="1:8" ht="12.75" customHeight="1">
      <c r="A120" s="119" t="s">
        <v>393</v>
      </c>
      <c r="D120" s="185">
        <f>SUM(D116:D119)</f>
        <v>564216</v>
      </c>
      <c r="E120" s="184">
        <f>SUM(E116:E119)</f>
        <v>556983</v>
      </c>
      <c r="F120" s="184">
        <f>SUM(F116:F119)</f>
        <v>566099</v>
      </c>
      <c r="G120" s="184">
        <f>SUM(G116:G119)</f>
        <v>548668</v>
      </c>
      <c r="H120" s="184">
        <f>SUM(H116:H119)</f>
        <v>2235966</v>
      </c>
    </row>
    <row r="121" spans="1:8" ht="12.75" customHeight="1"/>
    <row r="122" spans="1:8" ht="12.75" customHeight="1">
      <c r="A122" s="119">
        <v>9500000</v>
      </c>
      <c r="B122" s="117" t="s">
        <v>456</v>
      </c>
      <c r="D122" s="185">
        <v>0</v>
      </c>
      <c r="E122" s="184">
        <v>0</v>
      </c>
      <c r="F122" s="184">
        <v>0</v>
      </c>
      <c r="G122" s="184">
        <v>0</v>
      </c>
      <c r="H122" s="160">
        <f>SUM(C122:G122)</f>
        <v>0</v>
      </c>
    </row>
    <row r="123" spans="1:8" ht="12.75" customHeight="1">
      <c r="A123" s="119" t="s">
        <v>272</v>
      </c>
      <c r="B123" s="117" t="s">
        <v>273</v>
      </c>
      <c r="D123" s="185">
        <v>293081</v>
      </c>
      <c r="E123" s="184">
        <v>-524916</v>
      </c>
      <c r="F123" s="184">
        <v>-118583</v>
      </c>
      <c r="G123" s="184">
        <v>-576960</v>
      </c>
      <c r="H123" s="160">
        <f>SUM(C123:G123)</f>
        <v>-927378</v>
      </c>
    </row>
    <row r="124" spans="1:8" ht="12.75" customHeight="1">
      <c r="A124" s="119">
        <v>9500100</v>
      </c>
      <c r="B124" s="117" t="s">
        <v>438</v>
      </c>
      <c r="E124" s="184">
        <v>0</v>
      </c>
      <c r="F124" s="184">
        <v>53597</v>
      </c>
      <c r="G124" s="184">
        <v>-53597</v>
      </c>
      <c r="H124" s="160">
        <f>SUM(C124:G124)</f>
        <v>0</v>
      </c>
    </row>
    <row r="125" spans="1:8" ht="12.75" customHeight="1">
      <c r="A125" s="119" t="s">
        <v>439</v>
      </c>
      <c r="D125" s="185">
        <f>SUM(D122:D124)</f>
        <v>293081</v>
      </c>
      <c r="E125" s="185">
        <f>SUM(E122:E124)</f>
        <v>-524916</v>
      </c>
      <c r="F125" s="185">
        <f>SUM(F122:F124)</f>
        <v>-64986</v>
      </c>
      <c r="G125" s="185">
        <f>SUM(G122:G124)</f>
        <v>-630557</v>
      </c>
      <c r="H125" s="185">
        <f>SUM(H122:H124)</f>
        <v>-927378</v>
      </c>
    </row>
    <row r="126" spans="1:8" ht="12.75" customHeight="1"/>
    <row r="127" spans="1:8" ht="12.75" customHeight="1">
      <c r="A127" s="117" t="s">
        <v>440</v>
      </c>
      <c r="D127" s="185">
        <f>D71+D76+D79+D83+D93+D98+D101+D114+D120+D125</f>
        <v>-1562289</v>
      </c>
      <c r="E127" s="184">
        <f>E71+E76+E79+E83+E93+E98+E101+E114+E120+E125</f>
        <v>-1422230</v>
      </c>
      <c r="F127" s="184">
        <f>F71+F76+F79+F83+F93+F98+F101+F114+F120+F125</f>
        <v>-970050</v>
      </c>
      <c r="G127" s="184">
        <f>G71+G76+G79+G83+G93+G98+G101+G114+G120+G125</f>
        <v>-1881580</v>
      </c>
      <c r="H127" s="184">
        <f>H71+H76+H79+H83+H93+H98+H101+H114+H120+H125</f>
        <v>-5836149</v>
      </c>
    </row>
    <row r="128" spans="1:8" ht="12.75" customHeight="1"/>
    <row r="129" spans="3:10" ht="12.75" customHeight="1">
      <c r="C129" s="187"/>
      <c r="D129" s="187">
        <f>SUM(D4:D65)+D127</f>
        <v>0</v>
      </c>
      <c r="E129" s="195">
        <f>SUM(E4:E65)+E127</f>
        <v>0</v>
      </c>
      <c r="F129" s="195">
        <f>SUM(F4:F65)+F127</f>
        <v>0</v>
      </c>
      <c r="G129" s="195">
        <f>SUM(G4:G65)+G127</f>
        <v>0</v>
      </c>
      <c r="H129" s="187">
        <f>SUM(H4:H65)+H127</f>
        <v>0</v>
      </c>
    </row>
    <row r="130" spans="3:10" ht="12.75" customHeight="1">
      <c r="J130" s="214"/>
    </row>
    <row r="131" spans="3:10" ht="12.75" customHeight="1">
      <c r="J131" s="214"/>
    </row>
    <row r="132" spans="3:10" ht="12.75" customHeight="1">
      <c r="J132" s="214"/>
    </row>
    <row r="133" spans="3:10" ht="12.75" customHeight="1">
      <c r="J133" s="214"/>
    </row>
    <row r="134" spans="3:10" ht="12.75" customHeight="1">
      <c r="J134" s="214"/>
    </row>
    <row r="135" spans="3:10" ht="12.75" customHeight="1">
      <c r="J135" s="214"/>
    </row>
    <row r="136" spans="3:10" ht="12.75" customHeight="1">
      <c r="J136" s="214"/>
    </row>
    <row r="137" spans="3:10" ht="12.75" customHeight="1">
      <c r="J137" s="214"/>
    </row>
    <row r="138" spans="3:10" ht="12.75" customHeight="1">
      <c r="J138" s="2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046D-764D-4B59-BF58-8DE6210C7EE6}"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defaultRowHeight="12.75" customHeight="1"/>
  <cols>
    <col min="1" max="1" width="20" style="182" bestFit="1" customWidth="1"/>
    <col min="2" max="2" width="66.33203125" style="183" bestFit="1" customWidth="1"/>
    <col min="3" max="3" width="21.33203125" style="185" customWidth="1"/>
    <col min="4" max="7" width="21.33203125" style="184" customWidth="1"/>
    <col min="8" max="8" width="18.44140625" style="186" bestFit="1" customWidth="1"/>
    <col min="9" max="9" width="11.109375" style="183" customWidth="1"/>
    <col min="10" max="10" width="21.33203125" style="187" customWidth="1"/>
    <col min="11" max="256" width="8.88671875" style="183"/>
    <col min="257" max="257" width="20" style="183" bestFit="1" customWidth="1"/>
    <col min="258" max="258" width="66.33203125" style="183" bestFit="1" customWidth="1"/>
    <col min="259" max="263" width="21.33203125" style="183" customWidth="1"/>
    <col min="264" max="264" width="18.44140625" style="183" bestFit="1" customWidth="1"/>
    <col min="265" max="265" width="11.109375" style="183" customWidth="1"/>
    <col min="266" max="266" width="21.33203125" style="183" customWidth="1"/>
    <col min="267" max="512" width="8.88671875" style="183"/>
    <col min="513" max="513" width="20" style="183" bestFit="1" customWidth="1"/>
    <col min="514" max="514" width="66.33203125" style="183" bestFit="1" customWidth="1"/>
    <col min="515" max="519" width="21.33203125" style="183" customWidth="1"/>
    <col min="520" max="520" width="18.44140625" style="183" bestFit="1" customWidth="1"/>
    <col min="521" max="521" width="11.109375" style="183" customWidth="1"/>
    <col min="522" max="522" width="21.33203125" style="183" customWidth="1"/>
    <col min="523" max="768" width="8.88671875" style="183"/>
    <col min="769" max="769" width="20" style="183" bestFit="1" customWidth="1"/>
    <col min="770" max="770" width="66.33203125" style="183" bestFit="1" customWidth="1"/>
    <col min="771" max="775" width="21.33203125" style="183" customWidth="1"/>
    <col min="776" max="776" width="18.44140625" style="183" bestFit="1" customWidth="1"/>
    <col min="777" max="777" width="11.109375" style="183" customWidth="1"/>
    <col min="778" max="778" width="21.33203125" style="183" customWidth="1"/>
    <col min="779" max="1024" width="8.88671875" style="183"/>
    <col min="1025" max="1025" width="20" style="183" bestFit="1" customWidth="1"/>
    <col min="1026" max="1026" width="66.33203125" style="183" bestFit="1" customWidth="1"/>
    <col min="1027" max="1031" width="21.33203125" style="183" customWidth="1"/>
    <col min="1032" max="1032" width="18.44140625" style="183" bestFit="1" customWidth="1"/>
    <col min="1033" max="1033" width="11.109375" style="183" customWidth="1"/>
    <col min="1034" max="1034" width="21.33203125" style="183" customWidth="1"/>
    <col min="1035" max="1280" width="8.88671875" style="183"/>
    <col min="1281" max="1281" width="20" style="183" bestFit="1" customWidth="1"/>
    <col min="1282" max="1282" width="66.33203125" style="183" bestFit="1" customWidth="1"/>
    <col min="1283" max="1287" width="21.33203125" style="183" customWidth="1"/>
    <col min="1288" max="1288" width="18.44140625" style="183" bestFit="1" customWidth="1"/>
    <col min="1289" max="1289" width="11.109375" style="183" customWidth="1"/>
    <col min="1290" max="1290" width="21.33203125" style="183" customWidth="1"/>
    <col min="1291" max="1536" width="8.88671875" style="183"/>
    <col min="1537" max="1537" width="20" style="183" bestFit="1" customWidth="1"/>
    <col min="1538" max="1538" width="66.33203125" style="183" bestFit="1" customWidth="1"/>
    <col min="1539" max="1543" width="21.33203125" style="183" customWidth="1"/>
    <col min="1544" max="1544" width="18.44140625" style="183" bestFit="1" customWidth="1"/>
    <col min="1545" max="1545" width="11.109375" style="183" customWidth="1"/>
    <col min="1546" max="1546" width="21.33203125" style="183" customWidth="1"/>
    <col min="1547" max="1792" width="8.88671875" style="183"/>
    <col min="1793" max="1793" width="20" style="183" bestFit="1" customWidth="1"/>
    <col min="1794" max="1794" width="66.33203125" style="183" bestFit="1" customWidth="1"/>
    <col min="1795" max="1799" width="21.33203125" style="183" customWidth="1"/>
    <col min="1800" max="1800" width="18.44140625" style="183" bestFit="1" customWidth="1"/>
    <col min="1801" max="1801" width="11.109375" style="183" customWidth="1"/>
    <col min="1802" max="1802" width="21.33203125" style="183" customWidth="1"/>
    <col min="1803" max="2048" width="8.88671875" style="183"/>
    <col min="2049" max="2049" width="20" style="183" bestFit="1" customWidth="1"/>
    <col min="2050" max="2050" width="66.33203125" style="183" bestFit="1" customWidth="1"/>
    <col min="2051" max="2055" width="21.33203125" style="183" customWidth="1"/>
    <col min="2056" max="2056" width="18.44140625" style="183" bestFit="1" customWidth="1"/>
    <col min="2057" max="2057" width="11.109375" style="183" customWidth="1"/>
    <col min="2058" max="2058" width="21.33203125" style="183" customWidth="1"/>
    <col min="2059" max="2304" width="8.88671875" style="183"/>
    <col min="2305" max="2305" width="20" style="183" bestFit="1" customWidth="1"/>
    <col min="2306" max="2306" width="66.33203125" style="183" bestFit="1" customWidth="1"/>
    <col min="2307" max="2311" width="21.33203125" style="183" customWidth="1"/>
    <col min="2312" max="2312" width="18.44140625" style="183" bestFit="1" customWidth="1"/>
    <col min="2313" max="2313" width="11.109375" style="183" customWidth="1"/>
    <col min="2314" max="2314" width="21.33203125" style="183" customWidth="1"/>
    <col min="2315" max="2560" width="8.88671875" style="183"/>
    <col min="2561" max="2561" width="20" style="183" bestFit="1" customWidth="1"/>
    <col min="2562" max="2562" width="66.33203125" style="183" bestFit="1" customWidth="1"/>
    <col min="2563" max="2567" width="21.33203125" style="183" customWidth="1"/>
    <col min="2568" max="2568" width="18.44140625" style="183" bestFit="1" customWidth="1"/>
    <col min="2569" max="2569" width="11.109375" style="183" customWidth="1"/>
    <col min="2570" max="2570" width="21.33203125" style="183" customWidth="1"/>
    <col min="2571" max="2816" width="8.88671875" style="183"/>
    <col min="2817" max="2817" width="20" style="183" bestFit="1" customWidth="1"/>
    <col min="2818" max="2818" width="66.33203125" style="183" bestFit="1" customWidth="1"/>
    <col min="2819" max="2823" width="21.33203125" style="183" customWidth="1"/>
    <col min="2824" max="2824" width="18.44140625" style="183" bestFit="1" customWidth="1"/>
    <col min="2825" max="2825" width="11.109375" style="183" customWidth="1"/>
    <col min="2826" max="2826" width="21.33203125" style="183" customWidth="1"/>
    <col min="2827" max="3072" width="8.88671875" style="183"/>
    <col min="3073" max="3073" width="20" style="183" bestFit="1" customWidth="1"/>
    <col min="3074" max="3074" width="66.33203125" style="183" bestFit="1" customWidth="1"/>
    <col min="3075" max="3079" width="21.33203125" style="183" customWidth="1"/>
    <col min="3080" max="3080" width="18.44140625" style="183" bestFit="1" customWidth="1"/>
    <col min="3081" max="3081" width="11.109375" style="183" customWidth="1"/>
    <col min="3082" max="3082" width="21.33203125" style="183" customWidth="1"/>
    <col min="3083" max="3328" width="8.88671875" style="183"/>
    <col min="3329" max="3329" width="20" style="183" bestFit="1" customWidth="1"/>
    <col min="3330" max="3330" width="66.33203125" style="183" bestFit="1" customWidth="1"/>
    <col min="3331" max="3335" width="21.33203125" style="183" customWidth="1"/>
    <col min="3336" max="3336" width="18.44140625" style="183" bestFit="1" customWidth="1"/>
    <col min="3337" max="3337" width="11.109375" style="183" customWidth="1"/>
    <col min="3338" max="3338" width="21.33203125" style="183" customWidth="1"/>
    <col min="3339" max="3584" width="8.88671875" style="183"/>
    <col min="3585" max="3585" width="20" style="183" bestFit="1" customWidth="1"/>
    <col min="3586" max="3586" width="66.33203125" style="183" bestFit="1" customWidth="1"/>
    <col min="3587" max="3591" width="21.33203125" style="183" customWidth="1"/>
    <col min="3592" max="3592" width="18.44140625" style="183" bestFit="1" customWidth="1"/>
    <col min="3593" max="3593" width="11.109375" style="183" customWidth="1"/>
    <col min="3594" max="3594" width="21.33203125" style="183" customWidth="1"/>
    <col min="3595" max="3840" width="8.88671875" style="183"/>
    <col min="3841" max="3841" width="20" style="183" bestFit="1" customWidth="1"/>
    <col min="3842" max="3842" width="66.33203125" style="183" bestFit="1" customWidth="1"/>
    <col min="3843" max="3847" width="21.33203125" style="183" customWidth="1"/>
    <col min="3848" max="3848" width="18.44140625" style="183" bestFit="1" customWidth="1"/>
    <col min="3849" max="3849" width="11.109375" style="183" customWidth="1"/>
    <col min="3850" max="3850" width="21.33203125" style="183" customWidth="1"/>
    <col min="3851" max="4096" width="8.88671875" style="183"/>
    <col min="4097" max="4097" width="20" style="183" bestFit="1" customWidth="1"/>
    <col min="4098" max="4098" width="66.33203125" style="183" bestFit="1" customWidth="1"/>
    <col min="4099" max="4103" width="21.33203125" style="183" customWidth="1"/>
    <col min="4104" max="4104" width="18.44140625" style="183" bestFit="1" customWidth="1"/>
    <col min="4105" max="4105" width="11.109375" style="183" customWidth="1"/>
    <col min="4106" max="4106" width="21.33203125" style="183" customWidth="1"/>
    <col min="4107" max="4352" width="8.88671875" style="183"/>
    <col min="4353" max="4353" width="20" style="183" bestFit="1" customWidth="1"/>
    <col min="4354" max="4354" width="66.33203125" style="183" bestFit="1" customWidth="1"/>
    <col min="4355" max="4359" width="21.33203125" style="183" customWidth="1"/>
    <col min="4360" max="4360" width="18.44140625" style="183" bestFit="1" customWidth="1"/>
    <col min="4361" max="4361" width="11.109375" style="183" customWidth="1"/>
    <col min="4362" max="4362" width="21.33203125" style="183" customWidth="1"/>
    <col min="4363" max="4608" width="8.88671875" style="183"/>
    <col min="4609" max="4609" width="20" style="183" bestFit="1" customWidth="1"/>
    <col min="4610" max="4610" width="66.33203125" style="183" bestFit="1" customWidth="1"/>
    <col min="4611" max="4615" width="21.33203125" style="183" customWidth="1"/>
    <col min="4616" max="4616" width="18.44140625" style="183" bestFit="1" customWidth="1"/>
    <col min="4617" max="4617" width="11.109375" style="183" customWidth="1"/>
    <col min="4618" max="4618" width="21.33203125" style="183" customWidth="1"/>
    <col min="4619" max="4864" width="8.88671875" style="183"/>
    <col min="4865" max="4865" width="20" style="183" bestFit="1" customWidth="1"/>
    <col min="4866" max="4866" width="66.33203125" style="183" bestFit="1" customWidth="1"/>
    <col min="4867" max="4871" width="21.33203125" style="183" customWidth="1"/>
    <col min="4872" max="4872" width="18.44140625" style="183" bestFit="1" customWidth="1"/>
    <col min="4873" max="4873" width="11.109375" style="183" customWidth="1"/>
    <col min="4874" max="4874" width="21.33203125" style="183" customWidth="1"/>
    <col min="4875" max="5120" width="8.88671875" style="183"/>
    <col min="5121" max="5121" width="20" style="183" bestFit="1" customWidth="1"/>
    <col min="5122" max="5122" width="66.33203125" style="183" bestFit="1" customWidth="1"/>
    <col min="5123" max="5127" width="21.33203125" style="183" customWidth="1"/>
    <col min="5128" max="5128" width="18.44140625" style="183" bestFit="1" customWidth="1"/>
    <col min="5129" max="5129" width="11.109375" style="183" customWidth="1"/>
    <col min="5130" max="5130" width="21.33203125" style="183" customWidth="1"/>
    <col min="5131" max="5376" width="8.88671875" style="183"/>
    <col min="5377" max="5377" width="20" style="183" bestFit="1" customWidth="1"/>
    <col min="5378" max="5378" width="66.33203125" style="183" bestFit="1" customWidth="1"/>
    <col min="5379" max="5383" width="21.33203125" style="183" customWidth="1"/>
    <col min="5384" max="5384" width="18.44140625" style="183" bestFit="1" customWidth="1"/>
    <col min="5385" max="5385" width="11.109375" style="183" customWidth="1"/>
    <col min="5386" max="5386" width="21.33203125" style="183" customWidth="1"/>
    <col min="5387" max="5632" width="8.88671875" style="183"/>
    <col min="5633" max="5633" width="20" style="183" bestFit="1" customWidth="1"/>
    <col min="5634" max="5634" width="66.33203125" style="183" bestFit="1" customWidth="1"/>
    <col min="5635" max="5639" width="21.33203125" style="183" customWidth="1"/>
    <col min="5640" max="5640" width="18.44140625" style="183" bestFit="1" customWidth="1"/>
    <col min="5641" max="5641" width="11.109375" style="183" customWidth="1"/>
    <col min="5642" max="5642" width="21.33203125" style="183" customWidth="1"/>
    <col min="5643" max="5888" width="8.88671875" style="183"/>
    <col min="5889" max="5889" width="20" style="183" bestFit="1" customWidth="1"/>
    <col min="5890" max="5890" width="66.33203125" style="183" bestFit="1" customWidth="1"/>
    <col min="5891" max="5895" width="21.33203125" style="183" customWidth="1"/>
    <col min="5896" max="5896" width="18.44140625" style="183" bestFit="1" customWidth="1"/>
    <col min="5897" max="5897" width="11.109375" style="183" customWidth="1"/>
    <col min="5898" max="5898" width="21.33203125" style="183" customWidth="1"/>
    <col min="5899" max="6144" width="8.88671875" style="183"/>
    <col min="6145" max="6145" width="20" style="183" bestFit="1" customWidth="1"/>
    <col min="6146" max="6146" width="66.33203125" style="183" bestFit="1" customWidth="1"/>
    <col min="6147" max="6151" width="21.33203125" style="183" customWidth="1"/>
    <col min="6152" max="6152" width="18.44140625" style="183" bestFit="1" customWidth="1"/>
    <col min="6153" max="6153" width="11.109375" style="183" customWidth="1"/>
    <col min="6154" max="6154" width="21.33203125" style="183" customWidth="1"/>
    <col min="6155" max="6400" width="8.88671875" style="183"/>
    <col min="6401" max="6401" width="20" style="183" bestFit="1" customWidth="1"/>
    <col min="6402" max="6402" width="66.33203125" style="183" bestFit="1" customWidth="1"/>
    <col min="6403" max="6407" width="21.33203125" style="183" customWidth="1"/>
    <col min="6408" max="6408" width="18.44140625" style="183" bestFit="1" customWidth="1"/>
    <col min="6409" max="6409" width="11.109375" style="183" customWidth="1"/>
    <col min="6410" max="6410" width="21.33203125" style="183" customWidth="1"/>
    <col min="6411" max="6656" width="8.88671875" style="183"/>
    <col min="6657" max="6657" width="20" style="183" bestFit="1" customWidth="1"/>
    <col min="6658" max="6658" width="66.33203125" style="183" bestFit="1" customWidth="1"/>
    <col min="6659" max="6663" width="21.33203125" style="183" customWidth="1"/>
    <col min="6664" max="6664" width="18.44140625" style="183" bestFit="1" customWidth="1"/>
    <col min="6665" max="6665" width="11.109375" style="183" customWidth="1"/>
    <col min="6666" max="6666" width="21.33203125" style="183" customWidth="1"/>
    <col min="6667" max="6912" width="8.88671875" style="183"/>
    <col min="6913" max="6913" width="20" style="183" bestFit="1" customWidth="1"/>
    <col min="6914" max="6914" width="66.33203125" style="183" bestFit="1" customWidth="1"/>
    <col min="6915" max="6919" width="21.33203125" style="183" customWidth="1"/>
    <col min="6920" max="6920" width="18.44140625" style="183" bestFit="1" customWidth="1"/>
    <col min="6921" max="6921" width="11.109375" style="183" customWidth="1"/>
    <col min="6922" max="6922" width="21.33203125" style="183" customWidth="1"/>
    <col min="6923" max="7168" width="8.88671875" style="183"/>
    <col min="7169" max="7169" width="20" style="183" bestFit="1" customWidth="1"/>
    <col min="7170" max="7170" width="66.33203125" style="183" bestFit="1" customWidth="1"/>
    <col min="7171" max="7175" width="21.33203125" style="183" customWidth="1"/>
    <col min="7176" max="7176" width="18.44140625" style="183" bestFit="1" customWidth="1"/>
    <col min="7177" max="7177" width="11.109375" style="183" customWidth="1"/>
    <col min="7178" max="7178" width="21.33203125" style="183" customWidth="1"/>
    <col min="7179" max="7424" width="8.88671875" style="183"/>
    <col min="7425" max="7425" width="20" style="183" bestFit="1" customWidth="1"/>
    <col min="7426" max="7426" width="66.33203125" style="183" bestFit="1" customWidth="1"/>
    <col min="7427" max="7431" width="21.33203125" style="183" customWidth="1"/>
    <col min="7432" max="7432" width="18.44140625" style="183" bestFit="1" customWidth="1"/>
    <col min="7433" max="7433" width="11.109375" style="183" customWidth="1"/>
    <col min="7434" max="7434" width="21.33203125" style="183" customWidth="1"/>
    <col min="7435" max="7680" width="8.88671875" style="183"/>
    <col min="7681" max="7681" width="20" style="183" bestFit="1" customWidth="1"/>
    <col min="7682" max="7682" width="66.33203125" style="183" bestFit="1" customWidth="1"/>
    <col min="7683" max="7687" width="21.33203125" style="183" customWidth="1"/>
    <col min="7688" max="7688" width="18.44140625" style="183" bestFit="1" customWidth="1"/>
    <col min="7689" max="7689" width="11.109375" style="183" customWidth="1"/>
    <col min="7690" max="7690" width="21.33203125" style="183" customWidth="1"/>
    <col min="7691" max="7936" width="8.88671875" style="183"/>
    <col min="7937" max="7937" width="20" style="183" bestFit="1" customWidth="1"/>
    <col min="7938" max="7938" width="66.33203125" style="183" bestFit="1" customWidth="1"/>
    <col min="7939" max="7943" width="21.33203125" style="183" customWidth="1"/>
    <col min="7944" max="7944" width="18.44140625" style="183" bestFit="1" customWidth="1"/>
    <col min="7945" max="7945" width="11.109375" style="183" customWidth="1"/>
    <col min="7946" max="7946" width="21.33203125" style="183" customWidth="1"/>
    <col min="7947" max="8192" width="8.88671875" style="183"/>
    <col min="8193" max="8193" width="20" style="183" bestFit="1" customWidth="1"/>
    <col min="8194" max="8194" width="66.33203125" style="183" bestFit="1" customWidth="1"/>
    <col min="8195" max="8199" width="21.33203125" style="183" customWidth="1"/>
    <col min="8200" max="8200" width="18.44140625" style="183" bestFit="1" customWidth="1"/>
    <col min="8201" max="8201" width="11.109375" style="183" customWidth="1"/>
    <col min="8202" max="8202" width="21.33203125" style="183" customWidth="1"/>
    <col min="8203" max="8448" width="8.88671875" style="183"/>
    <col min="8449" max="8449" width="20" style="183" bestFit="1" customWidth="1"/>
    <col min="8450" max="8450" width="66.33203125" style="183" bestFit="1" customWidth="1"/>
    <col min="8451" max="8455" width="21.33203125" style="183" customWidth="1"/>
    <col min="8456" max="8456" width="18.44140625" style="183" bestFit="1" customWidth="1"/>
    <col min="8457" max="8457" width="11.109375" style="183" customWidth="1"/>
    <col min="8458" max="8458" width="21.33203125" style="183" customWidth="1"/>
    <col min="8459" max="8704" width="8.88671875" style="183"/>
    <col min="8705" max="8705" width="20" style="183" bestFit="1" customWidth="1"/>
    <col min="8706" max="8706" width="66.33203125" style="183" bestFit="1" customWidth="1"/>
    <col min="8707" max="8711" width="21.33203125" style="183" customWidth="1"/>
    <col min="8712" max="8712" width="18.44140625" style="183" bestFit="1" customWidth="1"/>
    <col min="8713" max="8713" width="11.109375" style="183" customWidth="1"/>
    <col min="8714" max="8714" width="21.33203125" style="183" customWidth="1"/>
    <col min="8715" max="8960" width="8.88671875" style="183"/>
    <col min="8961" max="8961" width="20" style="183" bestFit="1" customWidth="1"/>
    <col min="8962" max="8962" width="66.33203125" style="183" bestFit="1" customWidth="1"/>
    <col min="8963" max="8967" width="21.33203125" style="183" customWidth="1"/>
    <col min="8968" max="8968" width="18.44140625" style="183" bestFit="1" customWidth="1"/>
    <col min="8969" max="8969" width="11.109375" style="183" customWidth="1"/>
    <col min="8970" max="8970" width="21.33203125" style="183" customWidth="1"/>
    <col min="8971" max="9216" width="8.88671875" style="183"/>
    <col min="9217" max="9217" width="20" style="183" bestFit="1" customWidth="1"/>
    <col min="9218" max="9218" width="66.33203125" style="183" bestFit="1" customWidth="1"/>
    <col min="9219" max="9223" width="21.33203125" style="183" customWidth="1"/>
    <col min="9224" max="9224" width="18.44140625" style="183" bestFit="1" customWidth="1"/>
    <col min="9225" max="9225" width="11.109375" style="183" customWidth="1"/>
    <col min="9226" max="9226" width="21.33203125" style="183" customWidth="1"/>
    <col min="9227" max="9472" width="8.88671875" style="183"/>
    <col min="9473" max="9473" width="20" style="183" bestFit="1" customWidth="1"/>
    <col min="9474" max="9474" width="66.33203125" style="183" bestFit="1" customWidth="1"/>
    <col min="9475" max="9479" width="21.33203125" style="183" customWidth="1"/>
    <col min="9480" max="9480" width="18.44140625" style="183" bestFit="1" customWidth="1"/>
    <col min="9481" max="9481" width="11.109375" style="183" customWidth="1"/>
    <col min="9482" max="9482" width="21.33203125" style="183" customWidth="1"/>
    <col min="9483" max="9728" width="8.88671875" style="183"/>
    <col min="9729" max="9729" width="20" style="183" bestFit="1" customWidth="1"/>
    <col min="9730" max="9730" width="66.33203125" style="183" bestFit="1" customWidth="1"/>
    <col min="9731" max="9735" width="21.33203125" style="183" customWidth="1"/>
    <col min="9736" max="9736" width="18.44140625" style="183" bestFit="1" customWidth="1"/>
    <col min="9737" max="9737" width="11.109375" style="183" customWidth="1"/>
    <col min="9738" max="9738" width="21.33203125" style="183" customWidth="1"/>
    <col min="9739" max="9984" width="8.88671875" style="183"/>
    <col min="9985" max="9985" width="20" style="183" bestFit="1" customWidth="1"/>
    <col min="9986" max="9986" width="66.33203125" style="183" bestFit="1" customWidth="1"/>
    <col min="9987" max="9991" width="21.33203125" style="183" customWidth="1"/>
    <col min="9992" max="9992" width="18.44140625" style="183" bestFit="1" customWidth="1"/>
    <col min="9993" max="9993" width="11.109375" style="183" customWidth="1"/>
    <col min="9994" max="9994" width="21.33203125" style="183" customWidth="1"/>
    <col min="9995" max="10240" width="8.88671875" style="183"/>
    <col min="10241" max="10241" width="20" style="183" bestFit="1" customWidth="1"/>
    <col min="10242" max="10242" width="66.33203125" style="183" bestFit="1" customWidth="1"/>
    <col min="10243" max="10247" width="21.33203125" style="183" customWidth="1"/>
    <col min="10248" max="10248" width="18.44140625" style="183" bestFit="1" customWidth="1"/>
    <col min="10249" max="10249" width="11.109375" style="183" customWidth="1"/>
    <col min="10250" max="10250" width="21.33203125" style="183" customWidth="1"/>
    <col min="10251" max="10496" width="8.88671875" style="183"/>
    <col min="10497" max="10497" width="20" style="183" bestFit="1" customWidth="1"/>
    <col min="10498" max="10498" width="66.33203125" style="183" bestFit="1" customWidth="1"/>
    <col min="10499" max="10503" width="21.33203125" style="183" customWidth="1"/>
    <col min="10504" max="10504" width="18.44140625" style="183" bestFit="1" customWidth="1"/>
    <col min="10505" max="10505" width="11.109375" style="183" customWidth="1"/>
    <col min="10506" max="10506" width="21.33203125" style="183" customWidth="1"/>
    <col min="10507" max="10752" width="8.88671875" style="183"/>
    <col min="10753" max="10753" width="20" style="183" bestFit="1" customWidth="1"/>
    <col min="10754" max="10754" width="66.33203125" style="183" bestFit="1" customWidth="1"/>
    <col min="10755" max="10759" width="21.33203125" style="183" customWidth="1"/>
    <col min="10760" max="10760" width="18.44140625" style="183" bestFit="1" customWidth="1"/>
    <col min="10761" max="10761" width="11.109375" style="183" customWidth="1"/>
    <col min="10762" max="10762" width="21.33203125" style="183" customWidth="1"/>
    <col min="10763" max="11008" width="8.88671875" style="183"/>
    <col min="11009" max="11009" width="20" style="183" bestFit="1" customWidth="1"/>
    <col min="11010" max="11010" width="66.33203125" style="183" bestFit="1" customWidth="1"/>
    <col min="11011" max="11015" width="21.33203125" style="183" customWidth="1"/>
    <col min="11016" max="11016" width="18.44140625" style="183" bestFit="1" customWidth="1"/>
    <col min="11017" max="11017" width="11.109375" style="183" customWidth="1"/>
    <col min="11018" max="11018" width="21.33203125" style="183" customWidth="1"/>
    <col min="11019" max="11264" width="8.88671875" style="183"/>
    <col min="11265" max="11265" width="20" style="183" bestFit="1" customWidth="1"/>
    <col min="11266" max="11266" width="66.33203125" style="183" bestFit="1" customWidth="1"/>
    <col min="11267" max="11271" width="21.33203125" style="183" customWidth="1"/>
    <col min="11272" max="11272" width="18.44140625" style="183" bestFit="1" customWidth="1"/>
    <col min="11273" max="11273" width="11.109375" style="183" customWidth="1"/>
    <col min="11274" max="11274" width="21.33203125" style="183" customWidth="1"/>
    <col min="11275" max="11520" width="8.88671875" style="183"/>
    <col min="11521" max="11521" width="20" style="183" bestFit="1" customWidth="1"/>
    <col min="11522" max="11522" width="66.33203125" style="183" bestFit="1" customWidth="1"/>
    <col min="11523" max="11527" width="21.33203125" style="183" customWidth="1"/>
    <col min="11528" max="11528" width="18.44140625" style="183" bestFit="1" customWidth="1"/>
    <col min="11529" max="11529" width="11.109375" style="183" customWidth="1"/>
    <col min="11530" max="11530" width="21.33203125" style="183" customWidth="1"/>
    <col min="11531" max="11776" width="8.88671875" style="183"/>
    <col min="11777" max="11777" width="20" style="183" bestFit="1" customWidth="1"/>
    <col min="11778" max="11778" width="66.33203125" style="183" bestFit="1" customWidth="1"/>
    <col min="11779" max="11783" width="21.33203125" style="183" customWidth="1"/>
    <col min="11784" max="11784" width="18.44140625" style="183" bestFit="1" customWidth="1"/>
    <col min="11785" max="11785" width="11.109375" style="183" customWidth="1"/>
    <col min="11786" max="11786" width="21.33203125" style="183" customWidth="1"/>
    <col min="11787" max="12032" width="8.88671875" style="183"/>
    <col min="12033" max="12033" width="20" style="183" bestFit="1" customWidth="1"/>
    <col min="12034" max="12034" width="66.33203125" style="183" bestFit="1" customWidth="1"/>
    <col min="12035" max="12039" width="21.33203125" style="183" customWidth="1"/>
    <col min="12040" max="12040" width="18.44140625" style="183" bestFit="1" customWidth="1"/>
    <col min="12041" max="12041" width="11.109375" style="183" customWidth="1"/>
    <col min="12042" max="12042" width="21.33203125" style="183" customWidth="1"/>
    <col min="12043" max="12288" width="8.88671875" style="183"/>
    <col min="12289" max="12289" width="20" style="183" bestFit="1" customWidth="1"/>
    <col min="12290" max="12290" width="66.33203125" style="183" bestFit="1" customWidth="1"/>
    <col min="12291" max="12295" width="21.33203125" style="183" customWidth="1"/>
    <col min="12296" max="12296" width="18.44140625" style="183" bestFit="1" customWidth="1"/>
    <col min="12297" max="12297" width="11.109375" style="183" customWidth="1"/>
    <col min="12298" max="12298" width="21.33203125" style="183" customWidth="1"/>
    <col min="12299" max="12544" width="8.88671875" style="183"/>
    <col min="12545" max="12545" width="20" style="183" bestFit="1" customWidth="1"/>
    <col min="12546" max="12546" width="66.33203125" style="183" bestFit="1" customWidth="1"/>
    <col min="12547" max="12551" width="21.33203125" style="183" customWidth="1"/>
    <col min="12552" max="12552" width="18.44140625" style="183" bestFit="1" customWidth="1"/>
    <col min="12553" max="12553" width="11.109375" style="183" customWidth="1"/>
    <col min="12554" max="12554" width="21.33203125" style="183" customWidth="1"/>
    <col min="12555" max="12800" width="8.88671875" style="183"/>
    <col min="12801" max="12801" width="20" style="183" bestFit="1" customWidth="1"/>
    <col min="12802" max="12802" width="66.33203125" style="183" bestFit="1" customWidth="1"/>
    <col min="12803" max="12807" width="21.33203125" style="183" customWidth="1"/>
    <col min="12808" max="12808" width="18.44140625" style="183" bestFit="1" customWidth="1"/>
    <col min="12809" max="12809" width="11.109375" style="183" customWidth="1"/>
    <col min="12810" max="12810" width="21.33203125" style="183" customWidth="1"/>
    <col min="12811" max="13056" width="8.88671875" style="183"/>
    <col min="13057" max="13057" width="20" style="183" bestFit="1" customWidth="1"/>
    <col min="13058" max="13058" width="66.33203125" style="183" bestFit="1" customWidth="1"/>
    <col min="13059" max="13063" width="21.33203125" style="183" customWidth="1"/>
    <col min="13064" max="13064" width="18.44140625" style="183" bestFit="1" customWidth="1"/>
    <col min="13065" max="13065" width="11.109375" style="183" customWidth="1"/>
    <col min="13066" max="13066" width="21.33203125" style="183" customWidth="1"/>
    <col min="13067" max="13312" width="8.88671875" style="183"/>
    <col min="13313" max="13313" width="20" style="183" bestFit="1" customWidth="1"/>
    <col min="13314" max="13314" width="66.33203125" style="183" bestFit="1" customWidth="1"/>
    <col min="13315" max="13319" width="21.33203125" style="183" customWidth="1"/>
    <col min="13320" max="13320" width="18.44140625" style="183" bestFit="1" customWidth="1"/>
    <col min="13321" max="13321" width="11.109375" style="183" customWidth="1"/>
    <col min="13322" max="13322" width="21.33203125" style="183" customWidth="1"/>
    <col min="13323" max="13568" width="8.88671875" style="183"/>
    <col min="13569" max="13569" width="20" style="183" bestFit="1" customWidth="1"/>
    <col min="13570" max="13570" width="66.33203125" style="183" bestFit="1" customWidth="1"/>
    <col min="13571" max="13575" width="21.33203125" style="183" customWidth="1"/>
    <col min="13576" max="13576" width="18.44140625" style="183" bestFit="1" customWidth="1"/>
    <col min="13577" max="13577" width="11.109375" style="183" customWidth="1"/>
    <col min="13578" max="13578" width="21.33203125" style="183" customWidth="1"/>
    <col min="13579" max="13824" width="8.88671875" style="183"/>
    <col min="13825" max="13825" width="20" style="183" bestFit="1" customWidth="1"/>
    <col min="13826" max="13826" width="66.33203125" style="183" bestFit="1" customWidth="1"/>
    <col min="13827" max="13831" width="21.33203125" style="183" customWidth="1"/>
    <col min="13832" max="13832" width="18.44140625" style="183" bestFit="1" customWidth="1"/>
    <col min="13833" max="13833" width="11.109375" style="183" customWidth="1"/>
    <col min="13834" max="13834" width="21.33203125" style="183" customWidth="1"/>
    <col min="13835" max="14080" width="8.88671875" style="183"/>
    <col min="14081" max="14081" width="20" style="183" bestFit="1" customWidth="1"/>
    <col min="14082" max="14082" width="66.33203125" style="183" bestFit="1" customWidth="1"/>
    <col min="14083" max="14087" width="21.33203125" style="183" customWidth="1"/>
    <col min="14088" max="14088" width="18.44140625" style="183" bestFit="1" customWidth="1"/>
    <col min="14089" max="14089" width="11.109375" style="183" customWidth="1"/>
    <col min="14090" max="14090" width="21.33203125" style="183" customWidth="1"/>
    <col min="14091" max="14336" width="8.88671875" style="183"/>
    <col min="14337" max="14337" width="20" style="183" bestFit="1" customWidth="1"/>
    <col min="14338" max="14338" width="66.33203125" style="183" bestFit="1" customWidth="1"/>
    <col min="14339" max="14343" width="21.33203125" style="183" customWidth="1"/>
    <col min="14344" max="14344" width="18.44140625" style="183" bestFit="1" customWidth="1"/>
    <col min="14345" max="14345" width="11.109375" style="183" customWidth="1"/>
    <col min="14346" max="14346" width="21.33203125" style="183" customWidth="1"/>
    <col min="14347" max="14592" width="8.88671875" style="183"/>
    <col min="14593" max="14593" width="20" style="183" bestFit="1" customWidth="1"/>
    <col min="14594" max="14594" width="66.33203125" style="183" bestFit="1" customWidth="1"/>
    <col min="14595" max="14599" width="21.33203125" style="183" customWidth="1"/>
    <col min="14600" max="14600" width="18.44140625" style="183" bestFit="1" customWidth="1"/>
    <col min="14601" max="14601" width="11.109375" style="183" customWidth="1"/>
    <col min="14602" max="14602" width="21.33203125" style="183" customWidth="1"/>
    <col min="14603" max="14848" width="8.88671875" style="183"/>
    <col min="14849" max="14849" width="20" style="183" bestFit="1" customWidth="1"/>
    <col min="14850" max="14850" width="66.33203125" style="183" bestFit="1" customWidth="1"/>
    <col min="14851" max="14855" width="21.33203125" style="183" customWidth="1"/>
    <col min="14856" max="14856" width="18.44140625" style="183" bestFit="1" customWidth="1"/>
    <col min="14857" max="14857" width="11.109375" style="183" customWidth="1"/>
    <col min="14858" max="14858" width="21.33203125" style="183" customWidth="1"/>
    <col min="14859" max="15104" width="8.88671875" style="183"/>
    <col min="15105" max="15105" width="20" style="183" bestFit="1" customWidth="1"/>
    <col min="15106" max="15106" width="66.33203125" style="183" bestFit="1" customWidth="1"/>
    <col min="15107" max="15111" width="21.33203125" style="183" customWidth="1"/>
    <col min="15112" max="15112" width="18.44140625" style="183" bestFit="1" customWidth="1"/>
    <col min="15113" max="15113" width="11.109375" style="183" customWidth="1"/>
    <col min="15114" max="15114" width="21.33203125" style="183" customWidth="1"/>
    <col min="15115" max="15360" width="8.88671875" style="183"/>
    <col min="15361" max="15361" width="20" style="183" bestFit="1" customWidth="1"/>
    <col min="15362" max="15362" width="66.33203125" style="183" bestFit="1" customWidth="1"/>
    <col min="15363" max="15367" width="21.33203125" style="183" customWidth="1"/>
    <col min="15368" max="15368" width="18.44140625" style="183" bestFit="1" customWidth="1"/>
    <col min="15369" max="15369" width="11.109375" style="183" customWidth="1"/>
    <col min="15370" max="15370" width="21.33203125" style="183" customWidth="1"/>
    <col min="15371" max="15616" width="8.88671875" style="183"/>
    <col min="15617" max="15617" width="20" style="183" bestFit="1" customWidth="1"/>
    <col min="15618" max="15618" width="66.33203125" style="183" bestFit="1" customWidth="1"/>
    <col min="15619" max="15623" width="21.33203125" style="183" customWidth="1"/>
    <col min="15624" max="15624" width="18.44140625" style="183" bestFit="1" customWidth="1"/>
    <col min="15625" max="15625" width="11.109375" style="183" customWidth="1"/>
    <col min="15626" max="15626" width="21.33203125" style="183" customWidth="1"/>
    <col min="15627" max="15872" width="8.88671875" style="183"/>
    <col min="15873" max="15873" width="20" style="183" bestFit="1" customWidth="1"/>
    <col min="15874" max="15874" width="66.33203125" style="183" bestFit="1" customWidth="1"/>
    <col min="15875" max="15879" width="21.33203125" style="183" customWidth="1"/>
    <col min="15880" max="15880" width="18.44140625" style="183" bestFit="1" customWidth="1"/>
    <col min="15881" max="15881" width="11.109375" style="183" customWidth="1"/>
    <col min="15882" max="15882" width="21.33203125" style="183" customWidth="1"/>
    <col min="15883" max="16128" width="8.88671875" style="183"/>
    <col min="16129" max="16129" width="20" style="183" bestFit="1" customWidth="1"/>
    <col min="16130" max="16130" width="66.33203125" style="183" bestFit="1" customWidth="1"/>
    <col min="16131" max="16135" width="21.33203125" style="183" customWidth="1"/>
    <col min="16136" max="16136" width="18.44140625" style="183" bestFit="1" customWidth="1"/>
    <col min="16137" max="16137" width="11.109375" style="183" customWidth="1"/>
    <col min="16138" max="16138" width="21.33203125" style="183" customWidth="1"/>
    <col min="16139" max="16384" width="8.88671875" style="183"/>
  </cols>
  <sheetData>
    <row r="1" spans="1:11" ht="12.75" customHeight="1">
      <c r="C1" s="185" t="s">
        <v>472</v>
      </c>
      <c r="D1" s="184" t="s">
        <v>454</v>
      </c>
      <c r="E1" s="208" t="s">
        <v>473</v>
      </c>
      <c r="F1" s="208" t="s">
        <v>474</v>
      </c>
      <c r="G1" s="208" t="s">
        <v>475</v>
      </c>
      <c r="H1" s="186" t="s">
        <v>476</v>
      </c>
    </row>
    <row r="3" spans="1:11" ht="12.75" customHeight="1">
      <c r="A3" s="188" t="s">
        <v>16</v>
      </c>
      <c r="C3" s="208"/>
      <c r="J3" s="184">
        <v>449927</v>
      </c>
      <c r="K3" s="183" t="s">
        <v>479</v>
      </c>
    </row>
    <row r="4" spans="1:11" ht="12.75" customHeight="1">
      <c r="A4" s="182">
        <v>1600200</v>
      </c>
      <c r="B4" s="183" t="s">
        <v>22</v>
      </c>
      <c r="C4" s="208">
        <v>129552968</v>
      </c>
      <c r="D4" s="184">
        <v>153567</v>
      </c>
      <c r="H4" s="186">
        <f>SUM(C4:G4)</f>
        <v>129706535</v>
      </c>
      <c r="I4" s="189"/>
      <c r="J4" s="184">
        <v>172507</v>
      </c>
      <c r="K4" s="183" t="s">
        <v>480</v>
      </c>
    </row>
    <row r="5" spans="1:11" ht="12.75" customHeight="1">
      <c r="A5" s="182" t="s">
        <v>23</v>
      </c>
      <c r="B5" s="183" t="s">
        <v>24</v>
      </c>
      <c r="C5" s="208">
        <v>-10957006</v>
      </c>
      <c r="D5" s="184">
        <f>-630199</f>
        <v>-630199</v>
      </c>
      <c r="E5" s="184">
        <v>-653151</v>
      </c>
      <c r="F5" s="184">
        <v>-654632</v>
      </c>
      <c r="G5" s="184">
        <v>-277132</v>
      </c>
      <c r="H5" s="186">
        <f>SUM(C5:G5)</f>
        <v>-13172120</v>
      </c>
    </row>
    <row r="6" spans="1:11" ht="12.75" customHeight="1">
      <c r="A6" s="182" t="s">
        <v>25</v>
      </c>
      <c r="B6" s="183" t="s">
        <v>26</v>
      </c>
      <c r="C6" s="208">
        <v>-1186090</v>
      </c>
      <c r="D6" s="191">
        <v>-841866</v>
      </c>
      <c r="E6" s="191">
        <v>-947310</v>
      </c>
      <c r="F6" s="191">
        <v>-1073484</v>
      </c>
      <c r="G6" s="191">
        <v>-706761</v>
      </c>
      <c r="H6" s="186">
        <f>SUM(C6:G6)</f>
        <v>-4755511</v>
      </c>
    </row>
    <row r="7" spans="1:11" ht="12.75" customHeight="1">
      <c r="A7" s="182" t="s">
        <v>427</v>
      </c>
      <c r="B7" s="183" t="s">
        <v>428</v>
      </c>
      <c r="C7" s="208">
        <v>100523</v>
      </c>
      <c r="D7" s="184">
        <v>76100</v>
      </c>
      <c r="E7" s="184">
        <v>90299</v>
      </c>
      <c r="F7" s="184">
        <v>110448</v>
      </c>
      <c r="G7" s="184">
        <v>-303581</v>
      </c>
      <c r="H7" s="186">
        <f>SUM(C7:G7)</f>
        <v>73789</v>
      </c>
    </row>
    <row r="8" spans="1:11" ht="12.75" customHeight="1">
      <c r="A8" s="183" t="s">
        <v>351</v>
      </c>
      <c r="C8" s="208"/>
      <c r="I8" s="189"/>
    </row>
    <row r="9" spans="1:11" ht="12.75" customHeight="1">
      <c r="C9" s="208"/>
    </row>
    <row r="10" spans="1:11" ht="12.75" customHeight="1">
      <c r="A10" s="182" t="s">
        <v>35</v>
      </c>
      <c r="B10" s="183" t="s">
        <v>36</v>
      </c>
      <c r="C10" s="208">
        <v>2289523</v>
      </c>
      <c r="D10" s="184">
        <v>524916</v>
      </c>
      <c r="E10" s="184">
        <v>118583</v>
      </c>
      <c r="F10" s="184">
        <v>576960</v>
      </c>
      <c r="G10" s="184">
        <v>142740</v>
      </c>
      <c r="H10" s="186">
        <f>SUM(C10:G10)</f>
        <v>3652722</v>
      </c>
    </row>
    <row r="11" spans="1:11" ht="12.75" customHeight="1">
      <c r="A11" s="183" t="s">
        <v>352</v>
      </c>
      <c r="C11" s="208"/>
    </row>
    <row r="12" spans="1:11" ht="12.75" customHeight="1">
      <c r="C12" s="208"/>
    </row>
    <row r="13" spans="1:11" ht="12.75" customHeight="1">
      <c r="A13" s="182" t="s">
        <v>41</v>
      </c>
      <c r="B13" s="183" t="s">
        <v>42</v>
      </c>
      <c r="C13" s="208">
        <v>293351</v>
      </c>
      <c r="D13" s="184">
        <v>-208231</v>
      </c>
      <c r="E13" s="184">
        <v>316526</v>
      </c>
      <c r="F13" s="184">
        <v>-108371</v>
      </c>
      <c r="G13" s="184">
        <v>-341343</v>
      </c>
      <c r="H13" s="186">
        <f>SUM(C13:G13)</f>
        <v>-48068</v>
      </c>
    </row>
    <row r="14" spans="1:11" ht="12.75" customHeight="1">
      <c r="A14" s="182" t="s">
        <v>43</v>
      </c>
      <c r="B14" s="183" t="s">
        <v>44</v>
      </c>
      <c r="C14" s="208">
        <v>-55541</v>
      </c>
      <c r="F14" s="184">
        <v>0</v>
      </c>
      <c r="G14" s="184">
        <v>0</v>
      </c>
      <c r="H14" s="186">
        <f>SUM(C14:G14)</f>
        <v>-55541</v>
      </c>
    </row>
    <row r="15" spans="1:11" ht="12.75" customHeight="1">
      <c r="A15" s="183" t="s">
        <v>353</v>
      </c>
      <c r="C15" s="208"/>
      <c r="J15" s="187">
        <f>SUM(H4:H31)</f>
        <v>119283553</v>
      </c>
    </row>
    <row r="16" spans="1:11" ht="12.75" customHeight="1">
      <c r="C16" s="208"/>
      <c r="J16" s="187">
        <f>SUM('Management Cijfers - Q2 2025'!AA3:AA9)+'Management Cijfers - Q2 2025'!AA11</f>
        <v>148009039.56999999</v>
      </c>
    </row>
    <row r="17" spans="1:10" ht="12.75" customHeight="1">
      <c r="A17" s="182">
        <v>2640000</v>
      </c>
      <c r="B17" s="183" t="s">
        <v>48</v>
      </c>
      <c r="C17" s="208">
        <v>-1913400</v>
      </c>
      <c r="E17" s="184">
        <v>1642583</v>
      </c>
      <c r="F17" s="184">
        <v>1046231</v>
      </c>
      <c r="G17" s="184">
        <v>436656</v>
      </c>
      <c r="H17" s="186">
        <f>SUM(C17:G17)</f>
        <v>1212070</v>
      </c>
      <c r="J17" s="187">
        <f>J16-J15</f>
        <v>28725486.569999993</v>
      </c>
    </row>
    <row r="18" spans="1:10" ht="12.75" customHeight="1">
      <c r="A18" s="183" t="s">
        <v>357</v>
      </c>
      <c r="C18" s="208"/>
    </row>
    <row r="19" spans="1:10" ht="12.75" customHeight="1">
      <c r="C19" s="208"/>
    </row>
    <row r="20" spans="1:10" ht="12.75" customHeight="1">
      <c r="A20" s="182">
        <v>2040200</v>
      </c>
      <c r="B20" s="183" t="s">
        <v>447</v>
      </c>
      <c r="C20" s="208">
        <v>5000</v>
      </c>
      <c r="H20" s="186">
        <f>SUM(C20:G20)</f>
        <v>5000</v>
      </c>
    </row>
    <row r="21" spans="1:10" ht="12.75" customHeight="1">
      <c r="A21" s="182" t="s">
        <v>53</v>
      </c>
      <c r="B21" s="183" t="s">
        <v>54</v>
      </c>
      <c r="C21" s="208">
        <v>3818</v>
      </c>
      <c r="F21" s="184">
        <v>-1022</v>
      </c>
      <c r="G21" s="184">
        <v>-2796</v>
      </c>
      <c r="H21" s="186">
        <f>SUM(C21:G21)</f>
        <v>0</v>
      </c>
    </row>
    <row r="22" spans="1:10" ht="12.75" customHeight="1">
      <c r="A22" s="182" t="s">
        <v>55</v>
      </c>
      <c r="B22" s="183" t="s">
        <v>56</v>
      </c>
      <c r="C22" s="208">
        <v>-64644</v>
      </c>
      <c r="D22" s="184">
        <v>360152</v>
      </c>
      <c r="E22" s="184">
        <v>-139615</v>
      </c>
      <c r="F22" s="184">
        <v>-155413</v>
      </c>
      <c r="G22" s="184">
        <v>342768</v>
      </c>
      <c r="H22" s="186">
        <f>SUM(C22:G22)</f>
        <v>343248</v>
      </c>
    </row>
    <row r="23" spans="1:10" ht="12.75" customHeight="1">
      <c r="A23" s="183" t="s">
        <v>407</v>
      </c>
      <c r="C23" s="208"/>
    </row>
    <row r="24" spans="1:10" ht="12.75" customHeight="1">
      <c r="C24" s="208"/>
    </row>
    <row r="25" spans="1:10" ht="12.75" customHeight="1">
      <c r="A25" s="182" t="s">
        <v>61</v>
      </c>
      <c r="B25" s="183" t="s">
        <v>62</v>
      </c>
      <c r="C25" s="208"/>
      <c r="D25" s="184">
        <v>0</v>
      </c>
      <c r="G25" s="184">
        <v>-343</v>
      </c>
      <c r="H25" s="186">
        <f t="shared" ref="H25:H31" si="0">SUM(C25:G25)</f>
        <v>-343</v>
      </c>
    </row>
    <row r="26" spans="1:10" ht="12.75" customHeight="1">
      <c r="A26" s="182" t="s">
        <v>65</v>
      </c>
      <c r="B26" s="183" t="s">
        <v>66</v>
      </c>
      <c r="C26" s="208">
        <v>1427332</v>
      </c>
      <c r="D26" s="184">
        <v>-1408139</v>
      </c>
      <c r="E26" s="184">
        <v>-18700</v>
      </c>
      <c r="F26" s="184">
        <v>-482</v>
      </c>
      <c r="G26" s="184">
        <v>-11</v>
      </c>
      <c r="H26" s="186">
        <f t="shared" si="0"/>
        <v>0</v>
      </c>
    </row>
    <row r="27" spans="1:10" ht="12.75" customHeight="1">
      <c r="A27" s="182" t="s">
        <v>67</v>
      </c>
      <c r="B27" s="183" t="s">
        <v>68</v>
      </c>
      <c r="C27" s="208">
        <v>1146502</v>
      </c>
      <c r="D27" s="184">
        <v>-1109732</v>
      </c>
      <c r="E27" s="184">
        <v>-19</v>
      </c>
      <c r="F27" s="184">
        <v>-19</v>
      </c>
      <c r="G27" s="184">
        <v>0</v>
      </c>
      <c r="H27" s="186">
        <f t="shared" si="0"/>
        <v>36732</v>
      </c>
    </row>
    <row r="28" spans="1:10" ht="12.75" customHeight="1">
      <c r="A28" s="182" t="s">
        <v>69</v>
      </c>
      <c r="B28" s="183" t="s">
        <v>70</v>
      </c>
      <c r="C28" s="208">
        <v>743140</v>
      </c>
      <c r="D28" s="184">
        <v>-50664</v>
      </c>
      <c r="E28" s="184">
        <v>-417400</v>
      </c>
      <c r="F28" s="184">
        <v>-13600</v>
      </c>
      <c r="G28" s="184">
        <v>-7131</v>
      </c>
      <c r="H28" s="186">
        <f t="shared" si="0"/>
        <v>254345</v>
      </c>
    </row>
    <row r="29" spans="1:10" ht="12.75" customHeight="1">
      <c r="A29" s="182" t="s">
        <v>71</v>
      </c>
      <c r="B29" s="183" t="s">
        <v>72</v>
      </c>
      <c r="C29" s="208">
        <v>602822</v>
      </c>
      <c r="D29" s="184">
        <v>-159674</v>
      </c>
      <c r="E29" s="184">
        <v>145814</v>
      </c>
      <c r="F29" s="184">
        <v>-393791</v>
      </c>
      <c r="G29" s="184">
        <v>-99389</v>
      </c>
      <c r="H29" s="186">
        <f t="shared" si="0"/>
        <v>95782</v>
      </c>
    </row>
    <row r="30" spans="1:10" ht="12.75" customHeight="1">
      <c r="A30" s="182" t="s">
        <v>73</v>
      </c>
      <c r="B30" s="183" t="s">
        <v>74</v>
      </c>
      <c r="C30" s="208">
        <v>1688207</v>
      </c>
      <c r="D30" s="184">
        <v>-420964</v>
      </c>
      <c r="E30" s="184">
        <v>-850699</v>
      </c>
      <c r="F30" s="184">
        <v>550068</v>
      </c>
      <c r="G30" s="184">
        <v>854946</v>
      </c>
      <c r="H30" s="186">
        <f t="shared" si="0"/>
        <v>1821558</v>
      </c>
    </row>
    <row r="31" spans="1:10" ht="12.75" customHeight="1">
      <c r="A31" s="182" t="s">
        <v>75</v>
      </c>
      <c r="B31" s="183" t="s">
        <v>76</v>
      </c>
      <c r="C31" s="208">
        <v>310037</v>
      </c>
      <c r="D31" s="184">
        <v>-265290</v>
      </c>
      <c r="E31" s="184">
        <v>133175</v>
      </c>
      <c r="F31" s="184">
        <v>-125945</v>
      </c>
      <c r="G31" s="184">
        <v>61378</v>
      </c>
      <c r="H31" s="186">
        <f t="shared" si="0"/>
        <v>113355</v>
      </c>
    </row>
    <row r="32" spans="1:10" ht="12.75" customHeight="1">
      <c r="A32" s="183" t="s">
        <v>358</v>
      </c>
    </row>
    <row r="34" spans="1:9" ht="12.75" customHeight="1">
      <c r="A34" s="182">
        <v>1000002</v>
      </c>
      <c r="B34" s="183" t="s">
        <v>429</v>
      </c>
      <c r="C34" s="208">
        <v>-1</v>
      </c>
      <c r="F34" s="184">
        <v>0</v>
      </c>
      <c r="G34" s="184">
        <v>0</v>
      </c>
      <c r="H34" s="186">
        <f>SUM(C34:G34)</f>
        <v>-1</v>
      </c>
    </row>
    <row r="35" spans="1:9" ht="12.75" customHeight="1">
      <c r="A35" s="182">
        <v>1100000</v>
      </c>
      <c r="B35" s="183" t="s">
        <v>430</v>
      </c>
      <c r="C35" s="208">
        <v>-19331219</v>
      </c>
      <c r="D35" s="184">
        <v>100000</v>
      </c>
      <c r="F35" s="184">
        <v>0</v>
      </c>
      <c r="G35" s="184">
        <v>0</v>
      </c>
      <c r="H35" s="186">
        <f>SUM(C35:G35)</f>
        <v>-19231219</v>
      </c>
    </row>
    <row r="36" spans="1:9" ht="12.75" customHeight="1">
      <c r="A36" s="182">
        <v>1160000</v>
      </c>
      <c r="B36" s="183" t="s">
        <v>94</v>
      </c>
      <c r="C36" s="208">
        <v>11155611</v>
      </c>
      <c r="F36" s="184">
        <v>0</v>
      </c>
      <c r="G36" s="184">
        <v>0</v>
      </c>
      <c r="H36" s="186">
        <f>SUM(C36:G36)</f>
        <v>11155611</v>
      </c>
      <c r="I36" s="186"/>
    </row>
    <row r="37" spans="1:9" ht="12.75" customHeight="1">
      <c r="A37" s="182" t="s">
        <v>95</v>
      </c>
      <c r="B37" s="183" t="s">
        <v>96</v>
      </c>
      <c r="C37" s="208">
        <v>2566438</v>
      </c>
      <c r="D37" s="184">
        <v>1297717</v>
      </c>
      <c r="E37" s="184">
        <v>207000</v>
      </c>
      <c r="F37" s="184">
        <v>0</v>
      </c>
      <c r="G37" s="184">
        <v>0</v>
      </c>
      <c r="H37" s="186">
        <f>SUM(C37:G37)</f>
        <v>4071155</v>
      </c>
    </row>
    <row r="38" spans="1:9" ht="12.75" customHeight="1">
      <c r="A38" s="183" t="s">
        <v>359</v>
      </c>
    </row>
    <row r="40" spans="1:9" ht="12.75" customHeight="1">
      <c r="A40" s="182">
        <v>1930001</v>
      </c>
      <c r="B40" s="183" t="s">
        <v>104</v>
      </c>
      <c r="C40" s="208">
        <v>-130000000</v>
      </c>
      <c r="D40" s="184">
        <v>0</v>
      </c>
      <c r="E40" s="184">
        <v>0</v>
      </c>
      <c r="F40" s="184">
        <v>0</v>
      </c>
      <c r="G40" s="184">
        <v>0</v>
      </c>
      <c r="H40" s="186">
        <f>SUM(C40:G40)</f>
        <v>-130000000</v>
      </c>
    </row>
    <row r="41" spans="1:9" ht="12.75" customHeight="1">
      <c r="A41" s="182" t="s">
        <v>107</v>
      </c>
      <c r="B41" s="183" t="s">
        <v>108</v>
      </c>
      <c r="C41" s="208">
        <v>13224544</v>
      </c>
      <c r="D41" s="184">
        <v>3569138</v>
      </c>
      <c r="E41" s="184">
        <v>1387184</v>
      </c>
      <c r="F41" s="184">
        <v>1984184</v>
      </c>
      <c r="G41" s="184">
        <v>1540803</v>
      </c>
      <c r="H41" s="186">
        <f>SUM(C41:G41)</f>
        <v>21705853</v>
      </c>
    </row>
    <row r="42" spans="1:9" ht="12.75" customHeight="1">
      <c r="A42" s="183" t="s">
        <v>362</v>
      </c>
    </row>
    <row r="44" spans="1:9" ht="12.75" customHeight="1">
      <c r="A44" s="182" t="s">
        <v>121</v>
      </c>
      <c r="B44" s="183" t="s">
        <v>122</v>
      </c>
      <c r="C44" s="208">
        <v>-212218</v>
      </c>
      <c r="D44" s="184">
        <v>900</v>
      </c>
      <c r="F44" s="184">
        <v>-256418.18</v>
      </c>
      <c r="G44" s="184">
        <v>37465.18</v>
      </c>
      <c r="H44" s="186">
        <f>SUM(C44:G44)</f>
        <v>-430271</v>
      </c>
    </row>
    <row r="45" spans="1:9" ht="12.75" customHeight="1">
      <c r="A45" s="182" t="s">
        <v>123</v>
      </c>
      <c r="B45" s="183" t="s">
        <v>124</v>
      </c>
      <c r="C45" s="208">
        <v>0</v>
      </c>
      <c r="D45" s="184">
        <v>0</v>
      </c>
      <c r="E45" s="184">
        <v>0</v>
      </c>
      <c r="F45" s="184">
        <v>0</v>
      </c>
      <c r="G45" s="184">
        <v>0</v>
      </c>
      <c r="H45" s="186">
        <f>SUM(C45:G45)</f>
        <v>0</v>
      </c>
    </row>
    <row r="46" spans="1:9" ht="12.75" customHeight="1">
      <c r="A46" s="183" t="s">
        <v>363</v>
      </c>
    </row>
    <row r="48" spans="1:9" ht="12.75" customHeight="1">
      <c r="A48" s="182" t="s">
        <v>129</v>
      </c>
      <c r="B48" s="183" t="s">
        <v>130</v>
      </c>
      <c r="C48" s="208">
        <v>-3913</v>
      </c>
      <c r="D48" s="184">
        <v>271</v>
      </c>
      <c r="E48" s="184">
        <v>-22</v>
      </c>
      <c r="F48" s="184">
        <v>2114</v>
      </c>
      <c r="G48" s="184">
        <v>1550</v>
      </c>
      <c r="H48" s="186">
        <f>SUM(C48:G48)</f>
        <v>0</v>
      </c>
    </row>
    <row r="49" spans="1:8" ht="12.75" customHeight="1">
      <c r="A49" s="182" t="s">
        <v>133</v>
      </c>
      <c r="B49" s="183" t="s">
        <v>134</v>
      </c>
      <c r="C49" s="208">
        <v>0</v>
      </c>
      <c r="D49" s="184">
        <v>0</v>
      </c>
      <c r="E49" s="184">
        <v>0</v>
      </c>
      <c r="F49" s="184">
        <v>0</v>
      </c>
      <c r="G49" s="184">
        <v>0</v>
      </c>
      <c r="H49" s="186">
        <f>SUM(C49:G49)</f>
        <v>0</v>
      </c>
    </row>
    <row r="50" spans="1:8" ht="12.75" customHeight="1">
      <c r="A50" s="182" t="s">
        <v>137</v>
      </c>
      <c r="B50" s="183" t="s">
        <v>138</v>
      </c>
      <c r="C50" s="208">
        <v>0</v>
      </c>
      <c r="D50" s="184">
        <v>0</v>
      </c>
      <c r="E50" s="184">
        <v>0</v>
      </c>
      <c r="F50" s="184">
        <v>0</v>
      </c>
      <c r="G50" s="184">
        <v>0</v>
      </c>
      <c r="H50" s="186">
        <f>SUM(C50:G50)</f>
        <v>0</v>
      </c>
    </row>
    <row r="51" spans="1:8" ht="12.75" customHeight="1">
      <c r="A51" s="183" t="s">
        <v>366</v>
      </c>
    </row>
    <row r="53" spans="1:8" ht="12.75" customHeight="1">
      <c r="A53" s="182" t="s">
        <v>141</v>
      </c>
      <c r="B53" s="183" t="s">
        <v>142</v>
      </c>
      <c r="C53" s="208">
        <v>-700090</v>
      </c>
      <c r="D53" s="184">
        <v>-8611</v>
      </c>
      <c r="E53" s="184">
        <v>-21291</v>
      </c>
      <c r="F53" s="184">
        <v>-37329</v>
      </c>
      <c r="G53" s="184">
        <f>5524-4</f>
        <v>5520</v>
      </c>
      <c r="H53" s="186">
        <f t="shared" ref="H53:H64" si="1">SUM(C53:G53)</f>
        <v>-761801</v>
      </c>
    </row>
    <row r="54" spans="1:8" ht="12.75" customHeight="1">
      <c r="A54" s="182">
        <v>2740500</v>
      </c>
      <c r="B54" s="183" t="s">
        <v>144</v>
      </c>
      <c r="C54" s="208">
        <v>-22500</v>
      </c>
      <c r="F54" s="184">
        <v>0</v>
      </c>
      <c r="G54" s="184">
        <v>0</v>
      </c>
      <c r="H54" s="186">
        <f t="shared" si="1"/>
        <v>-22500</v>
      </c>
    </row>
    <row r="55" spans="1:8" ht="12.75" customHeight="1">
      <c r="A55" s="182" t="s">
        <v>145</v>
      </c>
      <c r="B55" s="183" t="s">
        <v>146</v>
      </c>
      <c r="C55" s="208">
        <v>-457533</v>
      </c>
      <c r="D55" s="184">
        <v>457533</v>
      </c>
      <c r="F55" s="184">
        <v>0</v>
      </c>
      <c r="G55" s="184">
        <v>0</v>
      </c>
      <c r="H55" s="186">
        <f t="shared" si="1"/>
        <v>0</v>
      </c>
    </row>
    <row r="56" spans="1:8" ht="12.75" customHeight="1">
      <c r="A56" s="182" t="s">
        <v>367</v>
      </c>
      <c r="B56" s="183" t="s">
        <v>368</v>
      </c>
      <c r="C56" s="208">
        <v>2</v>
      </c>
      <c r="F56" s="184">
        <v>-2</v>
      </c>
      <c r="G56" s="184">
        <v>0</v>
      </c>
      <c r="H56" s="186">
        <f t="shared" si="1"/>
        <v>0</v>
      </c>
    </row>
    <row r="57" spans="1:8" ht="12.75" customHeight="1">
      <c r="A57" s="182" t="s">
        <v>147</v>
      </c>
      <c r="B57" s="183" t="s">
        <v>148</v>
      </c>
      <c r="C57" s="208">
        <v>-29200</v>
      </c>
      <c r="F57" s="184">
        <v>10529</v>
      </c>
      <c r="G57" s="184">
        <v>18671</v>
      </c>
      <c r="H57" s="186">
        <f t="shared" si="1"/>
        <v>0</v>
      </c>
    </row>
    <row r="58" spans="1:8" ht="12.75" customHeight="1">
      <c r="A58" s="182" t="s">
        <v>149</v>
      </c>
      <c r="B58" s="183" t="s">
        <v>150</v>
      </c>
      <c r="C58" s="208">
        <v>-2118</v>
      </c>
      <c r="F58" s="184">
        <v>-4949</v>
      </c>
      <c r="G58" s="184">
        <v>7067</v>
      </c>
      <c r="H58" s="186">
        <f t="shared" si="1"/>
        <v>0</v>
      </c>
    </row>
    <row r="59" spans="1:8" ht="12.75" customHeight="1">
      <c r="A59" s="182" t="s">
        <v>151</v>
      </c>
      <c r="B59" s="183" t="s">
        <v>152</v>
      </c>
      <c r="C59" s="208">
        <v>-1846</v>
      </c>
      <c r="F59" s="184">
        <v>440</v>
      </c>
      <c r="G59" s="184">
        <v>1406</v>
      </c>
      <c r="H59" s="186">
        <f t="shared" si="1"/>
        <v>0</v>
      </c>
    </row>
    <row r="60" spans="1:8" ht="12.75" customHeight="1">
      <c r="A60" s="182" t="s">
        <v>155</v>
      </c>
      <c r="B60" s="183" t="s">
        <v>156</v>
      </c>
      <c r="C60" s="208">
        <v>-40335</v>
      </c>
      <c r="D60" s="184">
        <v>119</v>
      </c>
      <c r="E60" s="184">
        <v>-40364</v>
      </c>
      <c r="F60" s="184">
        <v>39007</v>
      </c>
      <c r="G60" s="184">
        <v>-82495</v>
      </c>
      <c r="H60" s="186">
        <f t="shared" si="1"/>
        <v>-124068</v>
      </c>
    </row>
    <row r="61" spans="1:8" ht="12.75" customHeight="1">
      <c r="A61" s="182" t="s">
        <v>157</v>
      </c>
      <c r="B61" s="183" t="s">
        <v>158</v>
      </c>
      <c r="C61" s="208">
        <v>0</v>
      </c>
      <c r="D61" s="184">
        <v>0</v>
      </c>
      <c r="E61" s="184">
        <v>0</v>
      </c>
      <c r="F61" s="184">
        <v>0</v>
      </c>
      <c r="G61" s="184">
        <v>0</v>
      </c>
      <c r="H61" s="186">
        <f t="shared" si="1"/>
        <v>0</v>
      </c>
    </row>
    <row r="62" spans="1:8" ht="12.75" customHeight="1">
      <c r="A62" s="182" t="s">
        <v>159</v>
      </c>
      <c r="B62" s="183" t="s">
        <v>160</v>
      </c>
      <c r="C62" s="208">
        <v>20000</v>
      </c>
      <c r="D62" s="184">
        <v>-20000</v>
      </c>
      <c r="E62" s="184">
        <v>20000</v>
      </c>
      <c r="F62" s="184">
        <v>0</v>
      </c>
      <c r="G62" s="184">
        <v>0</v>
      </c>
      <c r="H62" s="186">
        <f t="shared" si="1"/>
        <v>20000</v>
      </c>
    </row>
    <row r="63" spans="1:8" ht="12.75" customHeight="1">
      <c r="A63" s="182" t="s">
        <v>161</v>
      </c>
      <c r="B63" s="183" t="s">
        <v>162</v>
      </c>
      <c r="C63" s="208">
        <v>852</v>
      </c>
      <c r="D63" s="184">
        <v>-16811</v>
      </c>
      <c r="E63" s="184">
        <v>15046</v>
      </c>
      <c r="F63" s="184">
        <v>913</v>
      </c>
      <c r="G63" s="184">
        <v>0</v>
      </c>
      <c r="H63" s="186">
        <f t="shared" si="1"/>
        <v>0</v>
      </c>
    </row>
    <row r="64" spans="1:8" ht="12.75" customHeight="1">
      <c r="A64" s="182" t="s">
        <v>163</v>
      </c>
      <c r="B64" s="183" t="s">
        <v>164</v>
      </c>
      <c r="C64" s="208">
        <v>-153016</v>
      </c>
      <c r="D64" s="184">
        <v>21998</v>
      </c>
      <c r="E64" s="184">
        <v>-5661</v>
      </c>
      <c r="F64" s="184">
        <v>-9926</v>
      </c>
      <c r="G64" s="184">
        <v>146605</v>
      </c>
      <c r="H64" s="186">
        <f t="shared" si="1"/>
        <v>0</v>
      </c>
    </row>
    <row r="65" spans="1:8" ht="12.75" customHeight="1">
      <c r="A65" s="183" t="s">
        <v>369</v>
      </c>
      <c r="C65" s="208"/>
    </row>
    <row r="68" spans="1:8" ht="12.75" customHeight="1">
      <c r="A68" s="188" t="s">
        <v>370</v>
      </c>
    </row>
    <row r="69" spans="1:8" ht="12.75" customHeight="1">
      <c r="A69" s="182" t="s">
        <v>174</v>
      </c>
      <c r="B69" s="183" t="s">
        <v>175</v>
      </c>
      <c r="D69" s="184">
        <v>-2833196</v>
      </c>
      <c r="E69" s="184">
        <v>-2826464</v>
      </c>
      <c r="F69" s="184">
        <v>-2904386</v>
      </c>
      <c r="G69" s="184">
        <v>-2904374</v>
      </c>
      <c r="H69" s="186">
        <f>SUM(C69:G69)</f>
        <v>-11468420</v>
      </c>
    </row>
    <row r="70" spans="1:8" ht="12.75" customHeight="1">
      <c r="A70" s="182" t="s">
        <v>176</v>
      </c>
      <c r="B70" s="183" t="s">
        <v>177</v>
      </c>
      <c r="D70" s="184">
        <v>71110</v>
      </c>
      <c r="E70" s="184">
        <v>63061</v>
      </c>
      <c r="F70" s="184">
        <v>64137</v>
      </c>
      <c r="G70" s="184">
        <v>54882</v>
      </c>
      <c r="H70" s="186">
        <f>SUM(C70:G70)</f>
        <v>253190</v>
      </c>
    </row>
    <row r="71" spans="1:8" ht="12.75" customHeight="1">
      <c r="A71" s="183" t="s">
        <v>381</v>
      </c>
      <c r="D71" s="184">
        <f>SUM(D69:D70)</f>
        <v>-2762086</v>
      </c>
      <c r="E71" s="184">
        <f>SUM(E69:E70)</f>
        <v>-2763403</v>
      </c>
      <c r="F71" s="184">
        <f>SUM(F69:F70)</f>
        <v>-2840249</v>
      </c>
      <c r="G71" s="184">
        <f>SUM(G69:G70)</f>
        <v>-2849492</v>
      </c>
      <c r="H71" s="184">
        <f>SUM(H69:H70)</f>
        <v>-11215230</v>
      </c>
    </row>
    <row r="72" spans="1:8" ht="12.75" customHeight="1">
      <c r="F72" s="216"/>
      <c r="G72" s="216"/>
    </row>
    <row r="73" spans="1:8" ht="12.75" customHeight="1">
      <c r="A73" s="182" t="s">
        <v>182</v>
      </c>
      <c r="B73" s="183" t="s">
        <v>183</v>
      </c>
      <c r="D73" s="184">
        <v>-171527</v>
      </c>
      <c r="E73" s="184">
        <v>-172398</v>
      </c>
      <c r="F73" s="184">
        <v>-168131</v>
      </c>
      <c r="G73" s="184">
        <v>-172328</v>
      </c>
      <c r="H73" s="186">
        <f>SUM(C73:G73)</f>
        <v>-684384</v>
      </c>
    </row>
    <row r="74" spans="1:8" ht="12.75" customHeight="1">
      <c r="A74" s="182" t="s">
        <v>184</v>
      </c>
      <c r="B74" s="183" t="s">
        <v>185</v>
      </c>
      <c r="D74" s="184">
        <v>3357</v>
      </c>
      <c r="E74" s="184">
        <v>7281</v>
      </c>
      <c r="F74" s="184">
        <v>21484</v>
      </c>
      <c r="G74" s="184">
        <v>10569</v>
      </c>
      <c r="H74" s="186">
        <f>SUM(C74:G74)</f>
        <v>42691</v>
      </c>
    </row>
    <row r="75" spans="1:8" ht="12.75" customHeight="1">
      <c r="A75" s="182" t="s">
        <v>186</v>
      </c>
      <c r="B75" s="183" t="s">
        <v>187</v>
      </c>
      <c r="D75" s="184">
        <v>284624</v>
      </c>
      <c r="E75" s="184">
        <v>127725</v>
      </c>
      <c r="F75" s="184">
        <v>95892</v>
      </c>
      <c r="G75" s="184">
        <v>166069</v>
      </c>
      <c r="H75" s="186">
        <f>SUM(C75:G75)</f>
        <v>674310</v>
      </c>
    </row>
    <row r="76" spans="1:8" ht="12.75" customHeight="1">
      <c r="A76" s="183" t="s">
        <v>382</v>
      </c>
      <c r="D76" s="184">
        <f>SUM(D73:D75)</f>
        <v>116454</v>
      </c>
      <c r="E76" s="184">
        <f>SUM(E73:E75)</f>
        <v>-37392</v>
      </c>
      <c r="F76" s="184">
        <f>SUM(F73:F75)</f>
        <v>-50755</v>
      </c>
      <c r="G76" s="184">
        <f>SUM(G73:G75)</f>
        <v>4310</v>
      </c>
      <c r="H76" s="184">
        <f>SUM(H73:H75)</f>
        <v>32617</v>
      </c>
    </row>
    <row r="78" spans="1:8" ht="12.75" customHeight="1">
      <c r="A78" s="182" t="s">
        <v>198</v>
      </c>
      <c r="B78" s="183" t="s">
        <v>199</v>
      </c>
      <c r="D78" s="184">
        <v>120105</v>
      </c>
      <c r="E78" s="184">
        <v>119839</v>
      </c>
      <c r="F78" s="184">
        <v>123182</v>
      </c>
      <c r="G78" s="184">
        <v>122866</v>
      </c>
      <c r="H78" s="186">
        <f>SUM(C78:G78)</f>
        <v>485992</v>
      </c>
    </row>
    <row r="79" spans="1:8" ht="12.75" customHeight="1">
      <c r="A79" s="183" t="s">
        <v>408</v>
      </c>
      <c r="D79" s="184">
        <f>SUM(D78)</f>
        <v>120105</v>
      </c>
      <c r="E79" s="184">
        <f>SUM(E78)</f>
        <v>119839</v>
      </c>
      <c r="F79" s="184">
        <f>SUM(F78)</f>
        <v>123182</v>
      </c>
      <c r="G79" s="184">
        <f>SUM(G78)</f>
        <v>122866</v>
      </c>
      <c r="H79" s="184">
        <f>SUM(H78)</f>
        <v>485992</v>
      </c>
    </row>
    <row r="81" spans="1:8" ht="12.75" customHeight="1">
      <c r="A81" s="182" t="s">
        <v>204</v>
      </c>
      <c r="B81" s="183" t="s">
        <v>205</v>
      </c>
      <c r="D81" s="184">
        <f>630199</f>
        <v>630199</v>
      </c>
      <c r="E81" s="184">
        <v>653151</v>
      </c>
      <c r="F81" s="184">
        <v>654632</v>
      </c>
      <c r="G81" s="184">
        <v>654502</v>
      </c>
      <c r="H81" s="186">
        <f>SUM(C81:G81)</f>
        <v>2592484</v>
      </c>
    </row>
    <row r="82" spans="1:8" ht="12.75" customHeight="1">
      <c r="A82" s="182" t="s">
        <v>206</v>
      </c>
      <c r="B82" s="183" t="s">
        <v>207</v>
      </c>
      <c r="D82" s="184">
        <v>-531244</v>
      </c>
      <c r="E82" s="184">
        <v>-636242</v>
      </c>
      <c r="F82" s="184">
        <v>-812075</v>
      </c>
      <c r="G82" s="184">
        <v>-746028</v>
      </c>
      <c r="H82" s="186">
        <f>SUM(C82:G82)</f>
        <v>-2725589</v>
      </c>
    </row>
    <row r="83" spans="1:8" ht="12.75" customHeight="1">
      <c r="A83" s="183" t="s">
        <v>384</v>
      </c>
      <c r="C83" s="208"/>
      <c r="D83" s="184">
        <f>SUM(D81:D82)</f>
        <v>98955</v>
      </c>
      <c r="E83" s="184">
        <f>SUM(E81:E82)</f>
        <v>16909</v>
      </c>
      <c r="F83" s="184">
        <f>SUM(F81:F82)</f>
        <v>-157443</v>
      </c>
      <c r="G83" s="184">
        <f>SUM(G81:G82)</f>
        <v>-91526</v>
      </c>
      <c r="H83" s="184">
        <f>SUM(H81:H82)</f>
        <v>-133105</v>
      </c>
    </row>
    <row r="84" spans="1:8" ht="12.75" customHeight="1">
      <c r="C84" s="208"/>
    </row>
    <row r="85" spans="1:8" ht="12.75" customHeight="1">
      <c r="A85" s="182" t="s">
        <v>210</v>
      </c>
      <c r="B85" s="183" t="s">
        <v>211</v>
      </c>
      <c r="C85" s="208"/>
      <c r="D85" s="184">
        <f>455997</f>
        <v>455997</v>
      </c>
      <c r="E85" s="184">
        <v>204327</v>
      </c>
      <c r="F85" s="184">
        <f>458728+J3</f>
        <v>908655</v>
      </c>
      <c r="G85" s="184">
        <f>92418+J4</f>
        <v>264925</v>
      </c>
      <c r="H85" s="186">
        <f t="shared" ref="H85:H92" si="2">SUM(C85:G85)</f>
        <v>1833904</v>
      </c>
    </row>
    <row r="86" spans="1:8" ht="12.75" customHeight="1">
      <c r="A86" s="182" t="s">
        <v>212</v>
      </c>
      <c r="B86" s="183" t="s">
        <v>213</v>
      </c>
      <c r="C86" s="184"/>
      <c r="D86" s="184">
        <v>0</v>
      </c>
      <c r="E86" s="184">
        <v>531958</v>
      </c>
      <c r="F86" s="184">
        <v>2047</v>
      </c>
      <c r="H86" s="186">
        <f t="shared" si="2"/>
        <v>534005</v>
      </c>
    </row>
    <row r="87" spans="1:8" ht="12.75" customHeight="1">
      <c r="A87" s="182" t="s">
        <v>214</v>
      </c>
      <c r="B87" s="183" t="s">
        <v>215</v>
      </c>
      <c r="C87" s="184"/>
      <c r="D87" s="184">
        <v>79670</v>
      </c>
      <c r="E87" s="184">
        <v>78467</v>
      </c>
      <c r="F87" s="184">
        <v>80316</v>
      </c>
      <c r="G87" s="184">
        <v>83330</v>
      </c>
      <c r="H87" s="186">
        <f t="shared" si="2"/>
        <v>321783</v>
      </c>
    </row>
    <row r="88" spans="1:8" ht="12.75" customHeight="1">
      <c r="A88" s="182" t="s">
        <v>216</v>
      </c>
      <c r="B88" s="183" t="s">
        <v>217</v>
      </c>
      <c r="C88" s="208"/>
      <c r="D88" s="219">
        <v>197933</v>
      </c>
      <c r="E88" s="219">
        <v>136830</v>
      </c>
      <c r="F88" s="219">
        <v>224083</v>
      </c>
      <c r="G88" s="219">
        <v>173622.82</v>
      </c>
      <c r="H88" s="186">
        <f t="shared" si="2"/>
        <v>732468.82000000007</v>
      </c>
    </row>
    <row r="89" spans="1:8" ht="12.75" customHeight="1">
      <c r="A89" s="182" t="s">
        <v>218</v>
      </c>
      <c r="B89" s="183" t="s">
        <v>219</v>
      </c>
      <c r="C89" s="184"/>
      <c r="D89" s="184">
        <v>33030</v>
      </c>
      <c r="E89" s="184">
        <v>32166</v>
      </c>
      <c r="F89" s="184">
        <v>32352</v>
      </c>
      <c r="G89" s="184">
        <v>31087</v>
      </c>
      <c r="H89" s="186">
        <f t="shared" si="2"/>
        <v>128635</v>
      </c>
    </row>
    <row r="90" spans="1:8" ht="12.75" customHeight="1">
      <c r="A90" s="182" t="s">
        <v>220</v>
      </c>
      <c r="B90" s="183" t="s">
        <v>221</v>
      </c>
      <c r="C90" s="184"/>
      <c r="D90" s="184">
        <v>17695</v>
      </c>
      <c r="E90" s="184">
        <v>19123</v>
      </c>
      <c r="F90" s="184">
        <v>19893</v>
      </c>
      <c r="G90" s="184">
        <v>4273</v>
      </c>
      <c r="H90" s="186">
        <f t="shared" si="2"/>
        <v>60984</v>
      </c>
    </row>
    <row r="91" spans="1:8" ht="12.75" customHeight="1">
      <c r="A91" s="182" t="s">
        <v>385</v>
      </c>
      <c r="B91" s="183" t="s">
        <v>386</v>
      </c>
      <c r="C91" s="208"/>
      <c r="D91" s="219">
        <v>-820</v>
      </c>
      <c r="E91" s="219">
        <v>45430</v>
      </c>
      <c r="F91" s="219">
        <v>13605.179999999993</v>
      </c>
      <c r="G91" s="219">
        <v>-90</v>
      </c>
      <c r="H91" s="186">
        <f t="shared" si="2"/>
        <v>58125.179999999993</v>
      </c>
    </row>
    <row r="92" spans="1:8" ht="12.75" customHeight="1">
      <c r="A92" s="182" t="s">
        <v>431</v>
      </c>
      <c r="B92" s="183" t="s">
        <v>412</v>
      </c>
      <c r="C92" s="208"/>
      <c r="F92" s="184">
        <v>0</v>
      </c>
      <c r="H92" s="186">
        <f t="shared" si="2"/>
        <v>0</v>
      </c>
    </row>
    <row r="93" spans="1:8" ht="12.75" customHeight="1">
      <c r="A93" s="183" t="s">
        <v>387</v>
      </c>
      <c r="D93" s="184">
        <f>SUM(D85:D92)</f>
        <v>783505</v>
      </c>
      <c r="E93" s="184">
        <f>SUM(E85:E92)</f>
        <v>1048301</v>
      </c>
      <c r="F93" s="184">
        <f>SUM(F85:F92)</f>
        <v>1280951.18</v>
      </c>
      <c r="G93" s="184">
        <f>SUM(G85:G92)</f>
        <v>557147.82000000007</v>
      </c>
      <c r="H93" s="184">
        <f>SUM(H85:H92)</f>
        <v>3669905.0000000005</v>
      </c>
    </row>
    <row r="95" spans="1:8" ht="12.75" customHeight="1">
      <c r="A95" s="182" t="s">
        <v>432</v>
      </c>
      <c r="B95" s="183" t="s">
        <v>433</v>
      </c>
      <c r="D95" s="184">
        <v>0</v>
      </c>
      <c r="E95" s="184">
        <v>0</v>
      </c>
      <c r="F95" s="184">
        <v>0</v>
      </c>
      <c r="G95" s="184">
        <v>0</v>
      </c>
      <c r="H95" s="186">
        <f>SUM(C95:G95)</f>
        <v>0</v>
      </c>
    </row>
    <row r="96" spans="1:8" ht="12.75" customHeight="1">
      <c r="A96" s="182" t="s">
        <v>434</v>
      </c>
      <c r="B96" s="183" t="s">
        <v>413</v>
      </c>
      <c r="D96" s="184">
        <v>0</v>
      </c>
      <c r="E96" s="184">
        <v>0</v>
      </c>
      <c r="F96" s="184">
        <v>0</v>
      </c>
      <c r="G96" s="184">
        <v>0</v>
      </c>
      <c r="H96" s="186">
        <f>SUM(C96:G96)</f>
        <v>0</v>
      </c>
    </row>
    <row r="97" spans="1:8" ht="12.75" customHeight="1">
      <c r="A97" s="182" t="s">
        <v>226</v>
      </c>
      <c r="B97" s="183" t="s">
        <v>227</v>
      </c>
      <c r="D97" s="184">
        <v>1941</v>
      </c>
      <c r="E97" s="184">
        <v>4198</v>
      </c>
      <c r="F97" s="184">
        <v>15255</v>
      </c>
      <c r="G97" s="184">
        <v>-90</v>
      </c>
      <c r="H97" s="186">
        <f>SUM(C97:G97)</f>
        <v>21304</v>
      </c>
    </row>
    <row r="98" spans="1:8" ht="12.75" customHeight="1">
      <c r="A98" s="183" t="s">
        <v>388</v>
      </c>
      <c r="D98" s="184">
        <f>SUM(D95:D97)</f>
        <v>1941</v>
      </c>
      <c r="E98" s="184">
        <f>SUM(E95:E97)</f>
        <v>4198</v>
      </c>
      <c r="F98" s="184">
        <f>SUM(F95:F97)</f>
        <v>15255</v>
      </c>
      <c r="G98" s="184">
        <f>SUM(G95:G97)</f>
        <v>-90</v>
      </c>
      <c r="H98" s="184">
        <f>SUM(H95:H97)</f>
        <v>21304</v>
      </c>
    </row>
    <row r="100" spans="1:8" ht="12.75" customHeight="1">
      <c r="A100" s="182" t="s">
        <v>230</v>
      </c>
      <c r="B100" s="183" t="s">
        <v>231</v>
      </c>
      <c r="C100" s="208"/>
      <c r="D100" s="184">
        <v>0</v>
      </c>
      <c r="E100" s="184">
        <v>950</v>
      </c>
      <c r="F100" s="184">
        <v>990</v>
      </c>
      <c r="G100" s="184">
        <v>0</v>
      </c>
      <c r="H100" s="186">
        <f>SUM(C100:G100)</f>
        <v>1940</v>
      </c>
    </row>
    <row r="101" spans="1:8" ht="12.75" customHeight="1">
      <c r="A101" s="183" t="s">
        <v>389</v>
      </c>
      <c r="C101" s="208"/>
      <c r="D101" s="184">
        <f>SUM(D100)</f>
        <v>0</v>
      </c>
      <c r="E101" s="184">
        <f>SUM(E100)</f>
        <v>950</v>
      </c>
      <c r="F101" s="184">
        <f>SUM(F100)</f>
        <v>990</v>
      </c>
      <c r="G101" s="184">
        <f>SUM(G100)</f>
        <v>0</v>
      </c>
      <c r="H101" s="184">
        <f>SUM(H100)</f>
        <v>1940</v>
      </c>
    </row>
    <row r="102" spans="1:8" ht="12.75" customHeight="1">
      <c r="C102" s="208"/>
    </row>
    <row r="103" spans="1:8" ht="12.75" customHeight="1">
      <c r="A103" s="182" t="s">
        <v>435</v>
      </c>
      <c r="B103" s="183" t="s">
        <v>414</v>
      </c>
      <c r="C103" s="208"/>
      <c r="D103" s="184">
        <v>0</v>
      </c>
      <c r="E103" s="184">
        <v>0</v>
      </c>
      <c r="F103" s="184">
        <v>0</v>
      </c>
      <c r="H103" s="186">
        <f t="shared" ref="H103:H113" si="3">SUM(C103:G103)</f>
        <v>0</v>
      </c>
    </row>
    <row r="104" spans="1:8" ht="12.75" customHeight="1">
      <c r="A104" s="182" t="s">
        <v>234</v>
      </c>
      <c r="B104" s="183" t="s">
        <v>235</v>
      </c>
      <c r="C104" s="184"/>
      <c r="D104" s="184">
        <v>25980</v>
      </c>
      <c r="E104" s="184">
        <v>25980</v>
      </c>
      <c r="F104" s="184">
        <v>22455</v>
      </c>
      <c r="G104" s="184">
        <v>11205</v>
      </c>
      <c r="H104" s="186">
        <f t="shared" si="3"/>
        <v>85620</v>
      </c>
    </row>
    <row r="105" spans="1:8" ht="12.75" customHeight="1">
      <c r="A105" s="182" t="s">
        <v>236</v>
      </c>
      <c r="B105" s="183" t="s">
        <v>237</v>
      </c>
      <c r="C105" s="208"/>
      <c r="D105" s="184">
        <v>5445</v>
      </c>
      <c r="E105" s="184">
        <v>5445</v>
      </c>
      <c r="F105" s="184">
        <v>5445</v>
      </c>
      <c r="G105" s="184">
        <v>5445</v>
      </c>
      <c r="H105" s="186">
        <f t="shared" si="3"/>
        <v>21780</v>
      </c>
    </row>
    <row r="106" spans="1:8" ht="12.75" customHeight="1">
      <c r="A106" s="182" t="s">
        <v>238</v>
      </c>
      <c r="B106" s="183" t="s">
        <v>239</v>
      </c>
      <c r="C106" s="208"/>
      <c r="D106" s="184">
        <v>44292</v>
      </c>
      <c r="E106" s="184">
        <v>13017</v>
      </c>
      <c r="F106" s="184">
        <v>6639</v>
      </c>
      <c r="G106" s="184">
        <v>31618</v>
      </c>
      <c r="H106" s="186">
        <f t="shared" si="3"/>
        <v>95566</v>
      </c>
    </row>
    <row r="107" spans="1:8" ht="12.75" customHeight="1">
      <c r="A107" s="182" t="s">
        <v>240</v>
      </c>
      <c r="B107" s="183" t="s">
        <v>241</v>
      </c>
      <c r="C107" s="208"/>
      <c r="D107" s="184">
        <v>0</v>
      </c>
      <c r="E107" s="184">
        <v>2420</v>
      </c>
      <c r="F107" s="184">
        <v>0</v>
      </c>
      <c r="G107" s="184">
        <v>2420</v>
      </c>
      <c r="H107" s="186">
        <f t="shared" si="3"/>
        <v>4840</v>
      </c>
    </row>
    <row r="108" spans="1:8" ht="12.75" customHeight="1">
      <c r="A108" s="182" t="s">
        <v>242</v>
      </c>
      <c r="B108" s="183" t="s">
        <v>243</v>
      </c>
      <c r="C108" s="208"/>
      <c r="D108" s="184">
        <v>57342</v>
      </c>
      <c r="E108" s="184">
        <v>61064</v>
      </c>
      <c r="F108" s="184">
        <v>109673</v>
      </c>
      <c r="G108" s="184">
        <v>40646</v>
      </c>
      <c r="H108" s="186">
        <f t="shared" si="3"/>
        <v>268725</v>
      </c>
    </row>
    <row r="109" spans="1:8" ht="12.75" customHeight="1">
      <c r="A109" s="182" t="s">
        <v>244</v>
      </c>
      <c r="B109" s="183" t="s">
        <v>245</v>
      </c>
      <c r="D109" s="184">
        <v>3745</v>
      </c>
      <c r="E109" s="184">
        <v>-2123</v>
      </c>
      <c r="F109" s="184">
        <v>7035</v>
      </c>
      <c r="G109" s="184">
        <v>2261</v>
      </c>
      <c r="H109" s="186">
        <f t="shared" si="3"/>
        <v>10918</v>
      </c>
    </row>
    <row r="110" spans="1:8" ht="12.75" customHeight="1">
      <c r="A110" s="182" t="s">
        <v>246</v>
      </c>
      <c r="B110" s="183" t="s">
        <v>247</v>
      </c>
      <c r="D110" s="184">
        <v>28435</v>
      </c>
      <c r="E110" s="184">
        <v>0</v>
      </c>
      <c r="F110" s="184">
        <v>0</v>
      </c>
      <c r="G110" s="184">
        <v>0</v>
      </c>
      <c r="H110" s="186">
        <f t="shared" si="3"/>
        <v>28435</v>
      </c>
    </row>
    <row r="111" spans="1:8" ht="12" customHeight="1">
      <c r="A111" s="182" t="s">
        <v>248</v>
      </c>
      <c r="B111" s="183" t="s">
        <v>249</v>
      </c>
      <c r="D111" s="184">
        <v>1232</v>
      </c>
      <c r="E111" s="184">
        <v>1227</v>
      </c>
      <c r="F111" s="184">
        <v>3761</v>
      </c>
      <c r="G111" s="184">
        <v>2007</v>
      </c>
      <c r="H111" s="186">
        <f t="shared" si="3"/>
        <v>8227</v>
      </c>
    </row>
    <row r="112" spans="1:8" ht="12.75" customHeight="1">
      <c r="A112" s="182" t="s">
        <v>436</v>
      </c>
      <c r="B112" s="183" t="s">
        <v>437</v>
      </c>
      <c r="C112" s="184"/>
      <c r="D112" s="184">
        <v>20000</v>
      </c>
      <c r="E112" s="184">
        <v>20000</v>
      </c>
      <c r="F112" s="184">
        <v>0</v>
      </c>
      <c r="G112" s="184">
        <v>0</v>
      </c>
      <c r="H112" s="186">
        <f t="shared" si="3"/>
        <v>40000</v>
      </c>
    </row>
    <row r="113" spans="1:8" ht="12.75" customHeight="1">
      <c r="A113" s="182" t="s">
        <v>250</v>
      </c>
      <c r="B113" s="183" t="s">
        <v>251</v>
      </c>
      <c r="C113" s="209"/>
      <c r="D113" s="184">
        <v>358</v>
      </c>
      <c r="E113" s="184">
        <v>477</v>
      </c>
      <c r="F113" s="184">
        <v>-934</v>
      </c>
      <c r="G113" s="184">
        <v>-1065</v>
      </c>
      <c r="H113" s="186">
        <f t="shared" si="3"/>
        <v>-1164</v>
      </c>
    </row>
    <row r="114" spans="1:8" ht="12.75" customHeight="1">
      <c r="A114" s="183" t="s">
        <v>391</v>
      </c>
      <c r="D114" s="184">
        <f>SUM(D103:D113)</f>
        <v>186829</v>
      </c>
      <c r="E114" s="184">
        <f>SUM(E103:E113)</f>
        <v>127507</v>
      </c>
      <c r="F114" s="184">
        <f>SUM(F103:F113)</f>
        <v>154074</v>
      </c>
      <c r="G114" s="184">
        <f>SUM(G103:G113)</f>
        <v>94537</v>
      </c>
      <c r="H114" s="184">
        <f>SUM(H103:H113)</f>
        <v>562947</v>
      </c>
    </row>
    <row r="115" spans="1:8" ht="12.75" customHeight="1">
      <c r="G115" s="184">
        <v>0</v>
      </c>
    </row>
    <row r="116" spans="1:8" ht="12.75" customHeight="1">
      <c r="A116" s="182" t="s">
        <v>260</v>
      </c>
      <c r="B116" s="183" t="s">
        <v>261</v>
      </c>
      <c r="D116" s="184">
        <v>450998</v>
      </c>
      <c r="E116" s="184">
        <v>448423</v>
      </c>
      <c r="F116" s="184">
        <v>442928</v>
      </c>
      <c r="G116" s="184">
        <v>425610</v>
      </c>
      <c r="H116" s="186">
        <f>SUM(C116:G116)</f>
        <v>1767959</v>
      </c>
    </row>
    <row r="117" spans="1:8" ht="12.75" customHeight="1">
      <c r="A117" s="182">
        <v>4611000</v>
      </c>
      <c r="B117" s="183" t="s">
        <v>477</v>
      </c>
      <c r="F117" s="184">
        <v>70373</v>
      </c>
      <c r="G117" s="184">
        <v>0</v>
      </c>
      <c r="H117" s="186">
        <f>SUM(C117:G117)</f>
        <v>70373</v>
      </c>
    </row>
    <row r="118" spans="1:8" ht="12.75" customHeight="1">
      <c r="A118" s="182">
        <v>4630000</v>
      </c>
      <c r="B118" s="183" t="s">
        <v>265</v>
      </c>
      <c r="D118" s="184">
        <v>0</v>
      </c>
      <c r="E118" s="184">
        <v>8219</v>
      </c>
      <c r="F118" s="184">
        <v>0</v>
      </c>
      <c r="G118" s="184">
        <v>0</v>
      </c>
      <c r="H118" s="186">
        <f>SUM(C118:G118)</f>
        <v>8219</v>
      </c>
    </row>
    <row r="119" spans="1:8" ht="12.75" customHeight="1">
      <c r="A119" s="182" t="s">
        <v>266</v>
      </c>
      <c r="B119" s="183" t="s">
        <v>267</v>
      </c>
      <c r="D119" s="184">
        <v>105985</v>
      </c>
      <c r="E119" s="184">
        <v>106445</v>
      </c>
      <c r="F119" s="184">
        <v>105740</v>
      </c>
      <c r="G119" s="184">
        <v>102784</v>
      </c>
      <c r="H119" s="186">
        <f>SUM(C119:G119)</f>
        <v>420954</v>
      </c>
    </row>
    <row r="120" spans="1:8" ht="12.75" customHeight="1">
      <c r="A120" s="182">
        <v>4642000</v>
      </c>
      <c r="B120" s="183" t="s">
        <v>462</v>
      </c>
      <c r="D120" s="184">
        <v>0</v>
      </c>
      <c r="E120" s="184">
        <v>3012</v>
      </c>
      <c r="F120" s="184">
        <v>0</v>
      </c>
      <c r="G120" s="184">
        <v>0</v>
      </c>
      <c r="H120" s="186">
        <f>SUM(C120:G120)</f>
        <v>3012</v>
      </c>
    </row>
    <row r="121" spans="1:8" ht="12.75" customHeight="1">
      <c r="A121" s="182" t="s">
        <v>393</v>
      </c>
      <c r="D121" s="184">
        <f>SUM(D116:D120)</f>
        <v>556983</v>
      </c>
      <c r="E121" s="184">
        <f>SUM(E116:E120)</f>
        <v>566099</v>
      </c>
      <c r="F121" s="184">
        <f>SUM(F116:F120)</f>
        <v>619041</v>
      </c>
      <c r="G121" s="184">
        <f>SUM(G116:G120)</f>
        <v>528394</v>
      </c>
      <c r="H121" s="184">
        <f>SUM(H116:H120)</f>
        <v>2270517</v>
      </c>
    </row>
    <row r="123" spans="1:8" ht="12.75" customHeight="1">
      <c r="A123" s="182">
        <v>9500000</v>
      </c>
      <c r="B123" s="183" t="s">
        <v>456</v>
      </c>
      <c r="D123" s="184">
        <v>0</v>
      </c>
      <c r="E123" s="184">
        <v>0</v>
      </c>
      <c r="F123" s="184">
        <v>0</v>
      </c>
      <c r="H123" s="186">
        <f>SUM(C123:G123)</f>
        <v>0</v>
      </c>
    </row>
    <row r="124" spans="1:8" ht="12.75" customHeight="1">
      <c r="A124" s="182" t="s">
        <v>272</v>
      </c>
      <c r="B124" s="183" t="s">
        <v>273</v>
      </c>
      <c r="D124" s="184">
        <v>-524916</v>
      </c>
      <c r="E124" s="184">
        <v>-118583</v>
      </c>
      <c r="F124" s="184">
        <v>-576960</v>
      </c>
      <c r="G124" s="184">
        <v>0</v>
      </c>
      <c r="H124" s="186">
        <f>SUM(C124:G124)</f>
        <v>-1220459</v>
      </c>
    </row>
    <row r="125" spans="1:8" ht="12.75" customHeight="1">
      <c r="A125" s="182">
        <v>9500100</v>
      </c>
      <c r="B125" s="183" t="s">
        <v>438</v>
      </c>
      <c r="D125" s="184">
        <v>0</v>
      </c>
      <c r="E125" s="184">
        <v>53597</v>
      </c>
      <c r="F125" s="184">
        <v>-53597</v>
      </c>
      <c r="G125" s="184">
        <v>-142740</v>
      </c>
      <c r="H125" s="186">
        <f>SUM(C125:G125)</f>
        <v>-142740</v>
      </c>
    </row>
    <row r="126" spans="1:8" ht="12.75" customHeight="1">
      <c r="A126" s="182" t="s">
        <v>439</v>
      </c>
      <c r="D126" s="185">
        <f>SUM(D123:D125)</f>
        <v>-524916</v>
      </c>
      <c r="E126" s="185">
        <f>SUM(E123:E125)</f>
        <v>-64986</v>
      </c>
      <c r="F126" s="208">
        <f>SUM(F123:F125)</f>
        <v>-630557</v>
      </c>
      <c r="G126" s="208">
        <f>SUM(G123:G125)</f>
        <v>-142740</v>
      </c>
      <c r="H126" s="208">
        <f>SUM(H123:H125)</f>
        <v>-1363199</v>
      </c>
    </row>
    <row r="128" spans="1:8" ht="12.75" customHeight="1">
      <c r="A128" s="183" t="s">
        <v>440</v>
      </c>
      <c r="D128" s="184">
        <f>D71+D76+D79+D83+D93+D98+D101+D114+D121+D126</f>
        <v>-1422230</v>
      </c>
      <c r="E128" s="184">
        <f>E71+E76+E79+E83+E93+E98+E101+E114+E121+E126</f>
        <v>-981978</v>
      </c>
      <c r="F128" s="184">
        <f>F71+F76+F79+F83+F93+F98+F101+F114+F121+F126</f>
        <v>-1485510.82</v>
      </c>
      <c r="G128" s="184">
        <f>G71+G76+G79+G83+G93+G98+G101+G114+G121+G126</f>
        <v>-1776593.1799999997</v>
      </c>
      <c r="H128" s="184">
        <f>H71+H76+H79+H83+H93+H98+H101+H114+H121+H126</f>
        <v>-5666312</v>
      </c>
    </row>
    <row r="130" spans="3:10" ht="12.75" customHeight="1">
      <c r="C130" s="187"/>
      <c r="D130" s="195">
        <f>SUM(D4:D65)+D128</f>
        <v>0</v>
      </c>
      <c r="E130" s="195">
        <f>SUM(E4:E65)+E128</f>
        <v>0</v>
      </c>
      <c r="F130" s="195">
        <f>SUM(F4:F65)+F128</f>
        <v>0</v>
      </c>
      <c r="G130" s="195">
        <f>SUM(G4:G65)+G128</f>
        <v>0</v>
      </c>
      <c r="H130" s="217">
        <f>SUM(H4:H65)+H128</f>
        <v>0</v>
      </c>
    </row>
    <row r="131" spans="3:10" ht="12.75" customHeight="1">
      <c r="J131" s="214"/>
    </row>
    <row r="132" spans="3:10" ht="12.75" customHeight="1">
      <c r="J132" s="214"/>
    </row>
    <row r="133" spans="3:10" ht="12.75" customHeight="1">
      <c r="J133" s="214"/>
    </row>
    <row r="134" spans="3:10" ht="12.75" customHeight="1">
      <c r="J134" s="214"/>
    </row>
    <row r="135" spans="3:10" ht="12.75" customHeight="1">
      <c r="J135" s="214"/>
    </row>
    <row r="136" spans="3:10" ht="12.75" customHeight="1">
      <c r="J136" s="214"/>
    </row>
    <row r="137" spans="3:10" ht="12.75" customHeight="1">
      <c r="J137" s="214"/>
    </row>
    <row r="138" spans="3:10" ht="12.75" customHeight="1">
      <c r="J138" s="214"/>
    </row>
    <row r="139" spans="3:10" ht="12.75" customHeight="1">
      <c r="J139" s="214"/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CB0B-8956-44DA-89E5-BD9FF6D3A5A4}"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defaultRowHeight="12.75" customHeight="1"/>
  <cols>
    <col min="1" max="1" width="21.109375" style="182" bestFit="1" customWidth="1"/>
    <col min="2" max="2" width="70" style="183" bestFit="1" customWidth="1"/>
    <col min="3" max="3" width="24.5546875" style="184" bestFit="1" customWidth="1"/>
    <col min="4" max="7" width="22.44140625" style="184" customWidth="1"/>
    <col min="8" max="8" width="19.44140625" style="186" bestFit="1" customWidth="1"/>
    <col min="9" max="9" width="11.88671875" style="183" customWidth="1"/>
    <col min="10" max="10" width="22.44140625" style="187" customWidth="1"/>
    <col min="11" max="13" width="17.33203125" style="183" bestFit="1" customWidth="1"/>
    <col min="14" max="256" width="9.109375" style="183"/>
    <col min="257" max="257" width="21.109375" style="183" bestFit="1" customWidth="1"/>
    <col min="258" max="258" width="70" style="183" bestFit="1" customWidth="1"/>
    <col min="259" max="259" width="24.5546875" style="183" bestFit="1" customWidth="1"/>
    <col min="260" max="263" width="22.44140625" style="183" customWidth="1"/>
    <col min="264" max="264" width="19.44140625" style="183" bestFit="1" customWidth="1"/>
    <col min="265" max="265" width="11.88671875" style="183" customWidth="1"/>
    <col min="266" max="266" width="22.44140625" style="183" customWidth="1"/>
    <col min="267" max="512" width="9.109375" style="183"/>
    <col min="513" max="513" width="21.109375" style="183" bestFit="1" customWidth="1"/>
    <col min="514" max="514" width="70" style="183" bestFit="1" customWidth="1"/>
    <col min="515" max="515" width="24.5546875" style="183" bestFit="1" customWidth="1"/>
    <col min="516" max="519" width="22.44140625" style="183" customWidth="1"/>
    <col min="520" max="520" width="19.44140625" style="183" bestFit="1" customWidth="1"/>
    <col min="521" max="521" width="11.88671875" style="183" customWidth="1"/>
    <col min="522" max="522" width="22.44140625" style="183" customWidth="1"/>
    <col min="523" max="768" width="9.109375" style="183"/>
    <col min="769" max="769" width="21.109375" style="183" bestFit="1" customWidth="1"/>
    <col min="770" max="770" width="70" style="183" bestFit="1" customWidth="1"/>
    <col min="771" max="771" width="24.5546875" style="183" bestFit="1" customWidth="1"/>
    <col min="772" max="775" width="22.44140625" style="183" customWidth="1"/>
    <col min="776" max="776" width="19.44140625" style="183" bestFit="1" customWidth="1"/>
    <col min="777" max="777" width="11.88671875" style="183" customWidth="1"/>
    <col min="778" max="778" width="22.44140625" style="183" customWidth="1"/>
    <col min="779" max="1024" width="9.109375" style="183"/>
    <col min="1025" max="1025" width="21.109375" style="183" bestFit="1" customWidth="1"/>
    <col min="1026" max="1026" width="70" style="183" bestFit="1" customWidth="1"/>
    <col min="1027" max="1027" width="24.5546875" style="183" bestFit="1" customWidth="1"/>
    <col min="1028" max="1031" width="22.44140625" style="183" customWidth="1"/>
    <col min="1032" max="1032" width="19.44140625" style="183" bestFit="1" customWidth="1"/>
    <col min="1033" max="1033" width="11.88671875" style="183" customWidth="1"/>
    <col min="1034" max="1034" width="22.44140625" style="183" customWidth="1"/>
    <col min="1035" max="1280" width="9.109375" style="183"/>
    <col min="1281" max="1281" width="21.109375" style="183" bestFit="1" customWidth="1"/>
    <col min="1282" max="1282" width="70" style="183" bestFit="1" customWidth="1"/>
    <col min="1283" max="1283" width="24.5546875" style="183" bestFit="1" customWidth="1"/>
    <col min="1284" max="1287" width="22.44140625" style="183" customWidth="1"/>
    <col min="1288" max="1288" width="19.44140625" style="183" bestFit="1" customWidth="1"/>
    <col min="1289" max="1289" width="11.88671875" style="183" customWidth="1"/>
    <col min="1290" max="1290" width="22.44140625" style="183" customWidth="1"/>
    <col min="1291" max="1536" width="9.109375" style="183"/>
    <col min="1537" max="1537" width="21.109375" style="183" bestFit="1" customWidth="1"/>
    <col min="1538" max="1538" width="70" style="183" bestFit="1" customWidth="1"/>
    <col min="1539" max="1539" width="24.5546875" style="183" bestFit="1" customWidth="1"/>
    <col min="1540" max="1543" width="22.44140625" style="183" customWidth="1"/>
    <col min="1544" max="1544" width="19.44140625" style="183" bestFit="1" customWidth="1"/>
    <col min="1545" max="1545" width="11.88671875" style="183" customWidth="1"/>
    <col min="1546" max="1546" width="22.44140625" style="183" customWidth="1"/>
    <col min="1547" max="1792" width="9.109375" style="183"/>
    <col min="1793" max="1793" width="21.109375" style="183" bestFit="1" customWidth="1"/>
    <col min="1794" max="1794" width="70" style="183" bestFit="1" customWidth="1"/>
    <col min="1795" max="1795" width="24.5546875" style="183" bestFit="1" customWidth="1"/>
    <col min="1796" max="1799" width="22.44140625" style="183" customWidth="1"/>
    <col min="1800" max="1800" width="19.44140625" style="183" bestFit="1" customWidth="1"/>
    <col min="1801" max="1801" width="11.88671875" style="183" customWidth="1"/>
    <col min="1802" max="1802" width="22.44140625" style="183" customWidth="1"/>
    <col min="1803" max="2048" width="9.109375" style="183"/>
    <col min="2049" max="2049" width="21.109375" style="183" bestFit="1" customWidth="1"/>
    <col min="2050" max="2050" width="70" style="183" bestFit="1" customWidth="1"/>
    <col min="2051" max="2051" width="24.5546875" style="183" bestFit="1" customWidth="1"/>
    <col min="2052" max="2055" width="22.44140625" style="183" customWidth="1"/>
    <col min="2056" max="2056" width="19.44140625" style="183" bestFit="1" customWidth="1"/>
    <col min="2057" max="2057" width="11.88671875" style="183" customWidth="1"/>
    <col min="2058" max="2058" width="22.44140625" style="183" customWidth="1"/>
    <col min="2059" max="2304" width="9.109375" style="183"/>
    <col min="2305" max="2305" width="21.109375" style="183" bestFit="1" customWidth="1"/>
    <col min="2306" max="2306" width="70" style="183" bestFit="1" customWidth="1"/>
    <col min="2307" max="2307" width="24.5546875" style="183" bestFit="1" customWidth="1"/>
    <col min="2308" max="2311" width="22.44140625" style="183" customWidth="1"/>
    <col min="2312" max="2312" width="19.44140625" style="183" bestFit="1" customWidth="1"/>
    <col min="2313" max="2313" width="11.88671875" style="183" customWidth="1"/>
    <col min="2314" max="2314" width="22.44140625" style="183" customWidth="1"/>
    <col min="2315" max="2560" width="9.109375" style="183"/>
    <col min="2561" max="2561" width="21.109375" style="183" bestFit="1" customWidth="1"/>
    <col min="2562" max="2562" width="70" style="183" bestFit="1" customWidth="1"/>
    <col min="2563" max="2563" width="24.5546875" style="183" bestFit="1" customWidth="1"/>
    <col min="2564" max="2567" width="22.44140625" style="183" customWidth="1"/>
    <col min="2568" max="2568" width="19.44140625" style="183" bestFit="1" customWidth="1"/>
    <col min="2569" max="2569" width="11.88671875" style="183" customWidth="1"/>
    <col min="2570" max="2570" width="22.44140625" style="183" customWidth="1"/>
    <col min="2571" max="2816" width="9.109375" style="183"/>
    <col min="2817" max="2817" width="21.109375" style="183" bestFit="1" customWidth="1"/>
    <col min="2818" max="2818" width="70" style="183" bestFit="1" customWidth="1"/>
    <col min="2819" max="2819" width="24.5546875" style="183" bestFit="1" customWidth="1"/>
    <col min="2820" max="2823" width="22.44140625" style="183" customWidth="1"/>
    <col min="2824" max="2824" width="19.44140625" style="183" bestFit="1" customWidth="1"/>
    <col min="2825" max="2825" width="11.88671875" style="183" customWidth="1"/>
    <col min="2826" max="2826" width="22.44140625" style="183" customWidth="1"/>
    <col min="2827" max="3072" width="9.109375" style="183"/>
    <col min="3073" max="3073" width="21.109375" style="183" bestFit="1" customWidth="1"/>
    <col min="3074" max="3074" width="70" style="183" bestFit="1" customWidth="1"/>
    <col min="3075" max="3075" width="24.5546875" style="183" bestFit="1" customWidth="1"/>
    <col min="3076" max="3079" width="22.44140625" style="183" customWidth="1"/>
    <col min="3080" max="3080" width="19.44140625" style="183" bestFit="1" customWidth="1"/>
    <col min="3081" max="3081" width="11.88671875" style="183" customWidth="1"/>
    <col min="3082" max="3082" width="22.44140625" style="183" customWidth="1"/>
    <col min="3083" max="3328" width="9.109375" style="183"/>
    <col min="3329" max="3329" width="21.109375" style="183" bestFit="1" customWidth="1"/>
    <col min="3330" max="3330" width="70" style="183" bestFit="1" customWidth="1"/>
    <col min="3331" max="3331" width="24.5546875" style="183" bestFit="1" customWidth="1"/>
    <col min="3332" max="3335" width="22.44140625" style="183" customWidth="1"/>
    <col min="3336" max="3336" width="19.44140625" style="183" bestFit="1" customWidth="1"/>
    <col min="3337" max="3337" width="11.88671875" style="183" customWidth="1"/>
    <col min="3338" max="3338" width="22.44140625" style="183" customWidth="1"/>
    <col min="3339" max="3584" width="9.109375" style="183"/>
    <col min="3585" max="3585" width="21.109375" style="183" bestFit="1" customWidth="1"/>
    <col min="3586" max="3586" width="70" style="183" bestFit="1" customWidth="1"/>
    <col min="3587" max="3587" width="24.5546875" style="183" bestFit="1" customWidth="1"/>
    <col min="3588" max="3591" width="22.44140625" style="183" customWidth="1"/>
    <col min="3592" max="3592" width="19.44140625" style="183" bestFit="1" customWidth="1"/>
    <col min="3593" max="3593" width="11.88671875" style="183" customWidth="1"/>
    <col min="3594" max="3594" width="22.44140625" style="183" customWidth="1"/>
    <col min="3595" max="3840" width="9.109375" style="183"/>
    <col min="3841" max="3841" width="21.109375" style="183" bestFit="1" customWidth="1"/>
    <col min="3842" max="3842" width="70" style="183" bestFit="1" customWidth="1"/>
    <col min="3843" max="3843" width="24.5546875" style="183" bestFit="1" customWidth="1"/>
    <col min="3844" max="3847" width="22.44140625" style="183" customWidth="1"/>
    <col min="3848" max="3848" width="19.44140625" style="183" bestFit="1" customWidth="1"/>
    <col min="3849" max="3849" width="11.88671875" style="183" customWidth="1"/>
    <col min="3850" max="3850" width="22.44140625" style="183" customWidth="1"/>
    <col min="3851" max="4096" width="9.109375" style="183"/>
    <col min="4097" max="4097" width="21.109375" style="183" bestFit="1" customWidth="1"/>
    <col min="4098" max="4098" width="70" style="183" bestFit="1" customWidth="1"/>
    <col min="4099" max="4099" width="24.5546875" style="183" bestFit="1" customWidth="1"/>
    <col min="4100" max="4103" width="22.44140625" style="183" customWidth="1"/>
    <col min="4104" max="4104" width="19.44140625" style="183" bestFit="1" customWidth="1"/>
    <col min="4105" max="4105" width="11.88671875" style="183" customWidth="1"/>
    <col min="4106" max="4106" width="22.44140625" style="183" customWidth="1"/>
    <col min="4107" max="4352" width="9.109375" style="183"/>
    <col min="4353" max="4353" width="21.109375" style="183" bestFit="1" customWidth="1"/>
    <col min="4354" max="4354" width="70" style="183" bestFit="1" customWidth="1"/>
    <col min="4355" max="4355" width="24.5546875" style="183" bestFit="1" customWidth="1"/>
    <col min="4356" max="4359" width="22.44140625" style="183" customWidth="1"/>
    <col min="4360" max="4360" width="19.44140625" style="183" bestFit="1" customWidth="1"/>
    <col min="4361" max="4361" width="11.88671875" style="183" customWidth="1"/>
    <col min="4362" max="4362" width="22.44140625" style="183" customWidth="1"/>
    <col min="4363" max="4608" width="9.109375" style="183"/>
    <col min="4609" max="4609" width="21.109375" style="183" bestFit="1" customWidth="1"/>
    <col min="4610" max="4610" width="70" style="183" bestFit="1" customWidth="1"/>
    <col min="4611" max="4611" width="24.5546875" style="183" bestFit="1" customWidth="1"/>
    <col min="4612" max="4615" width="22.44140625" style="183" customWidth="1"/>
    <col min="4616" max="4616" width="19.44140625" style="183" bestFit="1" customWidth="1"/>
    <col min="4617" max="4617" width="11.88671875" style="183" customWidth="1"/>
    <col min="4618" max="4618" width="22.44140625" style="183" customWidth="1"/>
    <col min="4619" max="4864" width="9.109375" style="183"/>
    <col min="4865" max="4865" width="21.109375" style="183" bestFit="1" customWidth="1"/>
    <col min="4866" max="4866" width="70" style="183" bestFit="1" customWidth="1"/>
    <col min="4867" max="4867" width="24.5546875" style="183" bestFit="1" customWidth="1"/>
    <col min="4868" max="4871" width="22.44140625" style="183" customWidth="1"/>
    <col min="4872" max="4872" width="19.44140625" style="183" bestFit="1" customWidth="1"/>
    <col min="4873" max="4873" width="11.88671875" style="183" customWidth="1"/>
    <col min="4874" max="4874" width="22.44140625" style="183" customWidth="1"/>
    <col min="4875" max="5120" width="9.109375" style="183"/>
    <col min="5121" max="5121" width="21.109375" style="183" bestFit="1" customWidth="1"/>
    <col min="5122" max="5122" width="70" style="183" bestFit="1" customWidth="1"/>
    <col min="5123" max="5123" width="24.5546875" style="183" bestFit="1" customWidth="1"/>
    <col min="5124" max="5127" width="22.44140625" style="183" customWidth="1"/>
    <col min="5128" max="5128" width="19.44140625" style="183" bestFit="1" customWidth="1"/>
    <col min="5129" max="5129" width="11.88671875" style="183" customWidth="1"/>
    <col min="5130" max="5130" width="22.44140625" style="183" customWidth="1"/>
    <col min="5131" max="5376" width="9.109375" style="183"/>
    <col min="5377" max="5377" width="21.109375" style="183" bestFit="1" customWidth="1"/>
    <col min="5378" max="5378" width="70" style="183" bestFit="1" customWidth="1"/>
    <col min="5379" max="5379" width="24.5546875" style="183" bestFit="1" customWidth="1"/>
    <col min="5380" max="5383" width="22.44140625" style="183" customWidth="1"/>
    <col min="5384" max="5384" width="19.44140625" style="183" bestFit="1" customWidth="1"/>
    <col min="5385" max="5385" width="11.88671875" style="183" customWidth="1"/>
    <col min="5386" max="5386" width="22.44140625" style="183" customWidth="1"/>
    <col min="5387" max="5632" width="9.109375" style="183"/>
    <col min="5633" max="5633" width="21.109375" style="183" bestFit="1" customWidth="1"/>
    <col min="5634" max="5634" width="70" style="183" bestFit="1" customWidth="1"/>
    <col min="5635" max="5635" width="24.5546875" style="183" bestFit="1" customWidth="1"/>
    <col min="5636" max="5639" width="22.44140625" style="183" customWidth="1"/>
    <col min="5640" max="5640" width="19.44140625" style="183" bestFit="1" customWidth="1"/>
    <col min="5641" max="5641" width="11.88671875" style="183" customWidth="1"/>
    <col min="5642" max="5642" width="22.44140625" style="183" customWidth="1"/>
    <col min="5643" max="5888" width="9.109375" style="183"/>
    <col min="5889" max="5889" width="21.109375" style="183" bestFit="1" customWidth="1"/>
    <col min="5890" max="5890" width="70" style="183" bestFit="1" customWidth="1"/>
    <col min="5891" max="5891" width="24.5546875" style="183" bestFit="1" customWidth="1"/>
    <col min="5892" max="5895" width="22.44140625" style="183" customWidth="1"/>
    <col min="5896" max="5896" width="19.44140625" style="183" bestFit="1" customWidth="1"/>
    <col min="5897" max="5897" width="11.88671875" style="183" customWidth="1"/>
    <col min="5898" max="5898" width="22.44140625" style="183" customWidth="1"/>
    <col min="5899" max="6144" width="9.109375" style="183"/>
    <col min="6145" max="6145" width="21.109375" style="183" bestFit="1" customWidth="1"/>
    <col min="6146" max="6146" width="70" style="183" bestFit="1" customWidth="1"/>
    <col min="6147" max="6147" width="24.5546875" style="183" bestFit="1" customWidth="1"/>
    <col min="6148" max="6151" width="22.44140625" style="183" customWidth="1"/>
    <col min="6152" max="6152" width="19.44140625" style="183" bestFit="1" customWidth="1"/>
    <col min="6153" max="6153" width="11.88671875" style="183" customWidth="1"/>
    <col min="6154" max="6154" width="22.44140625" style="183" customWidth="1"/>
    <col min="6155" max="6400" width="9.109375" style="183"/>
    <col min="6401" max="6401" width="21.109375" style="183" bestFit="1" customWidth="1"/>
    <col min="6402" max="6402" width="70" style="183" bestFit="1" customWidth="1"/>
    <col min="6403" max="6403" width="24.5546875" style="183" bestFit="1" customWidth="1"/>
    <col min="6404" max="6407" width="22.44140625" style="183" customWidth="1"/>
    <col min="6408" max="6408" width="19.44140625" style="183" bestFit="1" customWidth="1"/>
    <col min="6409" max="6409" width="11.88671875" style="183" customWidth="1"/>
    <col min="6410" max="6410" width="22.44140625" style="183" customWidth="1"/>
    <col min="6411" max="6656" width="9.109375" style="183"/>
    <col min="6657" max="6657" width="21.109375" style="183" bestFit="1" customWidth="1"/>
    <col min="6658" max="6658" width="70" style="183" bestFit="1" customWidth="1"/>
    <col min="6659" max="6659" width="24.5546875" style="183" bestFit="1" customWidth="1"/>
    <col min="6660" max="6663" width="22.44140625" style="183" customWidth="1"/>
    <col min="6664" max="6664" width="19.44140625" style="183" bestFit="1" customWidth="1"/>
    <col min="6665" max="6665" width="11.88671875" style="183" customWidth="1"/>
    <col min="6666" max="6666" width="22.44140625" style="183" customWidth="1"/>
    <col min="6667" max="6912" width="9.109375" style="183"/>
    <col min="6913" max="6913" width="21.109375" style="183" bestFit="1" customWidth="1"/>
    <col min="6914" max="6914" width="70" style="183" bestFit="1" customWidth="1"/>
    <col min="6915" max="6915" width="24.5546875" style="183" bestFit="1" customWidth="1"/>
    <col min="6916" max="6919" width="22.44140625" style="183" customWidth="1"/>
    <col min="6920" max="6920" width="19.44140625" style="183" bestFit="1" customWidth="1"/>
    <col min="6921" max="6921" width="11.88671875" style="183" customWidth="1"/>
    <col min="6922" max="6922" width="22.44140625" style="183" customWidth="1"/>
    <col min="6923" max="7168" width="9.109375" style="183"/>
    <col min="7169" max="7169" width="21.109375" style="183" bestFit="1" customWidth="1"/>
    <col min="7170" max="7170" width="70" style="183" bestFit="1" customWidth="1"/>
    <col min="7171" max="7171" width="24.5546875" style="183" bestFit="1" customWidth="1"/>
    <col min="7172" max="7175" width="22.44140625" style="183" customWidth="1"/>
    <col min="7176" max="7176" width="19.44140625" style="183" bestFit="1" customWidth="1"/>
    <col min="7177" max="7177" width="11.88671875" style="183" customWidth="1"/>
    <col min="7178" max="7178" width="22.44140625" style="183" customWidth="1"/>
    <col min="7179" max="7424" width="9.109375" style="183"/>
    <col min="7425" max="7425" width="21.109375" style="183" bestFit="1" customWidth="1"/>
    <col min="7426" max="7426" width="70" style="183" bestFit="1" customWidth="1"/>
    <col min="7427" max="7427" width="24.5546875" style="183" bestFit="1" customWidth="1"/>
    <col min="7428" max="7431" width="22.44140625" style="183" customWidth="1"/>
    <col min="7432" max="7432" width="19.44140625" style="183" bestFit="1" customWidth="1"/>
    <col min="7433" max="7433" width="11.88671875" style="183" customWidth="1"/>
    <col min="7434" max="7434" width="22.44140625" style="183" customWidth="1"/>
    <col min="7435" max="7680" width="9.109375" style="183"/>
    <col min="7681" max="7681" width="21.109375" style="183" bestFit="1" customWidth="1"/>
    <col min="7682" max="7682" width="70" style="183" bestFit="1" customWidth="1"/>
    <col min="7683" max="7683" width="24.5546875" style="183" bestFit="1" customWidth="1"/>
    <col min="7684" max="7687" width="22.44140625" style="183" customWidth="1"/>
    <col min="7688" max="7688" width="19.44140625" style="183" bestFit="1" customWidth="1"/>
    <col min="7689" max="7689" width="11.88671875" style="183" customWidth="1"/>
    <col min="7690" max="7690" width="22.44140625" style="183" customWidth="1"/>
    <col min="7691" max="7936" width="9.109375" style="183"/>
    <col min="7937" max="7937" width="21.109375" style="183" bestFit="1" customWidth="1"/>
    <col min="7938" max="7938" width="70" style="183" bestFit="1" customWidth="1"/>
    <col min="7939" max="7939" width="24.5546875" style="183" bestFit="1" customWidth="1"/>
    <col min="7940" max="7943" width="22.44140625" style="183" customWidth="1"/>
    <col min="7944" max="7944" width="19.44140625" style="183" bestFit="1" customWidth="1"/>
    <col min="7945" max="7945" width="11.88671875" style="183" customWidth="1"/>
    <col min="7946" max="7946" width="22.44140625" style="183" customWidth="1"/>
    <col min="7947" max="8192" width="9.109375" style="183"/>
    <col min="8193" max="8193" width="21.109375" style="183" bestFit="1" customWidth="1"/>
    <col min="8194" max="8194" width="70" style="183" bestFit="1" customWidth="1"/>
    <col min="8195" max="8195" width="24.5546875" style="183" bestFit="1" customWidth="1"/>
    <col min="8196" max="8199" width="22.44140625" style="183" customWidth="1"/>
    <col min="8200" max="8200" width="19.44140625" style="183" bestFit="1" customWidth="1"/>
    <col min="8201" max="8201" width="11.88671875" style="183" customWidth="1"/>
    <col min="8202" max="8202" width="22.44140625" style="183" customWidth="1"/>
    <col min="8203" max="8448" width="9.109375" style="183"/>
    <col min="8449" max="8449" width="21.109375" style="183" bestFit="1" customWidth="1"/>
    <col min="8450" max="8450" width="70" style="183" bestFit="1" customWidth="1"/>
    <col min="8451" max="8451" width="24.5546875" style="183" bestFit="1" customWidth="1"/>
    <col min="8452" max="8455" width="22.44140625" style="183" customWidth="1"/>
    <col min="8456" max="8456" width="19.44140625" style="183" bestFit="1" customWidth="1"/>
    <col min="8457" max="8457" width="11.88671875" style="183" customWidth="1"/>
    <col min="8458" max="8458" width="22.44140625" style="183" customWidth="1"/>
    <col min="8459" max="8704" width="9.109375" style="183"/>
    <col min="8705" max="8705" width="21.109375" style="183" bestFit="1" customWidth="1"/>
    <col min="8706" max="8706" width="70" style="183" bestFit="1" customWidth="1"/>
    <col min="8707" max="8707" width="24.5546875" style="183" bestFit="1" customWidth="1"/>
    <col min="8708" max="8711" width="22.44140625" style="183" customWidth="1"/>
    <col min="8712" max="8712" width="19.44140625" style="183" bestFit="1" customWidth="1"/>
    <col min="8713" max="8713" width="11.88671875" style="183" customWidth="1"/>
    <col min="8714" max="8714" width="22.44140625" style="183" customWidth="1"/>
    <col min="8715" max="8960" width="9.109375" style="183"/>
    <col min="8961" max="8961" width="21.109375" style="183" bestFit="1" customWidth="1"/>
    <col min="8962" max="8962" width="70" style="183" bestFit="1" customWidth="1"/>
    <col min="8963" max="8963" width="24.5546875" style="183" bestFit="1" customWidth="1"/>
    <col min="8964" max="8967" width="22.44140625" style="183" customWidth="1"/>
    <col min="8968" max="8968" width="19.44140625" style="183" bestFit="1" customWidth="1"/>
    <col min="8969" max="8969" width="11.88671875" style="183" customWidth="1"/>
    <col min="8970" max="8970" width="22.44140625" style="183" customWidth="1"/>
    <col min="8971" max="9216" width="9.109375" style="183"/>
    <col min="9217" max="9217" width="21.109375" style="183" bestFit="1" customWidth="1"/>
    <col min="9218" max="9218" width="70" style="183" bestFit="1" customWidth="1"/>
    <col min="9219" max="9219" width="24.5546875" style="183" bestFit="1" customWidth="1"/>
    <col min="9220" max="9223" width="22.44140625" style="183" customWidth="1"/>
    <col min="9224" max="9224" width="19.44140625" style="183" bestFit="1" customWidth="1"/>
    <col min="9225" max="9225" width="11.88671875" style="183" customWidth="1"/>
    <col min="9226" max="9226" width="22.44140625" style="183" customWidth="1"/>
    <col min="9227" max="9472" width="9.109375" style="183"/>
    <col min="9473" max="9473" width="21.109375" style="183" bestFit="1" customWidth="1"/>
    <col min="9474" max="9474" width="70" style="183" bestFit="1" customWidth="1"/>
    <col min="9475" max="9475" width="24.5546875" style="183" bestFit="1" customWidth="1"/>
    <col min="9476" max="9479" width="22.44140625" style="183" customWidth="1"/>
    <col min="9480" max="9480" width="19.44140625" style="183" bestFit="1" customWidth="1"/>
    <col min="9481" max="9481" width="11.88671875" style="183" customWidth="1"/>
    <col min="9482" max="9482" width="22.44140625" style="183" customWidth="1"/>
    <col min="9483" max="9728" width="9.109375" style="183"/>
    <col min="9729" max="9729" width="21.109375" style="183" bestFit="1" customWidth="1"/>
    <col min="9730" max="9730" width="70" style="183" bestFit="1" customWidth="1"/>
    <col min="9731" max="9731" width="24.5546875" style="183" bestFit="1" customWidth="1"/>
    <col min="9732" max="9735" width="22.44140625" style="183" customWidth="1"/>
    <col min="9736" max="9736" width="19.44140625" style="183" bestFit="1" customWidth="1"/>
    <col min="9737" max="9737" width="11.88671875" style="183" customWidth="1"/>
    <col min="9738" max="9738" width="22.44140625" style="183" customWidth="1"/>
    <col min="9739" max="9984" width="9.109375" style="183"/>
    <col min="9985" max="9985" width="21.109375" style="183" bestFit="1" customWidth="1"/>
    <col min="9986" max="9986" width="70" style="183" bestFit="1" customWidth="1"/>
    <col min="9987" max="9987" width="24.5546875" style="183" bestFit="1" customWidth="1"/>
    <col min="9988" max="9991" width="22.44140625" style="183" customWidth="1"/>
    <col min="9992" max="9992" width="19.44140625" style="183" bestFit="1" customWidth="1"/>
    <col min="9993" max="9993" width="11.88671875" style="183" customWidth="1"/>
    <col min="9994" max="9994" width="22.44140625" style="183" customWidth="1"/>
    <col min="9995" max="10240" width="9.109375" style="183"/>
    <col min="10241" max="10241" width="21.109375" style="183" bestFit="1" customWidth="1"/>
    <col min="10242" max="10242" width="70" style="183" bestFit="1" customWidth="1"/>
    <col min="10243" max="10243" width="24.5546875" style="183" bestFit="1" customWidth="1"/>
    <col min="10244" max="10247" width="22.44140625" style="183" customWidth="1"/>
    <col min="10248" max="10248" width="19.44140625" style="183" bestFit="1" customWidth="1"/>
    <col min="10249" max="10249" width="11.88671875" style="183" customWidth="1"/>
    <col min="10250" max="10250" width="22.44140625" style="183" customWidth="1"/>
    <col min="10251" max="10496" width="9.109375" style="183"/>
    <col min="10497" max="10497" width="21.109375" style="183" bestFit="1" customWidth="1"/>
    <col min="10498" max="10498" width="70" style="183" bestFit="1" customWidth="1"/>
    <col min="10499" max="10499" width="24.5546875" style="183" bestFit="1" customWidth="1"/>
    <col min="10500" max="10503" width="22.44140625" style="183" customWidth="1"/>
    <col min="10504" max="10504" width="19.44140625" style="183" bestFit="1" customWidth="1"/>
    <col min="10505" max="10505" width="11.88671875" style="183" customWidth="1"/>
    <col min="10506" max="10506" width="22.44140625" style="183" customWidth="1"/>
    <col min="10507" max="10752" width="9.109375" style="183"/>
    <col min="10753" max="10753" width="21.109375" style="183" bestFit="1" customWidth="1"/>
    <col min="10754" max="10754" width="70" style="183" bestFit="1" customWidth="1"/>
    <col min="10755" max="10755" width="24.5546875" style="183" bestFit="1" customWidth="1"/>
    <col min="10756" max="10759" width="22.44140625" style="183" customWidth="1"/>
    <col min="10760" max="10760" width="19.44140625" style="183" bestFit="1" customWidth="1"/>
    <col min="10761" max="10761" width="11.88671875" style="183" customWidth="1"/>
    <col min="10762" max="10762" width="22.44140625" style="183" customWidth="1"/>
    <col min="10763" max="11008" width="9.109375" style="183"/>
    <col min="11009" max="11009" width="21.109375" style="183" bestFit="1" customWidth="1"/>
    <col min="11010" max="11010" width="70" style="183" bestFit="1" customWidth="1"/>
    <col min="11011" max="11011" width="24.5546875" style="183" bestFit="1" customWidth="1"/>
    <col min="11012" max="11015" width="22.44140625" style="183" customWidth="1"/>
    <col min="11016" max="11016" width="19.44140625" style="183" bestFit="1" customWidth="1"/>
    <col min="11017" max="11017" width="11.88671875" style="183" customWidth="1"/>
    <col min="11018" max="11018" width="22.44140625" style="183" customWidth="1"/>
    <col min="11019" max="11264" width="9.109375" style="183"/>
    <col min="11265" max="11265" width="21.109375" style="183" bestFit="1" customWidth="1"/>
    <col min="11266" max="11266" width="70" style="183" bestFit="1" customWidth="1"/>
    <col min="11267" max="11267" width="24.5546875" style="183" bestFit="1" customWidth="1"/>
    <col min="11268" max="11271" width="22.44140625" style="183" customWidth="1"/>
    <col min="11272" max="11272" width="19.44140625" style="183" bestFit="1" customWidth="1"/>
    <col min="11273" max="11273" width="11.88671875" style="183" customWidth="1"/>
    <col min="11274" max="11274" width="22.44140625" style="183" customWidth="1"/>
    <col min="11275" max="11520" width="9.109375" style="183"/>
    <col min="11521" max="11521" width="21.109375" style="183" bestFit="1" customWidth="1"/>
    <col min="11522" max="11522" width="70" style="183" bestFit="1" customWidth="1"/>
    <col min="11523" max="11523" width="24.5546875" style="183" bestFit="1" customWidth="1"/>
    <col min="11524" max="11527" width="22.44140625" style="183" customWidth="1"/>
    <col min="11528" max="11528" width="19.44140625" style="183" bestFit="1" customWidth="1"/>
    <col min="11529" max="11529" width="11.88671875" style="183" customWidth="1"/>
    <col min="11530" max="11530" width="22.44140625" style="183" customWidth="1"/>
    <col min="11531" max="11776" width="9.109375" style="183"/>
    <col min="11777" max="11777" width="21.109375" style="183" bestFit="1" customWidth="1"/>
    <col min="11778" max="11778" width="70" style="183" bestFit="1" customWidth="1"/>
    <col min="11779" max="11779" width="24.5546875" style="183" bestFit="1" customWidth="1"/>
    <col min="11780" max="11783" width="22.44140625" style="183" customWidth="1"/>
    <col min="11784" max="11784" width="19.44140625" style="183" bestFit="1" customWidth="1"/>
    <col min="11785" max="11785" width="11.88671875" style="183" customWidth="1"/>
    <col min="11786" max="11786" width="22.44140625" style="183" customWidth="1"/>
    <col min="11787" max="12032" width="9.109375" style="183"/>
    <col min="12033" max="12033" width="21.109375" style="183" bestFit="1" customWidth="1"/>
    <col min="12034" max="12034" width="70" style="183" bestFit="1" customWidth="1"/>
    <col min="12035" max="12035" width="24.5546875" style="183" bestFit="1" customWidth="1"/>
    <col min="12036" max="12039" width="22.44140625" style="183" customWidth="1"/>
    <col min="12040" max="12040" width="19.44140625" style="183" bestFit="1" customWidth="1"/>
    <col min="12041" max="12041" width="11.88671875" style="183" customWidth="1"/>
    <col min="12042" max="12042" width="22.44140625" style="183" customWidth="1"/>
    <col min="12043" max="12288" width="9.109375" style="183"/>
    <col min="12289" max="12289" width="21.109375" style="183" bestFit="1" customWidth="1"/>
    <col min="12290" max="12290" width="70" style="183" bestFit="1" customWidth="1"/>
    <col min="12291" max="12291" width="24.5546875" style="183" bestFit="1" customWidth="1"/>
    <col min="12292" max="12295" width="22.44140625" style="183" customWidth="1"/>
    <col min="12296" max="12296" width="19.44140625" style="183" bestFit="1" customWidth="1"/>
    <col min="12297" max="12297" width="11.88671875" style="183" customWidth="1"/>
    <col min="12298" max="12298" width="22.44140625" style="183" customWidth="1"/>
    <col min="12299" max="12544" width="9.109375" style="183"/>
    <col min="12545" max="12545" width="21.109375" style="183" bestFit="1" customWidth="1"/>
    <col min="12546" max="12546" width="70" style="183" bestFit="1" customWidth="1"/>
    <col min="12547" max="12547" width="24.5546875" style="183" bestFit="1" customWidth="1"/>
    <col min="12548" max="12551" width="22.44140625" style="183" customWidth="1"/>
    <col min="12552" max="12552" width="19.44140625" style="183" bestFit="1" customWidth="1"/>
    <col min="12553" max="12553" width="11.88671875" style="183" customWidth="1"/>
    <col min="12554" max="12554" width="22.44140625" style="183" customWidth="1"/>
    <col min="12555" max="12800" width="9.109375" style="183"/>
    <col min="12801" max="12801" width="21.109375" style="183" bestFit="1" customWidth="1"/>
    <col min="12802" max="12802" width="70" style="183" bestFit="1" customWidth="1"/>
    <col min="12803" max="12803" width="24.5546875" style="183" bestFit="1" customWidth="1"/>
    <col min="12804" max="12807" width="22.44140625" style="183" customWidth="1"/>
    <col min="12808" max="12808" width="19.44140625" style="183" bestFit="1" customWidth="1"/>
    <col min="12809" max="12809" width="11.88671875" style="183" customWidth="1"/>
    <col min="12810" max="12810" width="22.44140625" style="183" customWidth="1"/>
    <col min="12811" max="13056" width="9.109375" style="183"/>
    <col min="13057" max="13057" width="21.109375" style="183" bestFit="1" customWidth="1"/>
    <col min="13058" max="13058" width="70" style="183" bestFit="1" customWidth="1"/>
    <col min="13059" max="13059" width="24.5546875" style="183" bestFit="1" customWidth="1"/>
    <col min="13060" max="13063" width="22.44140625" style="183" customWidth="1"/>
    <col min="13064" max="13064" width="19.44140625" style="183" bestFit="1" customWidth="1"/>
    <col min="13065" max="13065" width="11.88671875" style="183" customWidth="1"/>
    <col min="13066" max="13066" width="22.44140625" style="183" customWidth="1"/>
    <col min="13067" max="13312" width="9.109375" style="183"/>
    <col min="13313" max="13313" width="21.109375" style="183" bestFit="1" customWidth="1"/>
    <col min="13314" max="13314" width="70" style="183" bestFit="1" customWidth="1"/>
    <col min="13315" max="13315" width="24.5546875" style="183" bestFit="1" customWidth="1"/>
    <col min="13316" max="13319" width="22.44140625" style="183" customWidth="1"/>
    <col min="13320" max="13320" width="19.44140625" style="183" bestFit="1" customWidth="1"/>
    <col min="13321" max="13321" width="11.88671875" style="183" customWidth="1"/>
    <col min="13322" max="13322" width="22.44140625" style="183" customWidth="1"/>
    <col min="13323" max="13568" width="9.109375" style="183"/>
    <col min="13569" max="13569" width="21.109375" style="183" bestFit="1" customWidth="1"/>
    <col min="13570" max="13570" width="70" style="183" bestFit="1" customWidth="1"/>
    <col min="13571" max="13571" width="24.5546875" style="183" bestFit="1" customWidth="1"/>
    <col min="13572" max="13575" width="22.44140625" style="183" customWidth="1"/>
    <col min="13576" max="13576" width="19.44140625" style="183" bestFit="1" customWidth="1"/>
    <col min="13577" max="13577" width="11.88671875" style="183" customWidth="1"/>
    <col min="13578" max="13578" width="22.44140625" style="183" customWidth="1"/>
    <col min="13579" max="13824" width="9.109375" style="183"/>
    <col min="13825" max="13825" width="21.109375" style="183" bestFit="1" customWidth="1"/>
    <col min="13826" max="13826" width="70" style="183" bestFit="1" customWidth="1"/>
    <col min="13827" max="13827" width="24.5546875" style="183" bestFit="1" customWidth="1"/>
    <col min="13828" max="13831" width="22.44140625" style="183" customWidth="1"/>
    <col min="13832" max="13832" width="19.44140625" style="183" bestFit="1" customWidth="1"/>
    <col min="13833" max="13833" width="11.88671875" style="183" customWidth="1"/>
    <col min="13834" max="13834" width="22.44140625" style="183" customWidth="1"/>
    <col min="13835" max="14080" width="9.109375" style="183"/>
    <col min="14081" max="14081" width="21.109375" style="183" bestFit="1" customWidth="1"/>
    <col min="14082" max="14082" width="70" style="183" bestFit="1" customWidth="1"/>
    <col min="14083" max="14083" width="24.5546875" style="183" bestFit="1" customWidth="1"/>
    <col min="14084" max="14087" width="22.44140625" style="183" customWidth="1"/>
    <col min="14088" max="14088" width="19.44140625" style="183" bestFit="1" customWidth="1"/>
    <col min="14089" max="14089" width="11.88671875" style="183" customWidth="1"/>
    <col min="14090" max="14090" width="22.44140625" style="183" customWidth="1"/>
    <col min="14091" max="14336" width="9.109375" style="183"/>
    <col min="14337" max="14337" width="21.109375" style="183" bestFit="1" customWidth="1"/>
    <col min="14338" max="14338" width="70" style="183" bestFit="1" customWidth="1"/>
    <col min="14339" max="14339" width="24.5546875" style="183" bestFit="1" customWidth="1"/>
    <col min="14340" max="14343" width="22.44140625" style="183" customWidth="1"/>
    <col min="14344" max="14344" width="19.44140625" style="183" bestFit="1" customWidth="1"/>
    <col min="14345" max="14345" width="11.88671875" style="183" customWidth="1"/>
    <col min="14346" max="14346" width="22.44140625" style="183" customWidth="1"/>
    <col min="14347" max="14592" width="9.109375" style="183"/>
    <col min="14593" max="14593" width="21.109375" style="183" bestFit="1" customWidth="1"/>
    <col min="14594" max="14594" width="70" style="183" bestFit="1" customWidth="1"/>
    <col min="14595" max="14595" width="24.5546875" style="183" bestFit="1" customWidth="1"/>
    <col min="14596" max="14599" width="22.44140625" style="183" customWidth="1"/>
    <col min="14600" max="14600" width="19.44140625" style="183" bestFit="1" customWidth="1"/>
    <col min="14601" max="14601" width="11.88671875" style="183" customWidth="1"/>
    <col min="14602" max="14602" width="22.44140625" style="183" customWidth="1"/>
    <col min="14603" max="14848" width="9.109375" style="183"/>
    <col min="14849" max="14849" width="21.109375" style="183" bestFit="1" customWidth="1"/>
    <col min="14850" max="14850" width="70" style="183" bestFit="1" customWidth="1"/>
    <col min="14851" max="14851" width="24.5546875" style="183" bestFit="1" customWidth="1"/>
    <col min="14852" max="14855" width="22.44140625" style="183" customWidth="1"/>
    <col min="14856" max="14856" width="19.44140625" style="183" bestFit="1" customWidth="1"/>
    <col min="14857" max="14857" width="11.88671875" style="183" customWidth="1"/>
    <col min="14858" max="14858" width="22.44140625" style="183" customWidth="1"/>
    <col min="14859" max="15104" width="9.109375" style="183"/>
    <col min="15105" max="15105" width="21.109375" style="183" bestFit="1" customWidth="1"/>
    <col min="15106" max="15106" width="70" style="183" bestFit="1" customWidth="1"/>
    <col min="15107" max="15107" width="24.5546875" style="183" bestFit="1" customWidth="1"/>
    <col min="15108" max="15111" width="22.44140625" style="183" customWidth="1"/>
    <col min="15112" max="15112" width="19.44140625" style="183" bestFit="1" customWidth="1"/>
    <col min="15113" max="15113" width="11.88671875" style="183" customWidth="1"/>
    <col min="15114" max="15114" width="22.44140625" style="183" customWidth="1"/>
    <col min="15115" max="15360" width="9.109375" style="183"/>
    <col min="15361" max="15361" width="21.109375" style="183" bestFit="1" customWidth="1"/>
    <col min="15362" max="15362" width="70" style="183" bestFit="1" customWidth="1"/>
    <col min="15363" max="15363" width="24.5546875" style="183" bestFit="1" customWidth="1"/>
    <col min="15364" max="15367" width="22.44140625" style="183" customWidth="1"/>
    <col min="15368" max="15368" width="19.44140625" style="183" bestFit="1" customWidth="1"/>
    <col min="15369" max="15369" width="11.88671875" style="183" customWidth="1"/>
    <col min="15370" max="15370" width="22.44140625" style="183" customWidth="1"/>
    <col min="15371" max="15616" width="9.109375" style="183"/>
    <col min="15617" max="15617" width="21.109375" style="183" bestFit="1" customWidth="1"/>
    <col min="15618" max="15618" width="70" style="183" bestFit="1" customWidth="1"/>
    <col min="15619" max="15619" width="24.5546875" style="183" bestFit="1" customWidth="1"/>
    <col min="15620" max="15623" width="22.44140625" style="183" customWidth="1"/>
    <col min="15624" max="15624" width="19.44140625" style="183" bestFit="1" customWidth="1"/>
    <col min="15625" max="15625" width="11.88671875" style="183" customWidth="1"/>
    <col min="15626" max="15626" width="22.44140625" style="183" customWidth="1"/>
    <col min="15627" max="15872" width="9.109375" style="183"/>
    <col min="15873" max="15873" width="21.109375" style="183" bestFit="1" customWidth="1"/>
    <col min="15874" max="15874" width="70" style="183" bestFit="1" customWidth="1"/>
    <col min="15875" max="15875" width="24.5546875" style="183" bestFit="1" customWidth="1"/>
    <col min="15876" max="15879" width="22.44140625" style="183" customWidth="1"/>
    <col min="15880" max="15880" width="19.44140625" style="183" bestFit="1" customWidth="1"/>
    <col min="15881" max="15881" width="11.88671875" style="183" customWidth="1"/>
    <col min="15882" max="15882" width="22.44140625" style="183" customWidth="1"/>
    <col min="15883" max="16128" width="9.109375" style="183"/>
    <col min="16129" max="16129" width="21.109375" style="183" bestFit="1" customWidth="1"/>
    <col min="16130" max="16130" width="70" style="183" bestFit="1" customWidth="1"/>
    <col min="16131" max="16131" width="24.5546875" style="183" bestFit="1" customWidth="1"/>
    <col min="16132" max="16135" width="22.44140625" style="183" customWidth="1"/>
    <col min="16136" max="16136" width="19.44140625" style="183" bestFit="1" customWidth="1"/>
    <col min="16137" max="16137" width="11.88671875" style="183" customWidth="1"/>
    <col min="16138" max="16138" width="22.44140625" style="183" customWidth="1"/>
    <col min="16139" max="16384" width="9.109375" style="183"/>
  </cols>
  <sheetData>
    <row r="1" spans="1:13" ht="12.75" customHeight="1">
      <c r="C1" s="208" t="s">
        <v>482</v>
      </c>
      <c r="D1" s="208" t="s">
        <v>473</v>
      </c>
      <c r="E1" s="208" t="s">
        <v>474</v>
      </c>
      <c r="F1" s="208" t="s">
        <v>475</v>
      </c>
      <c r="G1" s="208" t="s">
        <v>483</v>
      </c>
      <c r="H1" s="186" t="s">
        <v>484</v>
      </c>
      <c r="K1" s="208" t="s">
        <v>474</v>
      </c>
      <c r="L1" s="208" t="s">
        <v>475</v>
      </c>
      <c r="M1" s="208" t="s">
        <v>483</v>
      </c>
    </row>
    <row r="3" spans="1:13" ht="12.75" customHeight="1">
      <c r="A3" s="188" t="s">
        <v>16</v>
      </c>
    </row>
    <row r="4" spans="1:13" ht="12.75" customHeight="1">
      <c r="A4" s="182">
        <v>1600200</v>
      </c>
      <c r="B4" s="183" t="s">
        <v>22</v>
      </c>
      <c r="C4" s="184">
        <v>129706535</v>
      </c>
      <c r="E4" s="198"/>
      <c r="H4" s="186">
        <f>SUM(C4:G4)-4048750</f>
        <v>125657785</v>
      </c>
      <c r="I4" s="189"/>
      <c r="K4" s="183">
        <v>977050</v>
      </c>
      <c r="L4" s="183">
        <v>172507</v>
      </c>
      <c r="M4" s="223">
        <v>238485</v>
      </c>
    </row>
    <row r="5" spans="1:13" ht="12.75" customHeight="1">
      <c r="A5" s="182" t="s">
        <v>23</v>
      </c>
      <c r="B5" s="183" t="s">
        <v>24</v>
      </c>
      <c r="C5" s="184">
        <v>-11587205</v>
      </c>
      <c r="D5" s="184">
        <v>-653151</v>
      </c>
      <c r="E5" s="198">
        <v>-683661</v>
      </c>
      <c r="F5" s="184">
        <v>-277132</v>
      </c>
      <c r="G5" s="184">
        <v>-667313</v>
      </c>
      <c r="H5" s="186">
        <f>SUM(C5:G5)</f>
        <v>-13868462</v>
      </c>
    </row>
    <row r="6" spans="1:13" ht="12.75" customHeight="1">
      <c r="A6" s="182" t="s">
        <v>25</v>
      </c>
      <c r="B6" s="183" t="s">
        <v>26</v>
      </c>
      <c r="C6" s="184">
        <v>-2027956</v>
      </c>
      <c r="D6" s="191">
        <v>-947310</v>
      </c>
      <c r="E6" s="184">
        <v>-1073484</v>
      </c>
      <c r="F6" s="191">
        <v>-706761</v>
      </c>
      <c r="G6" s="191">
        <v>-1597299</v>
      </c>
      <c r="H6" s="186">
        <f>SUM(C6:G6)+4048750</f>
        <v>-2304060</v>
      </c>
    </row>
    <row r="7" spans="1:13" ht="12.75" customHeight="1">
      <c r="A7" s="182" t="s">
        <v>427</v>
      </c>
      <c r="B7" s="183" t="s">
        <v>428</v>
      </c>
      <c r="C7" s="184">
        <v>176623</v>
      </c>
      <c r="D7" s="184">
        <v>90299</v>
      </c>
      <c r="E7" s="184">
        <v>110448</v>
      </c>
      <c r="F7" s="184">
        <v>-303581</v>
      </c>
      <c r="G7" s="184">
        <v>170229</v>
      </c>
      <c r="H7" s="186">
        <f>SUM(C7:G7)</f>
        <v>244018</v>
      </c>
    </row>
    <row r="8" spans="1:13" ht="12.75" customHeight="1">
      <c r="A8" s="183" t="s">
        <v>351</v>
      </c>
      <c r="I8" s="189"/>
    </row>
    <row r="10" spans="1:13" ht="12.75" customHeight="1">
      <c r="A10" s="182" t="s">
        <v>35</v>
      </c>
      <c r="B10" s="183" t="s">
        <v>36</v>
      </c>
      <c r="C10" s="184">
        <v>2814439</v>
      </c>
      <c r="D10" s="184">
        <v>118583</v>
      </c>
      <c r="E10" s="198">
        <v>631191</v>
      </c>
      <c r="F10" s="184">
        <v>142740</v>
      </c>
      <c r="G10" s="184">
        <v>120923</v>
      </c>
      <c r="H10" s="186">
        <f>SUM(C10:G10)</f>
        <v>3827876</v>
      </c>
    </row>
    <row r="11" spans="1:13" ht="12.75" customHeight="1">
      <c r="A11" s="183" t="s">
        <v>352</v>
      </c>
    </row>
    <row r="13" spans="1:13" ht="12.75" customHeight="1">
      <c r="A13" s="182" t="s">
        <v>41</v>
      </c>
      <c r="B13" s="183" t="s">
        <v>42</v>
      </c>
      <c r="C13" s="184">
        <v>85120</v>
      </c>
      <c r="D13" s="184">
        <v>316526</v>
      </c>
      <c r="E13" s="184">
        <v>-108371</v>
      </c>
      <c r="F13" s="184">
        <v>-341343</v>
      </c>
      <c r="G13" s="184">
        <v>281344</v>
      </c>
      <c r="H13" s="186">
        <f>SUM(C13:G13)</f>
        <v>233276</v>
      </c>
    </row>
    <row r="14" spans="1:13" ht="12.75" customHeight="1">
      <c r="A14" s="182" t="s">
        <v>43</v>
      </c>
      <c r="B14" s="183" t="s">
        <v>44</v>
      </c>
      <c r="C14" s="184">
        <v>-55541</v>
      </c>
      <c r="E14" s="198">
        <v>23626</v>
      </c>
      <c r="F14" s="184">
        <v>0</v>
      </c>
      <c r="G14" s="184">
        <v>0</v>
      </c>
      <c r="H14" s="186">
        <f>SUM(C14:G14)</f>
        <v>-31915</v>
      </c>
    </row>
    <row r="15" spans="1:13" ht="12.75" customHeight="1">
      <c r="A15" s="183" t="s">
        <v>353</v>
      </c>
    </row>
    <row r="17" spans="1:8" ht="12.75" customHeight="1">
      <c r="A17" s="182">
        <v>2640000</v>
      </c>
      <c r="B17" s="183" t="s">
        <v>48</v>
      </c>
      <c r="C17" s="184">
        <v>-1913400</v>
      </c>
      <c r="D17" s="184">
        <v>1642583</v>
      </c>
      <c r="E17" s="198">
        <v>-859900</v>
      </c>
      <c r="F17" s="184">
        <v>436656</v>
      </c>
      <c r="G17" s="184">
        <v>550984</v>
      </c>
      <c r="H17" s="186">
        <f>SUM(C17:G17)</f>
        <v>-143077</v>
      </c>
    </row>
    <row r="18" spans="1:8" ht="12.75" customHeight="1">
      <c r="A18" s="183" t="s">
        <v>357</v>
      </c>
    </row>
    <row r="20" spans="1:8" ht="12.75" customHeight="1">
      <c r="A20" s="182">
        <v>2040200</v>
      </c>
      <c r="B20" s="183" t="s">
        <v>447</v>
      </c>
      <c r="C20" s="184">
        <v>5000</v>
      </c>
      <c r="D20" s="184">
        <v>0</v>
      </c>
      <c r="E20" s="184">
        <v>0</v>
      </c>
      <c r="F20" s="184">
        <v>0</v>
      </c>
      <c r="G20" s="184">
        <v>0</v>
      </c>
      <c r="H20" s="186">
        <f>SUM(C20:G20)</f>
        <v>5000</v>
      </c>
    </row>
    <row r="21" spans="1:8" ht="12.75" customHeight="1">
      <c r="A21" s="182" t="s">
        <v>53</v>
      </c>
      <c r="B21" s="183" t="s">
        <v>54</v>
      </c>
      <c r="C21" s="184">
        <v>3818</v>
      </c>
      <c r="E21" s="184">
        <v>-1022</v>
      </c>
      <c r="F21" s="184">
        <v>-2796</v>
      </c>
      <c r="G21" s="184">
        <v>0</v>
      </c>
      <c r="H21" s="186">
        <f>SUM(C21:G21)</f>
        <v>0</v>
      </c>
    </row>
    <row r="22" spans="1:8" ht="12.75" customHeight="1">
      <c r="A22" s="182" t="s">
        <v>55</v>
      </c>
      <c r="B22" s="183" t="s">
        <v>56</v>
      </c>
      <c r="C22" s="184">
        <v>295508</v>
      </c>
      <c r="D22" s="184">
        <v>-139615</v>
      </c>
      <c r="E22" s="184">
        <v>-155413</v>
      </c>
      <c r="F22" s="184">
        <v>342768</v>
      </c>
      <c r="G22" s="184">
        <v>-114416</v>
      </c>
      <c r="H22" s="186">
        <f>SUM(C22:G22)</f>
        <v>228832</v>
      </c>
    </row>
    <row r="23" spans="1:8" ht="12.75" customHeight="1">
      <c r="A23" s="183" t="s">
        <v>407</v>
      </c>
    </row>
    <row r="25" spans="1:8" ht="12.75" customHeight="1">
      <c r="A25" s="182" t="s">
        <v>61</v>
      </c>
      <c r="B25" s="183" t="s">
        <v>62</v>
      </c>
      <c r="C25" s="184">
        <v>0</v>
      </c>
      <c r="F25" s="184">
        <v>-343</v>
      </c>
      <c r="G25" s="184">
        <v>-3777</v>
      </c>
      <c r="H25" s="186">
        <f t="shared" ref="H25:H31" si="0">SUM(C25:G25)</f>
        <v>-4120</v>
      </c>
    </row>
    <row r="26" spans="1:8" ht="12.75" customHeight="1">
      <c r="A26" s="182" t="s">
        <v>65</v>
      </c>
      <c r="B26" s="183" t="s">
        <v>66</v>
      </c>
      <c r="C26" s="184">
        <v>19193</v>
      </c>
      <c r="D26" s="184">
        <v>-18700</v>
      </c>
      <c r="E26" s="184">
        <v>-482</v>
      </c>
      <c r="F26" s="184">
        <v>-11</v>
      </c>
      <c r="G26" s="184">
        <v>0</v>
      </c>
      <c r="H26" s="186">
        <f t="shared" si="0"/>
        <v>0</v>
      </c>
    </row>
    <row r="27" spans="1:8" ht="12.75" customHeight="1">
      <c r="A27" s="182" t="s">
        <v>67</v>
      </c>
      <c r="B27" s="183" t="s">
        <v>68</v>
      </c>
      <c r="C27" s="184">
        <v>36770</v>
      </c>
      <c r="D27" s="184">
        <v>-19</v>
      </c>
      <c r="E27" s="184">
        <v>-19</v>
      </c>
      <c r="F27" s="184">
        <v>-19</v>
      </c>
      <c r="G27" s="184">
        <v>-19</v>
      </c>
      <c r="H27" s="186">
        <f t="shared" si="0"/>
        <v>36694</v>
      </c>
    </row>
    <row r="28" spans="1:8" ht="12.75" customHeight="1">
      <c r="A28" s="182" t="s">
        <v>69</v>
      </c>
      <c r="B28" s="183" t="s">
        <v>70</v>
      </c>
      <c r="C28" s="184">
        <v>692476</v>
      </c>
      <c r="D28" s="184">
        <v>-417400</v>
      </c>
      <c r="E28" s="184">
        <v>-13600</v>
      </c>
      <c r="F28" s="184">
        <v>-7131</v>
      </c>
      <c r="G28" s="184">
        <v>-37180</v>
      </c>
      <c r="H28" s="186">
        <f t="shared" si="0"/>
        <v>217165</v>
      </c>
    </row>
    <row r="29" spans="1:8" ht="12.75" customHeight="1">
      <c r="A29" s="182" t="s">
        <v>71</v>
      </c>
      <c r="B29" s="183" t="s">
        <v>72</v>
      </c>
      <c r="C29" s="184">
        <v>443148</v>
      </c>
      <c r="D29" s="184">
        <v>145814</v>
      </c>
      <c r="E29" s="184">
        <v>-393791</v>
      </c>
      <c r="F29" s="184">
        <v>-99389</v>
      </c>
      <c r="G29" s="184">
        <v>8473</v>
      </c>
      <c r="H29" s="186">
        <f t="shared" si="0"/>
        <v>104255</v>
      </c>
    </row>
    <row r="30" spans="1:8" ht="12.75" customHeight="1">
      <c r="A30" s="182" t="s">
        <v>73</v>
      </c>
      <c r="B30" s="183" t="s">
        <v>74</v>
      </c>
      <c r="C30" s="184">
        <v>1267243</v>
      </c>
      <c r="D30" s="184">
        <v>-850699</v>
      </c>
      <c r="E30" s="184">
        <v>550068</v>
      </c>
      <c r="F30" s="184">
        <v>854946</v>
      </c>
      <c r="G30" s="184">
        <v>-722443</v>
      </c>
      <c r="H30" s="186">
        <f t="shared" si="0"/>
        <v>1099115</v>
      </c>
    </row>
    <row r="31" spans="1:8" ht="12.75" customHeight="1">
      <c r="A31" s="182" t="s">
        <v>75</v>
      </c>
      <c r="B31" s="183" t="s">
        <v>76</v>
      </c>
      <c r="C31" s="184">
        <v>44747</v>
      </c>
      <c r="D31" s="184">
        <v>133175</v>
      </c>
      <c r="E31" s="184">
        <v>-125945</v>
      </c>
      <c r="F31" s="184">
        <v>61378</v>
      </c>
      <c r="G31" s="184">
        <v>-72522</v>
      </c>
      <c r="H31" s="186">
        <f t="shared" si="0"/>
        <v>40833</v>
      </c>
    </row>
    <row r="32" spans="1:8" ht="12.75" customHeight="1">
      <c r="A32" s="183" t="s">
        <v>358</v>
      </c>
    </row>
    <row r="34" spans="1:9" ht="12.75" customHeight="1">
      <c r="A34" s="182">
        <v>1000002</v>
      </c>
      <c r="B34" s="183" t="s">
        <v>429</v>
      </c>
      <c r="C34" s="184">
        <v>-1</v>
      </c>
      <c r="E34" s="184">
        <v>0</v>
      </c>
      <c r="F34" s="184">
        <v>0</v>
      </c>
      <c r="H34" s="186">
        <f>SUM(C34:G34)</f>
        <v>-1</v>
      </c>
    </row>
    <row r="35" spans="1:9" ht="12.75" customHeight="1">
      <c r="A35" s="182">
        <v>1100000</v>
      </c>
      <c r="B35" s="183" t="s">
        <v>430</v>
      </c>
      <c r="C35" s="184">
        <v>-19231219</v>
      </c>
      <c r="E35" s="184">
        <v>0</v>
      </c>
      <c r="F35" s="184">
        <v>0</v>
      </c>
      <c r="H35" s="186">
        <f>SUM(C35:G35)</f>
        <v>-19231219</v>
      </c>
    </row>
    <row r="36" spans="1:9" ht="12.75" customHeight="1">
      <c r="A36" s="182">
        <v>1160000</v>
      </c>
      <c r="B36" s="183" t="s">
        <v>94</v>
      </c>
      <c r="C36" s="184">
        <f>9733381+3864155</f>
        <v>13597536</v>
      </c>
      <c r="E36" s="184">
        <v>0</v>
      </c>
      <c r="F36" s="184">
        <v>0</v>
      </c>
      <c r="H36" s="186">
        <f>SUM(C36:G36)</f>
        <v>13597536</v>
      </c>
      <c r="I36" s="186"/>
    </row>
    <row r="37" spans="1:9" ht="12.75" customHeight="1">
      <c r="A37" s="182" t="s">
        <v>95</v>
      </c>
      <c r="B37" s="183" t="s">
        <v>96</v>
      </c>
      <c r="C37" s="184">
        <v>0</v>
      </c>
      <c r="D37" s="184">
        <v>207000</v>
      </c>
      <c r="E37" s="184">
        <v>0</v>
      </c>
      <c r="F37" s="184">
        <v>0</v>
      </c>
      <c r="G37" s="184">
        <v>2200000</v>
      </c>
      <c r="H37" s="186">
        <f>SUM(C37:G37)</f>
        <v>2407000</v>
      </c>
    </row>
    <row r="38" spans="1:9" ht="12.75" customHeight="1">
      <c r="A38" s="183" t="s">
        <v>359</v>
      </c>
    </row>
    <row r="40" spans="1:9" ht="12.75" customHeight="1">
      <c r="A40" s="182">
        <v>1930001</v>
      </c>
      <c r="B40" s="183" t="s">
        <v>104</v>
      </c>
      <c r="C40" s="184">
        <v>-130000000</v>
      </c>
      <c r="D40" s="184">
        <v>0</v>
      </c>
      <c r="E40" s="184">
        <v>0</v>
      </c>
      <c r="F40" s="184">
        <v>0</v>
      </c>
      <c r="G40" s="184">
        <v>0</v>
      </c>
      <c r="H40" s="186">
        <f>SUM(C40:G40)</f>
        <v>-130000000</v>
      </c>
    </row>
    <row r="41" spans="1:9" ht="12.75" customHeight="1">
      <c r="A41" s="182" t="s">
        <v>107</v>
      </c>
      <c r="B41" s="183" t="s">
        <v>108</v>
      </c>
      <c r="C41" s="184">
        <v>16793682</v>
      </c>
      <c r="D41" s="184">
        <v>1387184</v>
      </c>
      <c r="E41" s="184">
        <v>1984184</v>
      </c>
      <c r="F41" s="184">
        <v>1540803</v>
      </c>
      <c r="G41" s="184">
        <v>2253796</v>
      </c>
      <c r="H41" s="186">
        <f>SUM(C41:G41)</f>
        <v>23959649</v>
      </c>
    </row>
    <row r="42" spans="1:9" ht="12.75" customHeight="1">
      <c r="A42" s="183" t="s">
        <v>362</v>
      </c>
    </row>
    <row r="44" spans="1:9" ht="12.75" customHeight="1">
      <c r="A44" s="182" t="s">
        <v>121</v>
      </c>
      <c r="B44" s="183" t="s">
        <v>122</v>
      </c>
      <c r="C44" s="184">
        <v>-211318</v>
      </c>
      <c r="E44" s="184">
        <f>-342182+85763.82</f>
        <v>-256418.18</v>
      </c>
      <c r="F44" s="208">
        <f>123229-85763.82</f>
        <v>37465.179999999993</v>
      </c>
      <c r="G44" s="208">
        <v>411485</v>
      </c>
      <c r="H44" s="186">
        <f>SUM(C44:G44)</f>
        <v>-18786</v>
      </c>
    </row>
    <row r="45" spans="1:9" ht="12.75" customHeight="1">
      <c r="A45" s="182" t="s">
        <v>123</v>
      </c>
      <c r="B45" s="183" t="s">
        <v>124</v>
      </c>
      <c r="C45" s="184">
        <v>0</v>
      </c>
      <c r="D45" s="184">
        <v>0</v>
      </c>
      <c r="E45" s="184">
        <v>0</v>
      </c>
      <c r="F45" s="184">
        <v>0</v>
      </c>
      <c r="G45" s="184">
        <v>0</v>
      </c>
      <c r="H45" s="186">
        <f>SUM(C45:G45)</f>
        <v>0</v>
      </c>
    </row>
    <row r="46" spans="1:9" ht="12.75" customHeight="1">
      <c r="A46" s="183" t="s">
        <v>363</v>
      </c>
    </row>
    <row r="48" spans="1:9" ht="12.75" customHeight="1">
      <c r="A48" s="182" t="s">
        <v>129</v>
      </c>
      <c r="B48" s="183" t="s">
        <v>130</v>
      </c>
      <c r="C48" s="184">
        <v>-3642</v>
      </c>
      <c r="D48" s="184">
        <v>-22</v>
      </c>
      <c r="E48" s="184">
        <v>2114</v>
      </c>
      <c r="F48" s="184">
        <v>1550</v>
      </c>
      <c r="G48" s="184">
        <v>-3898</v>
      </c>
      <c r="H48" s="186">
        <f>SUM(C48:G48)</f>
        <v>-3898</v>
      </c>
    </row>
    <row r="49" spans="1:8" ht="12.75" customHeight="1">
      <c r="A49" s="182" t="s">
        <v>133</v>
      </c>
      <c r="B49" s="183" t="s">
        <v>134</v>
      </c>
      <c r="C49" s="184">
        <v>0</v>
      </c>
      <c r="D49" s="184">
        <v>0</v>
      </c>
      <c r="E49" s="184">
        <v>0</v>
      </c>
      <c r="F49" s="184">
        <v>0</v>
      </c>
      <c r="G49" s="184">
        <v>0</v>
      </c>
      <c r="H49" s="186">
        <f>SUM(C49:G49)</f>
        <v>0</v>
      </c>
    </row>
    <row r="50" spans="1:8" ht="12.75" customHeight="1">
      <c r="A50" s="182" t="s">
        <v>137</v>
      </c>
      <c r="B50" s="183" t="s">
        <v>138</v>
      </c>
      <c r="C50" s="184">
        <v>0</v>
      </c>
      <c r="D50" s="184">
        <v>0</v>
      </c>
      <c r="E50" s="184">
        <v>0</v>
      </c>
      <c r="F50" s="184">
        <v>0</v>
      </c>
      <c r="G50" s="184">
        <v>0</v>
      </c>
      <c r="H50" s="186">
        <f>SUM(C50:G50)</f>
        <v>0</v>
      </c>
    </row>
    <row r="51" spans="1:8" ht="12.75" customHeight="1">
      <c r="A51" s="183" t="s">
        <v>366</v>
      </c>
    </row>
    <row r="53" spans="1:8" ht="12.75" customHeight="1">
      <c r="A53" s="182" t="s">
        <v>141</v>
      </c>
      <c r="B53" s="183" t="s">
        <v>142</v>
      </c>
      <c r="C53" s="184">
        <v>-708701</v>
      </c>
      <c r="D53" s="184">
        <v>-21291</v>
      </c>
      <c r="E53" s="184">
        <v>-37329</v>
      </c>
      <c r="F53" s="184">
        <f>5524-2</f>
        <v>5522</v>
      </c>
      <c r="G53" s="184">
        <f>-1404+2</f>
        <v>-1402</v>
      </c>
      <c r="H53" s="186">
        <f t="shared" ref="H53:H64" si="1">SUM(C53:G53)</f>
        <v>-763201</v>
      </c>
    </row>
    <row r="54" spans="1:8" ht="12.75" customHeight="1">
      <c r="A54" s="182">
        <v>2740500</v>
      </c>
      <c r="B54" s="183" t="s">
        <v>144</v>
      </c>
      <c r="C54" s="184">
        <v>-22500</v>
      </c>
      <c r="E54" s="184">
        <v>0</v>
      </c>
      <c r="F54" s="184">
        <v>0</v>
      </c>
      <c r="G54" s="184">
        <v>0</v>
      </c>
      <c r="H54" s="186">
        <f t="shared" si="1"/>
        <v>-22500</v>
      </c>
    </row>
    <row r="55" spans="1:8" ht="12.75" customHeight="1">
      <c r="A55" s="182" t="s">
        <v>145</v>
      </c>
      <c r="B55" s="183" t="s">
        <v>146</v>
      </c>
      <c r="C55" s="184">
        <v>0</v>
      </c>
      <c r="E55" s="184">
        <v>0</v>
      </c>
      <c r="F55" s="184">
        <v>0</v>
      </c>
      <c r="G55" s="184">
        <v>0</v>
      </c>
      <c r="H55" s="186">
        <f t="shared" si="1"/>
        <v>0</v>
      </c>
    </row>
    <row r="56" spans="1:8" ht="12.75" customHeight="1">
      <c r="A56" s="182" t="s">
        <v>367</v>
      </c>
      <c r="B56" s="183" t="s">
        <v>368</v>
      </c>
      <c r="C56" s="184">
        <v>2</v>
      </c>
      <c r="E56" s="184">
        <v>-2</v>
      </c>
      <c r="F56" s="220">
        <v>-14411</v>
      </c>
      <c r="G56" s="184">
        <v>70849</v>
      </c>
      <c r="H56" s="186">
        <f t="shared" si="1"/>
        <v>56438</v>
      </c>
    </row>
    <row r="57" spans="1:8" ht="12.75" customHeight="1">
      <c r="A57" s="182" t="s">
        <v>147</v>
      </c>
      <c r="B57" s="183" t="s">
        <v>148</v>
      </c>
      <c r="C57" s="184">
        <v>-29200</v>
      </c>
      <c r="E57" s="198">
        <v>45129</v>
      </c>
      <c r="F57" s="184">
        <v>-15929</v>
      </c>
      <c r="G57" s="184">
        <v>0</v>
      </c>
      <c r="H57" s="186">
        <f t="shared" si="1"/>
        <v>0</v>
      </c>
    </row>
    <row r="58" spans="1:8" ht="12.75" customHeight="1">
      <c r="A58" s="182" t="s">
        <v>149</v>
      </c>
      <c r="B58" s="183" t="s">
        <v>150</v>
      </c>
      <c r="C58" s="184">
        <v>-2118</v>
      </c>
      <c r="E58" s="184">
        <v>-4949</v>
      </c>
      <c r="F58" s="184">
        <v>7067</v>
      </c>
      <c r="G58" s="184">
        <v>0</v>
      </c>
      <c r="H58" s="186">
        <f t="shared" si="1"/>
        <v>0</v>
      </c>
    </row>
    <row r="59" spans="1:8" ht="12.75" customHeight="1">
      <c r="A59" s="182" t="s">
        <v>151</v>
      </c>
      <c r="B59" s="183" t="s">
        <v>152</v>
      </c>
      <c r="C59" s="184">
        <v>-1846</v>
      </c>
      <c r="E59" s="184">
        <v>440</v>
      </c>
      <c r="F59" s="184">
        <v>1406</v>
      </c>
      <c r="G59" s="184">
        <v>0</v>
      </c>
      <c r="H59" s="186">
        <f t="shared" si="1"/>
        <v>0</v>
      </c>
    </row>
    <row r="60" spans="1:8" ht="12.75" customHeight="1">
      <c r="A60" s="182" t="s">
        <v>155</v>
      </c>
      <c r="B60" s="183" t="s">
        <v>156</v>
      </c>
      <c r="C60" s="184">
        <v>-40216</v>
      </c>
      <c r="D60" s="184">
        <v>-40364</v>
      </c>
      <c r="E60" s="184">
        <v>39007</v>
      </c>
      <c r="F60" s="184">
        <v>-82495</v>
      </c>
      <c r="G60" s="184">
        <v>-122526</v>
      </c>
      <c r="H60" s="186">
        <f t="shared" si="1"/>
        <v>-246594</v>
      </c>
    </row>
    <row r="61" spans="1:8" ht="12.75" customHeight="1">
      <c r="A61" s="182" t="s">
        <v>157</v>
      </c>
      <c r="B61" s="183" t="s">
        <v>158</v>
      </c>
      <c r="C61" s="184">
        <v>0</v>
      </c>
      <c r="D61" s="184">
        <v>0</v>
      </c>
      <c r="E61" s="184">
        <v>0</v>
      </c>
      <c r="F61" s="184">
        <v>0</v>
      </c>
      <c r="G61" s="184">
        <v>0</v>
      </c>
      <c r="H61" s="186">
        <f t="shared" si="1"/>
        <v>0</v>
      </c>
    </row>
    <row r="62" spans="1:8" ht="12.75" customHeight="1">
      <c r="A62" s="182" t="s">
        <v>159</v>
      </c>
      <c r="B62" s="183" t="s">
        <v>160</v>
      </c>
      <c r="C62" s="184">
        <v>0</v>
      </c>
      <c r="D62" s="184">
        <v>20000</v>
      </c>
      <c r="E62" s="184">
        <v>0</v>
      </c>
      <c r="F62" s="184">
        <v>0</v>
      </c>
      <c r="G62" s="184">
        <v>-20000</v>
      </c>
      <c r="H62" s="186">
        <f t="shared" si="1"/>
        <v>0</v>
      </c>
    </row>
    <row r="63" spans="1:8" ht="12.75" customHeight="1">
      <c r="A63" s="182" t="s">
        <v>161</v>
      </c>
      <c r="B63" s="183" t="s">
        <v>162</v>
      </c>
      <c r="C63" s="184">
        <v>-15959</v>
      </c>
      <c r="D63" s="184">
        <v>15046</v>
      </c>
      <c r="E63" s="184">
        <v>913</v>
      </c>
      <c r="F63" s="184">
        <v>0</v>
      </c>
      <c r="G63" s="184">
        <v>0</v>
      </c>
      <c r="H63" s="186">
        <f t="shared" si="1"/>
        <v>0</v>
      </c>
    </row>
    <row r="64" spans="1:8" ht="12.75" customHeight="1">
      <c r="A64" s="182" t="s">
        <v>163</v>
      </c>
      <c r="B64" s="183" t="s">
        <v>164</v>
      </c>
      <c r="C64" s="184">
        <v>-131018</v>
      </c>
      <c r="D64" s="184">
        <v>-5661</v>
      </c>
      <c r="E64" s="184">
        <v>-9926</v>
      </c>
      <c r="F64" s="184">
        <v>146605</v>
      </c>
      <c r="G64" s="184">
        <v>0</v>
      </c>
      <c r="H64" s="186">
        <f t="shared" si="1"/>
        <v>0</v>
      </c>
    </row>
    <row r="65" spans="1:8" ht="12.75" customHeight="1">
      <c r="A65" s="183" t="s">
        <v>369</v>
      </c>
    </row>
    <row r="68" spans="1:8" ht="12.75" customHeight="1">
      <c r="A68" s="188" t="s">
        <v>370</v>
      </c>
    </row>
    <row r="69" spans="1:8" ht="12.75" customHeight="1">
      <c r="A69" s="182" t="s">
        <v>174</v>
      </c>
      <c r="B69" s="183" t="s">
        <v>175</v>
      </c>
      <c r="D69" s="184">
        <v>-2826464</v>
      </c>
      <c r="E69" s="184">
        <v>-2904386</v>
      </c>
      <c r="F69" s="184">
        <v>-2904374</v>
      </c>
      <c r="G69" s="184">
        <v>-2863530</v>
      </c>
      <c r="H69" s="186">
        <f>SUM(C69:G69)</f>
        <v>-11498754</v>
      </c>
    </row>
    <row r="70" spans="1:8" ht="12.75" customHeight="1">
      <c r="A70" s="182" t="s">
        <v>176</v>
      </c>
      <c r="B70" s="183" t="s">
        <v>177</v>
      </c>
      <c r="D70" s="184">
        <v>63061</v>
      </c>
      <c r="E70" s="184">
        <v>64137</v>
      </c>
      <c r="F70" s="184">
        <v>54882</v>
      </c>
      <c r="G70" s="184">
        <v>62447</v>
      </c>
      <c r="H70" s="186">
        <f>SUM(C70:G70)</f>
        <v>244527</v>
      </c>
    </row>
    <row r="71" spans="1:8" ht="12.75" customHeight="1">
      <c r="A71" s="183" t="s">
        <v>381</v>
      </c>
      <c r="D71" s="184">
        <f>SUM(D69:D70)</f>
        <v>-2763403</v>
      </c>
      <c r="E71" s="184">
        <f>SUM(E69:E70)</f>
        <v>-2840249</v>
      </c>
      <c r="F71" s="184">
        <f>SUM(F69:F70)</f>
        <v>-2849492</v>
      </c>
      <c r="G71" s="184">
        <f>SUM(G69:G70)</f>
        <v>-2801083</v>
      </c>
      <c r="H71" s="184">
        <f>SUM(H69:H70)</f>
        <v>-11254227</v>
      </c>
    </row>
    <row r="73" spans="1:8" ht="12.75" customHeight="1">
      <c r="A73" s="182" t="s">
        <v>182</v>
      </c>
      <c r="B73" s="183" t="s">
        <v>183</v>
      </c>
      <c r="D73" s="184">
        <v>-172398</v>
      </c>
      <c r="E73" s="184">
        <v>-168131</v>
      </c>
      <c r="F73" s="184">
        <v>-172328</v>
      </c>
      <c r="G73" s="184">
        <v>-164913</v>
      </c>
      <c r="H73" s="186">
        <f>SUM(C73:G73)</f>
        <v>-677770</v>
      </c>
    </row>
    <row r="74" spans="1:8" ht="12.75" customHeight="1">
      <c r="A74" s="182" t="s">
        <v>184</v>
      </c>
      <c r="B74" s="183" t="s">
        <v>185</v>
      </c>
      <c r="D74" s="184">
        <v>7281</v>
      </c>
      <c r="E74" s="184">
        <v>21484</v>
      </c>
      <c r="F74" s="184">
        <v>10569</v>
      </c>
      <c r="G74" s="184">
        <v>5322</v>
      </c>
      <c r="H74" s="186">
        <f>SUM(C74:G74)</f>
        <v>44656</v>
      </c>
    </row>
    <row r="75" spans="1:8" ht="12.75" customHeight="1">
      <c r="A75" s="182" t="s">
        <v>186</v>
      </c>
      <c r="B75" s="183" t="s">
        <v>187</v>
      </c>
      <c r="D75" s="184">
        <v>127725</v>
      </c>
      <c r="E75" s="184">
        <v>95892</v>
      </c>
      <c r="F75" s="184">
        <v>200668</v>
      </c>
      <c r="G75" s="184">
        <v>155500</v>
      </c>
      <c r="H75" s="186">
        <f>SUM(C75:G75)</f>
        <v>579785</v>
      </c>
    </row>
    <row r="76" spans="1:8" ht="12.75" customHeight="1">
      <c r="A76" s="183" t="s">
        <v>382</v>
      </c>
      <c r="D76" s="184">
        <f>SUM(D73:D75)</f>
        <v>-37392</v>
      </c>
      <c r="E76" s="184">
        <f>SUM(E73:E75)</f>
        <v>-50755</v>
      </c>
      <c r="F76" s="184">
        <f>SUM(F73:F75)</f>
        <v>38909</v>
      </c>
      <c r="G76" s="184">
        <f>SUM(G73:G75)</f>
        <v>-4091</v>
      </c>
      <c r="H76" s="184">
        <f>SUM(H73:H75)</f>
        <v>-53329</v>
      </c>
    </row>
    <row r="78" spans="1:8" ht="12.75" customHeight="1">
      <c r="A78" s="182" t="s">
        <v>198</v>
      </c>
      <c r="B78" s="183" t="s">
        <v>199</v>
      </c>
      <c r="D78" s="184">
        <v>119839</v>
      </c>
      <c r="E78" s="184">
        <v>123182</v>
      </c>
      <c r="F78" s="184">
        <v>122866</v>
      </c>
      <c r="G78" s="184">
        <v>121422</v>
      </c>
      <c r="H78" s="186">
        <f>SUM(C78:G78)</f>
        <v>487309</v>
      </c>
    </row>
    <row r="79" spans="1:8" ht="12.75" customHeight="1">
      <c r="A79" s="183" t="s">
        <v>408</v>
      </c>
      <c r="D79" s="184">
        <f>SUM(D78)</f>
        <v>119839</v>
      </c>
      <c r="E79" s="184">
        <f>SUM(E78)</f>
        <v>123182</v>
      </c>
      <c r="F79" s="184">
        <f>SUM(F78)</f>
        <v>122866</v>
      </c>
      <c r="G79" s="184">
        <f>SUM(G78)</f>
        <v>121422</v>
      </c>
      <c r="H79" s="184">
        <f>SUM(H78)</f>
        <v>487309</v>
      </c>
    </row>
    <row r="81" spans="1:8" ht="12.75" customHeight="1">
      <c r="A81" s="182" t="s">
        <v>204</v>
      </c>
      <c r="B81" s="183" t="s">
        <v>205</v>
      </c>
      <c r="D81" s="184">
        <v>653151</v>
      </c>
      <c r="E81" s="198">
        <v>683661</v>
      </c>
      <c r="F81" s="184">
        <v>654502</v>
      </c>
      <c r="G81" s="184">
        <v>667313</v>
      </c>
      <c r="H81" s="186">
        <f>SUM(C81:G81)</f>
        <v>2658627</v>
      </c>
    </row>
    <row r="82" spans="1:8" ht="12.75" customHeight="1">
      <c r="A82" s="182" t="s">
        <v>206</v>
      </c>
      <c r="B82" s="183" t="s">
        <v>207</v>
      </c>
      <c r="D82" s="184">
        <v>-636242</v>
      </c>
      <c r="E82" s="184">
        <v>-812075</v>
      </c>
      <c r="F82" s="184">
        <v>-746028</v>
      </c>
      <c r="G82" s="184">
        <v>-1978183</v>
      </c>
      <c r="H82" s="186">
        <f>SUM(C82:G82)</f>
        <v>-4172528</v>
      </c>
    </row>
    <row r="83" spans="1:8" ht="12.75" customHeight="1">
      <c r="A83" s="183" t="s">
        <v>384</v>
      </c>
      <c r="D83" s="184">
        <f>SUM(D81:D82)</f>
        <v>16909</v>
      </c>
      <c r="E83" s="184">
        <f>SUM(E81:E82)</f>
        <v>-128414</v>
      </c>
      <c r="F83" s="184">
        <f>SUM(F81:F82)</f>
        <v>-91526</v>
      </c>
      <c r="G83" s="184">
        <f>SUM(G81:G82)</f>
        <v>-1310870</v>
      </c>
      <c r="H83" s="184">
        <f>SUM(H81:H82)</f>
        <v>-1513901</v>
      </c>
    </row>
    <row r="85" spans="1:8" ht="12.75" customHeight="1">
      <c r="A85" s="182" t="s">
        <v>210</v>
      </c>
      <c r="B85" s="183" t="s">
        <v>211</v>
      </c>
      <c r="D85" s="184">
        <v>204327</v>
      </c>
      <c r="E85" s="198">
        <f>-68395+K4</f>
        <v>908655</v>
      </c>
      <c r="F85" s="184">
        <f>92418+L4</f>
        <v>264925</v>
      </c>
      <c r="G85" s="184">
        <f>194822+M4</f>
        <v>433307</v>
      </c>
      <c r="H85" s="186">
        <f t="shared" ref="H85:H92" si="2">SUM(C85:G85)</f>
        <v>1811214</v>
      </c>
    </row>
    <row r="86" spans="1:8" ht="12.75" customHeight="1">
      <c r="A86" s="182" t="s">
        <v>212</v>
      </c>
      <c r="B86" s="183" t="s">
        <v>213</v>
      </c>
      <c r="D86" s="184">
        <v>531958</v>
      </c>
      <c r="E86" s="184">
        <v>2047</v>
      </c>
      <c r="F86" s="184">
        <v>0</v>
      </c>
      <c r="G86" s="184">
        <v>0</v>
      </c>
      <c r="H86" s="186">
        <f t="shared" si="2"/>
        <v>534005</v>
      </c>
    </row>
    <row r="87" spans="1:8" ht="12.75" customHeight="1">
      <c r="A87" s="182" t="s">
        <v>214</v>
      </c>
      <c r="B87" s="183" t="s">
        <v>215</v>
      </c>
      <c r="D87" s="184">
        <v>78467</v>
      </c>
      <c r="E87" s="184">
        <v>80316</v>
      </c>
      <c r="F87" s="184">
        <v>83330</v>
      </c>
      <c r="G87" s="184">
        <v>80091</v>
      </c>
      <c r="H87" s="186">
        <f t="shared" si="2"/>
        <v>322204</v>
      </c>
    </row>
    <row r="88" spans="1:8" ht="12.75" customHeight="1">
      <c r="A88" s="182" t="s">
        <v>216</v>
      </c>
      <c r="B88" s="183" t="s">
        <v>217</v>
      </c>
      <c r="D88" s="184">
        <v>136830</v>
      </c>
      <c r="E88" s="198">
        <f>52555+85763.82</f>
        <v>138318.82</v>
      </c>
      <c r="F88" s="184">
        <f>87859+85763.82</f>
        <v>173622.82</v>
      </c>
      <c r="G88" s="184">
        <v>157568</v>
      </c>
      <c r="H88" s="186">
        <f t="shared" si="2"/>
        <v>606339.64</v>
      </c>
    </row>
    <row r="89" spans="1:8" ht="12.75" customHeight="1">
      <c r="A89" s="182" t="s">
        <v>218</v>
      </c>
      <c r="B89" s="183" t="s">
        <v>219</v>
      </c>
      <c r="D89" s="184">
        <v>32166</v>
      </c>
      <c r="E89" s="184">
        <v>32352</v>
      </c>
      <c r="F89" s="184">
        <v>31087</v>
      </c>
      <c r="G89" s="184">
        <v>31441</v>
      </c>
      <c r="H89" s="186">
        <f t="shared" si="2"/>
        <v>127046</v>
      </c>
    </row>
    <row r="90" spans="1:8" ht="12.75" customHeight="1">
      <c r="A90" s="182" t="s">
        <v>220</v>
      </c>
      <c r="B90" s="183" t="s">
        <v>221</v>
      </c>
      <c r="D90" s="184">
        <v>19123</v>
      </c>
      <c r="E90" s="184">
        <v>19893</v>
      </c>
      <c r="F90" s="184">
        <v>4273</v>
      </c>
      <c r="G90" s="184">
        <v>9001</v>
      </c>
      <c r="H90" s="186">
        <f t="shared" si="2"/>
        <v>52290</v>
      </c>
    </row>
    <row r="91" spans="1:8" ht="12.75" customHeight="1">
      <c r="A91" s="182" t="s">
        <v>385</v>
      </c>
      <c r="B91" s="183" t="s">
        <v>386</v>
      </c>
      <c r="D91" s="184">
        <v>45430</v>
      </c>
      <c r="E91" s="184">
        <f>99369-34600</f>
        <v>64769</v>
      </c>
      <c r="F91" s="184">
        <v>-90</v>
      </c>
      <c r="G91" s="184">
        <v>-348</v>
      </c>
      <c r="H91" s="186">
        <f t="shared" si="2"/>
        <v>109761</v>
      </c>
    </row>
    <row r="92" spans="1:8" ht="12.75" customHeight="1">
      <c r="A92" s="182" t="s">
        <v>431</v>
      </c>
      <c r="B92" s="183" t="s">
        <v>412</v>
      </c>
      <c r="D92" s="184">
        <v>0</v>
      </c>
      <c r="E92" s="184">
        <v>0</v>
      </c>
      <c r="F92" s="184">
        <v>0</v>
      </c>
      <c r="G92" s="184">
        <v>0</v>
      </c>
      <c r="H92" s="186">
        <f t="shared" si="2"/>
        <v>0</v>
      </c>
    </row>
    <row r="93" spans="1:8" ht="12.75" customHeight="1">
      <c r="A93" s="183" t="s">
        <v>387</v>
      </c>
      <c r="D93" s="184">
        <f>SUM(D85:D92)</f>
        <v>1048301</v>
      </c>
      <c r="E93" s="184">
        <f>SUM(E85:E92)</f>
        <v>1246350.82</v>
      </c>
      <c r="F93" s="184">
        <f>SUM(F85:F92)</f>
        <v>557147.82000000007</v>
      </c>
      <c r="G93" s="184">
        <f>SUM(G85:G92)</f>
        <v>711060</v>
      </c>
      <c r="H93" s="184">
        <f>SUM(H85:H92)</f>
        <v>3562859.64</v>
      </c>
    </row>
    <row r="95" spans="1:8" ht="12.75" customHeight="1">
      <c r="A95" s="182" t="s">
        <v>432</v>
      </c>
      <c r="B95" s="183" t="s">
        <v>433</v>
      </c>
      <c r="D95" s="184">
        <v>0</v>
      </c>
      <c r="E95" s="184">
        <v>0</v>
      </c>
      <c r="F95" s="184">
        <v>0</v>
      </c>
      <c r="H95" s="186">
        <f>SUM(C95:G95)</f>
        <v>0</v>
      </c>
    </row>
    <row r="96" spans="1:8" ht="12.75" customHeight="1">
      <c r="A96" s="182" t="s">
        <v>434</v>
      </c>
      <c r="B96" s="183" t="s">
        <v>413</v>
      </c>
      <c r="D96" s="184">
        <v>0</v>
      </c>
      <c r="E96" s="198">
        <v>-23626</v>
      </c>
      <c r="F96" s="184">
        <v>0</v>
      </c>
      <c r="G96" s="184">
        <v>0</v>
      </c>
      <c r="H96" s="186">
        <f>SUM(C96:G96)</f>
        <v>-23626</v>
      </c>
    </row>
    <row r="97" spans="1:8" ht="12.75" customHeight="1">
      <c r="A97" s="182" t="s">
        <v>226</v>
      </c>
      <c r="B97" s="183" t="s">
        <v>227</v>
      </c>
      <c r="D97" s="184">
        <v>4198</v>
      </c>
      <c r="E97" s="184">
        <v>15255</v>
      </c>
      <c r="F97" s="184">
        <v>-90</v>
      </c>
      <c r="G97" s="184">
        <v>-2606</v>
      </c>
      <c r="H97" s="186">
        <f>SUM(C97:G97)</f>
        <v>16757</v>
      </c>
    </row>
    <row r="98" spans="1:8" ht="12.75" customHeight="1">
      <c r="A98" s="183" t="s">
        <v>388</v>
      </c>
      <c r="D98" s="184">
        <f>SUM(D95:D97)</f>
        <v>4198</v>
      </c>
      <c r="E98" s="184">
        <f>SUM(E95:E97)</f>
        <v>-8371</v>
      </c>
      <c r="F98" s="184">
        <f>SUM(F95:F97)</f>
        <v>-90</v>
      </c>
      <c r="G98" s="184">
        <f>SUM(G95:G97)</f>
        <v>-2606</v>
      </c>
      <c r="H98" s="184">
        <f>SUM(H95:H97)</f>
        <v>-6869</v>
      </c>
    </row>
    <row r="100" spans="1:8" ht="12.75" customHeight="1">
      <c r="A100" s="182" t="s">
        <v>230</v>
      </c>
      <c r="B100" s="183" t="s">
        <v>231</v>
      </c>
      <c r="D100" s="184">
        <v>950</v>
      </c>
      <c r="E100" s="184">
        <v>990</v>
      </c>
      <c r="F100" s="184">
        <v>0</v>
      </c>
      <c r="G100" s="184">
        <v>300</v>
      </c>
      <c r="H100" s="186">
        <f>SUM(C100:G100)</f>
        <v>2240</v>
      </c>
    </row>
    <row r="101" spans="1:8" ht="12.75" customHeight="1">
      <c r="A101" s="183" t="s">
        <v>389</v>
      </c>
      <c r="D101" s="184">
        <f>SUM(D100)</f>
        <v>950</v>
      </c>
      <c r="E101" s="184">
        <f>SUM(E100)</f>
        <v>990</v>
      </c>
      <c r="F101" s="184">
        <f>SUM(F100)</f>
        <v>0</v>
      </c>
      <c r="G101" s="184">
        <f>SUM(G100)</f>
        <v>300</v>
      </c>
      <c r="H101" s="184">
        <f>SUM(H100)</f>
        <v>2240</v>
      </c>
    </row>
    <row r="103" spans="1:8" ht="12.75" customHeight="1">
      <c r="A103" s="182" t="s">
        <v>435</v>
      </c>
      <c r="B103" s="183" t="s">
        <v>414</v>
      </c>
      <c r="D103" s="184">
        <v>0</v>
      </c>
      <c r="E103" s="184">
        <v>0</v>
      </c>
      <c r="F103" s="184">
        <v>0</v>
      </c>
      <c r="G103" s="184">
        <v>0</v>
      </c>
      <c r="H103" s="186">
        <f t="shared" ref="H103:H113" si="3">SUM(C103:G103)</f>
        <v>0</v>
      </c>
    </row>
    <row r="104" spans="1:8" ht="12.75" customHeight="1">
      <c r="A104" s="182" t="s">
        <v>234</v>
      </c>
      <c r="B104" s="183" t="s">
        <v>235</v>
      </c>
      <c r="D104" s="184">
        <v>25980</v>
      </c>
      <c r="E104" s="184">
        <v>22455</v>
      </c>
      <c r="F104" s="220">
        <v>25616</v>
      </c>
      <c r="G104" s="184">
        <v>28130</v>
      </c>
      <c r="H104" s="186">
        <f t="shared" si="3"/>
        <v>102181</v>
      </c>
    </row>
    <row r="105" spans="1:8" ht="12.75" customHeight="1">
      <c r="A105" s="182" t="s">
        <v>236</v>
      </c>
      <c r="B105" s="183" t="s">
        <v>237</v>
      </c>
      <c r="D105" s="184">
        <v>5445</v>
      </c>
      <c r="E105" s="184">
        <v>5445</v>
      </c>
      <c r="F105" s="184">
        <v>5445</v>
      </c>
      <c r="G105" s="184">
        <v>5445</v>
      </c>
      <c r="H105" s="186">
        <f t="shared" si="3"/>
        <v>21780</v>
      </c>
    </row>
    <row r="106" spans="1:8" ht="12.75" customHeight="1">
      <c r="A106" s="182" t="s">
        <v>238</v>
      </c>
      <c r="B106" s="183" t="s">
        <v>239</v>
      </c>
      <c r="D106" s="184">
        <v>13017</v>
      </c>
      <c r="E106" s="184">
        <v>6639</v>
      </c>
      <c r="F106" s="184">
        <v>31618</v>
      </c>
      <c r="G106" s="184">
        <v>31660</v>
      </c>
      <c r="H106" s="186">
        <f t="shared" si="3"/>
        <v>82934</v>
      </c>
    </row>
    <row r="107" spans="1:8" ht="12.75" customHeight="1">
      <c r="A107" s="182" t="s">
        <v>240</v>
      </c>
      <c r="B107" s="183" t="s">
        <v>241</v>
      </c>
      <c r="D107" s="184">
        <v>2420</v>
      </c>
      <c r="E107" s="184">
        <v>0</v>
      </c>
      <c r="F107" s="184">
        <v>2420</v>
      </c>
      <c r="G107" s="184">
        <v>0</v>
      </c>
      <c r="H107" s="186">
        <f t="shared" si="3"/>
        <v>4840</v>
      </c>
    </row>
    <row r="108" spans="1:8" ht="12.75" customHeight="1">
      <c r="A108" s="182" t="s">
        <v>242</v>
      </c>
      <c r="B108" s="183" t="s">
        <v>243</v>
      </c>
      <c r="D108" s="184">
        <v>61064</v>
      </c>
      <c r="E108" s="184">
        <v>109673</v>
      </c>
      <c r="F108" s="184">
        <v>40646</v>
      </c>
      <c r="G108" s="184">
        <v>63411</v>
      </c>
      <c r="H108" s="186">
        <f t="shared" si="3"/>
        <v>274794</v>
      </c>
    </row>
    <row r="109" spans="1:8" ht="12.75" customHeight="1">
      <c r="A109" s="182" t="s">
        <v>244</v>
      </c>
      <c r="B109" s="183" t="s">
        <v>245</v>
      </c>
      <c r="D109" s="184">
        <v>-2123</v>
      </c>
      <c r="E109" s="184">
        <v>7035</v>
      </c>
      <c r="F109" s="184">
        <v>2261</v>
      </c>
      <c r="G109" s="184">
        <v>8170</v>
      </c>
      <c r="H109" s="186">
        <f t="shared" si="3"/>
        <v>15343</v>
      </c>
    </row>
    <row r="110" spans="1:8" ht="12.75" customHeight="1">
      <c r="A110" s="182" t="s">
        <v>246</v>
      </c>
      <c r="B110" s="183" t="s">
        <v>247</v>
      </c>
      <c r="D110" s="184">
        <v>0</v>
      </c>
      <c r="E110" s="184">
        <v>0</v>
      </c>
      <c r="F110" s="184">
        <v>0</v>
      </c>
      <c r="G110" s="184">
        <v>0</v>
      </c>
      <c r="H110" s="186">
        <f t="shared" si="3"/>
        <v>0</v>
      </c>
    </row>
    <row r="111" spans="1:8" ht="12" customHeight="1">
      <c r="A111" s="182" t="s">
        <v>248</v>
      </c>
      <c r="B111" s="183" t="s">
        <v>249</v>
      </c>
      <c r="D111" s="184">
        <v>1227</v>
      </c>
      <c r="E111" s="184">
        <v>3761</v>
      </c>
      <c r="F111" s="184">
        <v>2025</v>
      </c>
      <c r="G111" s="184">
        <f>1186-3</f>
        <v>1183</v>
      </c>
      <c r="H111" s="186">
        <f t="shared" si="3"/>
        <v>8196</v>
      </c>
    </row>
    <row r="112" spans="1:8" ht="12.75" customHeight="1">
      <c r="A112" s="182" t="s">
        <v>436</v>
      </c>
      <c r="B112" s="183" t="s">
        <v>437</v>
      </c>
      <c r="D112" s="184">
        <v>20000</v>
      </c>
      <c r="E112" s="184">
        <v>0</v>
      </c>
      <c r="F112" s="184">
        <v>0</v>
      </c>
      <c r="G112" s="184">
        <v>20000</v>
      </c>
      <c r="H112" s="186">
        <f t="shared" si="3"/>
        <v>40000</v>
      </c>
    </row>
    <row r="113" spans="1:8" ht="12.75" customHeight="1">
      <c r="A113" s="182" t="s">
        <v>250</v>
      </c>
      <c r="B113" s="183" t="s">
        <v>251</v>
      </c>
      <c r="D113" s="184">
        <v>477</v>
      </c>
      <c r="E113" s="184">
        <v>-934</v>
      </c>
      <c r="F113" s="184">
        <v>-1065</v>
      </c>
      <c r="G113" s="184">
        <v>12363</v>
      </c>
      <c r="H113" s="186">
        <f t="shared" si="3"/>
        <v>10841</v>
      </c>
    </row>
    <row r="114" spans="1:8" ht="12.75" customHeight="1">
      <c r="A114" s="183" t="s">
        <v>391</v>
      </c>
      <c r="D114" s="184">
        <f>SUM(D103:D113)</f>
        <v>127507</v>
      </c>
      <c r="E114" s="184">
        <f>SUM(E103:E113)</f>
        <v>154074</v>
      </c>
      <c r="F114" s="184">
        <f>SUM(F103:F113)</f>
        <v>108966</v>
      </c>
      <c r="G114" s="184">
        <f>SUM(G103:G113)</f>
        <v>170362</v>
      </c>
      <c r="H114" s="184">
        <f>SUM(H103:H113)</f>
        <v>560909</v>
      </c>
    </row>
    <row r="115" spans="1:8" ht="12.75" customHeight="1">
      <c r="F115" s="184">
        <v>0</v>
      </c>
    </row>
    <row r="116" spans="1:8" ht="12.75" customHeight="1">
      <c r="A116" s="182" t="s">
        <v>260</v>
      </c>
      <c r="B116" s="183" t="s">
        <v>261</v>
      </c>
      <c r="D116" s="184">
        <v>448423</v>
      </c>
      <c r="E116" s="184">
        <v>442928</v>
      </c>
      <c r="F116" s="184">
        <v>425610</v>
      </c>
      <c r="G116" s="184">
        <v>424302</v>
      </c>
      <c r="H116" s="186">
        <f>SUM(C116:G116)</f>
        <v>1741263</v>
      </c>
    </row>
    <row r="117" spans="1:8" ht="12.75" customHeight="1">
      <c r="A117" s="182">
        <v>4611000</v>
      </c>
      <c r="B117" s="183" t="s">
        <v>477</v>
      </c>
      <c r="E117" s="184">
        <v>70373</v>
      </c>
      <c r="F117" s="184">
        <v>0</v>
      </c>
      <c r="G117" s="184">
        <v>0</v>
      </c>
      <c r="H117" s="186">
        <f>SUM(C117:G117)</f>
        <v>70373</v>
      </c>
    </row>
    <row r="118" spans="1:8" ht="12.75" customHeight="1">
      <c r="A118" s="182">
        <v>4630000</v>
      </c>
      <c r="B118" s="183" t="s">
        <v>265</v>
      </c>
      <c r="D118" s="184">
        <v>8219</v>
      </c>
      <c r="E118" s="184">
        <v>0</v>
      </c>
      <c r="F118" s="184">
        <v>0</v>
      </c>
      <c r="G118" s="184">
        <v>0</v>
      </c>
      <c r="H118" s="186">
        <f>SUM(C118:G118)</f>
        <v>8219</v>
      </c>
    </row>
    <row r="119" spans="1:8" ht="12.75" customHeight="1">
      <c r="A119" s="182" t="s">
        <v>266</v>
      </c>
      <c r="B119" s="183" t="s">
        <v>267</v>
      </c>
      <c r="D119" s="184">
        <v>106445</v>
      </c>
      <c r="E119" s="184">
        <v>105740</v>
      </c>
      <c r="F119" s="184">
        <v>102784</v>
      </c>
      <c r="G119" s="184">
        <v>103265</v>
      </c>
      <c r="H119" s="186">
        <f>SUM(C119:G119)</f>
        <v>418234</v>
      </c>
    </row>
    <row r="120" spans="1:8" ht="12.75" customHeight="1">
      <c r="A120" s="182">
        <v>4642000</v>
      </c>
      <c r="B120" s="183" t="s">
        <v>462</v>
      </c>
      <c r="D120" s="184">
        <v>3012</v>
      </c>
      <c r="E120" s="184">
        <v>0</v>
      </c>
      <c r="F120" s="184">
        <v>0</v>
      </c>
      <c r="G120" s="184">
        <v>3574</v>
      </c>
      <c r="H120" s="186">
        <f>SUM(C120:G120)</f>
        <v>6586</v>
      </c>
    </row>
    <row r="121" spans="1:8" ht="12.75" customHeight="1">
      <c r="A121" s="182" t="s">
        <v>393</v>
      </c>
      <c r="D121" s="184">
        <f>SUM(D116:D120)</f>
        <v>566099</v>
      </c>
      <c r="E121" s="184">
        <f>SUM(E116:E120)</f>
        <v>619041</v>
      </c>
      <c r="F121" s="184">
        <f>SUM(F116:F120)</f>
        <v>528394</v>
      </c>
      <c r="G121" s="184">
        <f>SUM(G116:G120)</f>
        <v>531141</v>
      </c>
      <c r="H121" s="184">
        <f>SUM(H116:H120)</f>
        <v>2244675</v>
      </c>
    </row>
    <row r="123" spans="1:8" ht="12.75" customHeight="1">
      <c r="A123" s="182">
        <v>9500000</v>
      </c>
      <c r="B123" s="183" t="s">
        <v>456</v>
      </c>
      <c r="D123" s="184">
        <v>0</v>
      </c>
      <c r="E123" s="184">
        <v>0</v>
      </c>
      <c r="F123" s="184">
        <v>0</v>
      </c>
      <c r="G123" s="184">
        <v>0</v>
      </c>
      <c r="H123" s="186">
        <f>SUM(C123:G123)</f>
        <v>0</v>
      </c>
    </row>
    <row r="124" spans="1:8" ht="12.75" customHeight="1">
      <c r="A124" s="182" t="s">
        <v>272</v>
      </c>
      <c r="B124" s="183" t="s">
        <v>273</v>
      </c>
      <c r="D124" s="184">
        <v>-118583</v>
      </c>
      <c r="E124" s="184">
        <f>1906131-631191</f>
        <v>1274940</v>
      </c>
      <c r="F124" s="184">
        <v>0</v>
      </c>
      <c r="G124" s="184">
        <v>0</v>
      </c>
      <c r="H124" s="186">
        <f>SUM(C124:G124)</f>
        <v>1156357</v>
      </c>
    </row>
    <row r="125" spans="1:8" ht="12.75" customHeight="1">
      <c r="A125" s="182">
        <v>9500100</v>
      </c>
      <c r="B125" s="183" t="s">
        <v>438</v>
      </c>
      <c r="D125" s="184">
        <v>53597</v>
      </c>
      <c r="E125" s="184">
        <v>-53597</v>
      </c>
      <c r="F125" s="184">
        <v>-142740</v>
      </c>
      <c r="G125" s="184">
        <v>-120923</v>
      </c>
      <c r="H125" s="186">
        <f>SUM(C125:G125)</f>
        <v>-263663</v>
      </c>
    </row>
    <row r="126" spans="1:8" ht="12.75" customHeight="1">
      <c r="A126" s="182" t="s">
        <v>439</v>
      </c>
      <c r="C126" s="185"/>
      <c r="D126" s="185">
        <f>SUM(D123:D125)</f>
        <v>-64986</v>
      </c>
      <c r="E126" s="208">
        <f>SUM(E123:E125)</f>
        <v>1221343</v>
      </c>
      <c r="F126" s="208">
        <f>SUM(F123:F125)</f>
        <v>-142740</v>
      </c>
      <c r="G126" s="208">
        <f>SUM(G123:G125)</f>
        <v>-120923</v>
      </c>
      <c r="H126" s="186">
        <f>SUM(C126:G126)</f>
        <v>892694</v>
      </c>
    </row>
    <row r="128" spans="1:8" ht="12.75" customHeight="1">
      <c r="A128" s="183" t="s">
        <v>440</v>
      </c>
      <c r="D128" s="184">
        <f>D71+D76+D79+D83+D93+D98+D101+D114+D121+D126</f>
        <v>-981978</v>
      </c>
      <c r="E128" s="184">
        <f>E71+E76+E79+E83+E93+E98+E101+E114+E121+E126</f>
        <v>337191.82000000007</v>
      </c>
      <c r="F128" s="184">
        <f>F71+F76+F79+F83+F93+F98+F101+F114+F121+F126</f>
        <v>-1727565.1799999997</v>
      </c>
      <c r="G128" s="184">
        <f>G71+G76+G79+G83+G93+G98+G101+G114+G121+G126</f>
        <v>-2705288</v>
      </c>
      <c r="H128" s="184">
        <f>H71+H76+H79+H83+H93+H98+H101+H114+H121+H126</f>
        <v>-5077639.3599999994</v>
      </c>
    </row>
    <row r="130" spans="3:10" ht="12.75" customHeight="1">
      <c r="C130" s="195"/>
      <c r="D130" s="195">
        <f>SUM(D4:D65)+D128</f>
        <v>0</v>
      </c>
      <c r="E130" s="195">
        <f>SUM(E4:E65)+E128</f>
        <v>-0.3599999999278225</v>
      </c>
      <c r="F130" s="195">
        <f>SUM(F4:F65)+F128</f>
        <v>0</v>
      </c>
      <c r="G130" s="195">
        <f>SUM(G4:G65)+G128</f>
        <v>0</v>
      </c>
      <c r="H130" s="217">
        <f>SUM(H4:H65)+H128</f>
        <v>-0.35999999940395355</v>
      </c>
    </row>
    <row r="131" spans="3:10" ht="12.75" customHeight="1">
      <c r="J131" s="214"/>
    </row>
    <row r="132" spans="3:10" ht="12.75" customHeight="1">
      <c r="J132" s="214"/>
    </row>
    <row r="133" spans="3:10" ht="12.75" customHeight="1">
      <c r="J133" s="214"/>
    </row>
    <row r="134" spans="3:10" ht="12.75" customHeight="1">
      <c r="J134" s="214"/>
    </row>
    <row r="135" spans="3:10" ht="12.75" customHeight="1">
      <c r="J135" s="214"/>
    </row>
    <row r="136" spans="3:10" ht="12.75" customHeight="1">
      <c r="J136" s="214"/>
    </row>
    <row r="137" spans="3:10" ht="12.75" customHeight="1">
      <c r="J137" s="214"/>
    </row>
    <row r="138" spans="3:10" ht="12.75" customHeight="1">
      <c r="J138" s="214"/>
    </row>
    <row r="139" spans="3:10" ht="12.75" customHeight="1">
      <c r="J139" s="214"/>
    </row>
  </sheetData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48CE-7451-4F43-8203-4441D18E3850}"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defaultRowHeight="12.75" customHeight="1"/>
  <cols>
    <col min="1" max="1" width="21.109375" style="182" bestFit="1" customWidth="1"/>
    <col min="2" max="2" width="70" style="183" bestFit="1" customWidth="1"/>
    <col min="3" max="3" width="24.5546875" style="184" bestFit="1" customWidth="1"/>
    <col min="4" max="7" width="22.44140625" style="184" customWidth="1"/>
    <col min="8" max="8" width="19.44140625" style="186" bestFit="1" customWidth="1"/>
    <col min="9" max="9" width="22.44140625" style="187" customWidth="1"/>
    <col min="10" max="13" width="17.33203125" style="183" bestFit="1" customWidth="1"/>
    <col min="14" max="256" width="9.109375" style="183"/>
    <col min="257" max="257" width="21.109375" style="183" bestFit="1" customWidth="1"/>
    <col min="258" max="258" width="70" style="183" bestFit="1" customWidth="1"/>
    <col min="259" max="259" width="24.5546875" style="183" bestFit="1" customWidth="1"/>
    <col min="260" max="263" width="22.44140625" style="183" customWidth="1"/>
    <col min="264" max="264" width="19.44140625" style="183" bestFit="1" customWidth="1"/>
    <col min="265" max="265" width="22.44140625" style="183" customWidth="1"/>
    <col min="266" max="512" width="9.109375" style="183"/>
    <col min="513" max="513" width="21.109375" style="183" bestFit="1" customWidth="1"/>
    <col min="514" max="514" width="70" style="183" bestFit="1" customWidth="1"/>
    <col min="515" max="515" width="24.5546875" style="183" bestFit="1" customWidth="1"/>
    <col min="516" max="519" width="22.44140625" style="183" customWidth="1"/>
    <col min="520" max="520" width="19.44140625" style="183" bestFit="1" customWidth="1"/>
    <col min="521" max="521" width="22.44140625" style="183" customWidth="1"/>
    <col min="522" max="768" width="9.109375" style="183"/>
    <col min="769" max="769" width="21.109375" style="183" bestFit="1" customWidth="1"/>
    <col min="770" max="770" width="70" style="183" bestFit="1" customWidth="1"/>
    <col min="771" max="771" width="24.5546875" style="183" bestFit="1" customWidth="1"/>
    <col min="772" max="775" width="22.44140625" style="183" customWidth="1"/>
    <col min="776" max="776" width="19.44140625" style="183" bestFit="1" customWidth="1"/>
    <col min="777" max="777" width="22.44140625" style="183" customWidth="1"/>
    <col min="778" max="1024" width="9.109375" style="183"/>
    <col min="1025" max="1025" width="21.109375" style="183" bestFit="1" customWidth="1"/>
    <col min="1026" max="1026" width="70" style="183" bestFit="1" customWidth="1"/>
    <col min="1027" max="1027" width="24.5546875" style="183" bestFit="1" customWidth="1"/>
    <col min="1028" max="1031" width="22.44140625" style="183" customWidth="1"/>
    <col min="1032" max="1032" width="19.44140625" style="183" bestFit="1" customWidth="1"/>
    <col min="1033" max="1033" width="22.44140625" style="183" customWidth="1"/>
    <col min="1034" max="1280" width="9.109375" style="183"/>
    <col min="1281" max="1281" width="21.109375" style="183" bestFit="1" customWidth="1"/>
    <col min="1282" max="1282" width="70" style="183" bestFit="1" customWidth="1"/>
    <col min="1283" max="1283" width="24.5546875" style="183" bestFit="1" customWidth="1"/>
    <col min="1284" max="1287" width="22.44140625" style="183" customWidth="1"/>
    <col min="1288" max="1288" width="19.44140625" style="183" bestFit="1" customWidth="1"/>
    <col min="1289" max="1289" width="22.44140625" style="183" customWidth="1"/>
    <col min="1290" max="1536" width="9.109375" style="183"/>
    <col min="1537" max="1537" width="21.109375" style="183" bestFit="1" customWidth="1"/>
    <col min="1538" max="1538" width="70" style="183" bestFit="1" customWidth="1"/>
    <col min="1539" max="1539" width="24.5546875" style="183" bestFit="1" customWidth="1"/>
    <col min="1540" max="1543" width="22.44140625" style="183" customWidth="1"/>
    <col min="1544" max="1544" width="19.44140625" style="183" bestFit="1" customWidth="1"/>
    <col min="1545" max="1545" width="22.44140625" style="183" customWidth="1"/>
    <col min="1546" max="1792" width="9.109375" style="183"/>
    <col min="1793" max="1793" width="21.109375" style="183" bestFit="1" customWidth="1"/>
    <col min="1794" max="1794" width="70" style="183" bestFit="1" customWidth="1"/>
    <col min="1795" max="1795" width="24.5546875" style="183" bestFit="1" customWidth="1"/>
    <col min="1796" max="1799" width="22.44140625" style="183" customWidth="1"/>
    <col min="1800" max="1800" width="19.44140625" style="183" bestFit="1" customWidth="1"/>
    <col min="1801" max="1801" width="22.44140625" style="183" customWidth="1"/>
    <col min="1802" max="2048" width="9.109375" style="183"/>
    <col min="2049" max="2049" width="21.109375" style="183" bestFit="1" customWidth="1"/>
    <col min="2050" max="2050" width="70" style="183" bestFit="1" customWidth="1"/>
    <col min="2051" max="2051" width="24.5546875" style="183" bestFit="1" customWidth="1"/>
    <col min="2052" max="2055" width="22.44140625" style="183" customWidth="1"/>
    <col min="2056" max="2056" width="19.44140625" style="183" bestFit="1" customWidth="1"/>
    <col min="2057" max="2057" width="22.44140625" style="183" customWidth="1"/>
    <col min="2058" max="2304" width="9.109375" style="183"/>
    <col min="2305" max="2305" width="21.109375" style="183" bestFit="1" customWidth="1"/>
    <col min="2306" max="2306" width="70" style="183" bestFit="1" customWidth="1"/>
    <col min="2307" max="2307" width="24.5546875" style="183" bestFit="1" customWidth="1"/>
    <col min="2308" max="2311" width="22.44140625" style="183" customWidth="1"/>
    <col min="2312" max="2312" width="19.44140625" style="183" bestFit="1" customWidth="1"/>
    <col min="2313" max="2313" width="22.44140625" style="183" customWidth="1"/>
    <col min="2314" max="2560" width="9.109375" style="183"/>
    <col min="2561" max="2561" width="21.109375" style="183" bestFit="1" customWidth="1"/>
    <col min="2562" max="2562" width="70" style="183" bestFit="1" customWidth="1"/>
    <col min="2563" max="2563" width="24.5546875" style="183" bestFit="1" customWidth="1"/>
    <col min="2564" max="2567" width="22.44140625" style="183" customWidth="1"/>
    <col min="2568" max="2568" width="19.44140625" style="183" bestFit="1" customWidth="1"/>
    <col min="2569" max="2569" width="22.44140625" style="183" customWidth="1"/>
    <col min="2570" max="2816" width="9.109375" style="183"/>
    <col min="2817" max="2817" width="21.109375" style="183" bestFit="1" customWidth="1"/>
    <col min="2818" max="2818" width="70" style="183" bestFit="1" customWidth="1"/>
    <col min="2819" max="2819" width="24.5546875" style="183" bestFit="1" customWidth="1"/>
    <col min="2820" max="2823" width="22.44140625" style="183" customWidth="1"/>
    <col min="2824" max="2824" width="19.44140625" style="183" bestFit="1" customWidth="1"/>
    <col min="2825" max="2825" width="22.44140625" style="183" customWidth="1"/>
    <col min="2826" max="3072" width="9.109375" style="183"/>
    <col min="3073" max="3073" width="21.109375" style="183" bestFit="1" customWidth="1"/>
    <col min="3074" max="3074" width="70" style="183" bestFit="1" customWidth="1"/>
    <col min="3075" max="3075" width="24.5546875" style="183" bestFit="1" customWidth="1"/>
    <col min="3076" max="3079" width="22.44140625" style="183" customWidth="1"/>
    <col min="3080" max="3080" width="19.44140625" style="183" bestFit="1" customWidth="1"/>
    <col min="3081" max="3081" width="22.44140625" style="183" customWidth="1"/>
    <col min="3082" max="3328" width="9.109375" style="183"/>
    <col min="3329" max="3329" width="21.109375" style="183" bestFit="1" customWidth="1"/>
    <col min="3330" max="3330" width="70" style="183" bestFit="1" customWidth="1"/>
    <col min="3331" max="3331" width="24.5546875" style="183" bestFit="1" customWidth="1"/>
    <col min="3332" max="3335" width="22.44140625" style="183" customWidth="1"/>
    <col min="3336" max="3336" width="19.44140625" style="183" bestFit="1" customWidth="1"/>
    <col min="3337" max="3337" width="22.44140625" style="183" customWidth="1"/>
    <col min="3338" max="3584" width="9.109375" style="183"/>
    <col min="3585" max="3585" width="21.109375" style="183" bestFit="1" customWidth="1"/>
    <col min="3586" max="3586" width="70" style="183" bestFit="1" customWidth="1"/>
    <col min="3587" max="3587" width="24.5546875" style="183" bestFit="1" customWidth="1"/>
    <col min="3588" max="3591" width="22.44140625" style="183" customWidth="1"/>
    <col min="3592" max="3592" width="19.44140625" style="183" bestFit="1" customWidth="1"/>
    <col min="3593" max="3593" width="22.44140625" style="183" customWidth="1"/>
    <col min="3594" max="3840" width="9.109375" style="183"/>
    <col min="3841" max="3841" width="21.109375" style="183" bestFit="1" customWidth="1"/>
    <col min="3842" max="3842" width="70" style="183" bestFit="1" customWidth="1"/>
    <col min="3843" max="3843" width="24.5546875" style="183" bestFit="1" customWidth="1"/>
    <col min="3844" max="3847" width="22.44140625" style="183" customWidth="1"/>
    <col min="3848" max="3848" width="19.44140625" style="183" bestFit="1" customWidth="1"/>
    <col min="3849" max="3849" width="22.44140625" style="183" customWidth="1"/>
    <col min="3850" max="4096" width="9.109375" style="183"/>
    <col min="4097" max="4097" width="21.109375" style="183" bestFit="1" customWidth="1"/>
    <col min="4098" max="4098" width="70" style="183" bestFit="1" customWidth="1"/>
    <col min="4099" max="4099" width="24.5546875" style="183" bestFit="1" customWidth="1"/>
    <col min="4100" max="4103" width="22.44140625" style="183" customWidth="1"/>
    <col min="4104" max="4104" width="19.44140625" style="183" bestFit="1" customWidth="1"/>
    <col min="4105" max="4105" width="22.44140625" style="183" customWidth="1"/>
    <col min="4106" max="4352" width="9.109375" style="183"/>
    <col min="4353" max="4353" width="21.109375" style="183" bestFit="1" customWidth="1"/>
    <col min="4354" max="4354" width="70" style="183" bestFit="1" customWidth="1"/>
    <col min="4355" max="4355" width="24.5546875" style="183" bestFit="1" customWidth="1"/>
    <col min="4356" max="4359" width="22.44140625" style="183" customWidth="1"/>
    <col min="4360" max="4360" width="19.44140625" style="183" bestFit="1" customWidth="1"/>
    <col min="4361" max="4361" width="22.44140625" style="183" customWidth="1"/>
    <col min="4362" max="4608" width="9.109375" style="183"/>
    <col min="4609" max="4609" width="21.109375" style="183" bestFit="1" customWidth="1"/>
    <col min="4610" max="4610" width="70" style="183" bestFit="1" customWidth="1"/>
    <col min="4611" max="4611" width="24.5546875" style="183" bestFit="1" customWidth="1"/>
    <col min="4612" max="4615" width="22.44140625" style="183" customWidth="1"/>
    <col min="4616" max="4616" width="19.44140625" style="183" bestFit="1" customWidth="1"/>
    <col min="4617" max="4617" width="22.44140625" style="183" customWidth="1"/>
    <col min="4618" max="4864" width="9.109375" style="183"/>
    <col min="4865" max="4865" width="21.109375" style="183" bestFit="1" customWidth="1"/>
    <col min="4866" max="4866" width="70" style="183" bestFit="1" customWidth="1"/>
    <col min="4867" max="4867" width="24.5546875" style="183" bestFit="1" customWidth="1"/>
    <col min="4868" max="4871" width="22.44140625" style="183" customWidth="1"/>
    <col min="4872" max="4872" width="19.44140625" style="183" bestFit="1" customWidth="1"/>
    <col min="4873" max="4873" width="22.44140625" style="183" customWidth="1"/>
    <col min="4874" max="5120" width="9.109375" style="183"/>
    <col min="5121" max="5121" width="21.109375" style="183" bestFit="1" customWidth="1"/>
    <col min="5122" max="5122" width="70" style="183" bestFit="1" customWidth="1"/>
    <col min="5123" max="5123" width="24.5546875" style="183" bestFit="1" customWidth="1"/>
    <col min="5124" max="5127" width="22.44140625" style="183" customWidth="1"/>
    <col min="5128" max="5128" width="19.44140625" style="183" bestFit="1" customWidth="1"/>
    <col min="5129" max="5129" width="22.44140625" style="183" customWidth="1"/>
    <col min="5130" max="5376" width="9.109375" style="183"/>
    <col min="5377" max="5377" width="21.109375" style="183" bestFit="1" customWidth="1"/>
    <col min="5378" max="5378" width="70" style="183" bestFit="1" customWidth="1"/>
    <col min="5379" max="5379" width="24.5546875" style="183" bestFit="1" customWidth="1"/>
    <col min="5380" max="5383" width="22.44140625" style="183" customWidth="1"/>
    <col min="5384" max="5384" width="19.44140625" style="183" bestFit="1" customWidth="1"/>
    <col min="5385" max="5385" width="22.44140625" style="183" customWidth="1"/>
    <col min="5386" max="5632" width="9.109375" style="183"/>
    <col min="5633" max="5633" width="21.109375" style="183" bestFit="1" customWidth="1"/>
    <col min="5634" max="5634" width="70" style="183" bestFit="1" customWidth="1"/>
    <col min="5635" max="5635" width="24.5546875" style="183" bestFit="1" customWidth="1"/>
    <col min="5636" max="5639" width="22.44140625" style="183" customWidth="1"/>
    <col min="5640" max="5640" width="19.44140625" style="183" bestFit="1" customWidth="1"/>
    <col min="5641" max="5641" width="22.44140625" style="183" customWidth="1"/>
    <col min="5642" max="5888" width="9.109375" style="183"/>
    <col min="5889" max="5889" width="21.109375" style="183" bestFit="1" customWidth="1"/>
    <col min="5890" max="5890" width="70" style="183" bestFit="1" customWidth="1"/>
    <col min="5891" max="5891" width="24.5546875" style="183" bestFit="1" customWidth="1"/>
    <col min="5892" max="5895" width="22.44140625" style="183" customWidth="1"/>
    <col min="5896" max="5896" width="19.44140625" style="183" bestFit="1" customWidth="1"/>
    <col min="5897" max="5897" width="22.44140625" style="183" customWidth="1"/>
    <col min="5898" max="6144" width="9.109375" style="183"/>
    <col min="6145" max="6145" width="21.109375" style="183" bestFit="1" customWidth="1"/>
    <col min="6146" max="6146" width="70" style="183" bestFit="1" customWidth="1"/>
    <col min="6147" max="6147" width="24.5546875" style="183" bestFit="1" customWidth="1"/>
    <col min="6148" max="6151" width="22.44140625" style="183" customWidth="1"/>
    <col min="6152" max="6152" width="19.44140625" style="183" bestFit="1" customWidth="1"/>
    <col min="6153" max="6153" width="22.44140625" style="183" customWidth="1"/>
    <col min="6154" max="6400" width="9.109375" style="183"/>
    <col min="6401" max="6401" width="21.109375" style="183" bestFit="1" customWidth="1"/>
    <col min="6402" max="6402" width="70" style="183" bestFit="1" customWidth="1"/>
    <col min="6403" max="6403" width="24.5546875" style="183" bestFit="1" customWidth="1"/>
    <col min="6404" max="6407" width="22.44140625" style="183" customWidth="1"/>
    <col min="6408" max="6408" width="19.44140625" style="183" bestFit="1" customWidth="1"/>
    <col min="6409" max="6409" width="22.44140625" style="183" customWidth="1"/>
    <col min="6410" max="6656" width="9.109375" style="183"/>
    <col min="6657" max="6657" width="21.109375" style="183" bestFit="1" customWidth="1"/>
    <col min="6658" max="6658" width="70" style="183" bestFit="1" customWidth="1"/>
    <col min="6659" max="6659" width="24.5546875" style="183" bestFit="1" customWidth="1"/>
    <col min="6660" max="6663" width="22.44140625" style="183" customWidth="1"/>
    <col min="6664" max="6664" width="19.44140625" style="183" bestFit="1" customWidth="1"/>
    <col min="6665" max="6665" width="22.44140625" style="183" customWidth="1"/>
    <col min="6666" max="6912" width="9.109375" style="183"/>
    <col min="6913" max="6913" width="21.109375" style="183" bestFit="1" customWidth="1"/>
    <col min="6914" max="6914" width="70" style="183" bestFit="1" customWidth="1"/>
    <col min="6915" max="6915" width="24.5546875" style="183" bestFit="1" customWidth="1"/>
    <col min="6916" max="6919" width="22.44140625" style="183" customWidth="1"/>
    <col min="6920" max="6920" width="19.44140625" style="183" bestFit="1" customWidth="1"/>
    <col min="6921" max="6921" width="22.44140625" style="183" customWidth="1"/>
    <col min="6922" max="7168" width="9.109375" style="183"/>
    <col min="7169" max="7169" width="21.109375" style="183" bestFit="1" customWidth="1"/>
    <col min="7170" max="7170" width="70" style="183" bestFit="1" customWidth="1"/>
    <col min="7171" max="7171" width="24.5546875" style="183" bestFit="1" customWidth="1"/>
    <col min="7172" max="7175" width="22.44140625" style="183" customWidth="1"/>
    <col min="7176" max="7176" width="19.44140625" style="183" bestFit="1" customWidth="1"/>
    <col min="7177" max="7177" width="22.44140625" style="183" customWidth="1"/>
    <col min="7178" max="7424" width="9.109375" style="183"/>
    <col min="7425" max="7425" width="21.109375" style="183" bestFit="1" customWidth="1"/>
    <col min="7426" max="7426" width="70" style="183" bestFit="1" customWidth="1"/>
    <col min="7427" max="7427" width="24.5546875" style="183" bestFit="1" customWidth="1"/>
    <col min="7428" max="7431" width="22.44140625" style="183" customWidth="1"/>
    <col min="7432" max="7432" width="19.44140625" style="183" bestFit="1" customWidth="1"/>
    <col min="7433" max="7433" width="22.44140625" style="183" customWidth="1"/>
    <col min="7434" max="7680" width="9.109375" style="183"/>
    <col min="7681" max="7681" width="21.109375" style="183" bestFit="1" customWidth="1"/>
    <col min="7682" max="7682" width="70" style="183" bestFit="1" customWidth="1"/>
    <col min="7683" max="7683" width="24.5546875" style="183" bestFit="1" customWidth="1"/>
    <col min="7684" max="7687" width="22.44140625" style="183" customWidth="1"/>
    <col min="7688" max="7688" width="19.44140625" style="183" bestFit="1" customWidth="1"/>
    <col min="7689" max="7689" width="22.44140625" style="183" customWidth="1"/>
    <col min="7690" max="7936" width="9.109375" style="183"/>
    <col min="7937" max="7937" width="21.109375" style="183" bestFit="1" customWidth="1"/>
    <col min="7938" max="7938" width="70" style="183" bestFit="1" customWidth="1"/>
    <col min="7939" max="7939" width="24.5546875" style="183" bestFit="1" customWidth="1"/>
    <col min="7940" max="7943" width="22.44140625" style="183" customWidth="1"/>
    <col min="7944" max="7944" width="19.44140625" style="183" bestFit="1" customWidth="1"/>
    <col min="7945" max="7945" width="22.44140625" style="183" customWidth="1"/>
    <col min="7946" max="8192" width="9.109375" style="183"/>
    <col min="8193" max="8193" width="21.109375" style="183" bestFit="1" customWidth="1"/>
    <col min="8194" max="8194" width="70" style="183" bestFit="1" customWidth="1"/>
    <col min="8195" max="8195" width="24.5546875" style="183" bestFit="1" customWidth="1"/>
    <col min="8196" max="8199" width="22.44140625" style="183" customWidth="1"/>
    <col min="8200" max="8200" width="19.44140625" style="183" bestFit="1" customWidth="1"/>
    <col min="8201" max="8201" width="22.44140625" style="183" customWidth="1"/>
    <col min="8202" max="8448" width="9.109375" style="183"/>
    <col min="8449" max="8449" width="21.109375" style="183" bestFit="1" customWidth="1"/>
    <col min="8450" max="8450" width="70" style="183" bestFit="1" customWidth="1"/>
    <col min="8451" max="8451" width="24.5546875" style="183" bestFit="1" customWidth="1"/>
    <col min="8452" max="8455" width="22.44140625" style="183" customWidth="1"/>
    <col min="8456" max="8456" width="19.44140625" style="183" bestFit="1" customWidth="1"/>
    <col min="8457" max="8457" width="22.44140625" style="183" customWidth="1"/>
    <col min="8458" max="8704" width="9.109375" style="183"/>
    <col min="8705" max="8705" width="21.109375" style="183" bestFit="1" customWidth="1"/>
    <col min="8706" max="8706" width="70" style="183" bestFit="1" customWidth="1"/>
    <col min="8707" max="8707" width="24.5546875" style="183" bestFit="1" customWidth="1"/>
    <col min="8708" max="8711" width="22.44140625" style="183" customWidth="1"/>
    <col min="8712" max="8712" width="19.44140625" style="183" bestFit="1" customWidth="1"/>
    <col min="8713" max="8713" width="22.44140625" style="183" customWidth="1"/>
    <col min="8714" max="8960" width="9.109375" style="183"/>
    <col min="8961" max="8961" width="21.109375" style="183" bestFit="1" customWidth="1"/>
    <col min="8962" max="8962" width="70" style="183" bestFit="1" customWidth="1"/>
    <col min="8963" max="8963" width="24.5546875" style="183" bestFit="1" customWidth="1"/>
    <col min="8964" max="8967" width="22.44140625" style="183" customWidth="1"/>
    <col min="8968" max="8968" width="19.44140625" style="183" bestFit="1" customWidth="1"/>
    <col min="8969" max="8969" width="22.44140625" style="183" customWidth="1"/>
    <col min="8970" max="9216" width="9.109375" style="183"/>
    <col min="9217" max="9217" width="21.109375" style="183" bestFit="1" customWidth="1"/>
    <col min="9218" max="9218" width="70" style="183" bestFit="1" customWidth="1"/>
    <col min="9219" max="9219" width="24.5546875" style="183" bestFit="1" customWidth="1"/>
    <col min="9220" max="9223" width="22.44140625" style="183" customWidth="1"/>
    <col min="9224" max="9224" width="19.44140625" style="183" bestFit="1" customWidth="1"/>
    <col min="9225" max="9225" width="22.44140625" style="183" customWidth="1"/>
    <col min="9226" max="9472" width="9.109375" style="183"/>
    <col min="9473" max="9473" width="21.109375" style="183" bestFit="1" customWidth="1"/>
    <col min="9474" max="9474" width="70" style="183" bestFit="1" customWidth="1"/>
    <col min="9475" max="9475" width="24.5546875" style="183" bestFit="1" customWidth="1"/>
    <col min="9476" max="9479" width="22.44140625" style="183" customWidth="1"/>
    <col min="9480" max="9480" width="19.44140625" style="183" bestFit="1" customWidth="1"/>
    <col min="9481" max="9481" width="22.44140625" style="183" customWidth="1"/>
    <col min="9482" max="9728" width="9.109375" style="183"/>
    <col min="9729" max="9729" width="21.109375" style="183" bestFit="1" customWidth="1"/>
    <col min="9730" max="9730" width="70" style="183" bestFit="1" customWidth="1"/>
    <col min="9731" max="9731" width="24.5546875" style="183" bestFit="1" customWidth="1"/>
    <col min="9732" max="9735" width="22.44140625" style="183" customWidth="1"/>
    <col min="9736" max="9736" width="19.44140625" style="183" bestFit="1" customWidth="1"/>
    <col min="9737" max="9737" width="22.44140625" style="183" customWidth="1"/>
    <col min="9738" max="9984" width="9.109375" style="183"/>
    <col min="9985" max="9985" width="21.109375" style="183" bestFit="1" customWidth="1"/>
    <col min="9986" max="9986" width="70" style="183" bestFit="1" customWidth="1"/>
    <col min="9987" max="9987" width="24.5546875" style="183" bestFit="1" customWidth="1"/>
    <col min="9988" max="9991" width="22.44140625" style="183" customWidth="1"/>
    <col min="9992" max="9992" width="19.44140625" style="183" bestFit="1" customWidth="1"/>
    <col min="9993" max="9993" width="22.44140625" style="183" customWidth="1"/>
    <col min="9994" max="10240" width="9.109375" style="183"/>
    <col min="10241" max="10241" width="21.109375" style="183" bestFit="1" customWidth="1"/>
    <col min="10242" max="10242" width="70" style="183" bestFit="1" customWidth="1"/>
    <col min="10243" max="10243" width="24.5546875" style="183" bestFit="1" customWidth="1"/>
    <col min="10244" max="10247" width="22.44140625" style="183" customWidth="1"/>
    <col min="10248" max="10248" width="19.44140625" style="183" bestFit="1" customWidth="1"/>
    <col min="10249" max="10249" width="22.44140625" style="183" customWidth="1"/>
    <col min="10250" max="10496" width="9.109375" style="183"/>
    <col min="10497" max="10497" width="21.109375" style="183" bestFit="1" customWidth="1"/>
    <col min="10498" max="10498" width="70" style="183" bestFit="1" customWidth="1"/>
    <col min="10499" max="10499" width="24.5546875" style="183" bestFit="1" customWidth="1"/>
    <col min="10500" max="10503" width="22.44140625" style="183" customWidth="1"/>
    <col min="10504" max="10504" width="19.44140625" style="183" bestFit="1" customWidth="1"/>
    <col min="10505" max="10505" width="22.44140625" style="183" customWidth="1"/>
    <col min="10506" max="10752" width="9.109375" style="183"/>
    <col min="10753" max="10753" width="21.109375" style="183" bestFit="1" customWidth="1"/>
    <col min="10754" max="10754" width="70" style="183" bestFit="1" customWidth="1"/>
    <col min="10755" max="10755" width="24.5546875" style="183" bestFit="1" customWidth="1"/>
    <col min="10756" max="10759" width="22.44140625" style="183" customWidth="1"/>
    <col min="10760" max="10760" width="19.44140625" style="183" bestFit="1" customWidth="1"/>
    <col min="10761" max="10761" width="22.44140625" style="183" customWidth="1"/>
    <col min="10762" max="11008" width="9.109375" style="183"/>
    <col min="11009" max="11009" width="21.109375" style="183" bestFit="1" customWidth="1"/>
    <col min="11010" max="11010" width="70" style="183" bestFit="1" customWidth="1"/>
    <col min="11011" max="11011" width="24.5546875" style="183" bestFit="1" customWidth="1"/>
    <col min="11012" max="11015" width="22.44140625" style="183" customWidth="1"/>
    <col min="11016" max="11016" width="19.44140625" style="183" bestFit="1" customWidth="1"/>
    <col min="11017" max="11017" width="22.44140625" style="183" customWidth="1"/>
    <col min="11018" max="11264" width="9.109375" style="183"/>
    <col min="11265" max="11265" width="21.109375" style="183" bestFit="1" customWidth="1"/>
    <col min="11266" max="11266" width="70" style="183" bestFit="1" customWidth="1"/>
    <col min="11267" max="11267" width="24.5546875" style="183" bestFit="1" customWidth="1"/>
    <col min="11268" max="11271" width="22.44140625" style="183" customWidth="1"/>
    <col min="11272" max="11272" width="19.44140625" style="183" bestFit="1" customWidth="1"/>
    <col min="11273" max="11273" width="22.44140625" style="183" customWidth="1"/>
    <col min="11274" max="11520" width="9.109375" style="183"/>
    <col min="11521" max="11521" width="21.109375" style="183" bestFit="1" customWidth="1"/>
    <col min="11522" max="11522" width="70" style="183" bestFit="1" customWidth="1"/>
    <col min="11523" max="11523" width="24.5546875" style="183" bestFit="1" customWidth="1"/>
    <col min="11524" max="11527" width="22.44140625" style="183" customWidth="1"/>
    <col min="11528" max="11528" width="19.44140625" style="183" bestFit="1" customWidth="1"/>
    <col min="11529" max="11529" width="22.44140625" style="183" customWidth="1"/>
    <col min="11530" max="11776" width="9.109375" style="183"/>
    <col min="11777" max="11777" width="21.109375" style="183" bestFit="1" customWidth="1"/>
    <col min="11778" max="11778" width="70" style="183" bestFit="1" customWidth="1"/>
    <col min="11779" max="11779" width="24.5546875" style="183" bestFit="1" customWidth="1"/>
    <col min="11780" max="11783" width="22.44140625" style="183" customWidth="1"/>
    <col min="11784" max="11784" width="19.44140625" style="183" bestFit="1" customWidth="1"/>
    <col min="11785" max="11785" width="22.44140625" style="183" customWidth="1"/>
    <col min="11786" max="12032" width="9.109375" style="183"/>
    <col min="12033" max="12033" width="21.109375" style="183" bestFit="1" customWidth="1"/>
    <col min="12034" max="12034" width="70" style="183" bestFit="1" customWidth="1"/>
    <col min="12035" max="12035" width="24.5546875" style="183" bestFit="1" customWidth="1"/>
    <col min="12036" max="12039" width="22.44140625" style="183" customWidth="1"/>
    <col min="12040" max="12040" width="19.44140625" style="183" bestFit="1" customWidth="1"/>
    <col min="12041" max="12041" width="22.44140625" style="183" customWidth="1"/>
    <col min="12042" max="12288" width="9.109375" style="183"/>
    <col min="12289" max="12289" width="21.109375" style="183" bestFit="1" customWidth="1"/>
    <col min="12290" max="12290" width="70" style="183" bestFit="1" customWidth="1"/>
    <col min="12291" max="12291" width="24.5546875" style="183" bestFit="1" customWidth="1"/>
    <col min="12292" max="12295" width="22.44140625" style="183" customWidth="1"/>
    <col min="12296" max="12296" width="19.44140625" style="183" bestFit="1" customWidth="1"/>
    <col min="12297" max="12297" width="22.44140625" style="183" customWidth="1"/>
    <col min="12298" max="12544" width="9.109375" style="183"/>
    <col min="12545" max="12545" width="21.109375" style="183" bestFit="1" customWidth="1"/>
    <col min="12546" max="12546" width="70" style="183" bestFit="1" customWidth="1"/>
    <col min="12547" max="12547" width="24.5546875" style="183" bestFit="1" customWidth="1"/>
    <col min="12548" max="12551" width="22.44140625" style="183" customWidth="1"/>
    <col min="12552" max="12552" width="19.44140625" style="183" bestFit="1" customWidth="1"/>
    <col min="12553" max="12553" width="22.44140625" style="183" customWidth="1"/>
    <col min="12554" max="12800" width="9.109375" style="183"/>
    <col min="12801" max="12801" width="21.109375" style="183" bestFit="1" customWidth="1"/>
    <col min="12802" max="12802" width="70" style="183" bestFit="1" customWidth="1"/>
    <col min="12803" max="12803" width="24.5546875" style="183" bestFit="1" customWidth="1"/>
    <col min="12804" max="12807" width="22.44140625" style="183" customWidth="1"/>
    <col min="12808" max="12808" width="19.44140625" style="183" bestFit="1" customWidth="1"/>
    <col min="12809" max="12809" width="22.44140625" style="183" customWidth="1"/>
    <col min="12810" max="13056" width="9.109375" style="183"/>
    <col min="13057" max="13057" width="21.109375" style="183" bestFit="1" customWidth="1"/>
    <col min="13058" max="13058" width="70" style="183" bestFit="1" customWidth="1"/>
    <col min="13059" max="13059" width="24.5546875" style="183" bestFit="1" customWidth="1"/>
    <col min="13060" max="13063" width="22.44140625" style="183" customWidth="1"/>
    <col min="13064" max="13064" width="19.44140625" style="183" bestFit="1" customWidth="1"/>
    <col min="13065" max="13065" width="22.44140625" style="183" customWidth="1"/>
    <col min="13066" max="13312" width="9.109375" style="183"/>
    <col min="13313" max="13313" width="21.109375" style="183" bestFit="1" customWidth="1"/>
    <col min="13314" max="13314" width="70" style="183" bestFit="1" customWidth="1"/>
    <col min="13315" max="13315" width="24.5546875" style="183" bestFit="1" customWidth="1"/>
    <col min="13316" max="13319" width="22.44140625" style="183" customWidth="1"/>
    <col min="13320" max="13320" width="19.44140625" style="183" bestFit="1" customWidth="1"/>
    <col min="13321" max="13321" width="22.44140625" style="183" customWidth="1"/>
    <col min="13322" max="13568" width="9.109375" style="183"/>
    <col min="13569" max="13569" width="21.109375" style="183" bestFit="1" customWidth="1"/>
    <col min="13570" max="13570" width="70" style="183" bestFit="1" customWidth="1"/>
    <col min="13571" max="13571" width="24.5546875" style="183" bestFit="1" customWidth="1"/>
    <col min="13572" max="13575" width="22.44140625" style="183" customWidth="1"/>
    <col min="13576" max="13576" width="19.44140625" style="183" bestFit="1" customWidth="1"/>
    <col min="13577" max="13577" width="22.44140625" style="183" customWidth="1"/>
    <col min="13578" max="13824" width="9.109375" style="183"/>
    <col min="13825" max="13825" width="21.109375" style="183" bestFit="1" customWidth="1"/>
    <col min="13826" max="13826" width="70" style="183" bestFit="1" customWidth="1"/>
    <col min="13827" max="13827" width="24.5546875" style="183" bestFit="1" customWidth="1"/>
    <col min="13828" max="13831" width="22.44140625" style="183" customWidth="1"/>
    <col min="13832" max="13832" width="19.44140625" style="183" bestFit="1" customWidth="1"/>
    <col min="13833" max="13833" width="22.44140625" style="183" customWidth="1"/>
    <col min="13834" max="14080" width="9.109375" style="183"/>
    <col min="14081" max="14081" width="21.109375" style="183" bestFit="1" customWidth="1"/>
    <col min="14082" max="14082" width="70" style="183" bestFit="1" customWidth="1"/>
    <col min="14083" max="14083" width="24.5546875" style="183" bestFit="1" customWidth="1"/>
    <col min="14084" max="14087" width="22.44140625" style="183" customWidth="1"/>
    <col min="14088" max="14088" width="19.44140625" style="183" bestFit="1" customWidth="1"/>
    <col min="14089" max="14089" width="22.44140625" style="183" customWidth="1"/>
    <col min="14090" max="14336" width="9.109375" style="183"/>
    <col min="14337" max="14337" width="21.109375" style="183" bestFit="1" customWidth="1"/>
    <col min="14338" max="14338" width="70" style="183" bestFit="1" customWidth="1"/>
    <col min="14339" max="14339" width="24.5546875" style="183" bestFit="1" customWidth="1"/>
    <col min="14340" max="14343" width="22.44140625" style="183" customWidth="1"/>
    <col min="14344" max="14344" width="19.44140625" style="183" bestFit="1" customWidth="1"/>
    <col min="14345" max="14345" width="22.44140625" style="183" customWidth="1"/>
    <col min="14346" max="14592" width="9.109375" style="183"/>
    <col min="14593" max="14593" width="21.109375" style="183" bestFit="1" customWidth="1"/>
    <col min="14594" max="14594" width="70" style="183" bestFit="1" customWidth="1"/>
    <col min="14595" max="14595" width="24.5546875" style="183" bestFit="1" customWidth="1"/>
    <col min="14596" max="14599" width="22.44140625" style="183" customWidth="1"/>
    <col min="14600" max="14600" width="19.44140625" style="183" bestFit="1" customWidth="1"/>
    <col min="14601" max="14601" width="22.44140625" style="183" customWidth="1"/>
    <col min="14602" max="14848" width="9.109375" style="183"/>
    <col min="14849" max="14849" width="21.109375" style="183" bestFit="1" customWidth="1"/>
    <col min="14850" max="14850" width="70" style="183" bestFit="1" customWidth="1"/>
    <col min="14851" max="14851" width="24.5546875" style="183" bestFit="1" customWidth="1"/>
    <col min="14852" max="14855" width="22.44140625" style="183" customWidth="1"/>
    <col min="14856" max="14856" width="19.44140625" style="183" bestFit="1" customWidth="1"/>
    <col min="14857" max="14857" width="22.44140625" style="183" customWidth="1"/>
    <col min="14858" max="15104" width="9.109375" style="183"/>
    <col min="15105" max="15105" width="21.109375" style="183" bestFit="1" customWidth="1"/>
    <col min="15106" max="15106" width="70" style="183" bestFit="1" customWidth="1"/>
    <col min="15107" max="15107" width="24.5546875" style="183" bestFit="1" customWidth="1"/>
    <col min="15108" max="15111" width="22.44140625" style="183" customWidth="1"/>
    <col min="15112" max="15112" width="19.44140625" style="183" bestFit="1" customWidth="1"/>
    <col min="15113" max="15113" width="22.44140625" style="183" customWidth="1"/>
    <col min="15114" max="15360" width="9.109375" style="183"/>
    <col min="15361" max="15361" width="21.109375" style="183" bestFit="1" customWidth="1"/>
    <col min="15362" max="15362" width="70" style="183" bestFit="1" customWidth="1"/>
    <col min="15363" max="15363" width="24.5546875" style="183" bestFit="1" customWidth="1"/>
    <col min="15364" max="15367" width="22.44140625" style="183" customWidth="1"/>
    <col min="15368" max="15368" width="19.44140625" style="183" bestFit="1" customWidth="1"/>
    <col min="15369" max="15369" width="22.44140625" style="183" customWidth="1"/>
    <col min="15370" max="15616" width="9.109375" style="183"/>
    <col min="15617" max="15617" width="21.109375" style="183" bestFit="1" customWidth="1"/>
    <col min="15618" max="15618" width="70" style="183" bestFit="1" customWidth="1"/>
    <col min="15619" max="15619" width="24.5546875" style="183" bestFit="1" customWidth="1"/>
    <col min="15620" max="15623" width="22.44140625" style="183" customWidth="1"/>
    <col min="15624" max="15624" width="19.44140625" style="183" bestFit="1" customWidth="1"/>
    <col min="15625" max="15625" width="22.44140625" style="183" customWidth="1"/>
    <col min="15626" max="15872" width="9.109375" style="183"/>
    <col min="15873" max="15873" width="21.109375" style="183" bestFit="1" customWidth="1"/>
    <col min="15874" max="15874" width="70" style="183" bestFit="1" customWidth="1"/>
    <col min="15875" max="15875" width="24.5546875" style="183" bestFit="1" customWidth="1"/>
    <col min="15876" max="15879" width="22.44140625" style="183" customWidth="1"/>
    <col min="15880" max="15880" width="19.44140625" style="183" bestFit="1" customWidth="1"/>
    <col min="15881" max="15881" width="22.44140625" style="183" customWidth="1"/>
    <col min="15882" max="16128" width="9.109375" style="183"/>
    <col min="16129" max="16129" width="21.109375" style="183" bestFit="1" customWidth="1"/>
    <col min="16130" max="16130" width="70" style="183" bestFit="1" customWidth="1"/>
    <col min="16131" max="16131" width="24.5546875" style="183" bestFit="1" customWidth="1"/>
    <col min="16132" max="16135" width="22.44140625" style="183" customWidth="1"/>
    <col min="16136" max="16136" width="19.44140625" style="183" bestFit="1" customWidth="1"/>
    <col min="16137" max="16137" width="22.44140625" style="183" customWidth="1"/>
    <col min="16138" max="16384" width="9.109375" style="183"/>
  </cols>
  <sheetData>
    <row r="1" spans="1:13" ht="12.75" customHeight="1">
      <c r="C1" s="208" t="s">
        <v>486</v>
      </c>
      <c r="D1" s="208" t="s">
        <v>474</v>
      </c>
      <c r="E1" s="208" t="s">
        <v>475</v>
      </c>
      <c r="F1" s="208" t="s">
        <v>483</v>
      </c>
      <c r="G1" s="208" t="s">
        <v>487</v>
      </c>
      <c r="H1" s="186" t="s">
        <v>488</v>
      </c>
      <c r="J1" s="208" t="s">
        <v>474</v>
      </c>
      <c r="K1" s="208" t="s">
        <v>475</v>
      </c>
      <c r="L1" s="208" t="s">
        <v>483</v>
      </c>
      <c r="M1" s="208" t="s">
        <v>487</v>
      </c>
    </row>
    <row r="3" spans="1:13" ht="12.75" customHeight="1">
      <c r="A3" s="188" t="s">
        <v>16</v>
      </c>
    </row>
    <row r="4" spans="1:13" ht="12.75" customHeight="1">
      <c r="A4" s="182">
        <v>1600200</v>
      </c>
      <c r="B4" s="183" t="s">
        <v>22</v>
      </c>
      <c r="C4" s="184">
        <v>129706535</v>
      </c>
      <c r="H4" s="186">
        <f>SUM(C4:G4)</f>
        <v>129706535</v>
      </c>
      <c r="J4" s="183">
        <v>977050</v>
      </c>
      <c r="K4" s="183">
        <v>172507</v>
      </c>
      <c r="L4" s="183">
        <v>238485</v>
      </c>
      <c r="M4" s="183">
        <v>230282.95</v>
      </c>
    </row>
    <row r="5" spans="1:13" ht="12.75" customHeight="1">
      <c r="A5" s="182" t="s">
        <v>23</v>
      </c>
      <c r="B5" s="183" t="s">
        <v>24</v>
      </c>
      <c r="C5" s="184">
        <v>-12240356</v>
      </c>
      <c r="D5" s="184">
        <v>-683661</v>
      </c>
      <c r="E5" s="184">
        <v>-277132</v>
      </c>
      <c r="F5" s="184">
        <v>-667313</v>
      </c>
      <c r="G5" s="184">
        <v>-666766</v>
      </c>
      <c r="H5" s="186">
        <f t="shared" ref="H5:H67" si="0">SUM(C5:G5)</f>
        <v>-14535228</v>
      </c>
    </row>
    <row r="6" spans="1:13" ht="12.75" customHeight="1">
      <c r="A6" s="182" t="s">
        <v>25</v>
      </c>
      <c r="B6" s="183" t="s">
        <v>26</v>
      </c>
      <c r="C6" s="184">
        <v>-2975266</v>
      </c>
      <c r="D6" s="184">
        <v>-1073484</v>
      </c>
      <c r="E6" s="191">
        <v>-706761</v>
      </c>
      <c r="F6" s="191">
        <v>-1597299</v>
      </c>
      <c r="G6" s="191">
        <v>-144749</v>
      </c>
      <c r="H6" s="186">
        <f t="shared" si="0"/>
        <v>-6497559</v>
      </c>
    </row>
    <row r="7" spans="1:13" ht="12.75" customHeight="1">
      <c r="A7" s="182" t="s">
        <v>427</v>
      </c>
      <c r="B7" s="183" t="s">
        <v>428</v>
      </c>
      <c r="C7" s="184">
        <v>266922</v>
      </c>
      <c r="D7" s="184">
        <v>110448</v>
      </c>
      <c r="E7" s="184">
        <v>-303581</v>
      </c>
      <c r="F7" s="184">
        <v>170229</v>
      </c>
      <c r="G7" s="184">
        <v>16814</v>
      </c>
      <c r="H7" s="186">
        <f t="shared" si="0"/>
        <v>260832</v>
      </c>
    </row>
    <row r="8" spans="1:13" ht="12.75" customHeight="1">
      <c r="A8" s="183" t="s">
        <v>351</v>
      </c>
    </row>
    <row r="10" spans="1:13" ht="12.75" customHeight="1">
      <c r="A10" s="182" t="s">
        <v>35</v>
      </c>
      <c r="B10" s="183" t="s">
        <v>36</v>
      </c>
      <c r="C10" s="184">
        <v>2933022</v>
      </c>
      <c r="D10" s="184">
        <v>631191</v>
      </c>
      <c r="E10" s="184">
        <v>142740</v>
      </c>
      <c r="F10" s="184">
        <v>120923</v>
      </c>
      <c r="G10" s="224">
        <v>161798</v>
      </c>
      <c r="H10" s="186">
        <f t="shared" si="0"/>
        <v>3989674</v>
      </c>
    </row>
    <row r="11" spans="1:13" ht="12.75" customHeight="1">
      <c r="A11" s="183" t="s">
        <v>352</v>
      </c>
    </row>
    <row r="13" spans="1:13" ht="12.75" customHeight="1">
      <c r="A13" s="182" t="s">
        <v>41</v>
      </c>
      <c r="B13" s="183" t="s">
        <v>42</v>
      </c>
      <c r="C13" s="184">
        <v>401646</v>
      </c>
      <c r="D13" s="184">
        <v>-108371</v>
      </c>
      <c r="E13" s="184">
        <v>-341343</v>
      </c>
      <c r="F13" s="184">
        <v>281344</v>
      </c>
      <c r="G13" s="224">
        <f>748300.39+144357.64</f>
        <v>892658.03</v>
      </c>
      <c r="H13" s="186">
        <f t="shared" si="0"/>
        <v>1125934.03</v>
      </c>
    </row>
    <row r="14" spans="1:13" ht="12.75" customHeight="1">
      <c r="B14" s="183" t="s">
        <v>489</v>
      </c>
      <c r="C14" s="184">
        <v>0</v>
      </c>
      <c r="D14" s="184">
        <v>0</v>
      </c>
      <c r="E14" s="184">
        <v>0</v>
      </c>
      <c r="F14" s="184">
        <v>0</v>
      </c>
      <c r="G14" s="184">
        <v>-144357.64000000001</v>
      </c>
      <c r="H14" s="186">
        <f t="shared" si="0"/>
        <v>-144357.64000000001</v>
      </c>
    </row>
    <row r="15" spans="1:13" ht="12.75" customHeight="1">
      <c r="A15" s="182" t="s">
        <v>43</v>
      </c>
      <c r="B15" s="183" t="s">
        <v>44</v>
      </c>
      <c r="C15" s="184">
        <v>-55541</v>
      </c>
      <c r="D15" s="184">
        <v>23626</v>
      </c>
      <c r="E15" s="184">
        <v>0</v>
      </c>
      <c r="F15" s="184">
        <v>0</v>
      </c>
      <c r="G15" s="184">
        <v>0</v>
      </c>
      <c r="H15" s="186">
        <f t="shared" si="0"/>
        <v>-31915</v>
      </c>
    </row>
    <row r="16" spans="1:13" ht="12.75" customHeight="1">
      <c r="A16" s="183" t="s">
        <v>353</v>
      </c>
      <c r="H16" s="186">
        <f t="shared" si="0"/>
        <v>0</v>
      </c>
    </row>
    <row r="17" spans="1:9" ht="12.75" customHeight="1">
      <c r="H17" s="186">
        <f t="shared" si="0"/>
        <v>0</v>
      </c>
    </row>
    <row r="18" spans="1:9" ht="12.75" customHeight="1">
      <c r="A18" s="182">
        <v>2640000</v>
      </c>
      <c r="B18" s="183" t="s">
        <v>48</v>
      </c>
      <c r="C18" s="184">
        <v>-270817</v>
      </c>
      <c r="D18" s="184">
        <v>-859900</v>
      </c>
      <c r="E18" s="184">
        <v>436656</v>
      </c>
      <c r="F18" s="184">
        <v>550984</v>
      </c>
      <c r="G18" s="184">
        <v>1407409</v>
      </c>
      <c r="H18" s="186">
        <f t="shared" si="0"/>
        <v>1264332</v>
      </c>
    </row>
    <row r="19" spans="1:9" ht="12.75" customHeight="1">
      <c r="A19" s="183" t="s">
        <v>357</v>
      </c>
      <c r="H19" s="186">
        <f t="shared" si="0"/>
        <v>0</v>
      </c>
    </row>
    <row r="20" spans="1:9" ht="12.75" customHeight="1">
      <c r="H20" s="186">
        <f t="shared" si="0"/>
        <v>0</v>
      </c>
    </row>
    <row r="21" spans="1:9" ht="12.75" customHeight="1">
      <c r="A21" s="182">
        <v>2040200</v>
      </c>
      <c r="B21" s="183" t="s">
        <v>447</v>
      </c>
      <c r="C21" s="184">
        <v>5000</v>
      </c>
      <c r="D21" s="184">
        <v>0</v>
      </c>
      <c r="E21" s="184">
        <v>0</v>
      </c>
      <c r="F21" s="184">
        <v>0</v>
      </c>
      <c r="G21" s="184">
        <v>0</v>
      </c>
      <c r="H21" s="186">
        <f t="shared" si="0"/>
        <v>5000</v>
      </c>
    </row>
    <row r="22" spans="1:9" ht="12.75" customHeight="1">
      <c r="A22" s="182">
        <v>2040500</v>
      </c>
      <c r="B22" s="183" t="s">
        <v>490</v>
      </c>
      <c r="C22" s="184">
        <v>0</v>
      </c>
      <c r="D22" s="184">
        <v>0</v>
      </c>
      <c r="E22" s="184">
        <v>-14411</v>
      </c>
      <c r="F22" s="184">
        <v>70849</v>
      </c>
      <c r="G22" s="184">
        <v>-28219.3</v>
      </c>
      <c r="H22" s="186">
        <f t="shared" si="0"/>
        <v>28218.7</v>
      </c>
    </row>
    <row r="23" spans="1:9" ht="12.75" customHeight="1">
      <c r="A23" s="182" t="s">
        <v>53</v>
      </c>
      <c r="B23" s="183" t="s">
        <v>54</v>
      </c>
      <c r="C23" s="184">
        <v>3818</v>
      </c>
      <c r="D23" s="184">
        <v>-1022</v>
      </c>
      <c r="E23" s="184">
        <v>-2796</v>
      </c>
      <c r="F23" s="184">
        <v>0</v>
      </c>
      <c r="G23" s="184">
        <v>0</v>
      </c>
      <c r="H23" s="186">
        <f t="shared" si="0"/>
        <v>0</v>
      </c>
    </row>
    <row r="24" spans="1:9" ht="12.75" customHeight="1">
      <c r="A24" s="182" t="s">
        <v>55</v>
      </c>
      <c r="B24" s="183" t="s">
        <v>56</v>
      </c>
      <c r="C24" s="184">
        <v>155893</v>
      </c>
      <c r="D24" s="184">
        <v>-155413</v>
      </c>
      <c r="E24" s="198">
        <v>198503.49</v>
      </c>
      <c r="F24" s="198">
        <v>-251330.51</v>
      </c>
      <c r="G24" s="224">
        <v>311027.5</v>
      </c>
      <c r="H24" s="186">
        <f>SUM(C24:G24)</f>
        <v>258680.47999999998</v>
      </c>
      <c r="I24" s="187" t="s">
        <v>491</v>
      </c>
    </row>
    <row r="25" spans="1:9" ht="12.75" customHeight="1">
      <c r="A25" s="183" t="s">
        <v>407</v>
      </c>
      <c r="H25" s="186">
        <f t="shared" si="0"/>
        <v>0</v>
      </c>
    </row>
    <row r="26" spans="1:9" ht="12.75" customHeight="1">
      <c r="H26" s="186">
        <f t="shared" si="0"/>
        <v>0</v>
      </c>
    </row>
    <row r="27" spans="1:9" ht="12.75" customHeight="1">
      <c r="A27" s="182" t="s">
        <v>61</v>
      </c>
      <c r="B27" s="183" t="s">
        <v>62</v>
      </c>
      <c r="C27" s="184">
        <v>0</v>
      </c>
      <c r="D27" s="184">
        <v>0</v>
      </c>
      <c r="E27" s="184">
        <v>-343</v>
      </c>
      <c r="F27" s="184">
        <v>-3777</v>
      </c>
      <c r="G27" s="184">
        <v>-12957.2</v>
      </c>
      <c r="H27" s="186">
        <f t="shared" si="0"/>
        <v>-17077.2</v>
      </c>
    </row>
    <row r="28" spans="1:9" ht="12.75" customHeight="1">
      <c r="A28" s="182" t="s">
        <v>65</v>
      </c>
      <c r="B28" s="183" t="s">
        <v>66</v>
      </c>
      <c r="C28" s="184">
        <v>493</v>
      </c>
      <c r="D28" s="184">
        <v>-482</v>
      </c>
      <c r="E28" s="184">
        <v>-11</v>
      </c>
      <c r="F28" s="184">
        <v>0</v>
      </c>
      <c r="G28" s="224">
        <v>0.91</v>
      </c>
      <c r="H28" s="186">
        <f t="shared" si="0"/>
        <v>0.91</v>
      </c>
    </row>
    <row r="29" spans="1:9" ht="12.75" customHeight="1">
      <c r="A29" s="182" t="s">
        <v>67</v>
      </c>
      <c r="B29" s="183" t="s">
        <v>68</v>
      </c>
      <c r="C29" s="184">
        <v>36751</v>
      </c>
      <c r="D29" s="184">
        <v>-19</v>
      </c>
      <c r="E29" s="184">
        <v>-19</v>
      </c>
      <c r="F29" s="184">
        <v>-19</v>
      </c>
      <c r="G29" s="224">
        <v>-18.04</v>
      </c>
      <c r="H29" s="186">
        <f t="shared" si="0"/>
        <v>36675.96</v>
      </c>
    </row>
    <row r="30" spans="1:9" ht="12.75" customHeight="1">
      <c r="A30" s="182" t="s">
        <v>69</v>
      </c>
      <c r="B30" s="183" t="s">
        <v>70</v>
      </c>
      <c r="C30" s="184">
        <v>275076</v>
      </c>
      <c r="D30" s="184">
        <v>-13600</v>
      </c>
      <c r="E30" s="184">
        <v>-7131</v>
      </c>
      <c r="F30" s="184">
        <v>-37180</v>
      </c>
      <c r="G30" s="224">
        <v>-53403.02</v>
      </c>
      <c r="H30" s="186">
        <f t="shared" si="0"/>
        <v>163761.98000000001</v>
      </c>
    </row>
    <row r="31" spans="1:9" ht="12.75" customHeight="1">
      <c r="A31" s="182" t="s">
        <v>71</v>
      </c>
      <c r="B31" s="183" t="s">
        <v>72</v>
      </c>
      <c r="C31" s="184">
        <v>588962</v>
      </c>
      <c r="D31" s="184">
        <v>-393791</v>
      </c>
      <c r="E31" s="184">
        <v>-99389</v>
      </c>
      <c r="F31" s="184">
        <v>8473</v>
      </c>
      <c r="G31" s="224">
        <v>67284.679999999993</v>
      </c>
      <c r="H31" s="186">
        <f t="shared" si="0"/>
        <v>171539.68</v>
      </c>
    </row>
    <row r="32" spans="1:9" ht="12.75" customHeight="1">
      <c r="A32" s="182" t="s">
        <v>73</v>
      </c>
      <c r="B32" s="183" t="s">
        <v>74</v>
      </c>
      <c r="C32" s="184">
        <v>416544</v>
      </c>
      <c r="D32" s="184">
        <v>550068</v>
      </c>
      <c r="E32" s="184">
        <v>854946</v>
      </c>
      <c r="F32" s="184">
        <v>-722443</v>
      </c>
      <c r="G32" s="224">
        <v>-877600.44</v>
      </c>
      <c r="H32" s="186">
        <f t="shared" si="0"/>
        <v>221514.56000000006</v>
      </c>
    </row>
    <row r="33" spans="1:8" ht="12.75" customHeight="1">
      <c r="A33" s="182" t="s">
        <v>75</v>
      </c>
      <c r="B33" s="183" t="s">
        <v>76</v>
      </c>
      <c r="C33" s="184">
        <v>177922</v>
      </c>
      <c r="D33" s="184">
        <v>-125945</v>
      </c>
      <c r="E33" s="184">
        <v>61378</v>
      </c>
      <c r="F33" s="184">
        <v>-72522</v>
      </c>
      <c r="G33" s="224">
        <v>32976.39</v>
      </c>
      <c r="H33" s="186">
        <f t="shared" si="0"/>
        <v>73809.39</v>
      </c>
    </row>
    <row r="34" spans="1:8" ht="12.75" customHeight="1">
      <c r="A34" s="183" t="s">
        <v>358</v>
      </c>
      <c r="C34" s="184">
        <v>0</v>
      </c>
    </row>
    <row r="35" spans="1:8" ht="12.75" customHeight="1">
      <c r="C35" s="184">
        <v>0</v>
      </c>
    </row>
    <row r="36" spans="1:8" ht="12.75" customHeight="1">
      <c r="A36" s="182">
        <v>1000002</v>
      </c>
      <c r="B36" s="183" t="s">
        <v>429</v>
      </c>
      <c r="C36" s="184">
        <v>-1</v>
      </c>
      <c r="D36" s="184">
        <v>0</v>
      </c>
      <c r="E36" s="184">
        <v>0</v>
      </c>
      <c r="F36" s="184">
        <v>0</v>
      </c>
      <c r="G36" s="184">
        <v>0</v>
      </c>
      <c r="H36" s="186">
        <f t="shared" si="0"/>
        <v>-1</v>
      </c>
    </row>
    <row r="37" spans="1:8" ht="12.75" customHeight="1">
      <c r="A37" s="182">
        <v>1100000</v>
      </c>
      <c r="B37" s="183" t="s">
        <v>430</v>
      </c>
      <c r="C37" s="184">
        <v>-19231219</v>
      </c>
      <c r="D37" s="184">
        <v>0</v>
      </c>
      <c r="E37" s="184">
        <v>0</v>
      </c>
      <c r="F37" s="184">
        <v>200000</v>
      </c>
      <c r="G37" s="184">
        <v>0</v>
      </c>
      <c r="H37" s="186">
        <f t="shared" si="0"/>
        <v>-19031219</v>
      </c>
    </row>
    <row r="38" spans="1:8" ht="12.75" customHeight="1">
      <c r="A38" s="182">
        <v>1160000</v>
      </c>
      <c r="B38" s="183" t="s">
        <v>94</v>
      </c>
      <c r="C38" s="184">
        <v>12615558</v>
      </c>
      <c r="D38" s="184">
        <v>0</v>
      </c>
      <c r="E38" s="184">
        <v>0</v>
      </c>
      <c r="F38" s="184">
        <v>0</v>
      </c>
      <c r="G38" s="184">
        <v>0</v>
      </c>
      <c r="H38" s="186">
        <f>SUM(C38:G38)</f>
        <v>12615558</v>
      </c>
    </row>
    <row r="39" spans="1:8" ht="12.75" customHeight="1">
      <c r="A39" s="182" t="s">
        <v>95</v>
      </c>
      <c r="B39" s="183" t="s">
        <v>96</v>
      </c>
      <c r="C39" s="184">
        <v>207000</v>
      </c>
      <c r="D39" s="184">
        <v>0</v>
      </c>
      <c r="E39" s="184">
        <v>0</v>
      </c>
      <c r="F39" s="184">
        <v>2000000</v>
      </c>
      <c r="G39" s="184">
        <v>0</v>
      </c>
      <c r="H39" s="186">
        <f t="shared" si="0"/>
        <v>2207000</v>
      </c>
    </row>
    <row r="40" spans="1:8" ht="12.75" customHeight="1">
      <c r="A40" s="183" t="s">
        <v>359</v>
      </c>
      <c r="C40" s="184">
        <v>0</v>
      </c>
      <c r="H40" s="186">
        <f t="shared" si="0"/>
        <v>0</v>
      </c>
    </row>
    <row r="41" spans="1:8" ht="12.75" customHeight="1">
      <c r="C41" s="184">
        <v>0</v>
      </c>
      <c r="H41" s="186">
        <f t="shared" si="0"/>
        <v>0</v>
      </c>
    </row>
    <row r="42" spans="1:8" ht="12.75" customHeight="1">
      <c r="A42" s="182">
        <v>1930001</v>
      </c>
      <c r="B42" s="183" t="s">
        <v>104</v>
      </c>
      <c r="C42" s="184">
        <v>-130000000</v>
      </c>
      <c r="D42" s="184">
        <v>0</v>
      </c>
      <c r="E42" s="184">
        <v>0</v>
      </c>
      <c r="F42" s="184">
        <v>0</v>
      </c>
      <c r="G42" s="184">
        <v>0</v>
      </c>
      <c r="H42" s="186">
        <f t="shared" si="0"/>
        <v>-130000000</v>
      </c>
    </row>
    <row r="43" spans="1:8" ht="12.75" customHeight="1">
      <c r="A43" s="182" t="s">
        <v>107</v>
      </c>
      <c r="B43" s="183" t="s">
        <v>108</v>
      </c>
      <c r="C43" s="184">
        <v>18180866</v>
      </c>
      <c r="D43" s="184">
        <v>1984184</v>
      </c>
      <c r="E43" s="184">
        <v>1540803</v>
      </c>
      <c r="F43" s="184">
        <v>2253796</v>
      </c>
      <c r="G43" s="224">
        <v>889295.98</v>
      </c>
      <c r="H43" s="186">
        <f t="shared" si="0"/>
        <v>24848944.98</v>
      </c>
    </row>
    <row r="44" spans="1:8" ht="12.75" customHeight="1">
      <c r="A44" s="183" t="s">
        <v>362</v>
      </c>
      <c r="C44" s="184">
        <v>0</v>
      </c>
      <c r="H44" s="186">
        <f t="shared" si="0"/>
        <v>0</v>
      </c>
    </row>
    <row r="45" spans="1:8" ht="12.75" customHeight="1">
      <c r="C45" s="184">
        <v>0</v>
      </c>
      <c r="H45" s="186">
        <f t="shared" si="0"/>
        <v>0</v>
      </c>
    </row>
    <row r="46" spans="1:8" ht="12.75" customHeight="1">
      <c r="A46" s="182" t="s">
        <v>121</v>
      </c>
      <c r="B46" s="183" t="s">
        <v>122</v>
      </c>
      <c r="C46" s="184">
        <v>-211318</v>
      </c>
      <c r="D46" s="184">
        <f>-342182+85763.82</f>
        <v>-256418.18</v>
      </c>
      <c r="E46" s="208">
        <f>123229-85763.82</f>
        <v>37465.179999999993</v>
      </c>
      <c r="F46" s="208">
        <v>411485</v>
      </c>
      <c r="G46" s="208">
        <v>6778.95</v>
      </c>
      <c r="H46" s="186">
        <f t="shared" si="0"/>
        <v>-12007.05</v>
      </c>
    </row>
    <row r="47" spans="1:8" ht="12.75" customHeight="1">
      <c r="A47" s="182" t="s">
        <v>123</v>
      </c>
      <c r="B47" s="183" t="s">
        <v>124</v>
      </c>
      <c r="C47" s="184">
        <v>0</v>
      </c>
      <c r="D47" s="184">
        <v>0</v>
      </c>
      <c r="E47" s="184">
        <v>0</v>
      </c>
      <c r="F47" s="184">
        <v>0</v>
      </c>
      <c r="G47" s="184">
        <v>0</v>
      </c>
      <c r="H47" s="186">
        <f t="shared" si="0"/>
        <v>0</v>
      </c>
    </row>
    <row r="48" spans="1:8" ht="12.75" customHeight="1">
      <c r="A48" s="183" t="s">
        <v>363</v>
      </c>
    </row>
    <row r="50" spans="1:9" ht="12.75" customHeight="1">
      <c r="A50" s="182" t="s">
        <v>129</v>
      </c>
      <c r="B50" s="183" t="s">
        <v>130</v>
      </c>
      <c r="C50" s="184">
        <v>-3664</v>
      </c>
      <c r="D50" s="184">
        <v>2114</v>
      </c>
      <c r="E50" s="184">
        <v>1550</v>
      </c>
      <c r="F50" s="184">
        <v>-3898</v>
      </c>
      <c r="G50" s="184">
        <f>-828.56+460</f>
        <v>-368.55999999999995</v>
      </c>
      <c r="H50" s="186">
        <f t="shared" si="0"/>
        <v>-4266.5599999999995</v>
      </c>
    </row>
    <row r="51" spans="1:9" ht="12.75" customHeight="1">
      <c r="A51" s="182" t="s">
        <v>133</v>
      </c>
      <c r="B51" s="183" t="s">
        <v>134</v>
      </c>
      <c r="C51" s="184">
        <v>0</v>
      </c>
      <c r="D51" s="184">
        <v>0</v>
      </c>
      <c r="E51" s="184">
        <v>0</v>
      </c>
      <c r="F51" s="184">
        <v>0</v>
      </c>
      <c r="G51" s="184">
        <v>0</v>
      </c>
      <c r="H51" s="186">
        <f t="shared" si="0"/>
        <v>0</v>
      </c>
    </row>
    <row r="52" spans="1:9" ht="12.75" customHeight="1">
      <c r="A52" s="182" t="s">
        <v>137</v>
      </c>
      <c r="B52" s="183" t="s">
        <v>138</v>
      </c>
      <c r="C52" s="184">
        <v>0</v>
      </c>
      <c r="D52" s="184">
        <v>0</v>
      </c>
      <c r="E52" s="184">
        <v>0</v>
      </c>
      <c r="F52" s="184">
        <v>0</v>
      </c>
      <c r="G52" s="184">
        <v>0</v>
      </c>
      <c r="H52" s="186">
        <f t="shared" si="0"/>
        <v>0</v>
      </c>
    </row>
    <row r="53" spans="1:9" ht="12.75" customHeight="1">
      <c r="A53" s="183" t="s">
        <v>366</v>
      </c>
      <c r="H53" s="186">
        <f t="shared" si="0"/>
        <v>0</v>
      </c>
    </row>
    <row r="54" spans="1:9" ht="12.75" customHeight="1">
      <c r="H54" s="186">
        <f t="shared" si="0"/>
        <v>0</v>
      </c>
    </row>
    <row r="55" spans="1:9" ht="12.75" customHeight="1">
      <c r="A55" s="182">
        <v>2740100</v>
      </c>
      <c r="B55" s="183" t="s">
        <v>492</v>
      </c>
      <c r="C55" s="184">
        <v>0</v>
      </c>
      <c r="D55" s="184">
        <v>0</v>
      </c>
      <c r="E55" s="184">
        <v>0</v>
      </c>
      <c r="F55" s="184">
        <v>0</v>
      </c>
      <c r="G55" s="184">
        <v>-990960</v>
      </c>
      <c r="H55" s="186">
        <f t="shared" si="0"/>
        <v>-990960</v>
      </c>
    </row>
    <row r="56" spans="1:9" ht="12.75" customHeight="1">
      <c r="A56" s="182" t="s">
        <v>141</v>
      </c>
      <c r="B56" s="183" t="s">
        <v>142</v>
      </c>
      <c r="C56" s="184">
        <v>-729992</v>
      </c>
      <c r="D56" s="184">
        <v>-37329</v>
      </c>
      <c r="E56" s="184">
        <f>5524-2</f>
        <v>5522</v>
      </c>
      <c r="F56" s="184">
        <f>-1404+2</f>
        <v>-1402</v>
      </c>
      <c r="G56" s="184">
        <v>-43086.2</v>
      </c>
      <c r="H56" s="186">
        <f t="shared" si="0"/>
        <v>-806287.2</v>
      </c>
    </row>
    <row r="57" spans="1:9" ht="12.75" customHeight="1">
      <c r="A57" s="182">
        <v>2740500</v>
      </c>
      <c r="B57" s="183" t="s">
        <v>144</v>
      </c>
      <c r="C57" s="184">
        <v>-22500</v>
      </c>
      <c r="D57" s="184">
        <v>0</v>
      </c>
      <c r="E57" s="184">
        <v>0</v>
      </c>
      <c r="F57" s="184">
        <v>0</v>
      </c>
      <c r="G57" s="184">
        <v>0</v>
      </c>
      <c r="H57" s="186">
        <f t="shared" si="0"/>
        <v>-22500</v>
      </c>
    </row>
    <row r="58" spans="1:9" ht="12.75" customHeight="1">
      <c r="A58" s="182" t="s">
        <v>145</v>
      </c>
      <c r="B58" s="183" t="s">
        <v>146</v>
      </c>
      <c r="C58" s="184">
        <v>0</v>
      </c>
      <c r="D58" s="184">
        <v>0</v>
      </c>
      <c r="E58" s="184">
        <v>0</v>
      </c>
      <c r="F58" s="184">
        <v>0</v>
      </c>
      <c r="G58" s="184">
        <v>0</v>
      </c>
      <c r="H58" s="186">
        <f t="shared" si="0"/>
        <v>0</v>
      </c>
    </row>
    <row r="59" spans="1:9" ht="12.75" customHeight="1">
      <c r="A59" s="182" t="s">
        <v>367</v>
      </c>
      <c r="B59" s="183" t="s">
        <v>368</v>
      </c>
      <c r="C59" s="184">
        <v>2</v>
      </c>
      <c r="D59" s="184">
        <v>-2</v>
      </c>
      <c r="E59" s="184">
        <v>0</v>
      </c>
      <c r="F59" s="184">
        <v>0</v>
      </c>
      <c r="G59" s="184">
        <v>0</v>
      </c>
      <c r="H59" s="186">
        <f t="shared" si="0"/>
        <v>0</v>
      </c>
    </row>
    <row r="60" spans="1:9" ht="12.75" customHeight="1">
      <c r="A60" s="182" t="s">
        <v>147</v>
      </c>
      <c r="B60" s="183" t="s">
        <v>148</v>
      </c>
      <c r="C60" s="184">
        <v>-29200</v>
      </c>
      <c r="D60" s="184">
        <v>45129</v>
      </c>
      <c r="E60" s="184">
        <v>-15929</v>
      </c>
      <c r="F60" s="184">
        <v>0</v>
      </c>
      <c r="G60" s="184">
        <v>0</v>
      </c>
      <c r="H60" s="186">
        <f t="shared" si="0"/>
        <v>0</v>
      </c>
    </row>
    <row r="61" spans="1:9" ht="12.75" customHeight="1">
      <c r="A61" s="182" t="s">
        <v>149</v>
      </c>
      <c r="B61" s="183" t="s">
        <v>150</v>
      </c>
      <c r="C61" s="184">
        <v>-2118</v>
      </c>
      <c r="D61" s="184">
        <v>-4949</v>
      </c>
      <c r="E61" s="184">
        <v>7067</v>
      </c>
      <c r="F61" s="184">
        <v>0</v>
      </c>
      <c r="G61" s="184">
        <v>0</v>
      </c>
      <c r="H61" s="186">
        <f t="shared" si="0"/>
        <v>0</v>
      </c>
    </row>
    <row r="62" spans="1:9" ht="12.75" customHeight="1">
      <c r="A62" s="182" t="s">
        <v>151</v>
      </c>
      <c r="B62" s="183" t="s">
        <v>152</v>
      </c>
      <c r="C62" s="184">
        <v>-1846</v>
      </c>
      <c r="D62" s="184">
        <v>440</v>
      </c>
      <c r="E62" s="198">
        <v>1406</v>
      </c>
      <c r="F62" s="198" t="s">
        <v>495</v>
      </c>
      <c r="G62" s="184" t="s">
        <v>495</v>
      </c>
      <c r="H62" s="186">
        <f t="shared" si="0"/>
        <v>0</v>
      </c>
      <c r="I62" s="187" t="s">
        <v>493</v>
      </c>
    </row>
    <row r="63" spans="1:9" ht="12.75" customHeight="1">
      <c r="A63" s="182" t="s">
        <v>155</v>
      </c>
      <c r="B63" s="183" t="s">
        <v>156</v>
      </c>
      <c r="C63" s="184">
        <v>-80580</v>
      </c>
      <c r="D63" s="184">
        <v>39007</v>
      </c>
      <c r="E63" s="184">
        <v>-82495</v>
      </c>
      <c r="F63" s="184">
        <v>-122526</v>
      </c>
      <c r="G63" s="184">
        <v>121338.8</v>
      </c>
      <c r="H63" s="186">
        <f t="shared" si="0"/>
        <v>-125255.2</v>
      </c>
    </row>
    <row r="64" spans="1:9" ht="12.75" customHeight="1">
      <c r="A64" s="182" t="s">
        <v>157</v>
      </c>
      <c r="B64" s="183" t="s">
        <v>158</v>
      </c>
      <c r="C64" s="184">
        <v>0</v>
      </c>
      <c r="D64" s="184">
        <v>0</v>
      </c>
      <c r="E64" s="184">
        <v>0</v>
      </c>
      <c r="F64" s="184">
        <v>0</v>
      </c>
      <c r="G64" s="184">
        <v>0</v>
      </c>
      <c r="H64" s="186">
        <f t="shared" si="0"/>
        <v>0</v>
      </c>
    </row>
    <row r="65" spans="1:11" ht="12.75" customHeight="1">
      <c r="A65" s="182" t="s">
        <v>159</v>
      </c>
      <c r="B65" s="183" t="s">
        <v>494</v>
      </c>
      <c r="C65" s="184">
        <v>20000</v>
      </c>
      <c r="D65" s="184">
        <v>0</v>
      </c>
      <c r="E65" s="184">
        <v>0</v>
      </c>
      <c r="F65" s="184">
        <v>-20000</v>
      </c>
      <c r="G65" s="184">
        <v>20000</v>
      </c>
      <c r="H65" s="186">
        <f t="shared" si="0"/>
        <v>20000</v>
      </c>
    </row>
    <row r="66" spans="1:11" ht="12.75" customHeight="1">
      <c r="A66" s="182" t="s">
        <v>161</v>
      </c>
      <c r="B66" s="183" t="s">
        <v>162</v>
      </c>
      <c r="C66" s="184">
        <v>-913</v>
      </c>
      <c r="D66" s="184">
        <v>913</v>
      </c>
      <c r="E66" s="184">
        <v>0</v>
      </c>
      <c r="F66" s="184">
        <v>0</v>
      </c>
      <c r="G66" s="184">
        <v>0</v>
      </c>
      <c r="H66" s="186">
        <f t="shared" si="0"/>
        <v>0</v>
      </c>
    </row>
    <row r="67" spans="1:11" ht="12.75" customHeight="1">
      <c r="A67" s="182" t="s">
        <v>163</v>
      </c>
      <c r="B67" s="183" t="s">
        <v>164</v>
      </c>
      <c r="C67" s="184">
        <v>-136679</v>
      </c>
      <c r="D67" s="184">
        <v>-9926</v>
      </c>
      <c r="E67" s="184">
        <v>146605</v>
      </c>
      <c r="F67" s="184">
        <v>0</v>
      </c>
      <c r="G67" s="184">
        <v>0</v>
      </c>
      <c r="H67" s="186">
        <f t="shared" si="0"/>
        <v>0</v>
      </c>
    </row>
    <row r="68" spans="1:11" ht="12.75" customHeight="1">
      <c r="A68" s="183" t="s">
        <v>369</v>
      </c>
    </row>
    <row r="70" spans="1:11" ht="12.75" customHeight="1">
      <c r="F70" s="227">
        <f>F74/F72-1</f>
        <v>-2.1807698889133365E-2</v>
      </c>
      <c r="G70" s="227">
        <f>G74/G72-1</f>
        <v>-2.085162175796107E-2</v>
      </c>
    </row>
    <row r="71" spans="1:11" ht="12.75" customHeight="1">
      <c r="A71" s="188" t="s">
        <v>370</v>
      </c>
      <c r="J71" s="183" t="s">
        <v>496</v>
      </c>
    </row>
    <row r="72" spans="1:11" ht="12.75" customHeight="1">
      <c r="A72" s="182" t="s">
        <v>174</v>
      </c>
      <c r="B72" s="183" t="s">
        <v>175</v>
      </c>
      <c r="D72" s="184">
        <v>-2904386</v>
      </c>
      <c r="E72" s="184">
        <v>-2904374</v>
      </c>
      <c r="F72" s="184">
        <v>-2863530</v>
      </c>
      <c r="G72" s="184">
        <v>-2860507</v>
      </c>
      <c r="H72" s="186">
        <f t="shared" ref="H72:H130" si="1">SUM(C72:G72)</f>
        <v>-11532797</v>
      </c>
      <c r="J72" s="187">
        <v>2868597.8599999994</v>
      </c>
      <c r="K72" s="228">
        <f>-J72+G72+F72+E72</f>
        <v>-11497008.859999999</v>
      </c>
    </row>
    <row r="73" spans="1:11" ht="12.75" customHeight="1">
      <c r="A73" s="182" t="s">
        <v>176</v>
      </c>
      <c r="B73" s="183" t="s">
        <v>177</v>
      </c>
      <c r="D73" s="184">
        <v>64137</v>
      </c>
      <c r="E73" s="184">
        <v>54882</v>
      </c>
      <c r="F73" s="184">
        <v>62447</v>
      </c>
      <c r="G73" s="184">
        <v>59646.21</v>
      </c>
      <c r="H73" s="186">
        <f t="shared" si="1"/>
        <v>241112.21</v>
      </c>
    </row>
    <row r="74" spans="1:11" ht="12.75" customHeight="1">
      <c r="A74" s="183" t="s">
        <v>381</v>
      </c>
      <c r="D74" s="184">
        <f>SUM(D72:D73)</f>
        <v>-2840249</v>
      </c>
      <c r="E74" s="184">
        <f>SUM(E72:E73)</f>
        <v>-2849492</v>
      </c>
      <c r="F74" s="184">
        <f>SUM(F72:F73)</f>
        <v>-2801083</v>
      </c>
      <c r="G74" s="184">
        <f>SUM(G72:G73)</f>
        <v>-2800860.79</v>
      </c>
      <c r="H74" s="186">
        <f t="shared" si="1"/>
        <v>-11291684.789999999</v>
      </c>
    </row>
    <row r="76" spans="1:11" ht="12.75" customHeight="1">
      <c r="A76" s="182" t="s">
        <v>182</v>
      </c>
      <c r="B76" s="183" t="s">
        <v>183</v>
      </c>
      <c r="D76" s="184">
        <v>-168131</v>
      </c>
      <c r="E76" s="184">
        <v>-172328</v>
      </c>
      <c r="F76" s="184">
        <v>-164913</v>
      </c>
      <c r="G76" s="184">
        <v>-163178</v>
      </c>
      <c r="H76" s="186">
        <f t="shared" si="1"/>
        <v>-668550</v>
      </c>
    </row>
    <row r="77" spans="1:11" ht="12.75" customHeight="1">
      <c r="A77" s="182" t="s">
        <v>184</v>
      </c>
      <c r="B77" s="183" t="s">
        <v>185</v>
      </c>
      <c r="D77" s="184">
        <v>21484</v>
      </c>
      <c r="E77" s="184">
        <v>10569</v>
      </c>
      <c r="F77" s="184">
        <v>5322</v>
      </c>
      <c r="G77" s="184">
        <v>6288.75</v>
      </c>
      <c r="H77" s="186">
        <f t="shared" si="1"/>
        <v>43663.75</v>
      </c>
    </row>
    <row r="78" spans="1:11" ht="12.75" customHeight="1">
      <c r="A78" s="182" t="s">
        <v>186</v>
      </c>
      <c r="B78" s="183" t="s">
        <v>187</v>
      </c>
      <c r="D78" s="184">
        <v>95892</v>
      </c>
      <c r="E78" s="184">
        <v>200668</v>
      </c>
      <c r="F78" s="184">
        <v>155500</v>
      </c>
      <c r="G78" s="184">
        <v>161869.1</v>
      </c>
      <c r="H78" s="186">
        <f t="shared" si="1"/>
        <v>613929.1</v>
      </c>
    </row>
    <row r="79" spans="1:11" ht="12.75" customHeight="1">
      <c r="A79" s="183" t="s">
        <v>382</v>
      </c>
      <c r="D79" s="184">
        <f>SUM(D76:D78)</f>
        <v>-50755</v>
      </c>
      <c r="E79" s="184">
        <f>SUM(E76:E78)</f>
        <v>38909</v>
      </c>
      <c r="F79" s="184">
        <f>SUM(F76:F78)</f>
        <v>-4091</v>
      </c>
      <c r="G79" s="184">
        <f>SUM(G76:G78)</f>
        <v>4979.8500000000058</v>
      </c>
      <c r="H79" s="186">
        <f t="shared" si="1"/>
        <v>-10957.149999999994</v>
      </c>
    </row>
    <row r="81" spans="1:9" ht="12.75" customHeight="1">
      <c r="A81" s="182" t="s">
        <v>198</v>
      </c>
      <c r="B81" s="183" t="s">
        <v>199</v>
      </c>
      <c r="D81" s="184">
        <v>123182</v>
      </c>
      <c r="E81" s="184">
        <v>122866</v>
      </c>
      <c r="F81" s="184">
        <v>121422</v>
      </c>
      <c r="G81" s="184">
        <v>121881.5</v>
      </c>
      <c r="H81" s="186">
        <f t="shared" si="1"/>
        <v>489351.5</v>
      </c>
    </row>
    <row r="82" spans="1:9" ht="12.75" customHeight="1">
      <c r="A82" s="183" t="s">
        <v>408</v>
      </c>
      <c r="D82" s="184">
        <f>SUM(D81)</f>
        <v>123182</v>
      </c>
      <c r="E82" s="184">
        <f>SUM(E81)</f>
        <v>122866</v>
      </c>
      <c r="F82" s="184">
        <f>SUM(F81)</f>
        <v>121422</v>
      </c>
      <c r="G82" s="184">
        <f>SUM(G81)</f>
        <v>121881.5</v>
      </c>
      <c r="H82" s="186">
        <f t="shared" si="1"/>
        <v>489351.5</v>
      </c>
    </row>
    <row r="84" spans="1:9" ht="12.75" customHeight="1">
      <c r="A84" s="182" t="s">
        <v>204</v>
      </c>
      <c r="B84" s="183" t="s">
        <v>205</v>
      </c>
      <c r="D84" s="184">
        <v>683661</v>
      </c>
      <c r="E84" s="184">
        <v>654502</v>
      </c>
      <c r="F84" s="184">
        <v>667313</v>
      </c>
      <c r="G84" s="184">
        <v>666766</v>
      </c>
      <c r="H84" s="186">
        <f t="shared" si="1"/>
        <v>2672242</v>
      </c>
    </row>
    <row r="85" spans="1:9" ht="12.75" customHeight="1">
      <c r="A85" s="182" t="s">
        <v>206</v>
      </c>
      <c r="B85" s="183" t="s">
        <v>207</v>
      </c>
      <c r="D85" s="184">
        <v>-812075</v>
      </c>
      <c r="E85" s="184">
        <v>-746028</v>
      </c>
      <c r="F85" s="184">
        <v>-1978183</v>
      </c>
      <c r="G85" s="184">
        <v>-222065</v>
      </c>
      <c r="H85" s="186">
        <f t="shared" si="1"/>
        <v>-3758351</v>
      </c>
    </row>
    <row r="86" spans="1:9" ht="12.75" customHeight="1">
      <c r="A86" s="183" t="s">
        <v>384</v>
      </c>
      <c r="D86" s="184">
        <f>SUM(D84:D85)</f>
        <v>-128414</v>
      </c>
      <c r="E86" s="184">
        <f>SUM(E84:E85)</f>
        <v>-91526</v>
      </c>
      <c r="F86" s="184">
        <f>SUM(F84:F85)</f>
        <v>-1310870</v>
      </c>
      <c r="G86" s="184">
        <f>SUM(G84:G85)</f>
        <v>444701</v>
      </c>
      <c r="H86" s="186">
        <f t="shared" si="1"/>
        <v>-1086109</v>
      </c>
    </row>
    <row r="88" spans="1:9" ht="12.75" customHeight="1">
      <c r="A88" s="182" t="s">
        <v>210</v>
      </c>
      <c r="B88" s="183" t="s">
        <v>211</v>
      </c>
      <c r="D88" s="184">
        <f>-68395+J4</f>
        <v>908655</v>
      </c>
      <c r="E88" s="184">
        <f>92418+K4</f>
        <v>264925</v>
      </c>
      <c r="F88" s="184">
        <f>194822+L4</f>
        <v>433307</v>
      </c>
      <c r="G88" s="184">
        <f>134619.1+M4</f>
        <v>364902.05000000005</v>
      </c>
      <c r="H88" s="186">
        <f t="shared" si="1"/>
        <v>1971789.05</v>
      </c>
    </row>
    <row r="89" spans="1:9" ht="12.75" customHeight="1">
      <c r="A89" s="182" t="s">
        <v>212</v>
      </c>
      <c r="B89" s="183" t="s">
        <v>213</v>
      </c>
      <c r="D89" s="184">
        <v>2047</v>
      </c>
      <c r="E89" s="198">
        <v>129402.5</v>
      </c>
      <c r="F89" s="198">
        <v>129402.5</v>
      </c>
      <c r="G89" s="184">
        <v>129402.5</v>
      </c>
      <c r="H89" s="186">
        <f>SUM(C89:G89)</f>
        <v>390254.5</v>
      </c>
      <c r="I89" s="187" t="s">
        <v>493</v>
      </c>
    </row>
    <row r="90" spans="1:9" ht="12.75" customHeight="1">
      <c r="A90" s="182" t="s">
        <v>214</v>
      </c>
      <c r="B90" s="183" t="s">
        <v>215</v>
      </c>
      <c r="D90" s="184">
        <v>80316</v>
      </c>
      <c r="E90" s="184">
        <v>83330</v>
      </c>
      <c r="F90" s="184">
        <v>80091</v>
      </c>
      <c r="G90" s="184">
        <v>84680.21</v>
      </c>
      <c r="H90" s="186">
        <f t="shared" si="1"/>
        <v>328417.21000000002</v>
      </c>
    </row>
    <row r="91" spans="1:9" ht="12.75" customHeight="1">
      <c r="A91" s="182" t="s">
        <v>216</v>
      </c>
      <c r="B91" s="183" t="s">
        <v>217</v>
      </c>
      <c r="D91" s="184">
        <f>52555+85763.82</f>
        <v>138318.82</v>
      </c>
      <c r="E91" s="184">
        <f>87859+85763.82</f>
        <v>173622.82</v>
      </c>
      <c r="F91" s="184">
        <v>157568</v>
      </c>
      <c r="G91" s="184">
        <v>107779.2</v>
      </c>
      <c r="H91" s="186">
        <f t="shared" si="1"/>
        <v>577288.84</v>
      </c>
    </row>
    <row r="92" spans="1:9" ht="12.75" customHeight="1">
      <c r="A92" s="182" t="s">
        <v>218</v>
      </c>
      <c r="B92" s="183" t="s">
        <v>219</v>
      </c>
      <c r="D92" s="184">
        <v>32352</v>
      </c>
      <c r="E92" s="184">
        <v>31087</v>
      </c>
      <c r="F92" s="184">
        <v>31441</v>
      </c>
      <c r="G92" s="184">
        <v>31288.14</v>
      </c>
      <c r="H92" s="186">
        <f t="shared" si="1"/>
        <v>126168.14</v>
      </c>
    </row>
    <row r="93" spans="1:9" ht="12.75" customHeight="1">
      <c r="A93" s="182" t="s">
        <v>220</v>
      </c>
      <c r="B93" s="183" t="s">
        <v>221</v>
      </c>
      <c r="D93" s="184">
        <v>19893</v>
      </c>
      <c r="E93" s="198">
        <f>18355+780</f>
        <v>19135</v>
      </c>
      <c r="F93" s="198">
        <f>1582+14862+69</f>
        <v>16513</v>
      </c>
      <c r="G93" s="184">
        <f>42842+9256-37236</f>
        <v>14862</v>
      </c>
      <c r="H93" s="186">
        <f t="shared" si="1"/>
        <v>70403</v>
      </c>
      <c r="I93" s="187" t="s">
        <v>491</v>
      </c>
    </row>
    <row r="94" spans="1:9" ht="12.75" customHeight="1">
      <c r="A94" s="182" t="s">
        <v>385</v>
      </c>
      <c r="B94" s="183" t="s">
        <v>386</v>
      </c>
      <c r="D94" s="184">
        <f>99369-34600</f>
        <v>64769</v>
      </c>
      <c r="E94" s="184">
        <v>-90</v>
      </c>
      <c r="F94" s="184">
        <v>-348</v>
      </c>
      <c r="G94" s="184">
        <v>0</v>
      </c>
      <c r="H94" s="186">
        <f t="shared" si="1"/>
        <v>64331</v>
      </c>
    </row>
    <row r="95" spans="1:9" ht="12.75" customHeight="1">
      <c r="A95" s="182" t="s">
        <v>431</v>
      </c>
      <c r="B95" s="183" t="s">
        <v>412</v>
      </c>
      <c r="D95" s="184">
        <v>0</v>
      </c>
      <c r="E95" s="184">
        <v>0</v>
      </c>
      <c r="F95" s="184">
        <v>0</v>
      </c>
      <c r="G95" s="184">
        <v>0</v>
      </c>
    </row>
    <row r="96" spans="1:9" ht="12.75" customHeight="1">
      <c r="A96" s="183" t="s">
        <v>387</v>
      </c>
      <c r="D96" s="184">
        <f>SUM(D88:D95)</f>
        <v>1246350.82</v>
      </c>
      <c r="E96" s="184">
        <f>SUM(E88:E95)</f>
        <v>701412.32000000007</v>
      </c>
      <c r="F96" s="184">
        <f>SUM(F88:F95)</f>
        <v>847974.5</v>
      </c>
      <c r="G96" s="184">
        <f>SUM(G88:G95)</f>
        <v>732914.1</v>
      </c>
      <c r="H96" s="186">
        <f t="shared" si="1"/>
        <v>3528651.74</v>
      </c>
    </row>
    <row r="98" spans="1:8" ht="12.75" customHeight="1">
      <c r="A98" s="182" t="s">
        <v>432</v>
      </c>
      <c r="B98" s="183" t="s">
        <v>433</v>
      </c>
      <c r="D98" s="184">
        <v>0</v>
      </c>
      <c r="E98" s="184">
        <v>0</v>
      </c>
      <c r="F98" s="184">
        <v>0</v>
      </c>
      <c r="G98" s="184">
        <v>0</v>
      </c>
      <c r="H98" s="186">
        <f t="shared" si="1"/>
        <v>0</v>
      </c>
    </row>
    <row r="99" spans="1:8" ht="12.75" customHeight="1">
      <c r="A99" s="182" t="s">
        <v>434</v>
      </c>
      <c r="B99" s="183" t="s">
        <v>413</v>
      </c>
      <c r="D99" s="184">
        <v>-23626</v>
      </c>
      <c r="E99" s="184">
        <v>0</v>
      </c>
      <c r="F99" s="184">
        <v>0</v>
      </c>
      <c r="G99" s="184">
        <v>0</v>
      </c>
      <c r="H99" s="186">
        <f t="shared" si="1"/>
        <v>-23626</v>
      </c>
    </row>
    <row r="100" spans="1:8" ht="12.75" customHeight="1">
      <c r="A100" s="182" t="s">
        <v>226</v>
      </c>
      <c r="B100" s="183" t="s">
        <v>227</v>
      </c>
      <c r="D100" s="184">
        <v>15255</v>
      </c>
      <c r="E100" s="184">
        <v>-90</v>
      </c>
      <c r="F100" s="184">
        <v>-2606</v>
      </c>
      <c r="G100" s="184">
        <v>461</v>
      </c>
      <c r="H100" s="186">
        <f>SUM(C100:G100)</f>
        <v>13020</v>
      </c>
    </row>
    <row r="101" spans="1:8" ht="12.75" customHeight="1">
      <c r="A101" s="183" t="s">
        <v>388</v>
      </c>
      <c r="D101" s="184">
        <f>SUM(D98:D100)</f>
        <v>-8371</v>
      </c>
      <c r="E101" s="184">
        <f>SUM(E98:E100)</f>
        <v>-90</v>
      </c>
      <c r="F101" s="184">
        <f>SUM(F98:F100)</f>
        <v>-2606</v>
      </c>
      <c r="G101" s="225">
        <f>SUM(G98:G100)</f>
        <v>461</v>
      </c>
      <c r="H101" s="186">
        <f t="shared" si="1"/>
        <v>-10606</v>
      </c>
    </row>
    <row r="103" spans="1:8" ht="12.75" customHeight="1">
      <c r="A103" s="182" t="s">
        <v>230</v>
      </c>
      <c r="B103" s="183" t="s">
        <v>231</v>
      </c>
      <c r="D103" s="184">
        <v>990</v>
      </c>
      <c r="E103" s="184">
        <v>0</v>
      </c>
      <c r="F103" s="184">
        <v>300</v>
      </c>
      <c r="G103" s="184">
        <v>300</v>
      </c>
      <c r="H103" s="186">
        <f t="shared" si="1"/>
        <v>1590</v>
      </c>
    </row>
    <row r="104" spans="1:8" ht="12.75" customHeight="1">
      <c r="A104" s="183" t="s">
        <v>389</v>
      </c>
      <c r="D104" s="184">
        <f>SUM(D103)</f>
        <v>990</v>
      </c>
      <c r="E104" s="184">
        <f>SUM(E103)</f>
        <v>0</v>
      </c>
      <c r="F104" s="184">
        <f>SUM(F103)</f>
        <v>300</v>
      </c>
      <c r="G104" s="225">
        <f>SUM(G103)</f>
        <v>300</v>
      </c>
      <c r="H104" s="186">
        <f t="shared" si="1"/>
        <v>1590</v>
      </c>
    </row>
    <row r="106" spans="1:8" ht="12.75" customHeight="1">
      <c r="A106" s="182" t="s">
        <v>435</v>
      </c>
      <c r="B106" s="183" t="s">
        <v>414</v>
      </c>
      <c r="D106" s="184">
        <v>0</v>
      </c>
      <c r="E106" s="184">
        <v>0</v>
      </c>
      <c r="F106" s="184">
        <v>0</v>
      </c>
      <c r="G106" s="184">
        <v>0</v>
      </c>
    </row>
    <row r="107" spans="1:8" ht="12.75" customHeight="1">
      <c r="A107" s="182" t="s">
        <v>234</v>
      </c>
      <c r="B107" s="183" t="s">
        <v>235</v>
      </c>
      <c r="D107" s="184">
        <v>22455</v>
      </c>
      <c r="E107" s="184">
        <v>25616</v>
      </c>
      <c r="F107" s="184">
        <v>28130</v>
      </c>
      <c r="G107" s="184">
        <v>28219.25</v>
      </c>
      <c r="H107" s="186">
        <f t="shared" si="1"/>
        <v>104420.25</v>
      </c>
    </row>
    <row r="108" spans="1:8" ht="12.75" customHeight="1">
      <c r="A108" s="182" t="s">
        <v>236</v>
      </c>
      <c r="B108" s="183" t="s">
        <v>237</v>
      </c>
      <c r="D108" s="184">
        <v>5445</v>
      </c>
      <c r="E108" s="184">
        <v>5445</v>
      </c>
      <c r="F108" s="184">
        <v>5445</v>
      </c>
      <c r="G108" s="184">
        <v>5445</v>
      </c>
      <c r="H108" s="186">
        <f t="shared" si="1"/>
        <v>21780</v>
      </c>
    </row>
    <row r="109" spans="1:8" ht="12.75" customHeight="1">
      <c r="A109" s="182" t="s">
        <v>238</v>
      </c>
      <c r="B109" s="183" t="s">
        <v>239</v>
      </c>
      <c r="D109" s="184">
        <v>6639</v>
      </c>
      <c r="E109" s="184">
        <v>31618</v>
      </c>
      <c r="F109" s="184">
        <v>31660</v>
      </c>
      <c r="G109" s="184">
        <v>61669.95</v>
      </c>
      <c r="H109" s="186">
        <f t="shared" si="1"/>
        <v>131586.95000000001</v>
      </c>
    </row>
    <row r="110" spans="1:8" ht="12.75" customHeight="1">
      <c r="A110" s="182" t="s">
        <v>240</v>
      </c>
      <c r="B110" s="183" t="s">
        <v>241</v>
      </c>
      <c r="D110" s="184">
        <v>0</v>
      </c>
      <c r="E110" s="184">
        <v>2420</v>
      </c>
      <c r="F110" s="184">
        <v>0</v>
      </c>
      <c r="G110" s="225">
        <v>2420</v>
      </c>
      <c r="H110" s="186">
        <f t="shared" si="1"/>
        <v>4840</v>
      </c>
    </row>
    <row r="111" spans="1:8" ht="12.75" customHeight="1">
      <c r="A111" s="182" t="s">
        <v>242</v>
      </c>
      <c r="B111" s="183" t="s">
        <v>243</v>
      </c>
      <c r="D111" s="184">
        <v>109673</v>
      </c>
      <c r="E111" s="184">
        <v>40646</v>
      </c>
      <c r="F111" s="184">
        <v>63411</v>
      </c>
      <c r="G111" s="184">
        <v>50119.65</v>
      </c>
      <c r="H111" s="186">
        <f t="shared" si="1"/>
        <v>263849.65000000002</v>
      </c>
    </row>
    <row r="112" spans="1:8" ht="12.75" customHeight="1">
      <c r="A112" s="182" t="s">
        <v>244</v>
      </c>
      <c r="B112" s="183" t="s">
        <v>245</v>
      </c>
      <c r="D112" s="184">
        <v>7035</v>
      </c>
      <c r="E112" s="184">
        <v>2261</v>
      </c>
      <c r="F112" s="184">
        <v>8170</v>
      </c>
      <c r="G112" s="225">
        <v>3422.05</v>
      </c>
      <c r="H112" s="186">
        <f t="shared" si="1"/>
        <v>20888.05</v>
      </c>
    </row>
    <row r="113" spans="1:8" ht="12.75" customHeight="1">
      <c r="A113" s="182" t="s">
        <v>246</v>
      </c>
      <c r="B113" s="183" t="s">
        <v>247</v>
      </c>
      <c r="D113" s="184">
        <v>0</v>
      </c>
      <c r="E113" s="184">
        <v>0</v>
      </c>
      <c r="F113" s="184">
        <v>0</v>
      </c>
      <c r="G113" s="184">
        <v>0</v>
      </c>
      <c r="H113" s="186">
        <f t="shared" si="1"/>
        <v>0</v>
      </c>
    </row>
    <row r="114" spans="1:8" ht="12" customHeight="1">
      <c r="A114" s="182" t="s">
        <v>248</v>
      </c>
      <c r="B114" s="183" t="s">
        <v>249</v>
      </c>
      <c r="D114" s="184">
        <v>3761</v>
      </c>
      <c r="E114" s="184">
        <v>2025</v>
      </c>
      <c r="F114" s="184">
        <f>1186-3</f>
        <v>1183</v>
      </c>
      <c r="G114" s="225">
        <v>6968.21</v>
      </c>
      <c r="H114" s="186">
        <f t="shared" si="1"/>
        <v>13937.21</v>
      </c>
    </row>
    <row r="115" spans="1:8" ht="12.75" customHeight="1">
      <c r="A115" s="182" t="s">
        <v>436</v>
      </c>
      <c r="B115" s="183" t="s">
        <v>437</v>
      </c>
      <c r="D115" s="184">
        <v>0</v>
      </c>
      <c r="E115" s="184">
        <v>0</v>
      </c>
      <c r="F115" s="184">
        <v>20000</v>
      </c>
      <c r="G115" s="184">
        <v>20000</v>
      </c>
      <c r="H115" s="186">
        <f t="shared" si="1"/>
        <v>40000</v>
      </c>
    </row>
    <row r="116" spans="1:8" ht="12.75" customHeight="1">
      <c r="A116" s="182" t="s">
        <v>250</v>
      </c>
      <c r="B116" s="183" t="s">
        <v>251</v>
      </c>
      <c r="D116" s="184">
        <v>-934</v>
      </c>
      <c r="E116" s="184">
        <v>-1065</v>
      </c>
      <c r="F116" s="184">
        <v>12363</v>
      </c>
      <c r="G116" s="225">
        <f>-9583+182</f>
        <v>-9401</v>
      </c>
      <c r="H116" s="186">
        <f t="shared" si="1"/>
        <v>963</v>
      </c>
    </row>
    <row r="117" spans="1:8" ht="12.75" customHeight="1">
      <c r="A117" s="183" t="s">
        <v>391</v>
      </c>
      <c r="D117" s="184">
        <f>SUM(D106:D116)</f>
        <v>154074</v>
      </c>
      <c r="E117" s="184">
        <f>SUM(E106:E116)</f>
        <v>108966</v>
      </c>
      <c r="F117" s="184">
        <f>SUM(F106:F116)</f>
        <v>170362</v>
      </c>
      <c r="G117" s="184">
        <f>SUM(G106:G116)</f>
        <v>168863.11</v>
      </c>
      <c r="H117" s="186">
        <f t="shared" si="1"/>
        <v>602265.11</v>
      </c>
    </row>
    <row r="118" spans="1:8" ht="12.75" customHeight="1">
      <c r="E118" s="184">
        <v>0</v>
      </c>
      <c r="H118" s="186">
        <f t="shared" si="1"/>
        <v>0</v>
      </c>
    </row>
    <row r="119" spans="1:8" ht="12.75" customHeight="1">
      <c r="A119" s="182" t="s">
        <v>260</v>
      </c>
      <c r="B119" s="183" t="s">
        <v>261</v>
      </c>
      <c r="D119" s="184">
        <v>442928</v>
      </c>
      <c r="E119" s="184">
        <v>425610</v>
      </c>
      <c r="F119" s="184">
        <v>424302</v>
      </c>
      <c r="G119" s="184">
        <v>420037.6</v>
      </c>
      <c r="H119" s="186">
        <f t="shared" si="1"/>
        <v>1712877.6</v>
      </c>
    </row>
    <row r="120" spans="1:8" ht="12.75" customHeight="1">
      <c r="A120" s="182">
        <v>4611000</v>
      </c>
      <c r="B120" s="183" t="s">
        <v>477</v>
      </c>
      <c r="D120" s="184">
        <v>70373</v>
      </c>
      <c r="E120" s="184">
        <v>0</v>
      </c>
      <c r="F120" s="184">
        <v>0</v>
      </c>
      <c r="G120" s="184">
        <v>0</v>
      </c>
      <c r="H120" s="186">
        <f t="shared" si="1"/>
        <v>70373</v>
      </c>
    </row>
    <row r="121" spans="1:8" ht="12.75" customHeight="1">
      <c r="A121" s="182">
        <v>4630000</v>
      </c>
      <c r="B121" s="183" t="s">
        <v>265</v>
      </c>
      <c r="D121" s="184">
        <v>0</v>
      </c>
      <c r="E121" s="184">
        <v>0</v>
      </c>
      <c r="F121" s="184">
        <v>0</v>
      </c>
      <c r="G121" s="184">
        <v>0</v>
      </c>
      <c r="H121" s="186">
        <f t="shared" si="1"/>
        <v>0</v>
      </c>
    </row>
    <row r="122" spans="1:8" ht="12.75" customHeight="1">
      <c r="A122" s="182" t="s">
        <v>266</v>
      </c>
      <c r="B122" s="183" t="s">
        <v>267</v>
      </c>
      <c r="D122" s="184">
        <v>105740</v>
      </c>
      <c r="E122" s="184">
        <v>102784</v>
      </c>
      <c r="F122" s="184">
        <v>103265</v>
      </c>
      <c r="G122" s="184">
        <v>103625.3</v>
      </c>
      <c r="H122" s="186">
        <f t="shared" si="1"/>
        <v>415414.3</v>
      </c>
    </row>
    <row r="123" spans="1:8" ht="12.75" customHeight="1">
      <c r="A123" s="182">
        <v>4642000</v>
      </c>
      <c r="B123" s="183" t="s">
        <v>462</v>
      </c>
      <c r="D123" s="184">
        <v>0</v>
      </c>
      <c r="E123" s="184">
        <v>0</v>
      </c>
      <c r="F123" s="184">
        <v>3574</v>
      </c>
      <c r="G123" s="184">
        <v>0</v>
      </c>
      <c r="H123" s="186">
        <f t="shared" si="1"/>
        <v>3574</v>
      </c>
    </row>
    <row r="124" spans="1:8" ht="12.75" customHeight="1">
      <c r="A124" s="182" t="s">
        <v>393</v>
      </c>
      <c r="D124" s="184">
        <f>SUM(D119:D123)</f>
        <v>619041</v>
      </c>
      <c r="E124" s="184">
        <f>SUM(E119:E123)</f>
        <v>528394</v>
      </c>
      <c r="F124" s="184">
        <f>SUM(F119:F123)</f>
        <v>531141</v>
      </c>
      <c r="G124" s="184">
        <f>SUM(G119:G123)</f>
        <v>523662.89999999997</v>
      </c>
      <c r="H124" s="186">
        <f>SUM(C124:G124)</f>
        <v>2202238.9</v>
      </c>
    </row>
    <row r="125" spans="1:8" ht="12.75" customHeight="1">
      <c r="H125" s="186">
        <f t="shared" si="1"/>
        <v>0</v>
      </c>
    </row>
    <row r="126" spans="1:8" ht="12.75" customHeight="1">
      <c r="A126" s="182">
        <v>9500000</v>
      </c>
      <c r="B126" s="183" t="s">
        <v>456</v>
      </c>
      <c r="D126" s="184">
        <v>0</v>
      </c>
      <c r="E126" s="184">
        <v>0</v>
      </c>
      <c r="F126" s="184">
        <v>0</v>
      </c>
      <c r="G126" s="184">
        <v>0</v>
      </c>
      <c r="H126" s="186">
        <f t="shared" si="1"/>
        <v>0</v>
      </c>
    </row>
    <row r="127" spans="1:8" ht="12.75" customHeight="1">
      <c r="A127" s="182" t="s">
        <v>272</v>
      </c>
      <c r="B127" s="183" t="s">
        <v>273</v>
      </c>
      <c r="D127" s="184">
        <f>1906131-631191</f>
        <v>1274940</v>
      </c>
      <c r="E127" s="184">
        <v>0</v>
      </c>
      <c r="F127" s="184">
        <v>0</v>
      </c>
      <c r="G127" s="184">
        <v>0</v>
      </c>
      <c r="H127" s="186">
        <f>SUM(C127:G127)</f>
        <v>1274940</v>
      </c>
    </row>
    <row r="128" spans="1:8" ht="12.75" customHeight="1">
      <c r="A128" s="182">
        <v>9500100</v>
      </c>
      <c r="B128" s="183" t="s">
        <v>438</v>
      </c>
      <c r="D128" s="184">
        <v>-53597</v>
      </c>
      <c r="E128" s="184">
        <v>-142740</v>
      </c>
      <c r="F128" s="184">
        <v>-120923</v>
      </c>
      <c r="G128" s="184">
        <v>-161798</v>
      </c>
      <c r="H128" s="186">
        <f t="shared" si="1"/>
        <v>-479058</v>
      </c>
    </row>
    <row r="129" spans="1:9" ht="12.75" customHeight="1">
      <c r="A129" s="182" t="s">
        <v>439</v>
      </c>
      <c r="C129" s="185"/>
      <c r="D129" s="208">
        <f>SUM(D126:D128)</f>
        <v>1221343</v>
      </c>
      <c r="E129" s="208">
        <f>SUM(E126:E128)</f>
        <v>-142740</v>
      </c>
      <c r="F129" s="208">
        <f>SUM(F126:F128)</f>
        <v>-120923</v>
      </c>
      <c r="G129" s="208">
        <f>SUM(G126:G128)-2</f>
        <v>-161800</v>
      </c>
      <c r="H129" s="186">
        <f t="shared" si="1"/>
        <v>795880</v>
      </c>
    </row>
    <row r="130" spans="1:9" ht="12.75" customHeight="1">
      <c r="H130" s="186">
        <f t="shared" si="1"/>
        <v>0</v>
      </c>
    </row>
    <row r="131" spans="1:9" ht="12.75" customHeight="1">
      <c r="A131" s="183" t="s">
        <v>440</v>
      </c>
      <c r="D131" s="184">
        <f>D74+D79+D82+D86+D96+D101+D104+D117+D124+D129</f>
        <v>337191.82000000007</v>
      </c>
      <c r="E131" s="184">
        <f>E74+E79+E82+E86+E96+E101+E104+E117+E124+E129</f>
        <v>-1583300.68</v>
      </c>
      <c r="F131" s="184">
        <f>F74+F79+F82+F86+F96+F101+F104+F117+F124+F129</f>
        <v>-2568373.5</v>
      </c>
      <c r="G131" s="184">
        <f>G74+G79+G82+G86+G96+G101+G104+G117+G124+G129</f>
        <v>-964897.33000000007</v>
      </c>
      <c r="H131" s="186">
        <f>SUM(C131:G131)</f>
        <v>-4779379.6899999995</v>
      </c>
    </row>
    <row r="133" spans="1:9" ht="12.75" customHeight="1">
      <c r="C133" s="195"/>
      <c r="D133" s="195">
        <f>SUM(D4:D68)+D131</f>
        <v>-0.3599999999278225</v>
      </c>
      <c r="E133" s="195">
        <f>SUM(E4:E68)+E131</f>
        <v>-1.0000000009313226E-2</v>
      </c>
      <c r="F133" s="195">
        <f>SUM(F4:F68)+F131</f>
        <v>-9.9999997764825821E-3</v>
      </c>
      <c r="G133" s="195">
        <f>SUM(G4:G68)+G131</f>
        <v>-0.48999999999068677</v>
      </c>
      <c r="H133" s="217">
        <f>SUM(H4:H68)+H131</f>
        <v>-0.86999998986721039</v>
      </c>
    </row>
    <row r="134" spans="1:9" ht="12.75" customHeight="1">
      <c r="I134" s="214"/>
    </row>
    <row r="135" spans="1:9" ht="12.75" customHeight="1">
      <c r="I135" s="214"/>
    </row>
    <row r="136" spans="1:9" ht="12.75" customHeight="1">
      <c r="I136" s="214"/>
    </row>
    <row r="137" spans="1:9" ht="12.75" customHeight="1">
      <c r="I137" s="214"/>
    </row>
    <row r="138" spans="1:9" ht="12.75" customHeight="1">
      <c r="I138" s="214"/>
    </row>
    <row r="139" spans="1:9" ht="12.75" customHeight="1">
      <c r="I139" s="214"/>
    </row>
    <row r="140" spans="1:9" ht="12.75" customHeight="1">
      <c r="I140" s="214"/>
    </row>
    <row r="141" spans="1:9" ht="12.75" customHeight="1">
      <c r="I141" s="214"/>
    </row>
    <row r="142" spans="1:9" ht="12.75" customHeight="1">
      <c r="I142" s="214"/>
    </row>
  </sheetData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825B-CE41-405D-8895-A03E6D84AE74}"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defaultRowHeight="12.75" customHeight="1"/>
  <cols>
    <col min="1" max="1" width="21.109375" style="182" bestFit="1" customWidth="1"/>
    <col min="2" max="2" width="70" style="183" bestFit="1" customWidth="1"/>
    <col min="3" max="3" width="24.5546875" style="184" bestFit="1" customWidth="1"/>
    <col min="4" max="7" width="22.44140625" style="184" customWidth="1"/>
    <col min="8" max="8" width="19.44140625" style="186" bestFit="1" customWidth="1"/>
    <col min="9" max="13" width="9.109375" style="183"/>
    <col min="14" max="14" width="17.33203125" style="183" bestFit="1" customWidth="1"/>
    <col min="15" max="256" width="9.109375" style="183"/>
    <col min="257" max="257" width="21.109375" style="183" bestFit="1" customWidth="1"/>
    <col min="258" max="258" width="70" style="183" bestFit="1" customWidth="1"/>
    <col min="259" max="259" width="24.5546875" style="183" bestFit="1" customWidth="1"/>
    <col min="260" max="263" width="22.44140625" style="183" customWidth="1"/>
    <col min="264" max="264" width="19.44140625" style="183" bestFit="1" customWidth="1"/>
    <col min="265" max="512" width="9.109375" style="183"/>
    <col min="513" max="513" width="21.109375" style="183" bestFit="1" customWidth="1"/>
    <col min="514" max="514" width="70" style="183" bestFit="1" customWidth="1"/>
    <col min="515" max="515" width="24.5546875" style="183" bestFit="1" customWidth="1"/>
    <col min="516" max="519" width="22.44140625" style="183" customWidth="1"/>
    <col min="520" max="520" width="19.44140625" style="183" bestFit="1" customWidth="1"/>
    <col min="521" max="768" width="9.109375" style="183"/>
    <col min="769" max="769" width="21.109375" style="183" bestFit="1" customWidth="1"/>
    <col min="770" max="770" width="70" style="183" bestFit="1" customWidth="1"/>
    <col min="771" max="771" width="24.5546875" style="183" bestFit="1" customWidth="1"/>
    <col min="772" max="775" width="22.44140625" style="183" customWidth="1"/>
    <col min="776" max="776" width="19.44140625" style="183" bestFit="1" customWidth="1"/>
    <col min="777" max="1024" width="9.109375" style="183"/>
    <col min="1025" max="1025" width="21.109375" style="183" bestFit="1" customWidth="1"/>
    <col min="1026" max="1026" width="70" style="183" bestFit="1" customWidth="1"/>
    <col min="1027" max="1027" width="24.5546875" style="183" bestFit="1" customWidth="1"/>
    <col min="1028" max="1031" width="22.44140625" style="183" customWidth="1"/>
    <col min="1032" max="1032" width="19.44140625" style="183" bestFit="1" customWidth="1"/>
    <col min="1033" max="1280" width="9.109375" style="183"/>
    <col min="1281" max="1281" width="21.109375" style="183" bestFit="1" customWidth="1"/>
    <col min="1282" max="1282" width="70" style="183" bestFit="1" customWidth="1"/>
    <col min="1283" max="1283" width="24.5546875" style="183" bestFit="1" customWidth="1"/>
    <col min="1284" max="1287" width="22.44140625" style="183" customWidth="1"/>
    <col min="1288" max="1288" width="19.44140625" style="183" bestFit="1" customWidth="1"/>
    <col min="1289" max="1536" width="9.109375" style="183"/>
    <col min="1537" max="1537" width="21.109375" style="183" bestFit="1" customWidth="1"/>
    <col min="1538" max="1538" width="70" style="183" bestFit="1" customWidth="1"/>
    <col min="1539" max="1539" width="24.5546875" style="183" bestFit="1" customWidth="1"/>
    <col min="1540" max="1543" width="22.44140625" style="183" customWidth="1"/>
    <col min="1544" max="1544" width="19.44140625" style="183" bestFit="1" customWidth="1"/>
    <col min="1545" max="1792" width="9.109375" style="183"/>
    <col min="1793" max="1793" width="21.109375" style="183" bestFit="1" customWidth="1"/>
    <col min="1794" max="1794" width="70" style="183" bestFit="1" customWidth="1"/>
    <col min="1795" max="1795" width="24.5546875" style="183" bestFit="1" customWidth="1"/>
    <col min="1796" max="1799" width="22.44140625" style="183" customWidth="1"/>
    <col min="1800" max="1800" width="19.44140625" style="183" bestFit="1" customWidth="1"/>
    <col min="1801" max="2048" width="9.109375" style="183"/>
    <col min="2049" max="2049" width="21.109375" style="183" bestFit="1" customWidth="1"/>
    <col min="2050" max="2050" width="70" style="183" bestFit="1" customWidth="1"/>
    <col min="2051" max="2051" width="24.5546875" style="183" bestFit="1" customWidth="1"/>
    <col min="2052" max="2055" width="22.44140625" style="183" customWidth="1"/>
    <col min="2056" max="2056" width="19.44140625" style="183" bestFit="1" customWidth="1"/>
    <col min="2057" max="2304" width="9.109375" style="183"/>
    <col min="2305" max="2305" width="21.109375" style="183" bestFit="1" customWidth="1"/>
    <col min="2306" max="2306" width="70" style="183" bestFit="1" customWidth="1"/>
    <col min="2307" max="2307" width="24.5546875" style="183" bestFit="1" customWidth="1"/>
    <col min="2308" max="2311" width="22.44140625" style="183" customWidth="1"/>
    <col min="2312" max="2312" width="19.44140625" style="183" bestFit="1" customWidth="1"/>
    <col min="2313" max="2560" width="9.109375" style="183"/>
    <col min="2561" max="2561" width="21.109375" style="183" bestFit="1" customWidth="1"/>
    <col min="2562" max="2562" width="70" style="183" bestFit="1" customWidth="1"/>
    <col min="2563" max="2563" width="24.5546875" style="183" bestFit="1" customWidth="1"/>
    <col min="2564" max="2567" width="22.44140625" style="183" customWidth="1"/>
    <col min="2568" max="2568" width="19.44140625" style="183" bestFit="1" customWidth="1"/>
    <col min="2569" max="2816" width="9.109375" style="183"/>
    <col min="2817" max="2817" width="21.109375" style="183" bestFit="1" customWidth="1"/>
    <col min="2818" max="2818" width="70" style="183" bestFit="1" customWidth="1"/>
    <col min="2819" max="2819" width="24.5546875" style="183" bestFit="1" customWidth="1"/>
    <col min="2820" max="2823" width="22.44140625" style="183" customWidth="1"/>
    <col min="2824" max="2824" width="19.44140625" style="183" bestFit="1" customWidth="1"/>
    <col min="2825" max="3072" width="9.109375" style="183"/>
    <col min="3073" max="3073" width="21.109375" style="183" bestFit="1" customWidth="1"/>
    <col min="3074" max="3074" width="70" style="183" bestFit="1" customWidth="1"/>
    <col min="3075" max="3075" width="24.5546875" style="183" bestFit="1" customWidth="1"/>
    <col min="3076" max="3079" width="22.44140625" style="183" customWidth="1"/>
    <col min="3080" max="3080" width="19.44140625" style="183" bestFit="1" customWidth="1"/>
    <col min="3081" max="3328" width="9.109375" style="183"/>
    <col min="3329" max="3329" width="21.109375" style="183" bestFit="1" customWidth="1"/>
    <col min="3330" max="3330" width="70" style="183" bestFit="1" customWidth="1"/>
    <col min="3331" max="3331" width="24.5546875" style="183" bestFit="1" customWidth="1"/>
    <col min="3332" max="3335" width="22.44140625" style="183" customWidth="1"/>
    <col min="3336" max="3336" width="19.44140625" style="183" bestFit="1" customWidth="1"/>
    <col min="3337" max="3584" width="9.109375" style="183"/>
    <col min="3585" max="3585" width="21.109375" style="183" bestFit="1" customWidth="1"/>
    <col min="3586" max="3586" width="70" style="183" bestFit="1" customWidth="1"/>
    <col min="3587" max="3587" width="24.5546875" style="183" bestFit="1" customWidth="1"/>
    <col min="3588" max="3591" width="22.44140625" style="183" customWidth="1"/>
    <col min="3592" max="3592" width="19.44140625" style="183" bestFit="1" customWidth="1"/>
    <col min="3593" max="3840" width="9.109375" style="183"/>
    <col min="3841" max="3841" width="21.109375" style="183" bestFit="1" customWidth="1"/>
    <col min="3842" max="3842" width="70" style="183" bestFit="1" customWidth="1"/>
    <col min="3843" max="3843" width="24.5546875" style="183" bestFit="1" customWidth="1"/>
    <col min="3844" max="3847" width="22.44140625" style="183" customWidth="1"/>
    <col min="3848" max="3848" width="19.44140625" style="183" bestFit="1" customWidth="1"/>
    <col min="3849" max="4096" width="9.109375" style="183"/>
    <col min="4097" max="4097" width="21.109375" style="183" bestFit="1" customWidth="1"/>
    <col min="4098" max="4098" width="70" style="183" bestFit="1" customWidth="1"/>
    <col min="4099" max="4099" width="24.5546875" style="183" bestFit="1" customWidth="1"/>
    <col min="4100" max="4103" width="22.44140625" style="183" customWidth="1"/>
    <col min="4104" max="4104" width="19.44140625" style="183" bestFit="1" customWidth="1"/>
    <col min="4105" max="4352" width="9.109375" style="183"/>
    <col min="4353" max="4353" width="21.109375" style="183" bestFit="1" customWidth="1"/>
    <col min="4354" max="4354" width="70" style="183" bestFit="1" customWidth="1"/>
    <col min="4355" max="4355" width="24.5546875" style="183" bestFit="1" customWidth="1"/>
    <col min="4356" max="4359" width="22.44140625" style="183" customWidth="1"/>
    <col min="4360" max="4360" width="19.44140625" style="183" bestFit="1" customWidth="1"/>
    <col min="4361" max="4608" width="9.109375" style="183"/>
    <col min="4609" max="4609" width="21.109375" style="183" bestFit="1" customWidth="1"/>
    <col min="4610" max="4610" width="70" style="183" bestFit="1" customWidth="1"/>
    <col min="4611" max="4611" width="24.5546875" style="183" bestFit="1" customWidth="1"/>
    <col min="4612" max="4615" width="22.44140625" style="183" customWidth="1"/>
    <col min="4616" max="4616" width="19.44140625" style="183" bestFit="1" customWidth="1"/>
    <col min="4617" max="4864" width="9.109375" style="183"/>
    <col min="4865" max="4865" width="21.109375" style="183" bestFit="1" customWidth="1"/>
    <col min="4866" max="4866" width="70" style="183" bestFit="1" customWidth="1"/>
    <col min="4867" max="4867" width="24.5546875" style="183" bestFit="1" customWidth="1"/>
    <col min="4868" max="4871" width="22.44140625" style="183" customWidth="1"/>
    <col min="4872" max="4872" width="19.44140625" style="183" bestFit="1" customWidth="1"/>
    <col min="4873" max="5120" width="9.109375" style="183"/>
    <col min="5121" max="5121" width="21.109375" style="183" bestFit="1" customWidth="1"/>
    <col min="5122" max="5122" width="70" style="183" bestFit="1" customWidth="1"/>
    <col min="5123" max="5123" width="24.5546875" style="183" bestFit="1" customWidth="1"/>
    <col min="5124" max="5127" width="22.44140625" style="183" customWidth="1"/>
    <col min="5128" max="5128" width="19.44140625" style="183" bestFit="1" customWidth="1"/>
    <col min="5129" max="5376" width="9.109375" style="183"/>
    <col min="5377" max="5377" width="21.109375" style="183" bestFit="1" customWidth="1"/>
    <col min="5378" max="5378" width="70" style="183" bestFit="1" customWidth="1"/>
    <col min="5379" max="5379" width="24.5546875" style="183" bestFit="1" customWidth="1"/>
    <col min="5380" max="5383" width="22.44140625" style="183" customWidth="1"/>
    <col min="5384" max="5384" width="19.44140625" style="183" bestFit="1" customWidth="1"/>
    <col min="5385" max="5632" width="9.109375" style="183"/>
    <col min="5633" max="5633" width="21.109375" style="183" bestFit="1" customWidth="1"/>
    <col min="5634" max="5634" width="70" style="183" bestFit="1" customWidth="1"/>
    <col min="5635" max="5635" width="24.5546875" style="183" bestFit="1" customWidth="1"/>
    <col min="5636" max="5639" width="22.44140625" style="183" customWidth="1"/>
    <col min="5640" max="5640" width="19.44140625" style="183" bestFit="1" customWidth="1"/>
    <col min="5641" max="5888" width="9.109375" style="183"/>
    <col min="5889" max="5889" width="21.109375" style="183" bestFit="1" customWidth="1"/>
    <col min="5890" max="5890" width="70" style="183" bestFit="1" customWidth="1"/>
    <col min="5891" max="5891" width="24.5546875" style="183" bestFit="1" customWidth="1"/>
    <col min="5892" max="5895" width="22.44140625" style="183" customWidth="1"/>
    <col min="5896" max="5896" width="19.44140625" style="183" bestFit="1" customWidth="1"/>
    <col min="5897" max="6144" width="9.109375" style="183"/>
    <col min="6145" max="6145" width="21.109375" style="183" bestFit="1" customWidth="1"/>
    <col min="6146" max="6146" width="70" style="183" bestFit="1" customWidth="1"/>
    <col min="6147" max="6147" width="24.5546875" style="183" bestFit="1" customWidth="1"/>
    <col min="6148" max="6151" width="22.44140625" style="183" customWidth="1"/>
    <col min="6152" max="6152" width="19.44140625" style="183" bestFit="1" customWidth="1"/>
    <col min="6153" max="6400" width="9.109375" style="183"/>
    <col min="6401" max="6401" width="21.109375" style="183" bestFit="1" customWidth="1"/>
    <col min="6402" max="6402" width="70" style="183" bestFit="1" customWidth="1"/>
    <col min="6403" max="6403" width="24.5546875" style="183" bestFit="1" customWidth="1"/>
    <col min="6404" max="6407" width="22.44140625" style="183" customWidth="1"/>
    <col min="6408" max="6408" width="19.44140625" style="183" bestFit="1" customWidth="1"/>
    <col min="6409" max="6656" width="9.109375" style="183"/>
    <col min="6657" max="6657" width="21.109375" style="183" bestFit="1" customWidth="1"/>
    <col min="6658" max="6658" width="70" style="183" bestFit="1" customWidth="1"/>
    <col min="6659" max="6659" width="24.5546875" style="183" bestFit="1" customWidth="1"/>
    <col min="6660" max="6663" width="22.44140625" style="183" customWidth="1"/>
    <col min="6664" max="6664" width="19.44140625" style="183" bestFit="1" customWidth="1"/>
    <col min="6665" max="6912" width="9.109375" style="183"/>
    <col min="6913" max="6913" width="21.109375" style="183" bestFit="1" customWidth="1"/>
    <col min="6914" max="6914" width="70" style="183" bestFit="1" customWidth="1"/>
    <col min="6915" max="6915" width="24.5546875" style="183" bestFit="1" customWidth="1"/>
    <col min="6916" max="6919" width="22.44140625" style="183" customWidth="1"/>
    <col min="6920" max="6920" width="19.44140625" style="183" bestFit="1" customWidth="1"/>
    <col min="6921" max="7168" width="9.109375" style="183"/>
    <col min="7169" max="7169" width="21.109375" style="183" bestFit="1" customWidth="1"/>
    <col min="7170" max="7170" width="70" style="183" bestFit="1" customWidth="1"/>
    <col min="7171" max="7171" width="24.5546875" style="183" bestFit="1" customWidth="1"/>
    <col min="7172" max="7175" width="22.44140625" style="183" customWidth="1"/>
    <col min="7176" max="7176" width="19.44140625" style="183" bestFit="1" customWidth="1"/>
    <col min="7177" max="7424" width="9.109375" style="183"/>
    <col min="7425" max="7425" width="21.109375" style="183" bestFit="1" customWidth="1"/>
    <col min="7426" max="7426" width="70" style="183" bestFit="1" customWidth="1"/>
    <col min="7427" max="7427" width="24.5546875" style="183" bestFit="1" customWidth="1"/>
    <col min="7428" max="7431" width="22.44140625" style="183" customWidth="1"/>
    <col min="7432" max="7432" width="19.44140625" style="183" bestFit="1" customWidth="1"/>
    <col min="7433" max="7680" width="9.109375" style="183"/>
    <col min="7681" max="7681" width="21.109375" style="183" bestFit="1" customWidth="1"/>
    <col min="7682" max="7682" width="70" style="183" bestFit="1" customWidth="1"/>
    <col min="7683" max="7683" width="24.5546875" style="183" bestFit="1" customWidth="1"/>
    <col min="7684" max="7687" width="22.44140625" style="183" customWidth="1"/>
    <col min="7688" max="7688" width="19.44140625" style="183" bestFit="1" customWidth="1"/>
    <col min="7689" max="7936" width="9.109375" style="183"/>
    <col min="7937" max="7937" width="21.109375" style="183" bestFit="1" customWidth="1"/>
    <col min="7938" max="7938" width="70" style="183" bestFit="1" customWidth="1"/>
    <col min="7939" max="7939" width="24.5546875" style="183" bestFit="1" customWidth="1"/>
    <col min="7940" max="7943" width="22.44140625" style="183" customWidth="1"/>
    <col min="7944" max="7944" width="19.44140625" style="183" bestFit="1" customWidth="1"/>
    <col min="7945" max="8192" width="9.109375" style="183"/>
    <col min="8193" max="8193" width="21.109375" style="183" bestFit="1" customWidth="1"/>
    <col min="8194" max="8194" width="70" style="183" bestFit="1" customWidth="1"/>
    <col min="8195" max="8195" width="24.5546875" style="183" bestFit="1" customWidth="1"/>
    <col min="8196" max="8199" width="22.44140625" style="183" customWidth="1"/>
    <col min="8200" max="8200" width="19.44140625" style="183" bestFit="1" customWidth="1"/>
    <col min="8201" max="8448" width="9.109375" style="183"/>
    <col min="8449" max="8449" width="21.109375" style="183" bestFit="1" customWidth="1"/>
    <col min="8450" max="8450" width="70" style="183" bestFit="1" customWidth="1"/>
    <col min="8451" max="8451" width="24.5546875" style="183" bestFit="1" customWidth="1"/>
    <col min="8452" max="8455" width="22.44140625" style="183" customWidth="1"/>
    <col min="8456" max="8456" width="19.44140625" style="183" bestFit="1" customWidth="1"/>
    <col min="8457" max="8704" width="9.109375" style="183"/>
    <col min="8705" max="8705" width="21.109375" style="183" bestFit="1" customWidth="1"/>
    <col min="8706" max="8706" width="70" style="183" bestFit="1" customWidth="1"/>
    <col min="8707" max="8707" width="24.5546875" style="183" bestFit="1" customWidth="1"/>
    <col min="8708" max="8711" width="22.44140625" style="183" customWidth="1"/>
    <col min="8712" max="8712" width="19.44140625" style="183" bestFit="1" customWidth="1"/>
    <col min="8713" max="8960" width="9.109375" style="183"/>
    <col min="8961" max="8961" width="21.109375" style="183" bestFit="1" customWidth="1"/>
    <col min="8962" max="8962" width="70" style="183" bestFit="1" customWidth="1"/>
    <col min="8963" max="8963" width="24.5546875" style="183" bestFit="1" customWidth="1"/>
    <col min="8964" max="8967" width="22.44140625" style="183" customWidth="1"/>
    <col min="8968" max="8968" width="19.44140625" style="183" bestFit="1" customWidth="1"/>
    <col min="8969" max="9216" width="9.109375" style="183"/>
    <col min="9217" max="9217" width="21.109375" style="183" bestFit="1" customWidth="1"/>
    <col min="9218" max="9218" width="70" style="183" bestFit="1" customWidth="1"/>
    <col min="9219" max="9219" width="24.5546875" style="183" bestFit="1" customWidth="1"/>
    <col min="9220" max="9223" width="22.44140625" style="183" customWidth="1"/>
    <col min="9224" max="9224" width="19.44140625" style="183" bestFit="1" customWidth="1"/>
    <col min="9225" max="9472" width="9.109375" style="183"/>
    <col min="9473" max="9473" width="21.109375" style="183" bestFit="1" customWidth="1"/>
    <col min="9474" max="9474" width="70" style="183" bestFit="1" customWidth="1"/>
    <col min="9475" max="9475" width="24.5546875" style="183" bestFit="1" customWidth="1"/>
    <col min="9476" max="9479" width="22.44140625" style="183" customWidth="1"/>
    <col min="9480" max="9480" width="19.44140625" style="183" bestFit="1" customWidth="1"/>
    <col min="9481" max="9728" width="9.109375" style="183"/>
    <col min="9729" max="9729" width="21.109375" style="183" bestFit="1" customWidth="1"/>
    <col min="9730" max="9730" width="70" style="183" bestFit="1" customWidth="1"/>
    <col min="9731" max="9731" width="24.5546875" style="183" bestFit="1" customWidth="1"/>
    <col min="9732" max="9735" width="22.44140625" style="183" customWidth="1"/>
    <col min="9736" max="9736" width="19.44140625" style="183" bestFit="1" customWidth="1"/>
    <col min="9737" max="9984" width="9.109375" style="183"/>
    <col min="9985" max="9985" width="21.109375" style="183" bestFit="1" customWidth="1"/>
    <col min="9986" max="9986" width="70" style="183" bestFit="1" customWidth="1"/>
    <col min="9987" max="9987" width="24.5546875" style="183" bestFit="1" customWidth="1"/>
    <col min="9988" max="9991" width="22.44140625" style="183" customWidth="1"/>
    <col min="9992" max="9992" width="19.44140625" style="183" bestFit="1" customWidth="1"/>
    <col min="9993" max="10240" width="9.109375" style="183"/>
    <col min="10241" max="10241" width="21.109375" style="183" bestFit="1" customWidth="1"/>
    <col min="10242" max="10242" width="70" style="183" bestFit="1" customWidth="1"/>
    <col min="10243" max="10243" width="24.5546875" style="183" bestFit="1" customWidth="1"/>
    <col min="10244" max="10247" width="22.44140625" style="183" customWidth="1"/>
    <col min="10248" max="10248" width="19.44140625" style="183" bestFit="1" customWidth="1"/>
    <col min="10249" max="10496" width="9.109375" style="183"/>
    <col min="10497" max="10497" width="21.109375" style="183" bestFit="1" customWidth="1"/>
    <col min="10498" max="10498" width="70" style="183" bestFit="1" customWidth="1"/>
    <col min="10499" max="10499" width="24.5546875" style="183" bestFit="1" customWidth="1"/>
    <col min="10500" max="10503" width="22.44140625" style="183" customWidth="1"/>
    <col min="10504" max="10504" width="19.44140625" style="183" bestFit="1" customWidth="1"/>
    <col min="10505" max="10752" width="9.109375" style="183"/>
    <col min="10753" max="10753" width="21.109375" style="183" bestFit="1" customWidth="1"/>
    <col min="10754" max="10754" width="70" style="183" bestFit="1" customWidth="1"/>
    <col min="10755" max="10755" width="24.5546875" style="183" bestFit="1" customWidth="1"/>
    <col min="10756" max="10759" width="22.44140625" style="183" customWidth="1"/>
    <col min="10760" max="10760" width="19.44140625" style="183" bestFit="1" customWidth="1"/>
    <col min="10761" max="11008" width="9.109375" style="183"/>
    <col min="11009" max="11009" width="21.109375" style="183" bestFit="1" customWidth="1"/>
    <col min="11010" max="11010" width="70" style="183" bestFit="1" customWidth="1"/>
    <col min="11011" max="11011" width="24.5546875" style="183" bestFit="1" customWidth="1"/>
    <col min="11012" max="11015" width="22.44140625" style="183" customWidth="1"/>
    <col min="11016" max="11016" width="19.44140625" style="183" bestFit="1" customWidth="1"/>
    <col min="11017" max="11264" width="9.109375" style="183"/>
    <col min="11265" max="11265" width="21.109375" style="183" bestFit="1" customWidth="1"/>
    <col min="11266" max="11266" width="70" style="183" bestFit="1" customWidth="1"/>
    <col min="11267" max="11267" width="24.5546875" style="183" bestFit="1" customWidth="1"/>
    <col min="11268" max="11271" width="22.44140625" style="183" customWidth="1"/>
    <col min="11272" max="11272" width="19.44140625" style="183" bestFit="1" customWidth="1"/>
    <col min="11273" max="11520" width="9.109375" style="183"/>
    <col min="11521" max="11521" width="21.109375" style="183" bestFit="1" customWidth="1"/>
    <col min="11522" max="11522" width="70" style="183" bestFit="1" customWidth="1"/>
    <col min="11523" max="11523" width="24.5546875" style="183" bestFit="1" customWidth="1"/>
    <col min="11524" max="11527" width="22.44140625" style="183" customWidth="1"/>
    <col min="11528" max="11528" width="19.44140625" style="183" bestFit="1" customWidth="1"/>
    <col min="11529" max="11776" width="9.109375" style="183"/>
    <col min="11777" max="11777" width="21.109375" style="183" bestFit="1" customWidth="1"/>
    <col min="11778" max="11778" width="70" style="183" bestFit="1" customWidth="1"/>
    <col min="11779" max="11779" width="24.5546875" style="183" bestFit="1" customWidth="1"/>
    <col min="11780" max="11783" width="22.44140625" style="183" customWidth="1"/>
    <col min="11784" max="11784" width="19.44140625" style="183" bestFit="1" customWidth="1"/>
    <col min="11785" max="12032" width="9.109375" style="183"/>
    <col min="12033" max="12033" width="21.109375" style="183" bestFit="1" customWidth="1"/>
    <col min="12034" max="12034" width="70" style="183" bestFit="1" customWidth="1"/>
    <col min="12035" max="12035" width="24.5546875" style="183" bestFit="1" customWidth="1"/>
    <col min="12036" max="12039" width="22.44140625" style="183" customWidth="1"/>
    <col min="12040" max="12040" width="19.44140625" style="183" bestFit="1" customWidth="1"/>
    <col min="12041" max="12288" width="9.109375" style="183"/>
    <col min="12289" max="12289" width="21.109375" style="183" bestFit="1" customWidth="1"/>
    <col min="12290" max="12290" width="70" style="183" bestFit="1" customWidth="1"/>
    <col min="12291" max="12291" width="24.5546875" style="183" bestFit="1" customWidth="1"/>
    <col min="12292" max="12295" width="22.44140625" style="183" customWidth="1"/>
    <col min="12296" max="12296" width="19.44140625" style="183" bestFit="1" customWidth="1"/>
    <col min="12297" max="12544" width="9.109375" style="183"/>
    <col min="12545" max="12545" width="21.109375" style="183" bestFit="1" customWidth="1"/>
    <col min="12546" max="12546" width="70" style="183" bestFit="1" customWidth="1"/>
    <col min="12547" max="12547" width="24.5546875" style="183" bestFit="1" customWidth="1"/>
    <col min="12548" max="12551" width="22.44140625" style="183" customWidth="1"/>
    <col min="12552" max="12552" width="19.44140625" style="183" bestFit="1" customWidth="1"/>
    <col min="12553" max="12800" width="9.109375" style="183"/>
    <col min="12801" max="12801" width="21.109375" style="183" bestFit="1" customWidth="1"/>
    <col min="12802" max="12802" width="70" style="183" bestFit="1" customWidth="1"/>
    <col min="12803" max="12803" width="24.5546875" style="183" bestFit="1" customWidth="1"/>
    <col min="12804" max="12807" width="22.44140625" style="183" customWidth="1"/>
    <col min="12808" max="12808" width="19.44140625" style="183" bestFit="1" customWidth="1"/>
    <col min="12809" max="13056" width="9.109375" style="183"/>
    <col min="13057" max="13057" width="21.109375" style="183" bestFit="1" customWidth="1"/>
    <col min="13058" max="13058" width="70" style="183" bestFit="1" customWidth="1"/>
    <col min="13059" max="13059" width="24.5546875" style="183" bestFit="1" customWidth="1"/>
    <col min="13060" max="13063" width="22.44140625" style="183" customWidth="1"/>
    <col min="13064" max="13064" width="19.44140625" style="183" bestFit="1" customWidth="1"/>
    <col min="13065" max="13312" width="9.109375" style="183"/>
    <col min="13313" max="13313" width="21.109375" style="183" bestFit="1" customWidth="1"/>
    <col min="13314" max="13314" width="70" style="183" bestFit="1" customWidth="1"/>
    <col min="13315" max="13315" width="24.5546875" style="183" bestFit="1" customWidth="1"/>
    <col min="13316" max="13319" width="22.44140625" style="183" customWidth="1"/>
    <col min="13320" max="13320" width="19.44140625" style="183" bestFit="1" customWidth="1"/>
    <col min="13321" max="13568" width="9.109375" style="183"/>
    <col min="13569" max="13569" width="21.109375" style="183" bestFit="1" customWidth="1"/>
    <col min="13570" max="13570" width="70" style="183" bestFit="1" customWidth="1"/>
    <col min="13571" max="13571" width="24.5546875" style="183" bestFit="1" customWidth="1"/>
    <col min="13572" max="13575" width="22.44140625" style="183" customWidth="1"/>
    <col min="13576" max="13576" width="19.44140625" style="183" bestFit="1" customWidth="1"/>
    <col min="13577" max="13824" width="9.109375" style="183"/>
    <col min="13825" max="13825" width="21.109375" style="183" bestFit="1" customWidth="1"/>
    <col min="13826" max="13826" width="70" style="183" bestFit="1" customWidth="1"/>
    <col min="13827" max="13827" width="24.5546875" style="183" bestFit="1" customWidth="1"/>
    <col min="13828" max="13831" width="22.44140625" style="183" customWidth="1"/>
    <col min="13832" max="13832" width="19.44140625" style="183" bestFit="1" customWidth="1"/>
    <col min="13833" max="14080" width="9.109375" style="183"/>
    <col min="14081" max="14081" width="21.109375" style="183" bestFit="1" customWidth="1"/>
    <col min="14082" max="14082" width="70" style="183" bestFit="1" customWidth="1"/>
    <col min="14083" max="14083" width="24.5546875" style="183" bestFit="1" customWidth="1"/>
    <col min="14084" max="14087" width="22.44140625" style="183" customWidth="1"/>
    <col min="14088" max="14088" width="19.44140625" style="183" bestFit="1" customWidth="1"/>
    <col min="14089" max="14336" width="9.109375" style="183"/>
    <col min="14337" max="14337" width="21.109375" style="183" bestFit="1" customWidth="1"/>
    <col min="14338" max="14338" width="70" style="183" bestFit="1" customWidth="1"/>
    <col min="14339" max="14339" width="24.5546875" style="183" bestFit="1" customWidth="1"/>
    <col min="14340" max="14343" width="22.44140625" style="183" customWidth="1"/>
    <col min="14344" max="14344" width="19.44140625" style="183" bestFit="1" customWidth="1"/>
    <col min="14345" max="14592" width="9.109375" style="183"/>
    <col min="14593" max="14593" width="21.109375" style="183" bestFit="1" customWidth="1"/>
    <col min="14594" max="14594" width="70" style="183" bestFit="1" customWidth="1"/>
    <col min="14595" max="14595" width="24.5546875" style="183" bestFit="1" customWidth="1"/>
    <col min="14596" max="14599" width="22.44140625" style="183" customWidth="1"/>
    <col min="14600" max="14600" width="19.44140625" style="183" bestFit="1" customWidth="1"/>
    <col min="14601" max="14848" width="9.109375" style="183"/>
    <col min="14849" max="14849" width="21.109375" style="183" bestFit="1" customWidth="1"/>
    <col min="14850" max="14850" width="70" style="183" bestFit="1" customWidth="1"/>
    <col min="14851" max="14851" width="24.5546875" style="183" bestFit="1" customWidth="1"/>
    <col min="14852" max="14855" width="22.44140625" style="183" customWidth="1"/>
    <col min="14856" max="14856" width="19.44140625" style="183" bestFit="1" customWidth="1"/>
    <col min="14857" max="15104" width="9.109375" style="183"/>
    <col min="15105" max="15105" width="21.109375" style="183" bestFit="1" customWidth="1"/>
    <col min="15106" max="15106" width="70" style="183" bestFit="1" customWidth="1"/>
    <col min="15107" max="15107" width="24.5546875" style="183" bestFit="1" customWidth="1"/>
    <col min="15108" max="15111" width="22.44140625" style="183" customWidth="1"/>
    <col min="15112" max="15112" width="19.44140625" style="183" bestFit="1" customWidth="1"/>
    <col min="15113" max="15360" width="9.109375" style="183"/>
    <col min="15361" max="15361" width="21.109375" style="183" bestFit="1" customWidth="1"/>
    <col min="15362" max="15362" width="70" style="183" bestFit="1" customWidth="1"/>
    <col min="15363" max="15363" width="24.5546875" style="183" bestFit="1" customWidth="1"/>
    <col min="15364" max="15367" width="22.44140625" style="183" customWidth="1"/>
    <col min="15368" max="15368" width="19.44140625" style="183" bestFit="1" customWidth="1"/>
    <col min="15369" max="15616" width="9.109375" style="183"/>
    <col min="15617" max="15617" width="21.109375" style="183" bestFit="1" customWidth="1"/>
    <col min="15618" max="15618" width="70" style="183" bestFit="1" customWidth="1"/>
    <col min="15619" max="15619" width="24.5546875" style="183" bestFit="1" customWidth="1"/>
    <col min="15620" max="15623" width="22.44140625" style="183" customWidth="1"/>
    <col min="15624" max="15624" width="19.44140625" style="183" bestFit="1" customWidth="1"/>
    <col min="15625" max="15872" width="9.109375" style="183"/>
    <col min="15873" max="15873" width="21.109375" style="183" bestFit="1" customWidth="1"/>
    <col min="15874" max="15874" width="70" style="183" bestFit="1" customWidth="1"/>
    <col min="15875" max="15875" width="24.5546875" style="183" bestFit="1" customWidth="1"/>
    <col min="15876" max="15879" width="22.44140625" style="183" customWidth="1"/>
    <col min="15880" max="15880" width="19.44140625" style="183" bestFit="1" customWidth="1"/>
    <col min="15881" max="16128" width="9.109375" style="183"/>
    <col min="16129" max="16129" width="21.109375" style="183" bestFit="1" customWidth="1"/>
    <col min="16130" max="16130" width="70" style="183" bestFit="1" customWidth="1"/>
    <col min="16131" max="16131" width="24.5546875" style="183" bestFit="1" customWidth="1"/>
    <col min="16132" max="16135" width="22.44140625" style="183" customWidth="1"/>
    <col min="16136" max="16136" width="19.44140625" style="183" bestFit="1" customWidth="1"/>
    <col min="16137" max="16384" width="9.109375" style="183"/>
  </cols>
  <sheetData>
    <row r="1" spans="1:14" ht="12.75" customHeight="1">
      <c r="C1" s="208" t="s">
        <v>497</v>
      </c>
      <c r="D1" s="233" t="s">
        <v>475</v>
      </c>
      <c r="E1" s="233" t="s">
        <v>483</v>
      </c>
      <c r="F1" s="233" t="s">
        <v>487</v>
      </c>
      <c r="G1" s="233" t="s">
        <v>470</v>
      </c>
      <c r="H1" s="186" t="s">
        <v>498</v>
      </c>
      <c r="K1" s="208" t="s">
        <v>475</v>
      </c>
      <c r="L1" s="208" t="s">
        <v>483</v>
      </c>
      <c r="M1" s="208" t="s">
        <v>487</v>
      </c>
      <c r="N1" s="208" t="s">
        <v>502</v>
      </c>
    </row>
    <row r="2" spans="1:14" ht="12.75" customHeight="1">
      <c r="N2" s="117"/>
    </row>
    <row r="3" spans="1:14" ht="12.75" customHeight="1">
      <c r="A3" s="188" t="s">
        <v>16</v>
      </c>
      <c r="N3" s="117"/>
    </row>
    <row r="4" spans="1:14" ht="12.75" customHeight="1">
      <c r="A4" s="182">
        <v>1600200</v>
      </c>
      <c r="B4" s="183" t="s">
        <v>22</v>
      </c>
      <c r="C4" s="184">
        <v>130683585</v>
      </c>
      <c r="H4" s="186">
        <f>SUM(C4:G4)</f>
        <v>130683585</v>
      </c>
      <c r="K4" s="183">
        <v>172507</v>
      </c>
      <c r="L4" s="183">
        <v>238485</v>
      </c>
      <c r="M4" s="183">
        <v>230282.95</v>
      </c>
      <c r="N4" s="184">
        <v>606011.02</v>
      </c>
    </row>
    <row r="5" spans="1:14" ht="12.75" customHeight="1">
      <c r="A5" s="182" t="s">
        <v>23</v>
      </c>
      <c r="B5" s="183" t="s">
        <v>24</v>
      </c>
      <c r="C5" s="184">
        <v>-12924017</v>
      </c>
      <c r="D5" s="184">
        <v>-277132</v>
      </c>
      <c r="E5" s="184">
        <v>-667313</v>
      </c>
      <c r="F5" s="184">
        <v>-666766</v>
      </c>
      <c r="G5" s="184">
        <v>-679632</v>
      </c>
      <c r="H5" s="186">
        <f>SUM(C5:G5)</f>
        <v>-15214860</v>
      </c>
    </row>
    <row r="6" spans="1:14" ht="12.75" customHeight="1">
      <c r="A6" s="182" t="s">
        <v>25</v>
      </c>
      <c r="B6" s="183" t="s">
        <v>26</v>
      </c>
      <c r="C6" s="184">
        <v>-4048750</v>
      </c>
      <c r="D6" s="191">
        <v>-706761</v>
      </c>
      <c r="E6" s="191">
        <v>-1597299</v>
      </c>
      <c r="F6" s="191">
        <v>-144749</v>
      </c>
      <c r="G6" s="191">
        <v>-856186</v>
      </c>
      <c r="H6" s="186">
        <f>SUM(C6:G6)</f>
        <v>-7353745</v>
      </c>
      <c r="N6" s="183">
        <v>47675</v>
      </c>
    </row>
    <row r="7" spans="1:14" ht="12.75" customHeight="1">
      <c r="A7" s="182" t="s">
        <v>427</v>
      </c>
      <c r="B7" s="183" t="s">
        <v>428</v>
      </c>
      <c r="C7" s="184">
        <v>377370</v>
      </c>
      <c r="D7" s="184">
        <v>-303581</v>
      </c>
      <c r="E7" s="184">
        <v>170229</v>
      </c>
      <c r="F7" s="184">
        <v>16814</v>
      </c>
      <c r="G7" s="184">
        <v>102659</v>
      </c>
      <c r="H7" s="186">
        <f>SUM(C7:G7)</f>
        <v>363491</v>
      </c>
      <c r="N7" s="228">
        <f>N4-N6</f>
        <v>558336.02</v>
      </c>
    </row>
    <row r="8" spans="1:14" ht="12.75" customHeight="1">
      <c r="A8" s="183" t="s">
        <v>351</v>
      </c>
      <c r="C8" s="184">
        <v>0</v>
      </c>
    </row>
    <row r="9" spans="1:14" ht="12.75" customHeight="1">
      <c r="C9" s="184">
        <v>0</v>
      </c>
    </row>
    <row r="10" spans="1:14" ht="12.75" customHeight="1">
      <c r="A10" s="182" t="s">
        <v>35</v>
      </c>
      <c r="B10" s="183" t="s">
        <v>36</v>
      </c>
      <c r="C10" s="184">
        <v>3564213</v>
      </c>
      <c r="D10" s="184">
        <v>142740</v>
      </c>
      <c r="E10" s="184">
        <v>120923</v>
      </c>
      <c r="F10" s="224">
        <v>161798</v>
      </c>
      <c r="G10" s="224">
        <v>140246.20000000001</v>
      </c>
      <c r="H10" s="186">
        <f>SUM(C10:G10)</f>
        <v>4129920.2</v>
      </c>
    </row>
    <row r="11" spans="1:14" ht="12.75" customHeight="1">
      <c r="A11" s="183" t="s">
        <v>352</v>
      </c>
      <c r="C11" s="184">
        <v>0</v>
      </c>
    </row>
    <row r="12" spans="1:14" ht="12.75" customHeight="1">
      <c r="C12" s="184">
        <v>0</v>
      </c>
    </row>
    <row r="13" spans="1:14" ht="12.75" customHeight="1">
      <c r="A13" s="182" t="s">
        <v>41</v>
      </c>
      <c r="B13" s="183" t="s">
        <v>42</v>
      </c>
      <c r="C13" s="184">
        <v>293275</v>
      </c>
      <c r="D13" s="184">
        <v>-341343</v>
      </c>
      <c r="E13" s="184">
        <v>281344</v>
      </c>
      <c r="F13" s="229">
        <v>-100006</v>
      </c>
      <c r="G13" s="224">
        <v>-18687</v>
      </c>
      <c r="H13" s="186">
        <f>SUM(C13:G13)</f>
        <v>114583</v>
      </c>
      <c r="I13" s="230" t="s">
        <v>499</v>
      </c>
      <c r="J13" s="230"/>
      <c r="K13" s="230"/>
      <c r="L13" s="230"/>
      <c r="M13" s="230"/>
    </row>
    <row r="14" spans="1:14" ht="12.75" customHeight="1">
      <c r="B14" s="183" t="s">
        <v>489</v>
      </c>
      <c r="C14" s="184">
        <v>0</v>
      </c>
      <c r="D14" s="184">
        <v>0</v>
      </c>
      <c r="E14" s="184">
        <v>0</v>
      </c>
      <c r="F14" s="198">
        <v>0</v>
      </c>
      <c r="G14" s="184">
        <v>0</v>
      </c>
      <c r="H14" s="186">
        <f>SUM(C14:G14)</f>
        <v>0</v>
      </c>
    </row>
    <row r="15" spans="1:14" ht="12.75" customHeight="1">
      <c r="A15" s="182" t="s">
        <v>43</v>
      </c>
      <c r="B15" s="183" t="s">
        <v>44</v>
      </c>
      <c r="C15" s="184">
        <v>-31915</v>
      </c>
      <c r="D15" s="184">
        <v>0</v>
      </c>
      <c r="E15" s="184">
        <v>0</v>
      </c>
      <c r="F15" s="184">
        <v>0</v>
      </c>
      <c r="G15" s="184">
        <v>0</v>
      </c>
      <c r="H15" s="186">
        <f>SUM(C15:G15)</f>
        <v>-31915</v>
      </c>
    </row>
    <row r="16" spans="1:14" ht="12.75" customHeight="1">
      <c r="A16" s="183" t="s">
        <v>353</v>
      </c>
      <c r="C16" s="184">
        <v>0</v>
      </c>
    </row>
    <row r="17" spans="1:8" ht="12.75" customHeight="1">
      <c r="C17" s="184">
        <v>0</v>
      </c>
    </row>
    <row r="18" spans="1:8" ht="12.75" customHeight="1">
      <c r="A18" s="182">
        <v>2640000</v>
      </c>
      <c r="B18" s="183" t="s">
        <v>48</v>
      </c>
      <c r="C18" s="184">
        <v>-1130717</v>
      </c>
      <c r="D18" s="184">
        <v>436656</v>
      </c>
      <c r="E18" s="184">
        <v>550984</v>
      </c>
      <c r="F18" s="184">
        <v>1407409</v>
      </c>
      <c r="G18" s="184">
        <v>416033.57</v>
      </c>
      <c r="H18" s="186">
        <f>SUM(C18:G18)</f>
        <v>1680365.57</v>
      </c>
    </row>
    <row r="19" spans="1:8" ht="12.75" customHeight="1">
      <c r="A19" s="183" t="s">
        <v>357</v>
      </c>
    </row>
    <row r="21" spans="1:8" ht="12.75" customHeight="1">
      <c r="A21" s="182">
        <v>2040200</v>
      </c>
      <c r="B21" s="183" t="s">
        <v>447</v>
      </c>
      <c r="C21" s="184">
        <v>5000</v>
      </c>
      <c r="D21" s="184">
        <v>0</v>
      </c>
      <c r="E21" s="184">
        <v>0</v>
      </c>
      <c r="F21" s="184">
        <v>0</v>
      </c>
      <c r="G21" s="184">
        <v>0</v>
      </c>
      <c r="H21" s="186">
        <f>SUM(C21:G21)</f>
        <v>5000</v>
      </c>
    </row>
    <row r="22" spans="1:8" ht="12.75" customHeight="1">
      <c r="A22" s="182">
        <v>2040500</v>
      </c>
      <c r="B22" s="183" t="s">
        <v>490</v>
      </c>
      <c r="C22" s="184">
        <v>0</v>
      </c>
      <c r="D22" s="184">
        <v>-14411</v>
      </c>
      <c r="E22" s="184">
        <v>70849</v>
      </c>
      <c r="F22" s="184">
        <v>-28219.3</v>
      </c>
      <c r="G22" s="184">
        <v>-28218.89</v>
      </c>
      <c r="H22" s="186">
        <f>SUM(C22:G22)</f>
        <v>-0.18999999999869033</v>
      </c>
    </row>
    <row r="23" spans="1:8" ht="12.75" customHeight="1">
      <c r="A23" s="182" t="s">
        <v>53</v>
      </c>
      <c r="B23" s="183" t="s">
        <v>54</v>
      </c>
      <c r="C23" s="184">
        <v>2796</v>
      </c>
      <c r="D23" s="184">
        <v>-2796</v>
      </c>
      <c r="E23" s="184">
        <v>0</v>
      </c>
      <c r="F23" s="184">
        <v>0</v>
      </c>
      <c r="G23" s="184">
        <v>0</v>
      </c>
      <c r="H23" s="186">
        <f>SUM(C23:G23)</f>
        <v>0</v>
      </c>
    </row>
    <row r="24" spans="1:8" ht="12.75" customHeight="1">
      <c r="A24" s="182" t="s">
        <v>55</v>
      </c>
      <c r="B24" s="183" t="s">
        <v>56</v>
      </c>
      <c r="C24" s="184">
        <v>480</v>
      </c>
      <c r="D24" s="184">
        <f>328386-480-127996.51-1406</f>
        <v>198503.49</v>
      </c>
      <c r="E24" s="184">
        <f>-121928-129402.51</f>
        <v>-251330.51</v>
      </c>
      <c r="F24" s="231">
        <f>-77180+388207.5</f>
        <v>311027.5</v>
      </c>
      <c r="G24" s="231">
        <v>-258680.49</v>
      </c>
      <c r="H24" s="186">
        <f>SUM(C24:G24)</f>
        <v>-1.0000000009313226E-2</v>
      </c>
    </row>
    <row r="25" spans="1:8" ht="12.75" customHeight="1">
      <c r="A25" s="183" t="s">
        <v>407</v>
      </c>
      <c r="C25" s="184">
        <v>0</v>
      </c>
    </row>
    <row r="26" spans="1:8" ht="12.75" customHeight="1">
      <c r="C26" s="184">
        <v>0</v>
      </c>
    </row>
    <row r="27" spans="1:8" ht="12.75" customHeight="1">
      <c r="A27" s="182" t="s">
        <v>61</v>
      </c>
      <c r="B27" s="183" t="s">
        <v>62</v>
      </c>
      <c r="C27" s="184">
        <v>0</v>
      </c>
      <c r="D27" s="184">
        <v>-343</v>
      </c>
      <c r="E27" s="184">
        <v>-3775.5</v>
      </c>
      <c r="F27" s="184">
        <v>-12957.2</v>
      </c>
      <c r="G27" s="184">
        <v>14454.18</v>
      </c>
      <c r="H27" s="186">
        <f t="shared" ref="H27:H33" si="0">SUM(C27:G27)</f>
        <v>-2621.5200000000004</v>
      </c>
    </row>
    <row r="28" spans="1:8" ht="12.75" customHeight="1">
      <c r="A28" s="182" t="s">
        <v>65</v>
      </c>
      <c r="B28" s="183" t="s">
        <v>66</v>
      </c>
      <c r="C28" s="184">
        <v>11</v>
      </c>
      <c r="D28" s="184">
        <v>-11</v>
      </c>
      <c r="E28" s="184">
        <v>0</v>
      </c>
      <c r="F28" s="224">
        <v>0.91</v>
      </c>
      <c r="G28" s="224">
        <v>-0.38</v>
      </c>
      <c r="H28" s="186">
        <f t="shared" si="0"/>
        <v>0.53</v>
      </c>
    </row>
    <row r="29" spans="1:8" ht="12.75" customHeight="1">
      <c r="A29" s="182" t="s">
        <v>67</v>
      </c>
      <c r="B29" s="183" t="s">
        <v>68</v>
      </c>
      <c r="C29" s="184">
        <v>36732</v>
      </c>
      <c r="D29" s="184">
        <v>-19</v>
      </c>
      <c r="E29" s="184">
        <v>-19</v>
      </c>
      <c r="F29" s="224">
        <v>-18.04</v>
      </c>
      <c r="G29" s="224">
        <v>-18.04</v>
      </c>
      <c r="H29" s="186">
        <f t="shared" si="0"/>
        <v>36657.919999999998</v>
      </c>
    </row>
    <row r="30" spans="1:8" ht="12.75" customHeight="1">
      <c r="A30" s="182" t="s">
        <v>69</v>
      </c>
      <c r="B30" s="183" t="s">
        <v>70</v>
      </c>
      <c r="C30" s="184">
        <v>261476</v>
      </c>
      <c r="D30" s="184">
        <v>-7131</v>
      </c>
      <c r="E30" s="184">
        <v>-37180</v>
      </c>
      <c r="F30" s="224">
        <v>-53403.02</v>
      </c>
      <c r="G30" s="224">
        <v>-8084.34</v>
      </c>
      <c r="H30" s="186">
        <f t="shared" si="0"/>
        <v>155677.64000000001</v>
      </c>
    </row>
    <row r="31" spans="1:8" ht="12.75" customHeight="1">
      <c r="A31" s="182" t="s">
        <v>71</v>
      </c>
      <c r="B31" s="183" t="s">
        <v>72</v>
      </c>
      <c r="C31" s="184">
        <v>195171</v>
      </c>
      <c r="D31" s="184">
        <v>-99389</v>
      </c>
      <c r="E31" s="184">
        <v>8473</v>
      </c>
      <c r="F31" s="224">
        <v>67284.679999999993</v>
      </c>
      <c r="G31" s="224">
        <v>-89675.55</v>
      </c>
      <c r="H31" s="186">
        <f t="shared" si="0"/>
        <v>81864.12999999999</v>
      </c>
    </row>
    <row r="32" spans="1:8" ht="12.75" customHeight="1">
      <c r="A32" s="182" t="s">
        <v>73</v>
      </c>
      <c r="B32" s="183" t="s">
        <v>74</v>
      </c>
      <c r="C32" s="184">
        <v>966612</v>
      </c>
      <c r="D32" s="184">
        <v>854946</v>
      </c>
      <c r="E32" s="184">
        <v>-722443</v>
      </c>
      <c r="F32" s="224">
        <v>-877600.44</v>
      </c>
      <c r="G32" s="224">
        <v>228072.92</v>
      </c>
      <c r="H32" s="186">
        <f t="shared" si="0"/>
        <v>449587.4800000001</v>
      </c>
    </row>
    <row r="33" spans="1:8" ht="12.75" customHeight="1">
      <c r="A33" s="182" t="s">
        <v>75</v>
      </c>
      <c r="B33" s="183" t="s">
        <v>76</v>
      </c>
      <c r="C33" s="184">
        <v>51977</v>
      </c>
      <c r="D33" s="184">
        <v>61378</v>
      </c>
      <c r="E33" s="184">
        <v>-72522</v>
      </c>
      <c r="F33" s="224">
        <v>32976.39</v>
      </c>
      <c r="G33" s="224">
        <v>-48621.34</v>
      </c>
      <c r="H33" s="186">
        <f t="shared" si="0"/>
        <v>25188.050000000003</v>
      </c>
    </row>
    <row r="34" spans="1:8" ht="12.75" customHeight="1">
      <c r="A34" s="183" t="s">
        <v>358</v>
      </c>
      <c r="C34" s="184">
        <v>0</v>
      </c>
    </row>
    <row r="35" spans="1:8" ht="12.75" customHeight="1">
      <c r="C35" s="184">
        <v>0</v>
      </c>
    </row>
    <row r="36" spans="1:8" ht="12.75" customHeight="1">
      <c r="A36" s="182">
        <v>1000002</v>
      </c>
      <c r="B36" s="183" t="s">
        <v>429</v>
      </c>
      <c r="C36" s="184">
        <v>-1</v>
      </c>
      <c r="D36" s="184">
        <v>0</v>
      </c>
      <c r="E36" s="184">
        <v>0</v>
      </c>
      <c r="F36" s="184">
        <v>0</v>
      </c>
      <c r="G36" s="184">
        <v>0</v>
      </c>
      <c r="H36" s="186">
        <f>SUM(C36:G36)</f>
        <v>-1</v>
      </c>
    </row>
    <row r="37" spans="1:8" ht="12.75" customHeight="1">
      <c r="A37" s="182">
        <v>1100000</v>
      </c>
      <c r="B37" s="183" t="s">
        <v>430</v>
      </c>
      <c r="C37" s="184">
        <v>-19231219</v>
      </c>
      <c r="D37" s="184">
        <v>0</v>
      </c>
      <c r="E37" s="184">
        <v>200000</v>
      </c>
      <c r="F37" s="184">
        <v>0</v>
      </c>
      <c r="G37" s="184">
        <v>0</v>
      </c>
      <c r="H37" s="186">
        <f>SUM(C37:G37)</f>
        <v>-19031219</v>
      </c>
    </row>
    <row r="38" spans="1:8" ht="12.75" customHeight="1">
      <c r="A38" s="182">
        <v>1160000</v>
      </c>
      <c r="B38" s="183" t="s">
        <v>94</v>
      </c>
      <c r="C38" s="184">
        <v>11975701</v>
      </c>
      <c r="D38" s="184">
        <v>0</v>
      </c>
      <c r="E38" s="184">
        <v>0</v>
      </c>
      <c r="F38" s="184">
        <v>0</v>
      </c>
      <c r="G38" s="184">
        <v>0</v>
      </c>
      <c r="H38" s="186">
        <f>SUM(C38:G38)</f>
        <v>11975701</v>
      </c>
    </row>
    <row r="39" spans="1:8" ht="12.75" customHeight="1">
      <c r="A39" s="182" t="s">
        <v>95</v>
      </c>
      <c r="B39" s="183" t="s">
        <v>96</v>
      </c>
      <c r="C39" s="184">
        <v>207000</v>
      </c>
      <c r="D39" s="184">
        <v>0</v>
      </c>
      <c r="E39" s="184">
        <v>2000000</v>
      </c>
      <c r="F39" s="184">
        <v>0</v>
      </c>
      <c r="G39" s="184">
        <v>1100000</v>
      </c>
      <c r="H39" s="186">
        <f>SUM(C39:G39)</f>
        <v>3307000</v>
      </c>
    </row>
    <row r="40" spans="1:8" ht="12.75" customHeight="1">
      <c r="A40" s="183" t="s">
        <v>359</v>
      </c>
      <c r="C40" s="184">
        <v>0</v>
      </c>
    </row>
    <row r="41" spans="1:8" ht="12.75" customHeight="1">
      <c r="C41" s="184">
        <v>0</v>
      </c>
    </row>
    <row r="42" spans="1:8" ht="12.75" customHeight="1">
      <c r="A42" s="182">
        <v>1930001</v>
      </c>
      <c r="B42" s="183" t="s">
        <v>104</v>
      </c>
      <c r="C42" s="184">
        <v>-130000000</v>
      </c>
      <c r="D42" s="184">
        <v>0</v>
      </c>
      <c r="E42" s="184">
        <v>0</v>
      </c>
      <c r="F42" s="184">
        <v>0</v>
      </c>
      <c r="G42" s="184">
        <v>0</v>
      </c>
      <c r="H42" s="186">
        <f>SUM(C42:G42)</f>
        <v>-130000000</v>
      </c>
    </row>
    <row r="43" spans="1:8" ht="12.75" customHeight="1">
      <c r="A43" s="182" t="s">
        <v>107</v>
      </c>
      <c r="B43" s="183" t="s">
        <v>108</v>
      </c>
      <c r="C43" s="184">
        <v>20165050</v>
      </c>
      <c r="D43" s="184">
        <v>1540803</v>
      </c>
      <c r="E43" s="184">
        <v>2253796</v>
      </c>
      <c r="F43" s="224">
        <v>889295.98</v>
      </c>
      <c r="G43" s="224">
        <v>1579956.98</v>
      </c>
      <c r="H43" s="186">
        <f>SUM(C43:G43)</f>
        <v>26428901.960000001</v>
      </c>
    </row>
    <row r="44" spans="1:8" ht="12.75" customHeight="1">
      <c r="A44" s="183" t="s">
        <v>362</v>
      </c>
      <c r="C44" s="184">
        <v>0</v>
      </c>
    </row>
    <row r="45" spans="1:8" ht="12.75" customHeight="1">
      <c r="C45" s="184">
        <v>0</v>
      </c>
    </row>
    <row r="46" spans="1:8" ht="12.75" customHeight="1">
      <c r="A46" s="182" t="s">
        <v>121</v>
      </c>
      <c r="B46" s="183" t="s">
        <v>122</v>
      </c>
      <c r="C46" s="184">
        <v>-467736.18</v>
      </c>
      <c r="D46" s="208">
        <f>123229-85763.82</f>
        <v>37465.179999999993</v>
      </c>
      <c r="E46" s="208">
        <v>411485</v>
      </c>
      <c r="F46" s="208">
        <v>6778.95</v>
      </c>
      <c r="G46" s="208">
        <v>-285240.34000000003</v>
      </c>
      <c r="H46" s="186">
        <f>SUM(C46:G46)</f>
        <v>-297247.39</v>
      </c>
    </row>
    <row r="47" spans="1:8" ht="12.75" customHeight="1">
      <c r="A47" s="182" t="s">
        <v>123</v>
      </c>
      <c r="B47" s="183" t="s">
        <v>124</v>
      </c>
      <c r="C47" s="184">
        <v>0</v>
      </c>
      <c r="D47" s="184">
        <v>0</v>
      </c>
      <c r="E47" s="184">
        <v>0</v>
      </c>
      <c r="F47" s="184">
        <v>0</v>
      </c>
      <c r="G47" s="184">
        <v>0</v>
      </c>
      <c r="H47" s="186">
        <f>SUM(C47:G47)</f>
        <v>0</v>
      </c>
    </row>
    <row r="48" spans="1:8" ht="12.75" customHeight="1">
      <c r="A48" s="183" t="s">
        <v>363</v>
      </c>
      <c r="C48" s="184">
        <v>0</v>
      </c>
    </row>
    <row r="49" spans="1:13" ht="12.75" customHeight="1">
      <c r="C49" s="184">
        <v>0</v>
      </c>
    </row>
    <row r="50" spans="1:13" ht="12.75" customHeight="1">
      <c r="A50" s="182" t="s">
        <v>129</v>
      </c>
      <c r="B50" s="183" t="s">
        <v>130</v>
      </c>
      <c r="C50" s="184">
        <v>-1550</v>
      </c>
      <c r="D50" s="184">
        <v>1550</v>
      </c>
      <c r="E50" s="184">
        <v>-3898</v>
      </c>
      <c r="F50" s="184">
        <f>-828.56+460</f>
        <v>-368.55999999999995</v>
      </c>
      <c r="G50" s="184">
        <v>-858.91</v>
      </c>
      <c r="H50" s="186">
        <f>SUM(C50:G50)</f>
        <v>-5125.4699999999993</v>
      </c>
    </row>
    <row r="51" spans="1:13" ht="12.75" customHeight="1">
      <c r="A51" s="182" t="s">
        <v>133</v>
      </c>
      <c r="B51" s="183" t="s">
        <v>134</v>
      </c>
      <c r="C51" s="184">
        <v>0</v>
      </c>
      <c r="D51" s="184">
        <v>0</v>
      </c>
      <c r="E51" s="184">
        <v>0</v>
      </c>
      <c r="F51" s="184">
        <v>0</v>
      </c>
      <c r="G51" s="184">
        <v>0</v>
      </c>
      <c r="H51" s="186">
        <f>SUM(C51:G51)</f>
        <v>0</v>
      </c>
    </row>
    <row r="52" spans="1:13" ht="12.75" customHeight="1">
      <c r="A52" s="182" t="s">
        <v>137</v>
      </c>
      <c r="B52" s="183" t="s">
        <v>138</v>
      </c>
      <c r="C52" s="184">
        <v>0</v>
      </c>
      <c r="D52" s="184">
        <v>0</v>
      </c>
      <c r="E52" s="184">
        <v>0</v>
      </c>
      <c r="F52" s="184">
        <v>0</v>
      </c>
      <c r="G52" s="184">
        <v>0</v>
      </c>
      <c r="H52" s="186">
        <f>SUM(C52:G52)</f>
        <v>0</v>
      </c>
    </row>
    <row r="53" spans="1:13" ht="12.75" customHeight="1">
      <c r="A53" s="183" t="s">
        <v>366</v>
      </c>
    </row>
    <row r="55" spans="1:13" ht="12.75" customHeight="1">
      <c r="A55" s="182">
        <v>2740100</v>
      </c>
      <c r="B55" s="183" t="s">
        <v>492</v>
      </c>
      <c r="C55" s="184">
        <v>0</v>
      </c>
      <c r="D55" s="184">
        <v>0</v>
      </c>
      <c r="E55" s="184">
        <v>0</v>
      </c>
      <c r="F55" s="198">
        <f>-144357.64+1705</f>
        <v>-142652.64000000001</v>
      </c>
      <c r="G55" s="184">
        <f>-9268.61-1705</f>
        <v>-10973.61</v>
      </c>
      <c r="H55" s="186">
        <f>SUM(C55:G55)</f>
        <v>-153626.25</v>
      </c>
      <c r="I55" s="230" t="s">
        <v>500</v>
      </c>
      <c r="J55" s="230"/>
      <c r="K55" s="230"/>
      <c r="L55" s="230"/>
      <c r="M55" s="230"/>
    </row>
    <row r="56" spans="1:13" ht="12.75" customHeight="1">
      <c r="A56" s="182" t="s">
        <v>141</v>
      </c>
      <c r="B56" s="183" t="s">
        <v>142</v>
      </c>
      <c r="C56" s="184">
        <v>-767321</v>
      </c>
      <c r="D56" s="184">
        <f>5524-2</f>
        <v>5522</v>
      </c>
      <c r="E56" s="184">
        <f>-1404+2</f>
        <v>-1402</v>
      </c>
      <c r="F56" s="184">
        <v>-43086.2</v>
      </c>
      <c r="G56" s="184">
        <v>-158.33000000000001</v>
      </c>
      <c r="H56" s="186">
        <f t="shared" ref="H56:H67" si="1">SUM(C56:G56)</f>
        <v>-806445.52999999991</v>
      </c>
    </row>
    <row r="57" spans="1:13" ht="12.75" customHeight="1">
      <c r="A57" s="182">
        <v>2740500</v>
      </c>
      <c r="B57" s="183" t="s">
        <v>144</v>
      </c>
      <c r="C57" s="184">
        <v>-22500</v>
      </c>
      <c r="D57" s="184">
        <v>0</v>
      </c>
      <c r="E57" s="184">
        <v>0</v>
      </c>
      <c r="F57" s="184">
        <v>0</v>
      </c>
      <c r="G57" s="184">
        <v>0</v>
      </c>
      <c r="H57" s="186">
        <f t="shared" si="1"/>
        <v>-22500</v>
      </c>
    </row>
    <row r="58" spans="1:13" ht="12.75" customHeight="1">
      <c r="A58" s="182" t="s">
        <v>145</v>
      </c>
      <c r="B58" s="183" t="s">
        <v>146</v>
      </c>
      <c r="C58" s="184">
        <v>0</v>
      </c>
      <c r="D58" s="184">
        <v>0</v>
      </c>
      <c r="E58" s="184">
        <v>0</v>
      </c>
      <c r="F58" s="184">
        <v>0</v>
      </c>
      <c r="G58" s="184">
        <v>0</v>
      </c>
      <c r="H58" s="186">
        <f t="shared" si="1"/>
        <v>0</v>
      </c>
    </row>
    <row r="59" spans="1:13" ht="12.75" customHeight="1">
      <c r="A59" s="182" t="s">
        <v>367</v>
      </c>
      <c r="B59" s="183" t="s">
        <v>368</v>
      </c>
      <c r="C59" s="184">
        <v>0</v>
      </c>
      <c r="D59" s="184">
        <v>0</v>
      </c>
      <c r="E59" s="184">
        <v>0</v>
      </c>
      <c r="F59" s="184">
        <v>0</v>
      </c>
      <c r="G59" s="184">
        <v>0</v>
      </c>
      <c r="H59" s="186">
        <f t="shared" si="1"/>
        <v>0</v>
      </c>
    </row>
    <row r="60" spans="1:13" ht="12.75" customHeight="1">
      <c r="A60" s="182" t="s">
        <v>147</v>
      </c>
      <c r="B60" s="183" t="s">
        <v>148</v>
      </c>
      <c r="C60" s="184">
        <v>15929</v>
      </c>
      <c r="D60" s="184">
        <v>-15929</v>
      </c>
      <c r="E60" s="184">
        <v>0</v>
      </c>
      <c r="F60" s="184">
        <v>0</v>
      </c>
      <c r="G60" s="184">
        <v>0</v>
      </c>
      <c r="H60" s="186">
        <f t="shared" si="1"/>
        <v>0</v>
      </c>
    </row>
    <row r="61" spans="1:13" ht="12.75" customHeight="1">
      <c r="A61" s="182" t="s">
        <v>149</v>
      </c>
      <c r="B61" s="183" t="s">
        <v>150</v>
      </c>
      <c r="C61" s="184">
        <v>-7067</v>
      </c>
      <c r="D61" s="184">
        <v>7067</v>
      </c>
      <c r="E61" s="184">
        <v>0</v>
      </c>
      <c r="F61" s="184">
        <v>0</v>
      </c>
      <c r="G61" s="184">
        <v>0</v>
      </c>
      <c r="H61" s="186">
        <f t="shared" si="1"/>
        <v>0</v>
      </c>
    </row>
    <row r="62" spans="1:13" ht="12.75" customHeight="1">
      <c r="A62" s="182" t="s">
        <v>151</v>
      </c>
      <c r="B62" s="183" t="s">
        <v>152</v>
      </c>
      <c r="C62" s="184">
        <v>-1406</v>
      </c>
      <c r="D62" s="184">
        <v>1406</v>
      </c>
      <c r="E62" s="184">
        <v>0</v>
      </c>
      <c r="F62" s="184">
        <v>0</v>
      </c>
      <c r="G62" s="184">
        <v>0</v>
      </c>
      <c r="H62" s="186">
        <f t="shared" si="1"/>
        <v>0</v>
      </c>
    </row>
    <row r="63" spans="1:13" ht="12.75" customHeight="1">
      <c r="A63" s="182" t="s">
        <v>155</v>
      </c>
      <c r="B63" s="183" t="s">
        <v>156</v>
      </c>
      <c r="C63" s="184">
        <v>-41573</v>
      </c>
      <c r="D63" s="184">
        <v>-82495</v>
      </c>
      <c r="E63" s="184">
        <v>-122526</v>
      </c>
      <c r="F63" s="184">
        <v>121338.8</v>
      </c>
      <c r="G63" s="184">
        <v>43720.06</v>
      </c>
      <c r="H63" s="186">
        <f t="shared" si="1"/>
        <v>-81535.14</v>
      </c>
    </row>
    <row r="64" spans="1:13" ht="12.75" customHeight="1">
      <c r="A64" s="182" t="s">
        <v>157</v>
      </c>
      <c r="B64" s="183" t="s">
        <v>158</v>
      </c>
      <c r="C64" s="184">
        <v>0</v>
      </c>
      <c r="D64" s="184">
        <v>0</v>
      </c>
      <c r="E64" s="184">
        <v>0</v>
      </c>
      <c r="F64" s="184">
        <v>0</v>
      </c>
      <c r="G64" s="184">
        <v>0</v>
      </c>
      <c r="H64" s="186">
        <f t="shared" si="1"/>
        <v>0</v>
      </c>
    </row>
    <row r="65" spans="1:8" ht="12.75" customHeight="1">
      <c r="A65" s="182" t="s">
        <v>159</v>
      </c>
      <c r="B65" s="183" t="s">
        <v>494</v>
      </c>
      <c r="C65" s="184">
        <v>20000</v>
      </c>
      <c r="D65" s="184">
        <v>0</v>
      </c>
      <c r="E65" s="184">
        <v>-20000</v>
      </c>
      <c r="F65" s="184">
        <v>20000</v>
      </c>
      <c r="G65" s="184">
        <v>0</v>
      </c>
      <c r="H65" s="186">
        <f t="shared" si="1"/>
        <v>20000</v>
      </c>
    </row>
    <row r="66" spans="1:8" ht="12.75" customHeight="1">
      <c r="A66" s="182" t="s">
        <v>161</v>
      </c>
      <c r="B66" s="183" t="s">
        <v>162</v>
      </c>
      <c r="C66" s="184">
        <v>0</v>
      </c>
      <c r="D66" s="184">
        <v>0</v>
      </c>
      <c r="E66" s="184">
        <v>0</v>
      </c>
      <c r="F66" s="184">
        <v>0</v>
      </c>
      <c r="G66" s="184">
        <v>0</v>
      </c>
      <c r="H66" s="186">
        <f t="shared" si="1"/>
        <v>0</v>
      </c>
    </row>
    <row r="67" spans="1:8" ht="12.75" customHeight="1">
      <c r="A67" s="182" t="s">
        <v>163</v>
      </c>
      <c r="B67" s="183" t="s">
        <v>164</v>
      </c>
      <c r="C67" s="184">
        <v>-146605</v>
      </c>
      <c r="D67" s="184">
        <v>146605</v>
      </c>
      <c r="E67" s="184">
        <v>0</v>
      </c>
      <c r="F67" s="184">
        <v>0</v>
      </c>
      <c r="G67" s="184">
        <v>0</v>
      </c>
      <c r="H67" s="186">
        <f t="shared" si="1"/>
        <v>0</v>
      </c>
    </row>
    <row r="68" spans="1:8" ht="12.75" customHeight="1">
      <c r="A68" s="183" t="s">
        <v>369</v>
      </c>
    </row>
    <row r="71" spans="1:8" ht="12.75" customHeight="1">
      <c r="A71" s="188" t="s">
        <v>370</v>
      </c>
    </row>
    <row r="72" spans="1:8" ht="12.75" customHeight="1">
      <c r="A72" s="182" t="s">
        <v>174</v>
      </c>
      <c r="B72" s="183" t="s">
        <v>175</v>
      </c>
      <c r="D72" s="184">
        <v>-2904374</v>
      </c>
      <c r="E72" s="184">
        <v>-2863530</v>
      </c>
      <c r="F72" s="184">
        <v>-2860507</v>
      </c>
      <c r="G72" s="184">
        <v>-2862440.42</v>
      </c>
      <c r="H72" s="186">
        <f>SUM(C72:G72)</f>
        <v>-11490851.42</v>
      </c>
    </row>
    <row r="73" spans="1:8" ht="12.75" customHeight="1">
      <c r="A73" s="182" t="s">
        <v>176</v>
      </c>
      <c r="B73" s="183" t="s">
        <v>177</v>
      </c>
      <c r="D73" s="184">
        <v>54882</v>
      </c>
      <c r="E73" s="184">
        <v>62447</v>
      </c>
      <c r="F73" s="184">
        <v>59646.21</v>
      </c>
      <c r="G73" s="184">
        <v>39631.629999999997</v>
      </c>
      <c r="H73" s="186">
        <f>SUM(C73:G73)</f>
        <v>216606.84</v>
      </c>
    </row>
    <row r="74" spans="1:8" ht="12.75" customHeight="1">
      <c r="A74" s="183" t="s">
        <v>381</v>
      </c>
      <c r="D74" s="184">
        <f>SUM(D72:D73)</f>
        <v>-2849492</v>
      </c>
      <c r="E74" s="184">
        <f>SUM(E72:E73)</f>
        <v>-2801083</v>
      </c>
      <c r="F74" s="184">
        <f>SUM(F72:F73)</f>
        <v>-2800860.79</v>
      </c>
      <c r="G74" s="184">
        <f>SUM(G72:G73)</f>
        <v>-2822808.79</v>
      </c>
      <c r="H74" s="186">
        <f>SUM(C74:G74)</f>
        <v>-11274244.579999998</v>
      </c>
    </row>
    <row r="76" spans="1:8" ht="12.75" customHeight="1">
      <c r="A76" s="182" t="s">
        <v>182</v>
      </c>
      <c r="B76" s="183" t="s">
        <v>183</v>
      </c>
      <c r="D76" s="184">
        <v>-172328</v>
      </c>
      <c r="E76" s="184">
        <v>-164913</v>
      </c>
      <c r="F76" s="184">
        <v>-163178</v>
      </c>
      <c r="G76" s="184">
        <v>-165060.65</v>
      </c>
      <c r="H76" s="186">
        <f>SUM(C76:G76)</f>
        <v>-665479.65</v>
      </c>
    </row>
    <row r="77" spans="1:8" ht="12.75" customHeight="1">
      <c r="A77" s="182" t="s">
        <v>184</v>
      </c>
      <c r="B77" s="183" t="s">
        <v>185</v>
      </c>
      <c r="D77" s="184">
        <v>10569</v>
      </c>
      <c r="E77" s="184">
        <v>5322</v>
      </c>
      <c r="F77" s="184">
        <v>6288.75</v>
      </c>
      <c r="G77" s="184">
        <v>5162.42</v>
      </c>
      <c r="H77" s="186">
        <f>SUM(C77:G77)</f>
        <v>27342.17</v>
      </c>
    </row>
    <row r="78" spans="1:8" ht="12.75" customHeight="1">
      <c r="A78" s="182" t="s">
        <v>186</v>
      </c>
      <c r="B78" s="183" t="s">
        <v>187</v>
      </c>
      <c r="D78" s="184">
        <v>200668</v>
      </c>
      <c r="E78" s="184">
        <v>155500</v>
      </c>
      <c r="F78" s="184">
        <v>161869.1</v>
      </c>
      <c r="G78" s="184">
        <v>191433.77</v>
      </c>
      <c r="H78" s="186">
        <f>SUM(C78:G78)</f>
        <v>709470.87</v>
      </c>
    </row>
    <row r="79" spans="1:8" ht="12.75" customHeight="1">
      <c r="A79" s="183" t="s">
        <v>382</v>
      </c>
      <c r="D79" s="184">
        <f>SUM(D76:D78)</f>
        <v>38909</v>
      </c>
      <c r="E79" s="184">
        <f>SUM(E76:E78)</f>
        <v>-4091</v>
      </c>
      <c r="F79" s="184">
        <f>SUM(F76:F78)</f>
        <v>4979.8500000000058</v>
      </c>
      <c r="G79" s="184">
        <f>SUM(G76:G78)</f>
        <v>31535.540000000008</v>
      </c>
      <c r="H79" s="186">
        <f>SUM(C79:G79)</f>
        <v>71333.390000000014</v>
      </c>
    </row>
    <row r="81" spans="1:13" ht="12.75" customHeight="1">
      <c r="A81" s="182" t="s">
        <v>198</v>
      </c>
      <c r="B81" s="183" t="s">
        <v>199</v>
      </c>
      <c r="D81" s="184">
        <v>122866</v>
      </c>
      <c r="E81" s="184">
        <v>121422</v>
      </c>
      <c r="F81" s="184">
        <v>121881.5</v>
      </c>
      <c r="G81" s="184">
        <v>121294.6</v>
      </c>
      <c r="H81" s="186">
        <f>SUM(C81:G81)</f>
        <v>487464.1</v>
      </c>
    </row>
    <row r="82" spans="1:13" ht="12.75" customHeight="1">
      <c r="A82" s="183" t="s">
        <v>408</v>
      </c>
      <c r="D82" s="184">
        <f>SUM(D81)</f>
        <v>122866</v>
      </c>
      <c r="E82" s="184">
        <f>SUM(E81)</f>
        <v>121422</v>
      </c>
      <c r="F82" s="184">
        <f>SUM(F81)</f>
        <v>121881.5</v>
      </c>
      <c r="G82" s="184">
        <f>SUM(G81)</f>
        <v>121294.6</v>
      </c>
      <c r="H82" s="186">
        <f>SUM(C82:G82)</f>
        <v>487464.1</v>
      </c>
    </row>
    <row r="84" spans="1:13" ht="12.75" customHeight="1">
      <c r="A84" s="182" t="s">
        <v>204</v>
      </c>
      <c r="B84" s="183" t="s">
        <v>205</v>
      </c>
      <c r="D84" s="184">
        <v>654502</v>
      </c>
      <c r="E84" s="184">
        <v>667313</v>
      </c>
      <c r="F84" s="184">
        <v>666766</v>
      </c>
      <c r="G84" s="184">
        <v>679632</v>
      </c>
      <c r="H84" s="186">
        <f>SUM(C84:G84)</f>
        <v>2668213</v>
      </c>
    </row>
    <row r="85" spans="1:13" ht="12.75" customHeight="1">
      <c r="A85" s="182" t="s">
        <v>206</v>
      </c>
      <c r="B85" s="183" t="s">
        <v>207</v>
      </c>
      <c r="D85" s="184">
        <v>-746028</v>
      </c>
      <c r="E85" s="184">
        <v>-1978183</v>
      </c>
      <c r="F85" s="184">
        <v>-222065</v>
      </c>
      <c r="G85" s="184">
        <v>-1362473</v>
      </c>
      <c r="H85" s="186">
        <f>SUM(C85:G85)</f>
        <v>-4308749</v>
      </c>
    </row>
    <row r="86" spans="1:13" ht="12.75" customHeight="1">
      <c r="A86" s="183" t="s">
        <v>384</v>
      </c>
      <c r="D86" s="184">
        <f>SUM(D84:D85)</f>
        <v>-91526</v>
      </c>
      <c r="E86" s="184">
        <f>SUM(E84:E85)</f>
        <v>-1310870</v>
      </c>
      <c r="F86" s="184">
        <f>SUM(F84:F85)</f>
        <v>444701</v>
      </c>
      <c r="G86" s="184">
        <f>SUM(G84:G85)</f>
        <v>-682841</v>
      </c>
      <c r="H86" s="186">
        <f>SUM(C86:G86)</f>
        <v>-1640536</v>
      </c>
    </row>
    <row r="88" spans="1:13" ht="12.75" customHeight="1">
      <c r="A88" s="182">
        <v>4100400</v>
      </c>
      <c r="B88" s="183" t="s">
        <v>211</v>
      </c>
      <c r="D88" s="184">
        <f>92418+K4</f>
        <v>264925</v>
      </c>
      <c r="E88" s="184">
        <f>194822+L4</f>
        <v>433307</v>
      </c>
      <c r="F88" s="184">
        <f>134619.1+M4</f>
        <v>364902.05000000005</v>
      </c>
      <c r="G88" s="198">
        <f>437789.79+N4</f>
        <v>1043800.81</v>
      </c>
      <c r="H88" s="186">
        <f>SUM(C88:G88)</f>
        <v>2106934.8600000003</v>
      </c>
      <c r="L88" s="237">
        <v>437789.79</v>
      </c>
    </row>
    <row r="89" spans="1:13" ht="12.75" customHeight="1">
      <c r="A89" s="182" t="s">
        <v>212</v>
      </c>
      <c r="B89" s="183" t="s">
        <v>213</v>
      </c>
      <c r="D89" s="184">
        <v>129402.5</v>
      </c>
      <c r="E89" s="184">
        <v>129402.5</v>
      </c>
      <c r="F89" s="184">
        <v>129402.5</v>
      </c>
      <c r="G89" s="184">
        <v>129402.49</v>
      </c>
      <c r="H89" s="186">
        <f>SUM(C89:G89)</f>
        <v>517609.99</v>
      </c>
    </row>
    <row r="90" spans="1:13" ht="12.75" customHeight="1">
      <c r="A90" s="182" t="s">
        <v>214</v>
      </c>
      <c r="B90" s="183" t="s">
        <v>215</v>
      </c>
      <c r="D90" s="184">
        <v>83330</v>
      </c>
      <c r="E90" s="184">
        <v>80091</v>
      </c>
      <c r="F90" s="184">
        <v>84680.21</v>
      </c>
      <c r="G90" s="184">
        <v>82972.460000000006</v>
      </c>
      <c r="H90" s="186">
        <f>SUM(C90:G90)</f>
        <v>331073.67000000004</v>
      </c>
      <c r="L90" s="183">
        <f>-57779.9-52965.5</f>
        <v>-110745.4</v>
      </c>
      <c r="M90" s="183" t="s">
        <v>503</v>
      </c>
    </row>
    <row r="91" spans="1:13" ht="12.75" customHeight="1">
      <c r="A91" s="182" t="s">
        <v>216</v>
      </c>
      <c r="B91" s="183" t="s">
        <v>217</v>
      </c>
      <c r="D91" s="184">
        <f>87859+85763.82</f>
        <v>173622.82</v>
      </c>
      <c r="E91" s="184">
        <v>157568</v>
      </c>
      <c r="F91" s="184">
        <v>107779.2</v>
      </c>
      <c r="G91" s="184">
        <v>186235.55</v>
      </c>
      <c r="H91" s="186">
        <f>SUM(C91:G91)</f>
        <v>625205.57000000007</v>
      </c>
    </row>
    <row r="92" spans="1:13" ht="12.75" customHeight="1">
      <c r="A92" s="182" t="s">
        <v>218</v>
      </c>
      <c r="B92" s="183" t="s">
        <v>219</v>
      </c>
      <c r="D92" s="184">
        <v>31087</v>
      </c>
      <c r="E92" s="184">
        <v>31441</v>
      </c>
      <c r="F92" s="184">
        <v>31288.14</v>
      </c>
      <c r="G92" s="184">
        <v>31086.75</v>
      </c>
      <c r="H92" s="186">
        <f>SUM(C92:G92)</f>
        <v>124902.89</v>
      </c>
      <c r="L92" s="238">
        <f>L88+L90</f>
        <v>327044.39</v>
      </c>
    </row>
    <row r="93" spans="1:13" ht="12.75" customHeight="1">
      <c r="A93" s="182" t="s">
        <v>220</v>
      </c>
      <c r="B93" s="183" t="s">
        <v>221</v>
      </c>
      <c r="D93" s="184">
        <f>18355+780</f>
        <v>19135</v>
      </c>
      <c r="E93" s="184">
        <f>1582+14862+69</f>
        <v>16513</v>
      </c>
      <c r="F93" s="184">
        <f>42842+9256-37236</f>
        <v>14862</v>
      </c>
      <c r="G93" s="184">
        <v>16030.14</v>
      </c>
      <c r="H93" s="186">
        <f>SUM(D93:G93)</f>
        <v>66540.14</v>
      </c>
    </row>
    <row r="94" spans="1:13" ht="12.75" customHeight="1">
      <c r="A94" s="182" t="s">
        <v>385</v>
      </c>
      <c r="B94" s="183" t="s">
        <v>386</v>
      </c>
      <c r="D94" s="184">
        <v>-90</v>
      </c>
      <c r="E94" s="184">
        <v>-348</v>
      </c>
      <c r="F94" s="184">
        <v>0</v>
      </c>
      <c r="G94" s="184">
        <v>-22.71</v>
      </c>
      <c r="H94" s="186">
        <f>SUM(C94:G94)</f>
        <v>-460.71</v>
      </c>
    </row>
    <row r="95" spans="1:13" ht="12.75" customHeight="1">
      <c r="A95" s="182" t="s">
        <v>431</v>
      </c>
      <c r="B95" s="183" t="s">
        <v>412</v>
      </c>
      <c r="D95" s="184">
        <v>0</v>
      </c>
      <c r="E95" s="184">
        <v>0</v>
      </c>
      <c r="F95" s="184">
        <v>0</v>
      </c>
      <c r="G95" s="184">
        <v>0</v>
      </c>
      <c r="H95" s="186">
        <f>SUM(C95:G95)</f>
        <v>0</v>
      </c>
    </row>
    <row r="96" spans="1:13" ht="12.75" customHeight="1">
      <c r="A96" s="183" t="s">
        <v>387</v>
      </c>
      <c r="D96" s="184">
        <f>SUM(D88:D95)</f>
        <v>701412.32000000007</v>
      </c>
      <c r="E96" s="184">
        <f>SUM(E88:E95)</f>
        <v>847974.5</v>
      </c>
      <c r="F96" s="184">
        <f>SUM(F88:F95)</f>
        <v>732914.1</v>
      </c>
      <c r="G96" s="184">
        <f>SUM(G88:G95)</f>
        <v>1489505.49</v>
      </c>
      <c r="H96" s="186">
        <f>SUM(C96:G96)</f>
        <v>3771806.41</v>
      </c>
    </row>
    <row r="98" spans="1:8" ht="12.75" customHeight="1">
      <c r="A98" s="182" t="s">
        <v>432</v>
      </c>
      <c r="B98" s="183" t="s">
        <v>433</v>
      </c>
      <c r="D98" s="184">
        <v>0</v>
      </c>
      <c r="E98" s="184">
        <v>0</v>
      </c>
      <c r="F98" s="184">
        <v>0</v>
      </c>
      <c r="G98" s="184">
        <v>0</v>
      </c>
      <c r="H98" s="186">
        <f>SUM(C98:G98)</f>
        <v>0</v>
      </c>
    </row>
    <row r="99" spans="1:8" ht="12.75" customHeight="1">
      <c r="A99" s="182" t="s">
        <v>434</v>
      </c>
      <c r="B99" s="183" t="s">
        <v>413</v>
      </c>
      <c r="D99" s="184">
        <v>0</v>
      </c>
      <c r="E99" s="184">
        <v>0</v>
      </c>
      <c r="F99" s="184">
        <v>0</v>
      </c>
      <c r="G99" s="184">
        <v>0</v>
      </c>
      <c r="H99" s="186">
        <f>SUM(C99:G99)</f>
        <v>0</v>
      </c>
    </row>
    <row r="100" spans="1:8" ht="12.75" customHeight="1">
      <c r="A100" s="182" t="s">
        <v>226</v>
      </c>
      <c r="B100" s="183" t="s">
        <v>227</v>
      </c>
      <c r="D100" s="184">
        <v>-90</v>
      </c>
      <c r="E100" s="184">
        <v>-2606</v>
      </c>
      <c r="F100" s="184">
        <v>461</v>
      </c>
      <c r="G100" s="184">
        <v>156.38</v>
      </c>
      <c r="H100" s="186">
        <f>SUM(C100:G100)</f>
        <v>-2078.62</v>
      </c>
    </row>
    <row r="101" spans="1:8" ht="12.75" customHeight="1">
      <c r="A101" s="183" t="s">
        <v>388</v>
      </c>
      <c r="D101" s="184">
        <f>SUM(D98:D100)</f>
        <v>-90</v>
      </c>
      <c r="E101" s="184">
        <f>SUM(E98:E100)</f>
        <v>-2606</v>
      </c>
      <c r="F101" s="184">
        <f>SUM(F98:F100)</f>
        <v>461</v>
      </c>
      <c r="G101" s="184">
        <f>SUM(G98:G100)</f>
        <v>156.38</v>
      </c>
      <c r="H101" s="186">
        <f>SUM(C101:G101)</f>
        <v>-2078.62</v>
      </c>
    </row>
    <row r="103" spans="1:8" ht="12.75" customHeight="1">
      <c r="A103" s="182" t="s">
        <v>230</v>
      </c>
      <c r="B103" s="183" t="s">
        <v>231</v>
      </c>
      <c r="D103" s="184">
        <v>0</v>
      </c>
      <c r="E103" s="184">
        <v>300</v>
      </c>
      <c r="F103" s="184">
        <v>300</v>
      </c>
      <c r="G103" s="184">
        <v>340</v>
      </c>
      <c r="H103" s="186">
        <f>SUM(C103:G103)</f>
        <v>940</v>
      </c>
    </row>
    <row r="104" spans="1:8" ht="12.75" customHeight="1">
      <c r="A104" s="183" t="s">
        <v>389</v>
      </c>
      <c r="D104" s="184">
        <f>SUM(D103)</f>
        <v>0</v>
      </c>
      <c r="E104" s="184">
        <f>SUM(E103)</f>
        <v>300</v>
      </c>
      <c r="F104" s="184">
        <f>SUM(F103)</f>
        <v>300</v>
      </c>
      <c r="G104" s="184">
        <f>SUM(G103)</f>
        <v>340</v>
      </c>
      <c r="H104" s="186">
        <f>SUM(C104:G104)</f>
        <v>940</v>
      </c>
    </row>
    <row r="106" spans="1:8" ht="12.75" customHeight="1">
      <c r="A106" s="182" t="s">
        <v>435</v>
      </c>
      <c r="B106" s="183" t="s">
        <v>414</v>
      </c>
      <c r="D106" s="184">
        <v>0</v>
      </c>
      <c r="E106" s="184">
        <v>0</v>
      </c>
      <c r="F106" s="184">
        <v>0</v>
      </c>
      <c r="G106" s="184">
        <v>0</v>
      </c>
    </row>
    <row r="107" spans="1:8" ht="12.75" customHeight="1">
      <c r="A107" s="182" t="s">
        <v>234</v>
      </c>
      <c r="B107" s="183" t="s">
        <v>235</v>
      </c>
      <c r="D107" s="184">
        <v>25616</v>
      </c>
      <c r="E107" s="184">
        <v>28130</v>
      </c>
      <c r="F107" s="184">
        <v>28219.25</v>
      </c>
      <c r="G107" s="184">
        <v>29692.1</v>
      </c>
      <c r="H107" s="186">
        <f t="shared" ref="H107:H113" si="2">SUM(C107:G107)</f>
        <v>111657.35</v>
      </c>
    </row>
    <row r="108" spans="1:8" ht="12.75" customHeight="1">
      <c r="A108" s="182" t="s">
        <v>236</v>
      </c>
      <c r="B108" s="183" t="s">
        <v>237</v>
      </c>
      <c r="D108" s="184">
        <v>5445</v>
      </c>
      <c r="E108" s="184">
        <v>5445</v>
      </c>
      <c r="F108" s="184">
        <v>5445</v>
      </c>
      <c r="G108" s="184">
        <v>5445</v>
      </c>
      <c r="H108" s="186">
        <f t="shared" si="2"/>
        <v>21780</v>
      </c>
    </row>
    <row r="109" spans="1:8" ht="12.75" customHeight="1">
      <c r="A109" s="182" t="s">
        <v>238</v>
      </c>
      <c r="B109" s="183" t="s">
        <v>239</v>
      </c>
      <c r="D109" s="184">
        <v>31618</v>
      </c>
      <c r="E109" s="184">
        <v>31660</v>
      </c>
      <c r="F109" s="184">
        <v>61669.95</v>
      </c>
      <c r="G109" s="184">
        <v>2612.6</v>
      </c>
      <c r="H109" s="186">
        <f t="shared" si="2"/>
        <v>127560.55</v>
      </c>
    </row>
    <row r="110" spans="1:8" ht="12.75" customHeight="1">
      <c r="A110" s="182" t="s">
        <v>240</v>
      </c>
      <c r="B110" s="183" t="s">
        <v>241</v>
      </c>
      <c r="D110" s="184">
        <v>2420</v>
      </c>
      <c r="E110" s="184">
        <v>0</v>
      </c>
      <c r="F110" s="184">
        <v>2420</v>
      </c>
      <c r="G110" s="184">
        <v>2420</v>
      </c>
      <c r="H110" s="186">
        <f t="shared" si="2"/>
        <v>7260</v>
      </c>
    </row>
    <row r="111" spans="1:8" ht="12.75" customHeight="1">
      <c r="A111" s="182" t="s">
        <v>242</v>
      </c>
      <c r="B111" s="183" t="s">
        <v>243</v>
      </c>
      <c r="D111" s="184">
        <v>40646</v>
      </c>
      <c r="E111" s="184">
        <v>63411</v>
      </c>
      <c r="F111" s="184">
        <v>50119.65</v>
      </c>
      <c r="G111" s="184">
        <v>88242.28</v>
      </c>
      <c r="H111" s="186">
        <f t="shared" si="2"/>
        <v>242418.93</v>
      </c>
    </row>
    <row r="112" spans="1:8" ht="12.75" customHeight="1">
      <c r="A112" s="182" t="s">
        <v>244</v>
      </c>
      <c r="B112" s="183" t="s">
        <v>245</v>
      </c>
      <c r="D112" s="184">
        <v>2261</v>
      </c>
      <c r="E112" s="184">
        <v>8170</v>
      </c>
      <c r="F112" s="184">
        <v>3422.05</v>
      </c>
      <c r="G112" s="184">
        <v>4094.49</v>
      </c>
      <c r="H112" s="186">
        <f t="shared" si="2"/>
        <v>17947.54</v>
      </c>
    </row>
    <row r="113" spans="1:8" ht="12.75" customHeight="1">
      <c r="A113" s="182" t="s">
        <v>246</v>
      </c>
      <c r="B113" s="183" t="s">
        <v>247</v>
      </c>
      <c r="D113" s="184">
        <v>0</v>
      </c>
      <c r="E113" s="184">
        <v>0</v>
      </c>
      <c r="F113" s="184">
        <v>0</v>
      </c>
      <c r="G113" s="184">
        <v>0</v>
      </c>
      <c r="H113" s="186">
        <f t="shared" si="2"/>
        <v>0</v>
      </c>
    </row>
    <row r="114" spans="1:8" ht="12" customHeight="1">
      <c r="A114" s="182" t="s">
        <v>248</v>
      </c>
      <c r="B114" s="183" t="s">
        <v>249</v>
      </c>
      <c r="D114" s="184">
        <v>2025</v>
      </c>
      <c r="E114" s="184">
        <f>1186-3</f>
        <v>1183</v>
      </c>
      <c r="F114" s="184">
        <v>6968.21</v>
      </c>
      <c r="G114" s="184">
        <v>1225.96</v>
      </c>
      <c r="H114" s="186">
        <f>SUM(D114:G114)</f>
        <v>11402.169999999998</v>
      </c>
    </row>
    <row r="115" spans="1:8" ht="12.75" customHeight="1">
      <c r="A115" s="182" t="s">
        <v>436</v>
      </c>
      <c r="B115" s="183" t="s">
        <v>437</v>
      </c>
      <c r="D115" s="184">
        <v>0</v>
      </c>
      <c r="E115" s="184">
        <v>20000</v>
      </c>
      <c r="F115" s="184">
        <v>20000</v>
      </c>
      <c r="G115" s="184">
        <v>0</v>
      </c>
      <c r="H115" s="186">
        <f>SUM(C115:G115)</f>
        <v>40000</v>
      </c>
    </row>
    <row r="116" spans="1:8" ht="12.75" customHeight="1">
      <c r="A116" s="182" t="s">
        <v>250</v>
      </c>
      <c r="B116" s="183" t="s">
        <v>251</v>
      </c>
      <c r="D116" s="184">
        <v>-1065</v>
      </c>
      <c r="E116" s="184">
        <v>12363</v>
      </c>
      <c r="F116" s="184">
        <f>-9583+182</f>
        <v>-9401</v>
      </c>
      <c r="G116" s="184">
        <v>2560.84</v>
      </c>
      <c r="H116" s="186">
        <f>SUM(D116:G116)</f>
        <v>4457.84</v>
      </c>
    </row>
    <row r="117" spans="1:8" ht="12.75" customHeight="1">
      <c r="A117" s="183" t="s">
        <v>391</v>
      </c>
      <c r="D117" s="184">
        <f>SUM(D106:D116)</f>
        <v>108966</v>
      </c>
      <c r="E117" s="184">
        <f>SUM(E106:E116)</f>
        <v>170362</v>
      </c>
      <c r="F117" s="184">
        <f>SUM(F106:F116)</f>
        <v>168863.11</v>
      </c>
      <c r="G117" s="184">
        <f>SUM(G106:G116)</f>
        <v>136293.26999999999</v>
      </c>
      <c r="H117" s="186">
        <f>SUM(C117:G117)</f>
        <v>584484.38</v>
      </c>
    </row>
    <row r="118" spans="1:8" ht="12.75" customHeight="1">
      <c r="D118" s="184">
        <v>0</v>
      </c>
      <c r="H118" s="186">
        <f>SUM(C118:F118)</f>
        <v>0</v>
      </c>
    </row>
    <row r="119" spans="1:8" ht="12.75" customHeight="1">
      <c r="A119" s="182" t="s">
        <v>260</v>
      </c>
      <c r="B119" s="183" t="s">
        <v>261</v>
      </c>
      <c r="D119" s="184">
        <v>425610</v>
      </c>
      <c r="E119" s="184">
        <v>424302</v>
      </c>
      <c r="F119" s="184">
        <v>420037.6</v>
      </c>
      <c r="G119" s="184">
        <v>416515.02</v>
      </c>
      <c r="H119" s="186">
        <f t="shared" ref="H119:H124" si="3">SUM(C119:G119)</f>
        <v>1686464.62</v>
      </c>
    </row>
    <row r="120" spans="1:8" ht="12.75" customHeight="1">
      <c r="A120" s="182">
        <v>4611000</v>
      </c>
      <c r="B120" s="183" t="s">
        <v>477</v>
      </c>
      <c r="D120" s="184">
        <v>0</v>
      </c>
      <c r="E120" s="184">
        <v>0</v>
      </c>
      <c r="F120" s="184">
        <v>0</v>
      </c>
      <c r="G120" s="184">
        <v>4201</v>
      </c>
      <c r="H120" s="186">
        <f t="shared" si="3"/>
        <v>4201</v>
      </c>
    </row>
    <row r="121" spans="1:8" ht="12.75" customHeight="1">
      <c r="A121" s="182">
        <v>4630000</v>
      </c>
      <c r="B121" s="183" t="s">
        <v>265</v>
      </c>
      <c r="D121" s="184">
        <v>0</v>
      </c>
      <c r="E121" s="184">
        <v>0</v>
      </c>
      <c r="F121" s="184">
        <v>0</v>
      </c>
      <c r="G121" s="184">
        <v>0</v>
      </c>
      <c r="H121" s="186">
        <f t="shared" si="3"/>
        <v>0</v>
      </c>
    </row>
    <row r="122" spans="1:8" ht="12.75" customHeight="1">
      <c r="A122" s="182" t="s">
        <v>266</v>
      </c>
      <c r="B122" s="183" t="s">
        <v>267</v>
      </c>
      <c r="D122" s="184">
        <v>102784</v>
      </c>
      <c r="E122" s="184">
        <v>103265</v>
      </c>
      <c r="F122" s="184">
        <v>103625.3</v>
      </c>
      <c r="G122" s="184">
        <v>102995.06</v>
      </c>
      <c r="H122" s="186">
        <f t="shared" si="3"/>
        <v>412669.36</v>
      </c>
    </row>
    <row r="123" spans="1:8" ht="12.75" customHeight="1">
      <c r="A123" s="182">
        <v>4642000</v>
      </c>
      <c r="B123" s="183" t="s">
        <v>462</v>
      </c>
      <c r="D123" s="184">
        <v>0</v>
      </c>
      <c r="E123" s="184">
        <v>3574</v>
      </c>
      <c r="F123" s="184">
        <v>0</v>
      </c>
      <c r="G123" s="184">
        <v>2949.43</v>
      </c>
      <c r="H123" s="186">
        <f t="shared" si="3"/>
        <v>6523.43</v>
      </c>
    </row>
    <row r="124" spans="1:8" ht="12.75" customHeight="1">
      <c r="A124" s="182" t="s">
        <v>393</v>
      </c>
      <c r="D124" s="184">
        <f>SUM(D119:D123)</f>
        <v>528394</v>
      </c>
      <c r="E124" s="184">
        <f>SUM(E119:E123)</f>
        <v>531141</v>
      </c>
      <c r="F124" s="184">
        <f>SUM(F119:F123)</f>
        <v>523662.89999999997</v>
      </c>
      <c r="G124" s="184">
        <f>SUM(G119:G123)</f>
        <v>526660.51</v>
      </c>
      <c r="H124" s="186">
        <f t="shared" si="3"/>
        <v>2109858.41</v>
      </c>
    </row>
    <row r="125" spans="1:8" ht="12.75" customHeight="1">
      <c r="H125" s="186">
        <f>SUM(C125:F125)</f>
        <v>0</v>
      </c>
    </row>
    <row r="126" spans="1:8" ht="12.75" customHeight="1">
      <c r="A126" s="182">
        <v>9500000</v>
      </c>
      <c r="B126" s="183" t="s">
        <v>456</v>
      </c>
      <c r="D126" s="184">
        <v>0</v>
      </c>
      <c r="E126" s="184">
        <v>0</v>
      </c>
      <c r="F126" s="184">
        <v>0</v>
      </c>
      <c r="G126" s="184">
        <v>0</v>
      </c>
      <c r="H126" s="186">
        <f>SUM(C126:G126)</f>
        <v>0</v>
      </c>
    </row>
    <row r="127" spans="1:8" ht="12.75" customHeight="1">
      <c r="A127" s="182" t="s">
        <v>272</v>
      </c>
      <c r="B127" s="183" t="s">
        <v>273</v>
      </c>
      <c r="D127" s="184">
        <v>0</v>
      </c>
      <c r="E127" s="184">
        <v>0</v>
      </c>
      <c r="F127" s="184">
        <v>0</v>
      </c>
      <c r="G127" s="184">
        <v>0</v>
      </c>
      <c r="H127" s="186">
        <f>SUM(C127:G127)</f>
        <v>0</v>
      </c>
    </row>
    <row r="128" spans="1:8" ht="12.75" customHeight="1">
      <c r="A128" s="182">
        <v>9500100</v>
      </c>
      <c r="B128" s="183" t="s">
        <v>438</v>
      </c>
      <c r="D128" s="184">
        <v>-142740</v>
      </c>
      <c r="E128" s="184">
        <v>-120923</v>
      </c>
      <c r="F128" s="184">
        <v>-161798</v>
      </c>
      <c r="G128" s="184">
        <v>-140246.20000000001</v>
      </c>
      <c r="H128" s="186">
        <f>SUM(C128:G128)</f>
        <v>-565707.19999999995</v>
      </c>
    </row>
    <row r="129" spans="1:8" ht="12.75" customHeight="1">
      <c r="A129" s="182" t="s">
        <v>439</v>
      </c>
      <c r="C129" s="185"/>
      <c r="D129" s="208">
        <f>SUM(D126:D128)</f>
        <v>-142740</v>
      </c>
      <c r="E129" s="208">
        <f>SUM(E126:E128)</f>
        <v>-120923</v>
      </c>
      <c r="F129" s="208">
        <f>SUM(F126:F128)-2</f>
        <v>-161800</v>
      </c>
      <c r="G129" s="208">
        <f>SUM(G126:G128)</f>
        <v>-140246.20000000001</v>
      </c>
      <c r="H129" s="186">
        <f>SUM(C129:G129)</f>
        <v>-565709.19999999995</v>
      </c>
    </row>
    <row r="130" spans="1:8" ht="12.75" customHeight="1">
      <c r="H130" s="186">
        <f>SUM(C130:F130)</f>
        <v>0</v>
      </c>
    </row>
    <row r="131" spans="1:8" ht="12.75" customHeight="1">
      <c r="A131" s="183" t="s">
        <v>440</v>
      </c>
      <c r="D131" s="184">
        <f>D74+D79+D82+D86+D96+D101+D104+D117+D124+D129</f>
        <v>-1583300.68</v>
      </c>
      <c r="E131" s="184">
        <f>E74+E79+E82+E86+E96+E101+E104+E117+E124+E129</f>
        <v>-2568373.5</v>
      </c>
      <c r="F131" s="184">
        <f>F74+F79+F82+F86+F96+F101+F104+F117+F124+F129</f>
        <v>-964897.33000000007</v>
      </c>
      <c r="G131" s="184">
        <f>G74+G79+G82+G86+G96+G101+G104+G117+G124+G129</f>
        <v>-1340110.2</v>
      </c>
      <c r="H131" s="186">
        <f>SUM(C131:G131)</f>
        <v>-6456681.71</v>
      </c>
    </row>
    <row r="133" spans="1:8" ht="12.75" customHeight="1">
      <c r="C133" s="195"/>
      <c r="D133" s="195">
        <f>SUM(D4:D68)+D131</f>
        <v>-1.0000000009313226E-2</v>
      </c>
      <c r="E133" s="195">
        <f>SUM(E4:E68)+E131</f>
        <v>1.4900000002235174</v>
      </c>
      <c r="F133" s="195">
        <f>SUM(F4:F68)+F131</f>
        <v>0.47999999998137355</v>
      </c>
      <c r="G133" s="195">
        <f>SUM(G4:G68)+G131</f>
        <v>-2.5100000000093132</v>
      </c>
      <c r="H133" s="217">
        <f>SUM(H4:H68)+H131</f>
        <v>0.26999999862164259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27FB-619B-47D8-8DE8-7A64F5889770}"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defaultRowHeight="12.75" customHeight="1"/>
  <cols>
    <col min="1" max="1" width="21.109375" style="182" bestFit="1" customWidth="1"/>
    <col min="2" max="2" width="70" style="183" bestFit="1" customWidth="1"/>
    <col min="3" max="3" width="24.5546875" style="184" bestFit="1" customWidth="1"/>
    <col min="4" max="7" width="22.44140625" style="184" customWidth="1"/>
    <col min="8" max="8" width="19.44140625" style="186" bestFit="1" customWidth="1"/>
    <col min="9" max="9" width="26.33203125" style="183" bestFit="1" customWidth="1"/>
    <col min="10" max="10" width="13.5546875" style="183" bestFit="1" customWidth="1"/>
    <col min="11" max="13" width="9.109375" style="183"/>
    <col min="14" max="14" width="9.5546875" style="183" bestFit="1" customWidth="1"/>
    <col min="15" max="16" width="9.109375" style="183"/>
    <col min="17" max="17" width="11.33203125" style="183" bestFit="1" customWidth="1"/>
    <col min="18" max="256" width="9.109375" style="183"/>
    <col min="257" max="257" width="21.109375" style="183" bestFit="1" customWidth="1"/>
    <col min="258" max="258" width="70" style="183" bestFit="1" customWidth="1"/>
    <col min="259" max="259" width="24.5546875" style="183" bestFit="1" customWidth="1"/>
    <col min="260" max="263" width="22.44140625" style="183" customWidth="1"/>
    <col min="264" max="264" width="19.44140625" style="183" bestFit="1" customWidth="1"/>
    <col min="265" max="265" width="26.33203125" style="183" bestFit="1" customWidth="1"/>
    <col min="266" max="266" width="13.5546875" style="183" bestFit="1" customWidth="1"/>
    <col min="267" max="512" width="9.109375" style="183"/>
    <col min="513" max="513" width="21.109375" style="183" bestFit="1" customWidth="1"/>
    <col min="514" max="514" width="70" style="183" bestFit="1" customWidth="1"/>
    <col min="515" max="515" width="24.5546875" style="183" bestFit="1" customWidth="1"/>
    <col min="516" max="519" width="22.44140625" style="183" customWidth="1"/>
    <col min="520" max="520" width="19.44140625" style="183" bestFit="1" customWidth="1"/>
    <col min="521" max="521" width="26.33203125" style="183" bestFit="1" customWidth="1"/>
    <col min="522" max="522" width="13.5546875" style="183" bestFit="1" customWidth="1"/>
    <col min="523" max="768" width="9.109375" style="183"/>
    <col min="769" max="769" width="21.109375" style="183" bestFit="1" customWidth="1"/>
    <col min="770" max="770" width="70" style="183" bestFit="1" customWidth="1"/>
    <col min="771" max="771" width="24.5546875" style="183" bestFit="1" customWidth="1"/>
    <col min="772" max="775" width="22.44140625" style="183" customWidth="1"/>
    <col min="776" max="776" width="19.44140625" style="183" bestFit="1" customWidth="1"/>
    <col min="777" max="777" width="26.33203125" style="183" bestFit="1" customWidth="1"/>
    <col min="778" max="778" width="13.5546875" style="183" bestFit="1" customWidth="1"/>
    <col min="779" max="1024" width="9.109375" style="183"/>
    <col min="1025" max="1025" width="21.109375" style="183" bestFit="1" customWidth="1"/>
    <col min="1026" max="1026" width="70" style="183" bestFit="1" customWidth="1"/>
    <col min="1027" max="1027" width="24.5546875" style="183" bestFit="1" customWidth="1"/>
    <col min="1028" max="1031" width="22.44140625" style="183" customWidth="1"/>
    <col min="1032" max="1032" width="19.44140625" style="183" bestFit="1" customWidth="1"/>
    <col min="1033" max="1033" width="26.33203125" style="183" bestFit="1" customWidth="1"/>
    <col min="1034" max="1034" width="13.5546875" style="183" bestFit="1" customWidth="1"/>
    <col min="1035" max="1280" width="9.109375" style="183"/>
    <col min="1281" max="1281" width="21.109375" style="183" bestFit="1" customWidth="1"/>
    <col min="1282" max="1282" width="70" style="183" bestFit="1" customWidth="1"/>
    <col min="1283" max="1283" width="24.5546875" style="183" bestFit="1" customWidth="1"/>
    <col min="1284" max="1287" width="22.44140625" style="183" customWidth="1"/>
    <col min="1288" max="1288" width="19.44140625" style="183" bestFit="1" customWidth="1"/>
    <col min="1289" max="1289" width="26.33203125" style="183" bestFit="1" customWidth="1"/>
    <col min="1290" max="1290" width="13.5546875" style="183" bestFit="1" customWidth="1"/>
    <col min="1291" max="1536" width="9.109375" style="183"/>
    <col min="1537" max="1537" width="21.109375" style="183" bestFit="1" customWidth="1"/>
    <col min="1538" max="1538" width="70" style="183" bestFit="1" customWidth="1"/>
    <col min="1539" max="1539" width="24.5546875" style="183" bestFit="1" customWidth="1"/>
    <col min="1540" max="1543" width="22.44140625" style="183" customWidth="1"/>
    <col min="1544" max="1544" width="19.44140625" style="183" bestFit="1" customWidth="1"/>
    <col min="1545" max="1545" width="26.33203125" style="183" bestFit="1" customWidth="1"/>
    <col min="1546" max="1546" width="13.5546875" style="183" bestFit="1" customWidth="1"/>
    <col min="1547" max="1792" width="9.109375" style="183"/>
    <col min="1793" max="1793" width="21.109375" style="183" bestFit="1" customWidth="1"/>
    <col min="1794" max="1794" width="70" style="183" bestFit="1" customWidth="1"/>
    <col min="1795" max="1795" width="24.5546875" style="183" bestFit="1" customWidth="1"/>
    <col min="1796" max="1799" width="22.44140625" style="183" customWidth="1"/>
    <col min="1800" max="1800" width="19.44140625" style="183" bestFit="1" customWidth="1"/>
    <col min="1801" max="1801" width="26.33203125" style="183" bestFit="1" customWidth="1"/>
    <col min="1802" max="1802" width="13.5546875" style="183" bestFit="1" customWidth="1"/>
    <col min="1803" max="2048" width="9.109375" style="183"/>
    <col min="2049" max="2049" width="21.109375" style="183" bestFit="1" customWidth="1"/>
    <col min="2050" max="2050" width="70" style="183" bestFit="1" customWidth="1"/>
    <col min="2051" max="2051" width="24.5546875" style="183" bestFit="1" customWidth="1"/>
    <col min="2052" max="2055" width="22.44140625" style="183" customWidth="1"/>
    <col min="2056" max="2056" width="19.44140625" style="183" bestFit="1" customWidth="1"/>
    <col min="2057" max="2057" width="26.33203125" style="183" bestFit="1" customWidth="1"/>
    <col min="2058" max="2058" width="13.5546875" style="183" bestFit="1" customWidth="1"/>
    <col min="2059" max="2304" width="9.109375" style="183"/>
    <col min="2305" max="2305" width="21.109375" style="183" bestFit="1" customWidth="1"/>
    <col min="2306" max="2306" width="70" style="183" bestFit="1" customWidth="1"/>
    <col min="2307" max="2307" width="24.5546875" style="183" bestFit="1" customWidth="1"/>
    <col min="2308" max="2311" width="22.44140625" style="183" customWidth="1"/>
    <col min="2312" max="2312" width="19.44140625" style="183" bestFit="1" customWidth="1"/>
    <col min="2313" max="2313" width="26.33203125" style="183" bestFit="1" customWidth="1"/>
    <col min="2314" max="2314" width="13.5546875" style="183" bestFit="1" customWidth="1"/>
    <col min="2315" max="2560" width="9.109375" style="183"/>
    <col min="2561" max="2561" width="21.109375" style="183" bestFit="1" customWidth="1"/>
    <col min="2562" max="2562" width="70" style="183" bestFit="1" customWidth="1"/>
    <col min="2563" max="2563" width="24.5546875" style="183" bestFit="1" customWidth="1"/>
    <col min="2564" max="2567" width="22.44140625" style="183" customWidth="1"/>
    <col min="2568" max="2568" width="19.44140625" style="183" bestFit="1" customWidth="1"/>
    <col min="2569" max="2569" width="26.33203125" style="183" bestFit="1" customWidth="1"/>
    <col min="2570" max="2570" width="13.5546875" style="183" bestFit="1" customWidth="1"/>
    <col min="2571" max="2816" width="9.109375" style="183"/>
    <col min="2817" max="2817" width="21.109375" style="183" bestFit="1" customWidth="1"/>
    <col min="2818" max="2818" width="70" style="183" bestFit="1" customWidth="1"/>
    <col min="2819" max="2819" width="24.5546875" style="183" bestFit="1" customWidth="1"/>
    <col min="2820" max="2823" width="22.44140625" style="183" customWidth="1"/>
    <col min="2824" max="2824" width="19.44140625" style="183" bestFit="1" customWidth="1"/>
    <col min="2825" max="2825" width="26.33203125" style="183" bestFit="1" customWidth="1"/>
    <col min="2826" max="2826" width="13.5546875" style="183" bestFit="1" customWidth="1"/>
    <col min="2827" max="3072" width="9.109375" style="183"/>
    <col min="3073" max="3073" width="21.109375" style="183" bestFit="1" customWidth="1"/>
    <col min="3074" max="3074" width="70" style="183" bestFit="1" customWidth="1"/>
    <col min="3075" max="3075" width="24.5546875" style="183" bestFit="1" customWidth="1"/>
    <col min="3076" max="3079" width="22.44140625" style="183" customWidth="1"/>
    <col min="3080" max="3080" width="19.44140625" style="183" bestFit="1" customWidth="1"/>
    <col min="3081" max="3081" width="26.33203125" style="183" bestFit="1" customWidth="1"/>
    <col min="3082" max="3082" width="13.5546875" style="183" bestFit="1" customWidth="1"/>
    <col min="3083" max="3328" width="9.109375" style="183"/>
    <col min="3329" max="3329" width="21.109375" style="183" bestFit="1" customWidth="1"/>
    <col min="3330" max="3330" width="70" style="183" bestFit="1" customWidth="1"/>
    <col min="3331" max="3331" width="24.5546875" style="183" bestFit="1" customWidth="1"/>
    <col min="3332" max="3335" width="22.44140625" style="183" customWidth="1"/>
    <col min="3336" max="3336" width="19.44140625" style="183" bestFit="1" customWidth="1"/>
    <col min="3337" max="3337" width="26.33203125" style="183" bestFit="1" customWidth="1"/>
    <col min="3338" max="3338" width="13.5546875" style="183" bestFit="1" customWidth="1"/>
    <col min="3339" max="3584" width="9.109375" style="183"/>
    <col min="3585" max="3585" width="21.109375" style="183" bestFit="1" customWidth="1"/>
    <col min="3586" max="3586" width="70" style="183" bestFit="1" customWidth="1"/>
    <col min="3587" max="3587" width="24.5546875" style="183" bestFit="1" customWidth="1"/>
    <col min="3588" max="3591" width="22.44140625" style="183" customWidth="1"/>
    <col min="3592" max="3592" width="19.44140625" style="183" bestFit="1" customWidth="1"/>
    <col min="3593" max="3593" width="26.33203125" style="183" bestFit="1" customWidth="1"/>
    <col min="3594" max="3594" width="13.5546875" style="183" bestFit="1" customWidth="1"/>
    <col min="3595" max="3840" width="9.109375" style="183"/>
    <col min="3841" max="3841" width="21.109375" style="183" bestFit="1" customWidth="1"/>
    <col min="3842" max="3842" width="70" style="183" bestFit="1" customWidth="1"/>
    <col min="3843" max="3843" width="24.5546875" style="183" bestFit="1" customWidth="1"/>
    <col min="3844" max="3847" width="22.44140625" style="183" customWidth="1"/>
    <col min="3848" max="3848" width="19.44140625" style="183" bestFit="1" customWidth="1"/>
    <col min="3849" max="3849" width="26.33203125" style="183" bestFit="1" customWidth="1"/>
    <col min="3850" max="3850" width="13.5546875" style="183" bestFit="1" customWidth="1"/>
    <col min="3851" max="4096" width="9.109375" style="183"/>
    <col min="4097" max="4097" width="21.109375" style="183" bestFit="1" customWidth="1"/>
    <col min="4098" max="4098" width="70" style="183" bestFit="1" customWidth="1"/>
    <col min="4099" max="4099" width="24.5546875" style="183" bestFit="1" customWidth="1"/>
    <col min="4100" max="4103" width="22.44140625" style="183" customWidth="1"/>
    <col min="4104" max="4104" width="19.44140625" style="183" bestFit="1" customWidth="1"/>
    <col min="4105" max="4105" width="26.33203125" style="183" bestFit="1" customWidth="1"/>
    <col min="4106" max="4106" width="13.5546875" style="183" bestFit="1" customWidth="1"/>
    <col min="4107" max="4352" width="9.109375" style="183"/>
    <col min="4353" max="4353" width="21.109375" style="183" bestFit="1" customWidth="1"/>
    <col min="4354" max="4354" width="70" style="183" bestFit="1" customWidth="1"/>
    <col min="4355" max="4355" width="24.5546875" style="183" bestFit="1" customWidth="1"/>
    <col min="4356" max="4359" width="22.44140625" style="183" customWidth="1"/>
    <col min="4360" max="4360" width="19.44140625" style="183" bestFit="1" customWidth="1"/>
    <col min="4361" max="4361" width="26.33203125" style="183" bestFit="1" customWidth="1"/>
    <col min="4362" max="4362" width="13.5546875" style="183" bestFit="1" customWidth="1"/>
    <col min="4363" max="4608" width="9.109375" style="183"/>
    <col min="4609" max="4609" width="21.109375" style="183" bestFit="1" customWidth="1"/>
    <col min="4610" max="4610" width="70" style="183" bestFit="1" customWidth="1"/>
    <col min="4611" max="4611" width="24.5546875" style="183" bestFit="1" customWidth="1"/>
    <col min="4612" max="4615" width="22.44140625" style="183" customWidth="1"/>
    <col min="4616" max="4616" width="19.44140625" style="183" bestFit="1" customWidth="1"/>
    <col min="4617" max="4617" width="26.33203125" style="183" bestFit="1" customWidth="1"/>
    <col min="4618" max="4618" width="13.5546875" style="183" bestFit="1" customWidth="1"/>
    <col min="4619" max="4864" width="9.109375" style="183"/>
    <col min="4865" max="4865" width="21.109375" style="183" bestFit="1" customWidth="1"/>
    <col min="4866" max="4866" width="70" style="183" bestFit="1" customWidth="1"/>
    <col min="4867" max="4867" width="24.5546875" style="183" bestFit="1" customWidth="1"/>
    <col min="4868" max="4871" width="22.44140625" style="183" customWidth="1"/>
    <col min="4872" max="4872" width="19.44140625" style="183" bestFit="1" customWidth="1"/>
    <col min="4873" max="4873" width="26.33203125" style="183" bestFit="1" customWidth="1"/>
    <col min="4874" max="4874" width="13.5546875" style="183" bestFit="1" customWidth="1"/>
    <col min="4875" max="5120" width="9.109375" style="183"/>
    <col min="5121" max="5121" width="21.109375" style="183" bestFit="1" customWidth="1"/>
    <col min="5122" max="5122" width="70" style="183" bestFit="1" customWidth="1"/>
    <col min="5123" max="5123" width="24.5546875" style="183" bestFit="1" customWidth="1"/>
    <col min="5124" max="5127" width="22.44140625" style="183" customWidth="1"/>
    <col min="5128" max="5128" width="19.44140625" style="183" bestFit="1" customWidth="1"/>
    <col min="5129" max="5129" width="26.33203125" style="183" bestFit="1" customWidth="1"/>
    <col min="5130" max="5130" width="13.5546875" style="183" bestFit="1" customWidth="1"/>
    <col min="5131" max="5376" width="9.109375" style="183"/>
    <col min="5377" max="5377" width="21.109375" style="183" bestFit="1" customWidth="1"/>
    <col min="5378" max="5378" width="70" style="183" bestFit="1" customWidth="1"/>
    <col min="5379" max="5379" width="24.5546875" style="183" bestFit="1" customWidth="1"/>
    <col min="5380" max="5383" width="22.44140625" style="183" customWidth="1"/>
    <col min="5384" max="5384" width="19.44140625" style="183" bestFit="1" customWidth="1"/>
    <col min="5385" max="5385" width="26.33203125" style="183" bestFit="1" customWidth="1"/>
    <col min="5386" max="5386" width="13.5546875" style="183" bestFit="1" customWidth="1"/>
    <col min="5387" max="5632" width="9.109375" style="183"/>
    <col min="5633" max="5633" width="21.109375" style="183" bestFit="1" customWidth="1"/>
    <col min="5634" max="5634" width="70" style="183" bestFit="1" customWidth="1"/>
    <col min="5635" max="5635" width="24.5546875" style="183" bestFit="1" customWidth="1"/>
    <col min="5636" max="5639" width="22.44140625" style="183" customWidth="1"/>
    <col min="5640" max="5640" width="19.44140625" style="183" bestFit="1" customWidth="1"/>
    <col min="5641" max="5641" width="26.33203125" style="183" bestFit="1" customWidth="1"/>
    <col min="5642" max="5642" width="13.5546875" style="183" bestFit="1" customWidth="1"/>
    <col min="5643" max="5888" width="9.109375" style="183"/>
    <col min="5889" max="5889" width="21.109375" style="183" bestFit="1" customWidth="1"/>
    <col min="5890" max="5890" width="70" style="183" bestFit="1" customWidth="1"/>
    <col min="5891" max="5891" width="24.5546875" style="183" bestFit="1" customWidth="1"/>
    <col min="5892" max="5895" width="22.44140625" style="183" customWidth="1"/>
    <col min="5896" max="5896" width="19.44140625" style="183" bestFit="1" customWidth="1"/>
    <col min="5897" max="5897" width="26.33203125" style="183" bestFit="1" customWidth="1"/>
    <col min="5898" max="5898" width="13.5546875" style="183" bestFit="1" customWidth="1"/>
    <col min="5899" max="6144" width="9.109375" style="183"/>
    <col min="6145" max="6145" width="21.109375" style="183" bestFit="1" customWidth="1"/>
    <col min="6146" max="6146" width="70" style="183" bestFit="1" customWidth="1"/>
    <col min="6147" max="6147" width="24.5546875" style="183" bestFit="1" customWidth="1"/>
    <col min="6148" max="6151" width="22.44140625" style="183" customWidth="1"/>
    <col min="6152" max="6152" width="19.44140625" style="183" bestFit="1" customWidth="1"/>
    <col min="6153" max="6153" width="26.33203125" style="183" bestFit="1" customWidth="1"/>
    <col min="6154" max="6154" width="13.5546875" style="183" bestFit="1" customWidth="1"/>
    <col min="6155" max="6400" width="9.109375" style="183"/>
    <col min="6401" max="6401" width="21.109375" style="183" bestFit="1" customWidth="1"/>
    <col min="6402" max="6402" width="70" style="183" bestFit="1" customWidth="1"/>
    <col min="6403" max="6403" width="24.5546875" style="183" bestFit="1" customWidth="1"/>
    <col min="6404" max="6407" width="22.44140625" style="183" customWidth="1"/>
    <col min="6408" max="6408" width="19.44140625" style="183" bestFit="1" customWidth="1"/>
    <col min="6409" max="6409" width="26.33203125" style="183" bestFit="1" customWidth="1"/>
    <col min="6410" max="6410" width="13.5546875" style="183" bestFit="1" customWidth="1"/>
    <col min="6411" max="6656" width="9.109375" style="183"/>
    <col min="6657" max="6657" width="21.109375" style="183" bestFit="1" customWidth="1"/>
    <col min="6658" max="6658" width="70" style="183" bestFit="1" customWidth="1"/>
    <col min="6659" max="6659" width="24.5546875" style="183" bestFit="1" customWidth="1"/>
    <col min="6660" max="6663" width="22.44140625" style="183" customWidth="1"/>
    <col min="6664" max="6664" width="19.44140625" style="183" bestFit="1" customWidth="1"/>
    <col min="6665" max="6665" width="26.33203125" style="183" bestFit="1" customWidth="1"/>
    <col min="6666" max="6666" width="13.5546875" style="183" bestFit="1" customWidth="1"/>
    <col min="6667" max="6912" width="9.109375" style="183"/>
    <col min="6913" max="6913" width="21.109375" style="183" bestFit="1" customWidth="1"/>
    <col min="6914" max="6914" width="70" style="183" bestFit="1" customWidth="1"/>
    <col min="6915" max="6915" width="24.5546875" style="183" bestFit="1" customWidth="1"/>
    <col min="6916" max="6919" width="22.44140625" style="183" customWidth="1"/>
    <col min="6920" max="6920" width="19.44140625" style="183" bestFit="1" customWidth="1"/>
    <col min="6921" max="6921" width="26.33203125" style="183" bestFit="1" customWidth="1"/>
    <col min="6922" max="6922" width="13.5546875" style="183" bestFit="1" customWidth="1"/>
    <col min="6923" max="7168" width="9.109375" style="183"/>
    <col min="7169" max="7169" width="21.109375" style="183" bestFit="1" customWidth="1"/>
    <col min="7170" max="7170" width="70" style="183" bestFit="1" customWidth="1"/>
    <col min="7171" max="7171" width="24.5546875" style="183" bestFit="1" customWidth="1"/>
    <col min="7172" max="7175" width="22.44140625" style="183" customWidth="1"/>
    <col min="7176" max="7176" width="19.44140625" style="183" bestFit="1" customWidth="1"/>
    <col min="7177" max="7177" width="26.33203125" style="183" bestFit="1" customWidth="1"/>
    <col min="7178" max="7178" width="13.5546875" style="183" bestFit="1" customWidth="1"/>
    <col min="7179" max="7424" width="9.109375" style="183"/>
    <col min="7425" max="7425" width="21.109375" style="183" bestFit="1" customWidth="1"/>
    <col min="7426" max="7426" width="70" style="183" bestFit="1" customWidth="1"/>
    <col min="7427" max="7427" width="24.5546875" style="183" bestFit="1" customWidth="1"/>
    <col min="7428" max="7431" width="22.44140625" style="183" customWidth="1"/>
    <col min="7432" max="7432" width="19.44140625" style="183" bestFit="1" customWidth="1"/>
    <col min="7433" max="7433" width="26.33203125" style="183" bestFit="1" customWidth="1"/>
    <col min="7434" max="7434" width="13.5546875" style="183" bestFit="1" customWidth="1"/>
    <col min="7435" max="7680" width="9.109375" style="183"/>
    <col min="7681" max="7681" width="21.109375" style="183" bestFit="1" customWidth="1"/>
    <col min="7682" max="7682" width="70" style="183" bestFit="1" customWidth="1"/>
    <col min="7683" max="7683" width="24.5546875" style="183" bestFit="1" customWidth="1"/>
    <col min="7684" max="7687" width="22.44140625" style="183" customWidth="1"/>
    <col min="7688" max="7688" width="19.44140625" style="183" bestFit="1" customWidth="1"/>
    <col min="7689" max="7689" width="26.33203125" style="183" bestFit="1" customWidth="1"/>
    <col min="7690" max="7690" width="13.5546875" style="183" bestFit="1" customWidth="1"/>
    <col min="7691" max="7936" width="9.109375" style="183"/>
    <col min="7937" max="7937" width="21.109375" style="183" bestFit="1" customWidth="1"/>
    <col min="7938" max="7938" width="70" style="183" bestFit="1" customWidth="1"/>
    <col min="7939" max="7939" width="24.5546875" style="183" bestFit="1" customWidth="1"/>
    <col min="7940" max="7943" width="22.44140625" style="183" customWidth="1"/>
    <col min="7944" max="7944" width="19.44140625" style="183" bestFit="1" customWidth="1"/>
    <col min="7945" max="7945" width="26.33203125" style="183" bestFit="1" customWidth="1"/>
    <col min="7946" max="7946" width="13.5546875" style="183" bestFit="1" customWidth="1"/>
    <col min="7947" max="8192" width="9.109375" style="183"/>
    <col min="8193" max="8193" width="21.109375" style="183" bestFit="1" customWidth="1"/>
    <col min="8194" max="8194" width="70" style="183" bestFit="1" customWidth="1"/>
    <col min="8195" max="8195" width="24.5546875" style="183" bestFit="1" customWidth="1"/>
    <col min="8196" max="8199" width="22.44140625" style="183" customWidth="1"/>
    <col min="8200" max="8200" width="19.44140625" style="183" bestFit="1" customWidth="1"/>
    <col min="8201" max="8201" width="26.33203125" style="183" bestFit="1" customWidth="1"/>
    <col min="8202" max="8202" width="13.5546875" style="183" bestFit="1" customWidth="1"/>
    <col min="8203" max="8448" width="9.109375" style="183"/>
    <col min="8449" max="8449" width="21.109375" style="183" bestFit="1" customWidth="1"/>
    <col min="8450" max="8450" width="70" style="183" bestFit="1" customWidth="1"/>
    <col min="8451" max="8451" width="24.5546875" style="183" bestFit="1" customWidth="1"/>
    <col min="8452" max="8455" width="22.44140625" style="183" customWidth="1"/>
    <col min="8456" max="8456" width="19.44140625" style="183" bestFit="1" customWidth="1"/>
    <col min="8457" max="8457" width="26.33203125" style="183" bestFit="1" customWidth="1"/>
    <col min="8458" max="8458" width="13.5546875" style="183" bestFit="1" customWidth="1"/>
    <col min="8459" max="8704" width="9.109375" style="183"/>
    <col min="8705" max="8705" width="21.109375" style="183" bestFit="1" customWidth="1"/>
    <col min="8706" max="8706" width="70" style="183" bestFit="1" customWidth="1"/>
    <col min="8707" max="8707" width="24.5546875" style="183" bestFit="1" customWidth="1"/>
    <col min="8708" max="8711" width="22.44140625" style="183" customWidth="1"/>
    <col min="8712" max="8712" width="19.44140625" style="183" bestFit="1" customWidth="1"/>
    <col min="8713" max="8713" width="26.33203125" style="183" bestFit="1" customWidth="1"/>
    <col min="8714" max="8714" width="13.5546875" style="183" bestFit="1" customWidth="1"/>
    <col min="8715" max="8960" width="9.109375" style="183"/>
    <col min="8961" max="8961" width="21.109375" style="183" bestFit="1" customWidth="1"/>
    <col min="8962" max="8962" width="70" style="183" bestFit="1" customWidth="1"/>
    <col min="8963" max="8963" width="24.5546875" style="183" bestFit="1" customWidth="1"/>
    <col min="8964" max="8967" width="22.44140625" style="183" customWidth="1"/>
    <col min="8968" max="8968" width="19.44140625" style="183" bestFit="1" customWidth="1"/>
    <col min="8969" max="8969" width="26.33203125" style="183" bestFit="1" customWidth="1"/>
    <col min="8970" max="8970" width="13.5546875" style="183" bestFit="1" customWidth="1"/>
    <col min="8971" max="9216" width="9.109375" style="183"/>
    <col min="9217" max="9217" width="21.109375" style="183" bestFit="1" customWidth="1"/>
    <col min="9218" max="9218" width="70" style="183" bestFit="1" customWidth="1"/>
    <col min="9219" max="9219" width="24.5546875" style="183" bestFit="1" customWidth="1"/>
    <col min="9220" max="9223" width="22.44140625" style="183" customWidth="1"/>
    <col min="9224" max="9224" width="19.44140625" style="183" bestFit="1" customWidth="1"/>
    <col min="9225" max="9225" width="26.33203125" style="183" bestFit="1" customWidth="1"/>
    <col min="9226" max="9226" width="13.5546875" style="183" bestFit="1" customWidth="1"/>
    <col min="9227" max="9472" width="9.109375" style="183"/>
    <col min="9473" max="9473" width="21.109375" style="183" bestFit="1" customWidth="1"/>
    <col min="9474" max="9474" width="70" style="183" bestFit="1" customWidth="1"/>
    <col min="9475" max="9475" width="24.5546875" style="183" bestFit="1" customWidth="1"/>
    <col min="9476" max="9479" width="22.44140625" style="183" customWidth="1"/>
    <col min="9480" max="9480" width="19.44140625" style="183" bestFit="1" customWidth="1"/>
    <col min="9481" max="9481" width="26.33203125" style="183" bestFit="1" customWidth="1"/>
    <col min="9482" max="9482" width="13.5546875" style="183" bestFit="1" customWidth="1"/>
    <col min="9483" max="9728" width="9.109375" style="183"/>
    <col min="9729" max="9729" width="21.109375" style="183" bestFit="1" customWidth="1"/>
    <col min="9730" max="9730" width="70" style="183" bestFit="1" customWidth="1"/>
    <col min="9731" max="9731" width="24.5546875" style="183" bestFit="1" customWidth="1"/>
    <col min="9732" max="9735" width="22.44140625" style="183" customWidth="1"/>
    <col min="9736" max="9736" width="19.44140625" style="183" bestFit="1" customWidth="1"/>
    <col min="9737" max="9737" width="26.33203125" style="183" bestFit="1" customWidth="1"/>
    <col min="9738" max="9738" width="13.5546875" style="183" bestFit="1" customWidth="1"/>
    <col min="9739" max="9984" width="9.109375" style="183"/>
    <col min="9985" max="9985" width="21.109375" style="183" bestFit="1" customWidth="1"/>
    <col min="9986" max="9986" width="70" style="183" bestFit="1" customWidth="1"/>
    <col min="9987" max="9987" width="24.5546875" style="183" bestFit="1" customWidth="1"/>
    <col min="9988" max="9991" width="22.44140625" style="183" customWidth="1"/>
    <col min="9992" max="9992" width="19.44140625" style="183" bestFit="1" customWidth="1"/>
    <col min="9993" max="9993" width="26.33203125" style="183" bestFit="1" customWidth="1"/>
    <col min="9994" max="9994" width="13.5546875" style="183" bestFit="1" customWidth="1"/>
    <col min="9995" max="10240" width="9.109375" style="183"/>
    <col min="10241" max="10241" width="21.109375" style="183" bestFit="1" customWidth="1"/>
    <col min="10242" max="10242" width="70" style="183" bestFit="1" customWidth="1"/>
    <col min="10243" max="10243" width="24.5546875" style="183" bestFit="1" customWidth="1"/>
    <col min="10244" max="10247" width="22.44140625" style="183" customWidth="1"/>
    <col min="10248" max="10248" width="19.44140625" style="183" bestFit="1" customWidth="1"/>
    <col min="10249" max="10249" width="26.33203125" style="183" bestFit="1" customWidth="1"/>
    <col min="10250" max="10250" width="13.5546875" style="183" bestFit="1" customWidth="1"/>
    <col min="10251" max="10496" width="9.109375" style="183"/>
    <col min="10497" max="10497" width="21.109375" style="183" bestFit="1" customWidth="1"/>
    <col min="10498" max="10498" width="70" style="183" bestFit="1" customWidth="1"/>
    <col min="10499" max="10499" width="24.5546875" style="183" bestFit="1" customWidth="1"/>
    <col min="10500" max="10503" width="22.44140625" style="183" customWidth="1"/>
    <col min="10504" max="10504" width="19.44140625" style="183" bestFit="1" customWidth="1"/>
    <col min="10505" max="10505" width="26.33203125" style="183" bestFit="1" customWidth="1"/>
    <col min="10506" max="10506" width="13.5546875" style="183" bestFit="1" customWidth="1"/>
    <col min="10507" max="10752" width="9.109375" style="183"/>
    <col min="10753" max="10753" width="21.109375" style="183" bestFit="1" customWidth="1"/>
    <col min="10754" max="10754" width="70" style="183" bestFit="1" customWidth="1"/>
    <col min="10755" max="10755" width="24.5546875" style="183" bestFit="1" customWidth="1"/>
    <col min="10756" max="10759" width="22.44140625" style="183" customWidth="1"/>
    <col min="10760" max="10760" width="19.44140625" style="183" bestFit="1" customWidth="1"/>
    <col min="10761" max="10761" width="26.33203125" style="183" bestFit="1" customWidth="1"/>
    <col min="10762" max="10762" width="13.5546875" style="183" bestFit="1" customWidth="1"/>
    <col min="10763" max="11008" width="9.109375" style="183"/>
    <col min="11009" max="11009" width="21.109375" style="183" bestFit="1" customWidth="1"/>
    <col min="11010" max="11010" width="70" style="183" bestFit="1" customWidth="1"/>
    <col min="11011" max="11011" width="24.5546875" style="183" bestFit="1" customWidth="1"/>
    <col min="11012" max="11015" width="22.44140625" style="183" customWidth="1"/>
    <col min="11016" max="11016" width="19.44140625" style="183" bestFit="1" customWidth="1"/>
    <col min="11017" max="11017" width="26.33203125" style="183" bestFit="1" customWidth="1"/>
    <col min="11018" max="11018" width="13.5546875" style="183" bestFit="1" customWidth="1"/>
    <col min="11019" max="11264" width="9.109375" style="183"/>
    <col min="11265" max="11265" width="21.109375" style="183" bestFit="1" customWidth="1"/>
    <col min="11266" max="11266" width="70" style="183" bestFit="1" customWidth="1"/>
    <col min="11267" max="11267" width="24.5546875" style="183" bestFit="1" customWidth="1"/>
    <col min="11268" max="11271" width="22.44140625" style="183" customWidth="1"/>
    <col min="11272" max="11272" width="19.44140625" style="183" bestFit="1" customWidth="1"/>
    <col min="11273" max="11273" width="26.33203125" style="183" bestFit="1" customWidth="1"/>
    <col min="11274" max="11274" width="13.5546875" style="183" bestFit="1" customWidth="1"/>
    <col min="11275" max="11520" width="9.109375" style="183"/>
    <col min="11521" max="11521" width="21.109375" style="183" bestFit="1" customWidth="1"/>
    <col min="11522" max="11522" width="70" style="183" bestFit="1" customWidth="1"/>
    <col min="11523" max="11523" width="24.5546875" style="183" bestFit="1" customWidth="1"/>
    <col min="11524" max="11527" width="22.44140625" style="183" customWidth="1"/>
    <col min="11528" max="11528" width="19.44140625" style="183" bestFit="1" customWidth="1"/>
    <col min="11529" max="11529" width="26.33203125" style="183" bestFit="1" customWidth="1"/>
    <col min="11530" max="11530" width="13.5546875" style="183" bestFit="1" customWidth="1"/>
    <col min="11531" max="11776" width="9.109375" style="183"/>
    <col min="11777" max="11777" width="21.109375" style="183" bestFit="1" customWidth="1"/>
    <col min="11778" max="11778" width="70" style="183" bestFit="1" customWidth="1"/>
    <col min="11779" max="11779" width="24.5546875" style="183" bestFit="1" customWidth="1"/>
    <col min="11780" max="11783" width="22.44140625" style="183" customWidth="1"/>
    <col min="11784" max="11784" width="19.44140625" style="183" bestFit="1" customWidth="1"/>
    <col min="11785" max="11785" width="26.33203125" style="183" bestFit="1" customWidth="1"/>
    <col min="11786" max="11786" width="13.5546875" style="183" bestFit="1" customWidth="1"/>
    <col min="11787" max="12032" width="9.109375" style="183"/>
    <col min="12033" max="12033" width="21.109375" style="183" bestFit="1" customWidth="1"/>
    <col min="12034" max="12034" width="70" style="183" bestFit="1" customWidth="1"/>
    <col min="12035" max="12035" width="24.5546875" style="183" bestFit="1" customWidth="1"/>
    <col min="12036" max="12039" width="22.44140625" style="183" customWidth="1"/>
    <col min="12040" max="12040" width="19.44140625" style="183" bestFit="1" customWidth="1"/>
    <col min="12041" max="12041" width="26.33203125" style="183" bestFit="1" customWidth="1"/>
    <col min="12042" max="12042" width="13.5546875" style="183" bestFit="1" customWidth="1"/>
    <col min="12043" max="12288" width="9.109375" style="183"/>
    <col min="12289" max="12289" width="21.109375" style="183" bestFit="1" customWidth="1"/>
    <col min="12290" max="12290" width="70" style="183" bestFit="1" customWidth="1"/>
    <col min="12291" max="12291" width="24.5546875" style="183" bestFit="1" customWidth="1"/>
    <col min="12292" max="12295" width="22.44140625" style="183" customWidth="1"/>
    <col min="12296" max="12296" width="19.44140625" style="183" bestFit="1" customWidth="1"/>
    <col min="12297" max="12297" width="26.33203125" style="183" bestFit="1" customWidth="1"/>
    <col min="12298" max="12298" width="13.5546875" style="183" bestFit="1" customWidth="1"/>
    <col min="12299" max="12544" width="9.109375" style="183"/>
    <col min="12545" max="12545" width="21.109375" style="183" bestFit="1" customWidth="1"/>
    <col min="12546" max="12546" width="70" style="183" bestFit="1" customWidth="1"/>
    <col min="12547" max="12547" width="24.5546875" style="183" bestFit="1" customWidth="1"/>
    <col min="12548" max="12551" width="22.44140625" style="183" customWidth="1"/>
    <col min="12552" max="12552" width="19.44140625" style="183" bestFit="1" customWidth="1"/>
    <col min="12553" max="12553" width="26.33203125" style="183" bestFit="1" customWidth="1"/>
    <col min="12554" max="12554" width="13.5546875" style="183" bestFit="1" customWidth="1"/>
    <col min="12555" max="12800" width="9.109375" style="183"/>
    <col min="12801" max="12801" width="21.109375" style="183" bestFit="1" customWidth="1"/>
    <col min="12802" max="12802" width="70" style="183" bestFit="1" customWidth="1"/>
    <col min="12803" max="12803" width="24.5546875" style="183" bestFit="1" customWidth="1"/>
    <col min="12804" max="12807" width="22.44140625" style="183" customWidth="1"/>
    <col min="12808" max="12808" width="19.44140625" style="183" bestFit="1" customWidth="1"/>
    <col min="12809" max="12809" width="26.33203125" style="183" bestFit="1" customWidth="1"/>
    <col min="12810" max="12810" width="13.5546875" style="183" bestFit="1" customWidth="1"/>
    <col min="12811" max="13056" width="9.109375" style="183"/>
    <col min="13057" max="13057" width="21.109375" style="183" bestFit="1" customWidth="1"/>
    <col min="13058" max="13058" width="70" style="183" bestFit="1" customWidth="1"/>
    <col min="13059" max="13059" width="24.5546875" style="183" bestFit="1" customWidth="1"/>
    <col min="13060" max="13063" width="22.44140625" style="183" customWidth="1"/>
    <col min="13064" max="13064" width="19.44140625" style="183" bestFit="1" customWidth="1"/>
    <col min="13065" max="13065" width="26.33203125" style="183" bestFit="1" customWidth="1"/>
    <col min="13066" max="13066" width="13.5546875" style="183" bestFit="1" customWidth="1"/>
    <col min="13067" max="13312" width="9.109375" style="183"/>
    <col min="13313" max="13313" width="21.109375" style="183" bestFit="1" customWidth="1"/>
    <col min="13314" max="13314" width="70" style="183" bestFit="1" customWidth="1"/>
    <col min="13315" max="13315" width="24.5546875" style="183" bestFit="1" customWidth="1"/>
    <col min="13316" max="13319" width="22.44140625" style="183" customWidth="1"/>
    <col min="13320" max="13320" width="19.44140625" style="183" bestFit="1" customWidth="1"/>
    <col min="13321" max="13321" width="26.33203125" style="183" bestFit="1" customWidth="1"/>
    <col min="13322" max="13322" width="13.5546875" style="183" bestFit="1" customWidth="1"/>
    <col min="13323" max="13568" width="9.109375" style="183"/>
    <col min="13569" max="13569" width="21.109375" style="183" bestFit="1" customWidth="1"/>
    <col min="13570" max="13570" width="70" style="183" bestFit="1" customWidth="1"/>
    <col min="13571" max="13571" width="24.5546875" style="183" bestFit="1" customWidth="1"/>
    <col min="13572" max="13575" width="22.44140625" style="183" customWidth="1"/>
    <col min="13576" max="13576" width="19.44140625" style="183" bestFit="1" customWidth="1"/>
    <col min="13577" max="13577" width="26.33203125" style="183" bestFit="1" customWidth="1"/>
    <col min="13578" max="13578" width="13.5546875" style="183" bestFit="1" customWidth="1"/>
    <col min="13579" max="13824" width="9.109375" style="183"/>
    <col min="13825" max="13825" width="21.109375" style="183" bestFit="1" customWidth="1"/>
    <col min="13826" max="13826" width="70" style="183" bestFit="1" customWidth="1"/>
    <col min="13827" max="13827" width="24.5546875" style="183" bestFit="1" customWidth="1"/>
    <col min="13828" max="13831" width="22.44140625" style="183" customWidth="1"/>
    <col min="13832" max="13832" width="19.44140625" style="183" bestFit="1" customWidth="1"/>
    <col min="13833" max="13833" width="26.33203125" style="183" bestFit="1" customWidth="1"/>
    <col min="13834" max="13834" width="13.5546875" style="183" bestFit="1" customWidth="1"/>
    <col min="13835" max="14080" width="9.109375" style="183"/>
    <col min="14081" max="14081" width="21.109375" style="183" bestFit="1" customWidth="1"/>
    <col min="14082" max="14082" width="70" style="183" bestFit="1" customWidth="1"/>
    <col min="14083" max="14083" width="24.5546875" style="183" bestFit="1" customWidth="1"/>
    <col min="14084" max="14087" width="22.44140625" style="183" customWidth="1"/>
    <col min="14088" max="14088" width="19.44140625" style="183" bestFit="1" customWidth="1"/>
    <col min="14089" max="14089" width="26.33203125" style="183" bestFit="1" customWidth="1"/>
    <col min="14090" max="14090" width="13.5546875" style="183" bestFit="1" customWidth="1"/>
    <col min="14091" max="14336" width="9.109375" style="183"/>
    <col min="14337" max="14337" width="21.109375" style="183" bestFit="1" customWidth="1"/>
    <col min="14338" max="14338" width="70" style="183" bestFit="1" customWidth="1"/>
    <col min="14339" max="14339" width="24.5546875" style="183" bestFit="1" customWidth="1"/>
    <col min="14340" max="14343" width="22.44140625" style="183" customWidth="1"/>
    <col min="14344" max="14344" width="19.44140625" style="183" bestFit="1" customWidth="1"/>
    <col min="14345" max="14345" width="26.33203125" style="183" bestFit="1" customWidth="1"/>
    <col min="14346" max="14346" width="13.5546875" style="183" bestFit="1" customWidth="1"/>
    <col min="14347" max="14592" width="9.109375" style="183"/>
    <col min="14593" max="14593" width="21.109375" style="183" bestFit="1" customWidth="1"/>
    <col min="14594" max="14594" width="70" style="183" bestFit="1" customWidth="1"/>
    <col min="14595" max="14595" width="24.5546875" style="183" bestFit="1" customWidth="1"/>
    <col min="14596" max="14599" width="22.44140625" style="183" customWidth="1"/>
    <col min="14600" max="14600" width="19.44140625" style="183" bestFit="1" customWidth="1"/>
    <col min="14601" max="14601" width="26.33203125" style="183" bestFit="1" customWidth="1"/>
    <col min="14602" max="14602" width="13.5546875" style="183" bestFit="1" customWidth="1"/>
    <col min="14603" max="14848" width="9.109375" style="183"/>
    <col min="14849" max="14849" width="21.109375" style="183" bestFit="1" customWidth="1"/>
    <col min="14850" max="14850" width="70" style="183" bestFit="1" customWidth="1"/>
    <col min="14851" max="14851" width="24.5546875" style="183" bestFit="1" customWidth="1"/>
    <col min="14852" max="14855" width="22.44140625" style="183" customWidth="1"/>
    <col min="14856" max="14856" width="19.44140625" style="183" bestFit="1" customWidth="1"/>
    <col min="14857" max="14857" width="26.33203125" style="183" bestFit="1" customWidth="1"/>
    <col min="14858" max="14858" width="13.5546875" style="183" bestFit="1" customWidth="1"/>
    <col min="14859" max="15104" width="9.109375" style="183"/>
    <col min="15105" max="15105" width="21.109375" style="183" bestFit="1" customWidth="1"/>
    <col min="15106" max="15106" width="70" style="183" bestFit="1" customWidth="1"/>
    <col min="15107" max="15107" width="24.5546875" style="183" bestFit="1" customWidth="1"/>
    <col min="15108" max="15111" width="22.44140625" style="183" customWidth="1"/>
    <col min="15112" max="15112" width="19.44140625" style="183" bestFit="1" customWidth="1"/>
    <col min="15113" max="15113" width="26.33203125" style="183" bestFit="1" customWidth="1"/>
    <col min="15114" max="15114" width="13.5546875" style="183" bestFit="1" customWidth="1"/>
    <col min="15115" max="15360" width="9.109375" style="183"/>
    <col min="15361" max="15361" width="21.109375" style="183" bestFit="1" customWidth="1"/>
    <col min="15362" max="15362" width="70" style="183" bestFit="1" customWidth="1"/>
    <col min="15363" max="15363" width="24.5546875" style="183" bestFit="1" customWidth="1"/>
    <col min="15364" max="15367" width="22.44140625" style="183" customWidth="1"/>
    <col min="15368" max="15368" width="19.44140625" style="183" bestFit="1" customWidth="1"/>
    <col min="15369" max="15369" width="26.33203125" style="183" bestFit="1" customWidth="1"/>
    <col min="15370" max="15370" width="13.5546875" style="183" bestFit="1" customWidth="1"/>
    <col min="15371" max="15616" width="9.109375" style="183"/>
    <col min="15617" max="15617" width="21.109375" style="183" bestFit="1" customWidth="1"/>
    <col min="15618" max="15618" width="70" style="183" bestFit="1" customWidth="1"/>
    <col min="15619" max="15619" width="24.5546875" style="183" bestFit="1" customWidth="1"/>
    <col min="15620" max="15623" width="22.44140625" style="183" customWidth="1"/>
    <col min="15624" max="15624" width="19.44140625" style="183" bestFit="1" customWidth="1"/>
    <col min="15625" max="15625" width="26.33203125" style="183" bestFit="1" customWidth="1"/>
    <col min="15626" max="15626" width="13.5546875" style="183" bestFit="1" customWidth="1"/>
    <col min="15627" max="15872" width="9.109375" style="183"/>
    <col min="15873" max="15873" width="21.109375" style="183" bestFit="1" customWidth="1"/>
    <col min="15874" max="15874" width="70" style="183" bestFit="1" customWidth="1"/>
    <col min="15875" max="15875" width="24.5546875" style="183" bestFit="1" customWidth="1"/>
    <col min="15876" max="15879" width="22.44140625" style="183" customWidth="1"/>
    <col min="15880" max="15880" width="19.44140625" style="183" bestFit="1" customWidth="1"/>
    <col min="15881" max="15881" width="26.33203125" style="183" bestFit="1" customWidth="1"/>
    <col min="15882" max="15882" width="13.5546875" style="183" bestFit="1" customWidth="1"/>
    <col min="15883" max="16128" width="9.109375" style="183"/>
    <col min="16129" max="16129" width="21.109375" style="183" bestFit="1" customWidth="1"/>
    <col min="16130" max="16130" width="70" style="183" bestFit="1" customWidth="1"/>
    <col min="16131" max="16131" width="24.5546875" style="183" bestFit="1" customWidth="1"/>
    <col min="16132" max="16135" width="22.44140625" style="183" customWidth="1"/>
    <col min="16136" max="16136" width="19.44140625" style="183" bestFit="1" customWidth="1"/>
    <col min="16137" max="16137" width="26.33203125" style="183" bestFit="1" customWidth="1"/>
    <col min="16138" max="16138" width="13.5546875" style="183" bestFit="1" customWidth="1"/>
    <col min="16139" max="16384" width="9.109375" style="183"/>
  </cols>
  <sheetData>
    <row r="1" spans="1:18" ht="12.75" customHeight="1">
      <c r="C1" s="208" t="s">
        <v>505</v>
      </c>
      <c r="D1" s="208" t="s">
        <v>483</v>
      </c>
      <c r="E1" s="208" t="s">
        <v>487</v>
      </c>
      <c r="F1" s="208" t="s">
        <v>502</v>
      </c>
      <c r="G1" s="208" t="s">
        <v>506</v>
      </c>
      <c r="H1" s="186" t="s">
        <v>507</v>
      </c>
    </row>
    <row r="3" spans="1:18" ht="12.75" customHeight="1">
      <c r="A3" s="188" t="s">
        <v>16</v>
      </c>
    </row>
    <row r="4" spans="1:18" ht="12.75" customHeight="1">
      <c r="A4" s="182">
        <v>1600200</v>
      </c>
      <c r="B4" s="183" t="s">
        <v>22</v>
      </c>
      <c r="C4" s="184">
        <v>125676724.45</v>
      </c>
      <c r="F4" s="198">
        <f>496000</f>
        <v>496000</v>
      </c>
      <c r="H4" s="186">
        <f>SUM(C4:G4)</f>
        <v>126172724.45</v>
      </c>
      <c r="I4" s="184" t="s">
        <v>508</v>
      </c>
      <c r="J4" s="228"/>
      <c r="O4" s="183">
        <v>238485</v>
      </c>
      <c r="P4" s="183">
        <v>230282.95</v>
      </c>
      <c r="Q4" s="228">
        <f>694696.68-F4</f>
        <v>198696.68000000005</v>
      </c>
      <c r="R4" s="183">
        <v>289183.25</v>
      </c>
    </row>
    <row r="5" spans="1:18" ht="12.75" customHeight="1">
      <c r="A5" s="182" t="s">
        <v>23</v>
      </c>
      <c r="B5" s="183" t="s">
        <v>24</v>
      </c>
      <c r="C5" s="184">
        <v>-12070533</v>
      </c>
      <c r="D5" s="184">
        <v>-667313</v>
      </c>
      <c r="E5" s="184">
        <v>-666766</v>
      </c>
      <c r="F5" s="184">
        <v>-679632</v>
      </c>
      <c r="G5" s="184">
        <v>-682456</v>
      </c>
      <c r="H5" s="186">
        <f>SUM(C5:G5)</f>
        <v>-14766700</v>
      </c>
      <c r="I5" s="184"/>
      <c r="J5" s="228"/>
    </row>
    <row r="6" spans="1:18" ht="12.75" customHeight="1">
      <c r="A6" s="182" t="s">
        <v>25</v>
      </c>
      <c r="B6" s="183" t="s">
        <v>26</v>
      </c>
      <c r="C6" s="184">
        <v>-706761</v>
      </c>
      <c r="D6" s="191">
        <v>-1597299</v>
      </c>
      <c r="E6" s="191">
        <v>-144749</v>
      </c>
      <c r="F6" s="191">
        <v>-856186</v>
      </c>
      <c r="G6" s="191">
        <v>-331590</v>
      </c>
      <c r="H6" s="186">
        <f t="shared" ref="H6:H66" si="0">SUM(C6:G6)</f>
        <v>-3636585</v>
      </c>
      <c r="I6" s="191"/>
      <c r="J6" s="228"/>
    </row>
    <row r="7" spans="1:18" ht="12.75" customHeight="1">
      <c r="A7" s="182" t="s">
        <v>427</v>
      </c>
      <c r="B7" s="183" t="s">
        <v>428</v>
      </c>
      <c r="C7" s="184">
        <v>73789</v>
      </c>
      <c r="D7" s="184">
        <v>170229</v>
      </c>
      <c r="E7" s="184">
        <v>16814</v>
      </c>
      <c r="F7" s="184">
        <v>102659</v>
      </c>
      <c r="G7" s="184">
        <v>41047</v>
      </c>
      <c r="H7" s="186">
        <f t="shared" si="0"/>
        <v>404538</v>
      </c>
    </row>
    <row r="8" spans="1:18" ht="12.75" customHeight="1">
      <c r="A8" s="183" t="s">
        <v>351</v>
      </c>
      <c r="H8" s="186">
        <f t="shared" si="0"/>
        <v>0</v>
      </c>
    </row>
    <row r="10" spans="1:18" ht="12.75" customHeight="1">
      <c r="A10" s="182" t="s">
        <v>35</v>
      </c>
      <c r="B10" s="183" t="s">
        <v>36</v>
      </c>
      <c r="C10" s="184">
        <v>3706953</v>
      </c>
      <c r="D10" s="184">
        <v>120923</v>
      </c>
      <c r="E10" s="224">
        <v>161798</v>
      </c>
      <c r="F10" s="229">
        <v>273366.2</v>
      </c>
      <c r="G10" s="224">
        <v>237434</v>
      </c>
      <c r="H10" s="186">
        <f t="shared" si="0"/>
        <v>4500474.2</v>
      </c>
      <c r="I10" s="183" t="s">
        <v>509</v>
      </c>
    </row>
    <row r="11" spans="1:18" ht="12.75" customHeight="1">
      <c r="A11" s="183" t="s">
        <v>352</v>
      </c>
      <c r="H11" s="186">
        <f t="shared" si="0"/>
        <v>0</v>
      </c>
    </row>
    <row r="13" spans="1:18" ht="12.75" customHeight="1">
      <c r="A13" s="182" t="s">
        <v>41</v>
      </c>
      <c r="B13" s="183" t="s">
        <v>42</v>
      </c>
      <c r="C13" s="184">
        <v>-48068</v>
      </c>
      <c r="D13" s="184">
        <v>281344</v>
      </c>
      <c r="E13" s="229">
        <f>748301</f>
        <v>748301</v>
      </c>
      <c r="F13" s="239">
        <v>-866992</v>
      </c>
      <c r="G13" s="239">
        <v>-10254.870000000001</v>
      </c>
      <c r="H13" s="186">
        <f t="shared" si="0"/>
        <v>104330.13</v>
      </c>
    </row>
    <row r="14" spans="1:18" ht="12.75" customHeight="1">
      <c r="A14" s="182" t="s">
        <v>43</v>
      </c>
      <c r="B14" s="183" t="s">
        <v>44</v>
      </c>
      <c r="C14" s="184">
        <v>-31915</v>
      </c>
      <c r="D14" s="184">
        <v>0</v>
      </c>
      <c r="E14" s="184">
        <v>0</v>
      </c>
      <c r="F14" s="184">
        <v>0</v>
      </c>
      <c r="G14" s="184">
        <v>0</v>
      </c>
      <c r="H14" s="186">
        <f t="shared" si="0"/>
        <v>-31915</v>
      </c>
    </row>
    <row r="15" spans="1:18" ht="12.75" customHeight="1">
      <c r="A15" s="183" t="s">
        <v>353</v>
      </c>
      <c r="H15" s="186">
        <f t="shared" si="0"/>
        <v>0</v>
      </c>
    </row>
    <row r="17" spans="1:9" ht="12.75" customHeight="1">
      <c r="A17" s="182">
        <v>2640000</v>
      </c>
      <c r="B17" s="183" t="s">
        <v>48</v>
      </c>
      <c r="C17" s="184">
        <v>-694061</v>
      </c>
      <c r="D17" s="184">
        <v>550984</v>
      </c>
      <c r="E17" s="184">
        <v>1407409</v>
      </c>
      <c r="F17" s="198">
        <v>-1874859.43</v>
      </c>
      <c r="G17" s="184">
        <v>542643.28</v>
      </c>
      <c r="H17" s="186">
        <f t="shared" si="0"/>
        <v>-67884.149999999907</v>
      </c>
      <c r="I17" s="184" t="s">
        <v>510</v>
      </c>
    </row>
    <row r="18" spans="1:9" ht="12.75" customHeight="1">
      <c r="A18" s="183" t="s">
        <v>357</v>
      </c>
      <c r="H18" s="186">
        <f t="shared" si="0"/>
        <v>0</v>
      </c>
    </row>
    <row r="20" spans="1:9" ht="12.75" customHeight="1">
      <c r="A20" s="182">
        <v>2040200</v>
      </c>
      <c r="B20" s="183" t="s">
        <v>447</v>
      </c>
      <c r="C20" s="184">
        <v>5000</v>
      </c>
      <c r="D20" s="184">
        <v>0</v>
      </c>
      <c r="E20" s="184">
        <v>0</v>
      </c>
      <c r="F20" s="184">
        <v>0</v>
      </c>
      <c r="G20" s="184">
        <v>0</v>
      </c>
      <c r="H20" s="186">
        <f t="shared" si="0"/>
        <v>5000</v>
      </c>
    </row>
    <row r="21" spans="1:9" ht="12.75" customHeight="1">
      <c r="A21" s="182">
        <v>2040500</v>
      </c>
      <c r="B21" s="183" t="s">
        <v>490</v>
      </c>
      <c r="C21" s="184">
        <v>-14411</v>
      </c>
      <c r="D21" s="184">
        <v>70849</v>
      </c>
      <c r="E21" s="184">
        <v>-28219.3</v>
      </c>
      <c r="F21" s="184">
        <v>-28218.89</v>
      </c>
      <c r="G21" s="184">
        <v>0</v>
      </c>
      <c r="H21" s="186">
        <f t="shared" si="0"/>
        <v>-0.18999999999869033</v>
      </c>
    </row>
    <row r="22" spans="1:9" ht="12.75" customHeight="1">
      <c r="A22" s="182" t="s">
        <v>53</v>
      </c>
      <c r="B22" s="183" t="s">
        <v>54</v>
      </c>
      <c r="C22" s="184">
        <v>0</v>
      </c>
      <c r="D22" s="184">
        <v>0</v>
      </c>
      <c r="E22" s="184">
        <v>0</v>
      </c>
      <c r="F22" s="184">
        <v>1679.29</v>
      </c>
      <c r="G22" s="184">
        <v>-1679</v>
      </c>
      <c r="H22" s="186">
        <f t="shared" si="0"/>
        <v>0.28999999999996362</v>
      </c>
    </row>
    <row r="23" spans="1:9" ht="12.75" customHeight="1">
      <c r="A23" s="182" t="s">
        <v>55</v>
      </c>
      <c r="B23" s="183" t="s">
        <v>56</v>
      </c>
      <c r="C23" s="184">
        <v>198983.49</v>
      </c>
      <c r="D23" s="184">
        <f>-121928-129402.51</f>
        <v>-251330.51</v>
      </c>
      <c r="E23" s="231">
        <f>-77180+388207.5</f>
        <v>311027.5</v>
      </c>
      <c r="F23" s="231">
        <v>-258680.49</v>
      </c>
      <c r="G23" s="240">
        <v>220793.54</v>
      </c>
      <c r="H23" s="186">
        <f t="shared" si="0"/>
        <v>220793.53</v>
      </c>
      <c r="I23" s="183" t="s">
        <v>511</v>
      </c>
    </row>
    <row r="24" spans="1:9" ht="12.75" customHeight="1">
      <c r="A24" s="183" t="s">
        <v>407</v>
      </c>
      <c r="H24" s="186">
        <f t="shared" si="0"/>
        <v>0</v>
      </c>
    </row>
    <row r="26" spans="1:9" ht="12.75" customHeight="1">
      <c r="A26" s="182" t="s">
        <v>61</v>
      </c>
      <c r="B26" s="183" t="s">
        <v>62</v>
      </c>
      <c r="C26" s="184">
        <v>-343</v>
      </c>
      <c r="D26" s="184">
        <v>-3775.5</v>
      </c>
      <c r="E26" s="184">
        <v>-12957.2</v>
      </c>
      <c r="F26" s="198">
        <v>17075.97</v>
      </c>
      <c r="G26" s="184">
        <v>-281</v>
      </c>
      <c r="H26" s="186">
        <f t="shared" si="0"/>
        <v>-280.72999999999956</v>
      </c>
      <c r="I26" s="184" t="s">
        <v>512</v>
      </c>
    </row>
    <row r="27" spans="1:9" ht="12.75" customHeight="1">
      <c r="A27" s="182" t="s">
        <v>65</v>
      </c>
      <c r="B27" s="183" t="s">
        <v>66</v>
      </c>
      <c r="C27" s="184">
        <v>0</v>
      </c>
      <c r="D27" s="184">
        <v>0</v>
      </c>
      <c r="E27" s="224">
        <v>0.91</v>
      </c>
      <c r="F27" s="224">
        <v>-0.38</v>
      </c>
      <c r="G27" s="224">
        <v>-0.37</v>
      </c>
      <c r="H27" s="186">
        <f t="shared" si="0"/>
        <v>0.16000000000000003</v>
      </c>
    </row>
    <row r="28" spans="1:9" ht="12.75" customHeight="1">
      <c r="A28" s="182" t="s">
        <v>67</v>
      </c>
      <c r="B28" s="183" t="s">
        <v>68</v>
      </c>
      <c r="C28" s="184">
        <v>36713</v>
      </c>
      <c r="D28" s="184">
        <v>-19</v>
      </c>
      <c r="E28" s="224">
        <v>-18.04</v>
      </c>
      <c r="F28" s="224">
        <v>-18.04</v>
      </c>
      <c r="G28" s="224">
        <v>-18.32</v>
      </c>
      <c r="H28" s="186">
        <f t="shared" si="0"/>
        <v>36639.599999999999</v>
      </c>
    </row>
    <row r="29" spans="1:9" ht="12.75" customHeight="1">
      <c r="A29" s="182" t="s">
        <v>69</v>
      </c>
      <c r="B29" s="183" t="s">
        <v>70</v>
      </c>
      <c r="C29" s="184">
        <v>254345</v>
      </c>
      <c r="D29" s="184">
        <v>-37180</v>
      </c>
      <c r="E29" s="224">
        <v>-53403.02</v>
      </c>
      <c r="F29" s="224">
        <v>-8084.34</v>
      </c>
      <c r="G29" s="224">
        <v>-10036.049999999999</v>
      </c>
      <c r="H29" s="186">
        <f t="shared" si="0"/>
        <v>145641.59000000003</v>
      </c>
    </row>
    <row r="30" spans="1:9" ht="12.75" customHeight="1">
      <c r="A30" s="182" t="s">
        <v>71</v>
      </c>
      <c r="B30" s="183" t="s">
        <v>72</v>
      </c>
      <c r="C30" s="184">
        <v>95782</v>
      </c>
      <c r="D30" s="184">
        <v>8473</v>
      </c>
      <c r="E30" s="224">
        <v>67284.679999999993</v>
      </c>
      <c r="F30" s="224">
        <v>-89675.55</v>
      </c>
      <c r="G30" s="224">
        <v>-56453.47</v>
      </c>
      <c r="H30" s="186">
        <f t="shared" si="0"/>
        <v>25410.659999999989</v>
      </c>
    </row>
    <row r="31" spans="1:9" ht="12.75" customHeight="1">
      <c r="A31" s="182" t="s">
        <v>73</v>
      </c>
      <c r="B31" s="183" t="s">
        <v>74</v>
      </c>
      <c r="C31" s="184">
        <v>1821558</v>
      </c>
      <c r="D31" s="184">
        <v>-722443</v>
      </c>
      <c r="E31" s="224">
        <v>-877600.44</v>
      </c>
      <c r="F31" s="224">
        <v>228072.92</v>
      </c>
      <c r="G31" s="224">
        <v>280038.53000000003</v>
      </c>
      <c r="H31" s="186">
        <f t="shared" si="0"/>
        <v>729626.01000000013</v>
      </c>
    </row>
    <row r="32" spans="1:9" ht="12.75" customHeight="1">
      <c r="A32" s="182" t="s">
        <v>75</v>
      </c>
      <c r="B32" s="183" t="s">
        <v>76</v>
      </c>
      <c r="C32" s="184">
        <v>113355</v>
      </c>
      <c r="D32" s="184">
        <v>-72522</v>
      </c>
      <c r="E32" s="224">
        <v>32976.39</v>
      </c>
      <c r="F32" s="224">
        <v>-48621.34</v>
      </c>
      <c r="G32" s="224">
        <v>84669.55</v>
      </c>
      <c r="H32" s="186">
        <f t="shared" si="0"/>
        <v>109857.60000000001</v>
      </c>
      <c r="I32" s="186">
        <f>H13+H54</f>
        <v>-7128.3600000000006</v>
      </c>
    </row>
    <row r="33" spans="1:9" ht="12.75" customHeight="1">
      <c r="A33" s="183" t="s">
        <v>358</v>
      </c>
      <c r="H33" s="186">
        <f t="shared" si="0"/>
        <v>0</v>
      </c>
    </row>
    <row r="35" spans="1:9" ht="12.75" customHeight="1">
      <c r="A35" s="182">
        <v>1000002</v>
      </c>
      <c r="B35" s="183" t="s">
        <v>429</v>
      </c>
      <c r="C35" s="184">
        <v>-1</v>
      </c>
      <c r="D35" s="184">
        <v>0</v>
      </c>
      <c r="E35" s="184">
        <v>0</v>
      </c>
      <c r="F35" s="184">
        <v>0</v>
      </c>
      <c r="G35" s="184">
        <v>0</v>
      </c>
      <c r="H35" s="186">
        <f t="shared" si="0"/>
        <v>-1</v>
      </c>
    </row>
    <row r="36" spans="1:9" ht="12.75" customHeight="1">
      <c r="A36" s="182">
        <v>1100000</v>
      </c>
      <c r="B36" s="183" t="s">
        <v>430</v>
      </c>
      <c r="C36" s="184">
        <v>-19231219</v>
      </c>
      <c r="D36" s="184">
        <v>200000</v>
      </c>
      <c r="E36" s="184">
        <v>0</v>
      </c>
      <c r="F36" s="184">
        <v>0</v>
      </c>
      <c r="G36" s="184">
        <v>0</v>
      </c>
      <c r="H36" s="186">
        <f t="shared" si="0"/>
        <v>-19031219</v>
      </c>
    </row>
    <row r="37" spans="1:9" ht="12.75" customHeight="1">
      <c r="A37" s="182">
        <v>1160000</v>
      </c>
      <c r="B37" s="183" t="s">
        <v>94</v>
      </c>
      <c r="C37" s="184">
        <v>10426894</v>
      </c>
      <c r="D37" s="184">
        <v>0</v>
      </c>
      <c r="E37" s="184">
        <v>0</v>
      </c>
      <c r="F37" s="184">
        <v>0</v>
      </c>
      <c r="G37" s="184">
        <v>0</v>
      </c>
      <c r="H37" s="186">
        <f t="shared" si="0"/>
        <v>10426894</v>
      </c>
    </row>
    <row r="38" spans="1:9" ht="12.75" customHeight="1">
      <c r="A38" s="182" t="s">
        <v>95</v>
      </c>
      <c r="B38" s="183" t="s">
        <v>96</v>
      </c>
      <c r="D38" s="184">
        <v>2000000</v>
      </c>
      <c r="E38" s="184">
        <v>0</v>
      </c>
      <c r="F38" s="184">
        <v>1100000</v>
      </c>
      <c r="G38" s="184">
        <v>0</v>
      </c>
      <c r="H38" s="186">
        <f t="shared" si="0"/>
        <v>3100000</v>
      </c>
    </row>
    <row r="39" spans="1:9" ht="12.75" customHeight="1">
      <c r="A39" s="183" t="s">
        <v>359</v>
      </c>
      <c r="H39" s="186">
        <f t="shared" si="0"/>
        <v>0</v>
      </c>
    </row>
    <row r="41" spans="1:9" ht="12.75" customHeight="1">
      <c r="A41" s="182">
        <v>1930001</v>
      </c>
      <c r="B41" s="183" t="s">
        <v>104</v>
      </c>
      <c r="C41" s="184">
        <v>-130000000</v>
      </c>
      <c r="D41" s="184">
        <v>0</v>
      </c>
      <c r="E41" s="184">
        <v>0</v>
      </c>
      <c r="F41" s="184">
        <v>0</v>
      </c>
      <c r="H41" s="186">
        <f t="shared" si="0"/>
        <v>-130000000</v>
      </c>
    </row>
    <row r="42" spans="1:9" ht="12.75" customHeight="1">
      <c r="A42" s="182" t="s">
        <v>107</v>
      </c>
      <c r="B42" s="183" t="s">
        <v>108</v>
      </c>
      <c r="C42" s="184">
        <v>21705853</v>
      </c>
      <c r="D42" s="184">
        <v>2253796</v>
      </c>
      <c r="E42" s="224">
        <v>889295.98</v>
      </c>
      <c r="F42" s="224">
        <v>1579956.98</v>
      </c>
      <c r="G42" s="224">
        <v>979503.98</v>
      </c>
      <c r="H42" s="186">
        <f t="shared" si="0"/>
        <v>27408405.940000001</v>
      </c>
    </row>
    <row r="43" spans="1:9" ht="12.75" customHeight="1">
      <c r="A43" s="183" t="s">
        <v>362</v>
      </c>
      <c r="H43" s="186">
        <f t="shared" si="0"/>
        <v>0</v>
      </c>
    </row>
    <row r="45" spans="1:9" ht="12.75" customHeight="1">
      <c r="A45" s="182" t="s">
        <v>121</v>
      </c>
      <c r="B45" s="183" t="s">
        <v>122</v>
      </c>
      <c r="C45" s="184">
        <v>-430271</v>
      </c>
      <c r="D45" s="208">
        <v>411485</v>
      </c>
      <c r="E45" s="208">
        <v>6778.95</v>
      </c>
      <c r="F45" s="198">
        <v>-530169.94999999995</v>
      </c>
      <c r="G45" s="208">
        <v>-26012.240000000002</v>
      </c>
      <c r="H45" s="186">
        <f t="shared" si="0"/>
        <v>-568189.24</v>
      </c>
      <c r="I45" s="184" t="s">
        <v>508</v>
      </c>
    </row>
    <row r="46" spans="1:9" ht="12.75" customHeight="1">
      <c r="A46" s="182" t="s">
        <v>123</v>
      </c>
      <c r="B46" s="183" t="s">
        <v>124</v>
      </c>
      <c r="C46" s="184">
        <v>0</v>
      </c>
      <c r="D46" s="184">
        <v>0</v>
      </c>
      <c r="E46" s="184">
        <v>0</v>
      </c>
      <c r="F46" s="184">
        <v>0</v>
      </c>
      <c r="G46" s="184">
        <v>-12100</v>
      </c>
      <c r="H46" s="186">
        <f t="shared" si="0"/>
        <v>-12100</v>
      </c>
    </row>
    <row r="47" spans="1:9" ht="12.75" customHeight="1">
      <c r="A47" s="183" t="s">
        <v>363</v>
      </c>
      <c r="H47" s="186">
        <f t="shared" si="0"/>
        <v>0</v>
      </c>
    </row>
    <row r="49" spans="1:9" ht="12.75" customHeight="1">
      <c r="A49" s="182" t="s">
        <v>129</v>
      </c>
      <c r="B49" s="183" t="s">
        <v>130</v>
      </c>
      <c r="C49" s="184">
        <v>0</v>
      </c>
      <c r="D49" s="184">
        <v>-3898</v>
      </c>
      <c r="E49" s="184">
        <f>-828.56+460</f>
        <v>-368.55999999999995</v>
      </c>
      <c r="F49" s="184">
        <v>-858.91</v>
      </c>
      <c r="G49" s="184">
        <v>525.91</v>
      </c>
      <c r="H49" s="186">
        <f t="shared" si="0"/>
        <v>-4599.5599999999995</v>
      </c>
    </row>
    <row r="50" spans="1:9" ht="12.75" customHeight="1">
      <c r="A50" s="182" t="s">
        <v>133</v>
      </c>
      <c r="B50" s="183" t="s">
        <v>134</v>
      </c>
      <c r="C50" s="184">
        <v>0</v>
      </c>
      <c r="D50" s="184">
        <v>0</v>
      </c>
      <c r="E50" s="184">
        <v>0</v>
      </c>
      <c r="F50" s="184">
        <v>0</v>
      </c>
      <c r="G50" s="184">
        <v>0</v>
      </c>
      <c r="H50" s="186">
        <f t="shared" si="0"/>
        <v>0</v>
      </c>
    </row>
    <row r="51" spans="1:9" ht="12.75" customHeight="1">
      <c r="A51" s="182" t="s">
        <v>137</v>
      </c>
      <c r="B51" s="183" t="s">
        <v>138</v>
      </c>
      <c r="C51" s="184">
        <v>0</v>
      </c>
      <c r="D51" s="184">
        <v>0</v>
      </c>
      <c r="E51" s="184">
        <v>0</v>
      </c>
      <c r="F51" s="184">
        <v>0</v>
      </c>
      <c r="G51" s="184">
        <v>0</v>
      </c>
      <c r="H51" s="186">
        <f t="shared" si="0"/>
        <v>0</v>
      </c>
    </row>
    <row r="52" spans="1:9" ht="12.75" customHeight="1">
      <c r="A52" s="183" t="s">
        <v>366</v>
      </c>
      <c r="H52" s="186">
        <f t="shared" si="0"/>
        <v>0</v>
      </c>
    </row>
    <row r="54" spans="1:9" ht="12.75" customHeight="1">
      <c r="A54" s="182">
        <v>2740100</v>
      </c>
      <c r="B54" s="183" t="s">
        <v>492</v>
      </c>
      <c r="D54" s="184">
        <v>0</v>
      </c>
      <c r="E54" s="184">
        <v>-990960</v>
      </c>
      <c r="F54" s="198">
        <v>837333.62</v>
      </c>
      <c r="G54" s="184">
        <v>42167.89</v>
      </c>
      <c r="H54" s="186">
        <f t="shared" si="0"/>
        <v>-111458.49</v>
      </c>
    </row>
    <row r="55" spans="1:9" ht="12.75" customHeight="1">
      <c r="A55" s="182" t="s">
        <v>141</v>
      </c>
      <c r="B55" s="183" t="s">
        <v>142</v>
      </c>
      <c r="C55" s="184">
        <v>-761799</v>
      </c>
      <c r="D55" s="184">
        <f>-1404+2</f>
        <v>-1402</v>
      </c>
      <c r="E55" s="184">
        <v>-43086.2</v>
      </c>
      <c r="F55" s="184">
        <v>-158.33000000000001</v>
      </c>
      <c r="G55" s="184">
        <v>-10419.51</v>
      </c>
      <c r="H55" s="186">
        <f t="shared" si="0"/>
        <v>-816865.03999999992</v>
      </c>
    </row>
    <row r="56" spans="1:9" ht="12.75" customHeight="1">
      <c r="A56" s="182">
        <v>2740500</v>
      </c>
      <c r="B56" s="183" t="s">
        <v>144</v>
      </c>
      <c r="C56" s="184">
        <v>-22500</v>
      </c>
      <c r="D56" s="184">
        <v>0</v>
      </c>
      <c r="E56" s="184">
        <v>0</v>
      </c>
      <c r="F56" s="184">
        <v>0</v>
      </c>
      <c r="G56" s="184">
        <v>0</v>
      </c>
      <c r="H56" s="186">
        <f t="shared" si="0"/>
        <v>-22500</v>
      </c>
    </row>
    <row r="57" spans="1:9" ht="12.75" customHeight="1">
      <c r="A57" s="182" t="s">
        <v>145</v>
      </c>
      <c r="B57" s="183" t="s">
        <v>146</v>
      </c>
      <c r="C57" s="184">
        <v>0</v>
      </c>
      <c r="D57" s="184">
        <v>0</v>
      </c>
      <c r="E57" s="184">
        <v>0</v>
      </c>
      <c r="F57" s="184">
        <v>0</v>
      </c>
      <c r="G57" s="184">
        <v>0</v>
      </c>
      <c r="H57" s="186">
        <f t="shared" si="0"/>
        <v>0</v>
      </c>
    </row>
    <row r="58" spans="1:9" ht="12.75" customHeight="1">
      <c r="A58" s="182" t="s">
        <v>367</v>
      </c>
      <c r="B58" s="183" t="s">
        <v>368</v>
      </c>
      <c r="C58" s="184">
        <v>0</v>
      </c>
      <c r="D58" s="184">
        <v>0</v>
      </c>
      <c r="E58" s="184">
        <v>0</v>
      </c>
      <c r="F58" s="184">
        <v>0</v>
      </c>
      <c r="H58" s="186">
        <f t="shared" si="0"/>
        <v>0</v>
      </c>
    </row>
    <row r="59" spans="1:9" ht="12.75" customHeight="1">
      <c r="A59" s="182" t="s">
        <v>147</v>
      </c>
      <c r="B59" s="183" t="s">
        <v>148</v>
      </c>
      <c r="C59" s="184">
        <v>0</v>
      </c>
      <c r="D59" s="184">
        <v>0</v>
      </c>
      <c r="E59" s="184">
        <v>0</v>
      </c>
      <c r="F59" s="198">
        <v>-13460</v>
      </c>
      <c r="G59" s="184">
        <v>13460</v>
      </c>
      <c r="H59" s="186">
        <f t="shared" si="0"/>
        <v>0</v>
      </c>
      <c r="I59" s="184" t="s">
        <v>513</v>
      </c>
    </row>
    <row r="60" spans="1:9" ht="12.75" customHeight="1">
      <c r="A60" s="182" t="s">
        <v>149</v>
      </c>
      <c r="B60" s="183" t="s">
        <v>150</v>
      </c>
      <c r="C60" s="184">
        <v>0</v>
      </c>
      <c r="D60" s="184">
        <v>0</v>
      </c>
      <c r="E60" s="184">
        <v>0</v>
      </c>
      <c r="F60" s="198">
        <v>-1149.1300000000001</v>
      </c>
      <c r="G60" s="184">
        <v>1149</v>
      </c>
      <c r="H60" s="186">
        <f t="shared" si="0"/>
        <v>-0.13000000000010914</v>
      </c>
      <c r="I60" s="184" t="s">
        <v>513</v>
      </c>
    </row>
    <row r="61" spans="1:9" ht="12.75" customHeight="1">
      <c r="A61" s="182" t="s">
        <v>151</v>
      </c>
      <c r="B61" s="183" t="s">
        <v>152</v>
      </c>
      <c r="C61" s="184">
        <v>0</v>
      </c>
      <c r="D61" s="184">
        <v>0</v>
      </c>
      <c r="E61" s="184">
        <v>0</v>
      </c>
      <c r="F61" s="198">
        <v>-392.3</v>
      </c>
      <c r="G61" s="184">
        <v>392</v>
      </c>
      <c r="H61" s="186">
        <f t="shared" si="0"/>
        <v>-0.30000000000001137</v>
      </c>
      <c r="I61" s="184" t="s">
        <v>513</v>
      </c>
    </row>
    <row r="62" spans="1:9" ht="12.75" customHeight="1">
      <c r="A62" s="182" t="s">
        <v>155</v>
      </c>
      <c r="B62" s="183" t="s">
        <v>156</v>
      </c>
      <c r="C62" s="184">
        <v>-124068</v>
      </c>
      <c r="D62" s="184">
        <v>-122526</v>
      </c>
      <c r="E62" s="184">
        <v>121338.8</v>
      </c>
      <c r="F62" s="198">
        <v>84505.55</v>
      </c>
      <c r="G62" s="184">
        <v>-40947</v>
      </c>
      <c r="H62" s="186">
        <f t="shared" si="0"/>
        <v>-81696.649999999994</v>
      </c>
      <c r="I62" s="184" t="s">
        <v>508</v>
      </c>
    </row>
    <row r="63" spans="1:9" ht="12.75" customHeight="1">
      <c r="A63" s="182" t="s">
        <v>157</v>
      </c>
      <c r="B63" s="183" t="s">
        <v>158</v>
      </c>
      <c r="C63" s="184">
        <v>0</v>
      </c>
      <c r="D63" s="184">
        <v>0</v>
      </c>
      <c r="E63" s="184">
        <v>0</v>
      </c>
      <c r="F63" s="184">
        <v>0</v>
      </c>
      <c r="H63" s="186">
        <f t="shared" si="0"/>
        <v>0</v>
      </c>
    </row>
    <row r="64" spans="1:9" ht="12.75" customHeight="1">
      <c r="A64" s="182" t="s">
        <v>159</v>
      </c>
      <c r="B64" s="183" t="s">
        <v>494</v>
      </c>
      <c r="C64" s="184">
        <v>20000</v>
      </c>
      <c r="D64" s="184">
        <v>-20000</v>
      </c>
      <c r="E64" s="184">
        <v>20000</v>
      </c>
      <c r="F64" s="184">
        <v>0</v>
      </c>
      <c r="G64" s="184">
        <v>0</v>
      </c>
      <c r="H64" s="186">
        <f t="shared" si="0"/>
        <v>20000</v>
      </c>
    </row>
    <row r="65" spans="1:14" ht="12.75" customHeight="1">
      <c r="A65" s="182" t="s">
        <v>161</v>
      </c>
      <c r="B65" s="183" t="s">
        <v>162</v>
      </c>
      <c r="C65" s="184">
        <v>0</v>
      </c>
      <c r="D65" s="184">
        <v>0</v>
      </c>
      <c r="E65" s="184">
        <v>0</v>
      </c>
      <c r="F65" s="184">
        <v>0</v>
      </c>
      <c r="G65" s="184">
        <v>0</v>
      </c>
      <c r="H65" s="186">
        <f t="shared" si="0"/>
        <v>0</v>
      </c>
    </row>
    <row r="66" spans="1:14" ht="12.75" customHeight="1">
      <c r="A66" s="182" t="s">
        <v>163</v>
      </c>
      <c r="B66" s="183" t="s">
        <v>164</v>
      </c>
      <c r="C66" s="184">
        <v>0</v>
      </c>
      <c r="D66" s="184">
        <v>0</v>
      </c>
      <c r="E66" s="184">
        <v>0</v>
      </c>
      <c r="F66" s="184">
        <v>0</v>
      </c>
      <c r="G66" s="184">
        <v>0</v>
      </c>
      <c r="H66" s="186">
        <f t="shared" si="0"/>
        <v>0</v>
      </c>
    </row>
    <row r="67" spans="1:14" ht="12.75" customHeight="1">
      <c r="A67" s="183" t="s">
        <v>369</v>
      </c>
    </row>
    <row r="71" spans="1:14" ht="12.75" customHeight="1">
      <c r="A71" s="188" t="s">
        <v>370</v>
      </c>
    </row>
    <row r="72" spans="1:14" ht="12.75" customHeight="1">
      <c r="A72" s="182" t="s">
        <v>174</v>
      </c>
      <c r="B72" s="183" t="s">
        <v>175</v>
      </c>
      <c r="D72" s="184">
        <v>-2863530</v>
      </c>
      <c r="E72" s="184">
        <v>-2860507</v>
      </c>
      <c r="F72" s="184">
        <v>-2862440.42</v>
      </c>
      <c r="G72" s="184">
        <v>-2870089</v>
      </c>
      <c r="H72" s="186">
        <f t="shared" ref="H72:H132" si="1">SUM(C72:G72)</f>
        <v>-11456566.42</v>
      </c>
      <c r="M72" s="183">
        <v>-11456566.42</v>
      </c>
      <c r="N72" s="186">
        <f>M72-H72</f>
        <v>0</v>
      </c>
    </row>
    <row r="73" spans="1:14" ht="12.75" customHeight="1">
      <c r="A73" s="182" t="s">
        <v>176</v>
      </c>
      <c r="B73" s="183" t="s">
        <v>177</v>
      </c>
      <c r="D73" s="184">
        <v>62447</v>
      </c>
      <c r="E73" s="184">
        <v>59646.21</v>
      </c>
      <c r="F73" s="198">
        <v>38520.400000000001</v>
      </c>
      <c r="G73" s="184">
        <v>32888</v>
      </c>
      <c r="H73" s="186">
        <f t="shared" si="1"/>
        <v>193501.61</v>
      </c>
      <c r="I73" s="184" t="s">
        <v>514</v>
      </c>
      <c r="M73" s="183">
        <v>193501.61</v>
      </c>
      <c r="N73" s="186">
        <f t="shared" ref="N73:N133" si="2">M73-H73</f>
        <v>0</v>
      </c>
    </row>
    <row r="74" spans="1:14" ht="12.75" customHeight="1">
      <c r="A74" s="183" t="s">
        <v>381</v>
      </c>
      <c r="D74" s="184">
        <f>SUM(D72:D73)</f>
        <v>-2801083</v>
      </c>
      <c r="E74" s="184">
        <f>SUM(E72:E73)</f>
        <v>-2800860.79</v>
      </c>
      <c r="F74" s="184">
        <f>SUM(F72:F73)</f>
        <v>-2823920.02</v>
      </c>
      <c r="G74" s="184">
        <f>SUM(G72:G73)</f>
        <v>-2837201</v>
      </c>
      <c r="H74" s="186">
        <f t="shared" si="1"/>
        <v>-11263064.810000001</v>
      </c>
      <c r="M74" s="183">
        <v>-11263064.810000001</v>
      </c>
      <c r="N74" s="186">
        <f t="shared" si="2"/>
        <v>0</v>
      </c>
    </row>
    <row r="75" spans="1:14" ht="12.75" customHeight="1">
      <c r="H75" s="186">
        <f t="shared" si="1"/>
        <v>0</v>
      </c>
      <c r="M75" s="183">
        <v>0</v>
      </c>
      <c r="N75" s="186">
        <f t="shared" si="2"/>
        <v>0</v>
      </c>
    </row>
    <row r="76" spans="1:14" ht="12.75" customHeight="1">
      <c r="A76" s="182">
        <v>8400400</v>
      </c>
      <c r="B76" s="183" t="s">
        <v>515</v>
      </c>
      <c r="D76" s="184">
        <v>0</v>
      </c>
      <c r="E76" s="184">
        <v>0</v>
      </c>
      <c r="F76" s="198">
        <v>13460</v>
      </c>
      <c r="G76" s="184">
        <v>-13460</v>
      </c>
      <c r="H76" s="186">
        <f t="shared" si="1"/>
        <v>0</v>
      </c>
      <c r="I76" s="184" t="s">
        <v>513</v>
      </c>
      <c r="M76" s="183">
        <v>0</v>
      </c>
      <c r="N76" s="186">
        <f t="shared" si="2"/>
        <v>0</v>
      </c>
    </row>
    <row r="77" spans="1:14" ht="12.75" customHeight="1">
      <c r="A77" s="182" t="s">
        <v>182</v>
      </c>
      <c r="B77" s="183" t="s">
        <v>183</v>
      </c>
      <c r="D77" s="184">
        <v>-164913</v>
      </c>
      <c r="E77" s="184">
        <v>-163178</v>
      </c>
      <c r="F77" s="184">
        <v>-165060.65</v>
      </c>
      <c r="G77" s="184">
        <v>-164313</v>
      </c>
      <c r="H77" s="186">
        <f t="shared" si="1"/>
        <v>-657464.65</v>
      </c>
      <c r="M77" s="183">
        <v>-657464.65</v>
      </c>
      <c r="N77" s="186">
        <f t="shared" si="2"/>
        <v>0</v>
      </c>
    </row>
    <row r="78" spans="1:14" ht="12.75" customHeight="1">
      <c r="A78" s="182" t="s">
        <v>184</v>
      </c>
      <c r="B78" s="183" t="s">
        <v>185</v>
      </c>
      <c r="D78" s="184">
        <v>5322</v>
      </c>
      <c r="E78" s="184">
        <v>6288.75</v>
      </c>
      <c r="F78" s="198">
        <v>5967.41</v>
      </c>
      <c r="G78" s="184">
        <v>1453</v>
      </c>
      <c r="H78" s="186">
        <f t="shared" si="1"/>
        <v>19031.16</v>
      </c>
      <c r="I78" s="184" t="s">
        <v>508</v>
      </c>
      <c r="M78" s="183">
        <v>19031.16</v>
      </c>
      <c r="N78" s="186">
        <f t="shared" si="2"/>
        <v>0</v>
      </c>
    </row>
    <row r="79" spans="1:14" ht="12.75" customHeight="1">
      <c r="A79" s="182" t="s">
        <v>186</v>
      </c>
      <c r="B79" s="183" t="s">
        <v>187</v>
      </c>
      <c r="D79" s="184">
        <v>155500</v>
      </c>
      <c r="E79" s="184">
        <v>161869.1</v>
      </c>
      <c r="F79" s="184">
        <v>191429.47</v>
      </c>
      <c r="G79" s="184">
        <v>271928</v>
      </c>
      <c r="H79" s="186">
        <f t="shared" si="1"/>
        <v>780726.57</v>
      </c>
      <c r="M79" s="183">
        <v>780726.57</v>
      </c>
      <c r="N79" s="186">
        <f t="shared" si="2"/>
        <v>0</v>
      </c>
    </row>
    <row r="80" spans="1:14" ht="12.75" customHeight="1">
      <c r="A80" s="183" t="s">
        <v>382</v>
      </c>
      <c r="D80" s="184">
        <f>SUM(D77:D79)</f>
        <v>-4091</v>
      </c>
      <c r="E80" s="184">
        <f>SUM(E77:E79)</f>
        <v>4979.8500000000058</v>
      </c>
      <c r="F80" s="184">
        <f>SUM(F76:F79)</f>
        <v>45796.23000000001</v>
      </c>
      <c r="G80" s="184">
        <f>SUM(G76:G79)</f>
        <v>95608</v>
      </c>
      <c r="H80" s="186">
        <f t="shared" si="1"/>
        <v>142293.08000000002</v>
      </c>
      <c r="M80" s="183">
        <v>142293.08000000002</v>
      </c>
      <c r="N80" s="186">
        <f t="shared" si="2"/>
        <v>0</v>
      </c>
    </row>
    <row r="81" spans="1:14" ht="12.75" customHeight="1">
      <c r="N81" s="186">
        <f t="shared" si="2"/>
        <v>0</v>
      </c>
    </row>
    <row r="82" spans="1:14" ht="12.75" customHeight="1">
      <c r="A82" s="182" t="s">
        <v>198</v>
      </c>
      <c r="B82" s="183" t="s">
        <v>199</v>
      </c>
      <c r="D82" s="184">
        <v>121422</v>
      </c>
      <c r="E82" s="184">
        <v>121881.5</v>
      </c>
      <c r="F82" s="184">
        <v>121294.6</v>
      </c>
      <c r="G82" s="184">
        <v>121679.67999999999</v>
      </c>
      <c r="H82" s="186">
        <f t="shared" si="1"/>
        <v>486277.77999999997</v>
      </c>
      <c r="M82" s="183">
        <v>486277.77999999997</v>
      </c>
      <c r="N82" s="186">
        <f t="shared" si="2"/>
        <v>0</v>
      </c>
    </row>
    <row r="83" spans="1:14" ht="12.75" customHeight="1">
      <c r="A83" s="183" t="s">
        <v>408</v>
      </c>
      <c r="D83" s="184">
        <f>SUM(D82)</f>
        <v>121422</v>
      </c>
      <c r="E83" s="184">
        <f>SUM(E82)</f>
        <v>121881.5</v>
      </c>
      <c r="F83" s="184">
        <f>SUM(F82)</f>
        <v>121294.6</v>
      </c>
      <c r="G83" s="184">
        <f>SUM(G82)</f>
        <v>121679.67999999999</v>
      </c>
      <c r="H83" s="186">
        <f t="shared" si="1"/>
        <v>486277.77999999997</v>
      </c>
      <c r="M83" s="183">
        <v>486277.77999999997</v>
      </c>
      <c r="N83" s="186">
        <f t="shared" si="2"/>
        <v>0</v>
      </c>
    </row>
    <row r="84" spans="1:14" ht="12.75" customHeight="1">
      <c r="N84" s="186">
        <f t="shared" si="2"/>
        <v>0</v>
      </c>
    </row>
    <row r="85" spans="1:14" ht="12.75" customHeight="1">
      <c r="A85" s="182" t="s">
        <v>204</v>
      </c>
      <c r="B85" s="183" t="s">
        <v>205</v>
      </c>
      <c r="D85" s="184">
        <v>667313</v>
      </c>
      <c r="E85" s="184">
        <v>666766</v>
      </c>
      <c r="F85" s="184">
        <v>679632</v>
      </c>
      <c r="G85" s="184">
        <v>682456</v>
      </c>
      <c r="H85" s="186">
        <f t="shared" si="1"/>
        <v>2696167</v>
      </c>
      <c r="M85" s="183">
        <v>2696167</v>
      </c>
      <c r="N85" s="186">
        <f t="shared" si="2"/>
        <v>0</v>
      </c>
    </row>
    <row r="86" spans="1:14" ht="12.75" customHeight="1">
      <c r="A86" s="182" t="s">
        <v>206</v>
      </c>
      <c r="B86" s="183" t="s">
        <v>207</v>
      </c>
      <c r="D86" s="184">
        <v>-1978183</v>
      </c>
      <c r="E86" s="184">
        <v>-222065</v>
      </c>
      <c r="F86" s="184">
        <v>-1362473</v>
      </c>
      <c r="G86" s="184">
        <v>-490457</v>
      </c>
      <c r="H86" s="186">
        <f t="shared" si="1"/>
        <v>-4053178</v>
      </c>
      <c r="M86" s="183">
        <v>-4053178</v>
      </c>
      <c r="N86" s="186">
        <f t="shared" si="2"/>
        <v>0</v>
      </c>
    </row>
    <row r="87" spans="1:14" ht="12.75" customHeight="1">
      <c r="A87" s="183" t="s">
        <v>384</v>
      </c>
      <c r="D87" s="184">
        <f>SUM(D85:D86)</f>
        <v>-1310870</v>
      </c>
      <c r="E87" s="184">
        <f>SUM(E85:E86)</f>
        <v>444701</v>
      </c>
      <c r="F87" s="184">
        <f>SUM(F85:F86)</f>
        <v>-682841</v>
      </c>
      <c r="G87" s="184">
        <f>SUM(G85:G86)</f>
        <v>191999</v>
      </c>
      <c r="H87" s="186">
        <f t="shared" si="1"/>
        <v>-1357011</v>
      </c>
      <c r="M87" s="183">
        <v>-1357011</v>
      </c>
      <c r="N87" s="186">
        <f t="shared" si="2"/>
        <v>0</v>
      </c>
    </row>
    <row r="88" spans="1:14" ht="12.75" customHeight="1">
      <c r="N88" s="186">
        <f t="shared" si="2"/>
        <v>0</v>
      </c>
    </row>
    <row r="89" spans="1:14" ht="12.75" customHeight="1">
      <c r="A89" s="182" t="s">
        <v>210</v>
      </c>
      <c r="B89" s="183" t="s">
        <v>211</v>
      </c>
      <c r="D89" s="184">
        <f>194822+O4</f>
        <v>433307</v>
      </c>
      <c r="E89" s="184">
        <f>134619.1+P4</f>
        <v>364902.05000000005</v>
      </c>
      <c r="F89" s="198">
        <f>510329.85+Q4</f>
        <v>709026.53</v>
      </c>
      <c r="G89" s="184">
        <f>178607+R4</f>
        <v>467790.25</v>
      </c>
      <c r="H89" s="186">
        <f>SUM(C89:G89)</f>
        <v>1975025.83</v>
      </c>
      <c r="I89" s="184" t="s">
        <v>508</v>
      </c>
      <c r="M89" s="183">
        <v>1018377.95</v>
      </c>
      <c r="N89" s="186">
        <f t="shared" si="2"/>
        <v>-956647.88000000012</v>
      </c>
    </row>
    <row r="90" spans="1:14" ht="12.75" customHeight="1">
      <c r="A90" s="182" t="s">
        <v>212</v>
      </c>
      <c r="B90" s="183" t="s">
        <v>213</v>
      </c>
      <c r="D90" s="184">
        <v>129402.5</v>
      </c>
      <c r="E90" s="184">
        <v>129402.5</v>
      </c>
      <c r="F90" s="184">
        <v>129402.49</v>
      </c>
      <c r="G90" s="184">
        <v>127275</v>
      </c>
      <c r="H90" s="186">
        <f t="shared" si="1"/>
        <v>515482.49</v>
      </c>
      <c r="M90" s="183">
        <v>515482.49</v>
      </c>
      <c r="N90" s="186">
        <f t="shared" si="2"/>
        <v>0</v>
      </c>
    </row>
    <row r="91" spans="1:14" ht="12.75" customHeight="1">
      <c r="A91" s="182" t="s">
        <v>214</v>
      </c>
      <c r="B91" s="183" t="s">
        <v>215</v>
      </c>
      <c r="D91" s="184">
        <v>80091</v>
      </c>
      <c r="E91" s="184">
        <v>84680.21</v>
      </c>
      <c r="F91" s="184">
        <v>82972.460000000006</v>
      </c>
      <c r="G91" s="184">
        <v>54979.46</v>
      </c>
      <c r="H91" s="186">
        <f t="shared" si="1"/>
        <v>302723.13000000006</v>
      </c>
      <c r="M91" s="183">
        <v>302723.13000000006</v>
      </c>
      <c r="N91" s="186">
        <f t="shared" si="2"/>
        <v>0</v>
      </c>
    </row>
    <row r="92" spans="1:14" ht="12.75" customHeight="1">
      <c r="A92" s="182" t="s">
        <v>216</v>
      </c>
      <c r="B92" s="183" t="s">
        <v>217</v>
      </c>
      <c r="D92" s="184">
        <v>157568</v>
      </c>
      <c r="E92" s="184">
        <v>107779.2</v>
      </c>
      <c r="F92" s="198">
        <v>221370.06</v>
      </c>
      <c r="G92" s="184">
        <v>167096</v>
      </c>
      <c r="H92" s="186">
        <f t="shared" si="1"/>
        <v>653813.26</v>
      </c>
      <c r="I92" s="184" t="s">
        <v>508</v>
      </c>
      <c r="M92" s="183">
        <v>653813.26</v>
      </c>
      <c r="N92" s="186">
        <f t="shared" si="2"/>
        <v>0</v>
      </c>
    </row>
    <row r="93" spans="1:14" ht="12.75" customHeight="1">
      <c r="A93" s="182" t="s">
        <v>218</v>
      </c>
      <c r="B93" s="183" t="s">
        <v>219</v>
      </c>
      <c r="D93" s="184">
        <v>31441</v>
      </c>
      <c r="E93" s="184">
        <v>31288.14</v>
      </c>
      <c r="F93" s="184">
        <v>31086.75</v>
      </c>
      <c r="G93" s="184">
        <v>17584.71</v>
      </c>
      <c r="H93" s="186">
        <f t="shared" si="1"/>
        <v>111400.6</v>
      </c>
      <c r="M93" s="183">
        <v>111400.6</v>
      </c>
      <c r="N93" s="186">
        <f t="shared" si="2"/>
        <v>0</v>
      </c>
    </row>
    <row r="94" spans="1:14" ht="12.75" customHeight="1">
      <c r="A94" s="182" t="s">
        <v>220</v>
      </c>
      <c r="B94" s="183" t="s">
        <v>221</v>
      </c>
      <c r="D94" s="184">
        <f>1582+14862+69</f>
        <v>16513</v>
      </c>
      <c r="E94" s="184">
        <f>42842+9256-37236</f>
        <v>14862</v>
      </c>
      <c r="F94" s="184">
        <v>16030.14</v>
      </c>
      <c r="G94" s="184">
        <v>1077.52</v>
      </c>
      <c r="H94" s="186">
        <f t="shared" si="1"/>
        <v>48482.659999999996</v>
      </c>
      <c r="M94" s="183">
        <v>48482.659999999996</v>
      </c>
      <c r="N94" s="186">
        <f t="shared" si="2"/>
        <v>0</v>
      </c>
    </row>
    <row r="95" spans="1:14" ht="12.75" customHeight="1">
      <c r="A95" s="182" t="s">
        <v>385</v>
      </c>
      <c r="B95" s="183" t="s">
        <v>386</v>
      </c>
      <c r="D95" s="184">
        <v>-348</v>
      </c>
      <c r="E95" s="184">
        <v>0</v>
      </c>
      <c r="F95" s="184">
        <v>-22.71</v>
      </c>
      <c r="H95" s="186">
        <f t="shared" si="1"/>
        <v>-370.71</v>
      </c>
      <c r="M95" s="183">
        <v>-370.71</v>
      </c>
      <c r="N95" s="186">
        <f t="shared" si="2"/>
        <v>0</v>
      </c>
    </row>
    <row r="96" spans="1:14" ht="12.75" customHeight="1">
      <c r="A96" s="182" t="s">
        <v>431</v>
      </c>
      <c r="B96" s="183" t="s">
        <v>412</v>
      </c>
      <c r="D96" s="184">
        <v>0</v>
      </c>
      <c r="E96" s="184">
        <v>0</v>
      </c>
      <c r="F96" s="184">
        <v>0</v>
      </c>
      <c r="H96" s="186">
        <f t="shared" si="1"/>
        <v>0</v>
      </c>
      <c r="M96" s="183">
        <v>0</v>
      </c>
      <c r="N96" s="186">
        <f t="shared" si="2"/>
        <v>0</v>
      </c>
    </row>
    <row r="97" spans="1:14" ht="12.75" customHeight="1">
      <c r="A97" s="183" t="s">
        <v>387</v>
      </c>
      <c r="D97" s="184">
        <f>SUM(D89:D96)</f>
        <v>847974.5</v>
      </c>
      <c r="E97" s="184">
        <f>SUM(E89:E96)</f>
        <v>732914.1</v>
      </c>
      <c r="F97" s="184">
        <f>SUM(F89:F96)</f>
        <v>1189865.72</v>
      </c>
      <c r="G97" s="184">
        <f>SUM(G89:G96)</f>
        <v>835802.94</v>
      </c>
      <c r="H97" s="186">
        <f t="shared" si="1"/>
        <v>3606557.2600000002</v>
      </c>
      <c r="M97" s="183">
        <v>2649909.38</v>
      </c>
      <c r="N97" s="186">
        <f t="shared" si="2"/>
        <v>-956647.88000000035</v>
      </c>
    </row>
    <row r="98" spans="1:14" ht="12.75" customHeight="1">
      <c r="N98" s="186">
        <f t="shared" si="2"/>
        <v>0</v>
      </c>
    </row>
    <row r="99" spans="1:14" ht="12.75" customHeight="1">
      <c r="A99" s="182" t="s">
        <v>432</v>
      </c>
      <c r="B99" s="183" t="s">
        <v>433</v>
      </c>
      <c r="D99" s="184">
        <v>0</v>
      </c>
      <c r="E99" s="184">
        <v>0</v>
      </c>
      <c r="F99" s="184">
        <v>0</v>
      </c>
      <c r="N99" s="186">
        <f t="shared" si="2"/>
        <v>0</v>
      </c>
    </row>
    <row r="100" spans="1:14" ht="12.75" customHeight="1">
      <c r="A100" s="182" t="s">
        <v>434</v>
      </c>
      <c r="B100" s="183" t="s">
        <v>413</v>
      </c>
      <c r="D100" s="184">
        <v>0</v>
      </c>
      <c r="E100" s="184">
        <v>0</v>
      </c>
      <c r="F100" s="184">
        <v>0</v>
      </c>
      <c r="H100" s="186">
        <f t="shared" si="1"/>
        <v>0</v>
      </c>
      <c r="M100" s="183">
        <v>0</v>
      </c>
      <c r="N100" s="186">
        <f t="shared" si="2"/>
        <v>0</v>
      </c>
    </row>
    <row r="101" spans="1:14" ht="12.75" customHeight="1">
      <c r="A101" s="182" t="s">
        <v>226</v>
      </c>
      <c r="B101" s="183" t="s">
        <v>227</v>
      </c>
      <c r="D101" s="184">
        <v>-2606</v>
      </c>
      <c r="E101" s="184">
        <v>461</v>
      </c>
      <c r="F101" s="198">
        <v>238.16</v>
      </c>
      <c r="G101" s="184">
        <v>-3681</v>
      </c>
      <c r="H101" s="186">
        <f t="shared" si="1"/>
        <v>-5587.84</v>
      </c>
      <c r="I101" s="184" t="s">
        <v>508</v>
      </c>
      <c r="M101" s="183">
        <v>-5587.84</v>
      </c>
      <c r="N101" s="186">
        <f t="shared" si="2"/>
        <v>0</v>
      </c>
    </row>
    <row r="102" spans="1:14" ht="12.75" customHeight="1">
      <c r="A102" s="183" t="s">
        <v>388</v>
      </c>
      <c r="D102" s="184">
        <f>SUM(D99:D101)</f>
        <v>-2606</v>
      </c>
      <c r="E102" s="184">
        <f>SUM(E99:E101)</f>
        <v>461</v>
      </c>
      <c r="F102" s="184">
        <f>SUM(F99:F101)</f>
        <v>238.16</v>
      </c>
      <c r="G102" s="184">
        <f>SUM(G99:G101)</f>
        <v>-3681</v>
      </c>
      <c r="H102" s="186">
        <f t="shared" si="1"/>
        <v>-5587.84</v>
      </c>
      <c r="M102" s="183">
        <v>-5587.84</v>
      </c>
      <c r="N102" s="186">
        <f t="shared" si="2"/>
        <v>0</v>
      </c>
    </row>
    <row r="103" spans="1:14" ht="12.75" customHeight="1">
      <c r="N103" s="186">
        <f t="shared" si="2"/>
        <v>0</v>
      </c>
    </row>
    <row r="104" spans="1:14" ht="12.75" customHeight="1">
      <c r="A104" s="182" t="s">
        <v>230</v>
      </c>
      <c r="B104" s="183" t="s">
        <v>231</v>
      </c>
      <c r="D104" s="184">
        <v>300</v>
      </c>
      <c r="E104" s="184">
        <v>300</v>
      </c>
      <c r="F104" s="184">
        <v>340</v>
      </c>
      <c r="G104" s="184">
        <v>307</v>
      </c>
      <c r="H104" s="186">
        <f t="shared" si="1"/>
        <v>1247</v>
      </c>
      <c r="M104" s="183">
        <v>1247</v>
      </c>
      <c r="N104" s="186">
        <f t="shared" si="2"/>
        <v>0</v>
      </c>
    </row>
    <row r="105" spans="1:14" ht="12.75" customHeight="1">
      <c r="A105" s="183" t="s">
        <v>389</v>
      </c>
      <c r="D105" s="184">
        <f>SUM(D104)</f>
        <v>300</v>
      </c>
      <c r="E105" s="184">
        <f>SUM(E104)</f>
        <v>300</v>
      </c>
      <c r="F105" s="184">
        <f>SUM(F104)</f>
        <v>340</v>
      </c>
      <c r="G105" s="184">
        <f>SUM(G104)</f>
        <v>307</v>
      </c>
      <c r="H105" s="186">
        <f t="shared" si="1"/>
        <v>1247</v>
      </c>
      <c r="M105" s="183">
        <v>1247</v>
      </c>
      <c r="N105" s="186">
        <f t="shared" si="2"/>
        <v>0</v>
      </c>
    </row>
    <row r="106" spans="1:14" ht="12.75" customHeight="1">
      <c r="N106" s="186">
        <f t="shared" si="2"/>
        <v>0</v>
      </c>
    </row>
    <row r="107" spans="1:14" ht="12.75" customHeight="1">
      <c r="A107" s="182" t="s">
        <v>435</v>
      </c>
      <c r="B107" s="183" t="s">
        <v>414</v>
      </c>
      <c r="D107" s="184">
        <v>0</v>
      </c>
      <c r="E107" s="184">
        <v>0</v>
      </c>
      <c r="F107" s="184">
        <v>0</v>
      </c>
      <c r="H107" s="186">
        <f t="shared" si="1"/>
        <v>0</v>
      </c>
      <c r="M107" s="183">
        <v>0</v>
      </c>
      <c r="N107" s="186">
        <f t="shared" si="2"/>
        <v>0</v>
      </c>
    </row>
    <row r="108" spans="1:14" ht="12.75" customHeight="1">
      <c r="A108" s="182" t="s">
        <v>234</v>
      </c>
      <c r="B108" s="183" t="s">
        <v>235</v>
      </c>
      <c r="D108" s="184">
        <v>28130</v>
      </c>
      <c r="E108" s="184">
        <v>28219.25</v>
      </c>
      <c r="F108" s="184">
        <v>29692.1</v>
      </c>
      <c r="G108" s="184">
        <v>377.53</v>
      </c>
      <c r="H108" s="186">
        <f t="shared" si="1"/>
        <v>86418.880000000005</v>
      </c>
      <c r="M108" s="183">
        <v>86418.880000000005</v>
      </c>
      <c r="N108" s="186">
        <f t="shared" si="2"/>
        <v>0</v>
      </c>
    </row>
    <row r="109" spans="1:14" ht="12.75" customHeight="1">
      <c r="A109" s="182" t="s">
        <v>236</v>
      </c>
      <c r="B109" s="183" t="s">
        <v>237</v>
      </c>
      <c r="D109" s="184">
        <v>5445</v>
      </c>
      <c r="E109" s="184">
        <v>5445</v>
      </c>
      <c r="F109" s="184">
        <v>5445</v>
      </c>
      <c r="G109" s="184">
        <v>5445</v>
      </c>
      <c r="H109" s="186">
        <f t="shared" si="1"/>
        <v>21780</v>
      </c>
      <c r="M109" s="183">
        <v>21780</v>
      </c>
      <c r="N109" s="186">
        <f t="shared" si="2"/>
        <v>0</v>
      </c>
    </row>
    <row r="110" spans="1:14" ht="12.75" customHeight="1">
      <c r="A110" s="182" t="s">
        <v>238</v>
      </c>
      <c r="B110" s="183" t="s">
        <v>239</v>
      </c>
      <c r="D110" s="184">
        <v>31660</v>
      </c>
      <c r="E110" s="184">
        <v>61669.95</v>
      </c>
      <c r="F110" s="184">
        <v>2612.6</v>
      </c>
      <c r="G110" s="184">
        <v>4564</v>
      </c>
      <c r="H110" s="186">
        <f t="shared" si="1"/>
        <v>100506.55</v>
      </c>
      <c r="M110" s="183">
        <v>100506.55</v>
      </c>
      <c r="N110" s="186">
        <f t="shared" si="2"/>
        <v>0</v>
      </c>
    </row>
    <row r="111" spans="1:14" ht="12.75" customHeight="1">
      <c r="A111" s="182" t="s">
        <v>240</v>
      </c>
      <c r="B111" s="183" t="s">
        <v>241</v>
      </c>
      <c r="D111" s="184">
        <v>0</v>
      </c>
      <c r="E111" s="184">
        <v>2420</v>
      </c>
      <c r="F111" s="184">
        <v>2420</v>
      </c>
      <c r="H111" s="186">
        <f t="shared" si="1"/>
        <v>4840</v>
      </c>
      <c r="M111" s="183">
        <v>4840</v>
      </c>
      <c r="N111" s="186">
        <f t="shared" si="2"/>
        <v>0</v>
      </c>
    </row>
    <row r="112" spans="1:14" ht="12.75" customHeight="1">
      <c r="A112" s="182" t="s">
        <v>242</v>
      </c>
      <c r="B112" s="183" t="s">
        <v>243</v>
      </c>
      <c r="D112" s="184">
        <v>63411</v>
      </c>
      <c r="E112" s="184">
        <v>50119.65</v>
      </c>
      <c r="F112" s="198">
        <v>94401.18</v>
      </c>
      <c r="G112" s="184">
        <v>41825</v>
      </c>
      <c r="H112" s="186">
        <f t="shared" si="1"/>
        <v>249756.83</v>
      </c>
      <c r="I112" s="184" t="s">
        <v>508</v>
      </c>
      <c r="M112" s="183">
        <v>249756.83</v>
      </c>
      <c r="N112" s="186">
        <f t="shared" si="2"/>
        <v>0</v>
      </c>
    </row>
    <row r="113" spans="1:14" ht="12.75" customHeight="1">
      <c r="A113" s="182" t="s">
        <v>244</v>
      </c>
      <c r="B113" s="183" t="s">
        <v>245</v>
      </c>
      <c r="D113" s="184">
        <v>8170</v>
      </c>
      <c r="E113" s="184">
        <v>3422.05</v>
      </c>
      <c r="F113" s="198">
        <v>4699.49</v>
      </c>
      <c r="G113" s="184">
        <v>901</v>
      </c>
      <c r="H113" s="186">
        <f t="shared" si="1"/>
        <v>17192.54</v>
      </c>
      <c r="I113" s="184" t="s">
        <v>508</v>
      </c>
      <c r="M113" s="183">
        <v>17192.54</v>
      </c>
      <c r="N113" s="186">
        <f t="shared" si="2"/>
        <v>0</v>
      </c>
    </row>
    <row r="114" spans="1:14" ht="12.75" customHeight="1">
      <c r="A114" s="182" t="s">
        <v>246</v>
      </c>
      <c r="B114" s="183" t="s">
        <v>247</v>
      </c>
      <c r="D114" s="184">
        <v>0</v>
      </c>
      <c r="E114" s="184">
        <v>0</v>
      </c>
      <c r="F114" s="184">
        <v>0</v>
      </c>
      <c r="G114" s="184">
        <v>12100</v>
      </c>
      <c r="H114" s="186">
        <f t="shared" si="1"/>
        <v>12100</v>
      </c>
      <c r="M114" s="183">
        <v>12100</v>
      </c>
      <c r="N114" s="186">
        <f t="shared" si="2"/>
        <v>0</v>
      </c>
    </row>
    <row r="115" spans="1:14" ht="12" customHeight="1">
      <c r="A115" s="182" t="s">
        <v>248</v>
      </c>
      <c r="B115" s="183" t="s">
        <v>249</v>
      </c>
      <c r="D115" s="184">
        <f>1186-3</f>
        <v>1183</v>
      </c>
      <c r="E115" s="184">
        <v>6968.21</v>
      </c>
      <c r="F115" s="184">
        <v>1225.96</v>
      </c>
      <c r="G115" s="184">
        <v>4218</v>
      </c>
      <c r="H115" s="186">
        <f t="shared" si="1"/>
        <v>13595.17</v>
      </c>
      <c r="M115" s="183">
        <v>13595.17</v>
      </c>
      <c r="N115" s="186">
        <f t="shared" si="2"/>
        <v>0</v>
      </c>
    </row>
    <row r="116" spans="1:14" ht="12.75" customHeight="1">
      <c r="A116" s="182" t="s">
        <v>436</v>
      </c>
      <c r="B116" s="183" t="s">
        <v>437</v>
      </c>
      <c r="D116" s="184">
        <v>20000</v>
      </c>
      <c r="E116" s="184">
        <v>20000</v>
      </c>
      <c r="F116" s="184">
        <v>0</v>
      </c>
      <c r="G116" s="184">
        <v>0</v>
      </c>
      <c r="H116" s="186">
        <f t="shared" si="1"/>
        <v>40000</v>
      </c>
      <c r="M116" s="183">
        <v>40000</v>
      </c>
      <c r="N116" s="186">
        <f t="shared" si="2"/>
        <v>0</v>
      </c>
    </row>
    <row r="117" spans="1:14" ht="12.75" customHeight="1">
      <c r="A117" s="182" t="s">
        <v>250</v>
      </c>
      <c r="B117" s="183" t="s">
        <v>251</v>
      </c>
      <c r="D117" s="184">
        <v>12363</v>
      </c>
      <c r="E117" s="184">
        <f>-9583+182</f>
        <v>-9401</v>
      </c>
      <c r="F117" s="198">
        <v>1050.28</v>
      </c>
      <c r="G117" s="184">
        <v>550</v>
      </c>
      <c r="H117" s="186">
        <f t="shared" si="1"/>
        <v>4562.28</v>
      </c>
      <c r="I117" s="184" t="s">
        <v>514</v>
      </c>
      <c r="M117" s="183">
        <v>4562.28</v>
      </c>
      <c r="N117" s="186">
        <f t="shared" si="2"/>
        <v>0</v>
      </c>
    </row>
    <row r="118" spans="1:14" ht="12.75" customHeight="1">
      <c r="A118" s="183" t="s">
        <v>391</v>
      </c>
      <c r="D118" s="184">
        <f>SUM(D107:D117)</f>
        <v>170362</v>
      </c>
      <c r="E118" s="184">
        <f>SUM(E107:E117)</f>
        <v>168863.11</v>
      </c>
      <c r="F118" s="184">
        <f>SUM(F107:F117)</f>
        <v>141546.60999999999</v>
      </c>
      <c r="G118" s="184">
        <f>SUM(G107:G117)</f>
        <v>69980.53</v>
      </c>
      <c r="H118" s="186">
        <f t="shared" si="1"/>
        <v>550752.25</v>
      </c>
      <c r="M118" s="183">
        <v>550752.25</v>
      </c>
      <c r="N118" s="186">
        <f t="shared" si="2"/>
        <v>0</v>
      </c>
    </row>
    <row r="119" spans="1:14" ht="12.75" customHeight="1">
      <c r="N119" s="186">
        <f t="shared" si="2"/>
        <v>0</v>
      </c>
    </row>
    <row r="120" spans="1:14" ht="12.75" customHeight="1">
      <c r="A120" s="182" t="s">
        <v>260</v>
      </c>
      <c r="B120" s="183" t="s">
        <v>261</v>
      </c>
      <c r="D120" s="184">
        <v>424302</v>
      </c>
      <c r="E120" s="184">
        <v>420037.6</v>
      </c>
      <c r="F120" s="184">
        <v>416515.02</v>
      </c>
      <c r="G120" s="184">
        <v>401338</v>
      </c>
      <c r="H120" s="186">
        <f t="shared" si="1"/>
        <v>1662192.62</v>
      </c>
      <c r="M120" s="183">
        <v>1662192.62</v>
      </c>
      <c r="N120" s="186">
        <f t="shared" si="2"/>
        <v>0</v>
      </c>
    </row>
    <row r="121" spans="1:14" ht="12.75" customHeight="1">
      <c r="A121" s="182">
        <v>4611000</v>
      </c>
      <c r="B121" s="183" t="s">
        <v>477</v>
      </c>
      <c r="D121" s="184">
        <v>0</v>
      </c>
      <c r="E121" s="184">
        <v>0</v>
      </c>
      <c r="F121" s="184">
        <v>4201</v>
      </c>
      <c r="H121" s="186">
        <f t="shared" si="1"/>
        <v>4201</v>
      </c>
      <c r="M121" s="183">
        <v>4201</v>
      </c>
      <c r="N121" s="186">
        <f t="shared" si="2"/>
        <v>0</v>
      </c>
    </row>
    <row r="122" spans="1:14" ht="12.75" customHeight="1">
      <c r="A122" s="182">
        <v>4630000</v>
      </c>
      <c r="B122" s="183" t="s">
        <v>265</v>
      </c>
      <c r="D122" s="184">
        <v>0</v>
      </c>
      <c r="E122" s="184">
        <v>0</v>
      </c>
      <c r="F122" s="184">
        <v>0</v>
      </c>
      <c r="G122" s="184">
        <v>0</v>
      </c>
      <c r="H122" s="186">
        <f t="shared" si="1"/>
        <v>0</v>
      </c>
      <c r="M122" s="183">
        <v>0</v>
      </c>
      <c r="N122" s="186">
        <f t="shared" si="2"/>
        <v>0</v>
      </c>
    </row>
    <row r="123" spans="1:14" ht="12.75" customHeight="1">
      <c r="A123" s="182" t="s">
        <v>266</v>
      </c>
      <c r="B123" s="183" t="s">
        <v>267</v>
      </c>
      <c r="D123" s="184">
        <v>103265</v>
      </c>
      <c r="E123" s="184">
        <v>103625.3</v>
      </c>
      <c r="F123" s="184">
        <v>102995.06</v>
      </c>
      <c r="G123" s="184">
        <v>100023.25</v>
      </c>
      <c r="H123" s="186">
        <f t="shared" si="1"/>
        <v>409908.61</v>
      </c>
      <c r="M123" s="183">
        <v>409908.36</v>
      </c>
      <c r="N123" s="186">
        <f t="shared" si="2"/>
        <v>-0.25</v>
      </c>
    </row>
    <row r="124" spans="1:14" ht="12.75" customHeight="1">
      <c r="A124" s="182">
        <v>4642000</v>
      </c>
      <c r="B124" s="183" t="s">
        <v>462</v>
      </c>
      <c r="D124" s="184">
        <v>3574</v>
      </c>
      <c r="E124" s="184">
        <v>0</v>
      </c>
      <c r="F124" s="184">
        <v>2949.43</v>
      </c>
      <c r="G124" s="184">
        <v>0</v>
      </c>
      <c r="H124" s="186">
        <f t="shared" si="1"/>
        <v>6523.43</v>
      </c>
      <c r="M124" s="183">
        <v>6523.43</v>
      </c>
      <c r="N124" s="186">
        <f t="shared" si="2"/>
        <v>0</v>
      </c>
    </row>
    <row r="125" spans="1:14" ht="12.75" customHeight="1">
      <c r="A125" s="182" t="s">
        <v>393</v>
      </c>
      <c r="D125" s="184">
        <f>SUM(D120:D124)</f>
        <v>531141</v>
      </c>
      <c r="E125" s="184">
        <f>SUM(E120:E124)</f>
        <v>523662.89999999997</v>
      </c>
      <c r="F125" s="184">
        <f>SUM(F120:F124)</f>
        <v>526660.51</v>
      </c>
      <c r="G125" s="184">
        <f>SUM(G120:G124)</f>
        <v>501361.25</v>
      </c>
      <c r="H125" s="186">
        <f t="shared" si="1"/>
        <v>2082825.66</v>
      </c>
      <c r="M125" s="183">
        <v>2082825.41</v>
      </c>
      <c r="N125" s="186">
        <f t="shared" si="2"/>
        <v>-0.25</v>
      </c>
    </row>
    <row r="126" spans="1:14" ht="12.75" customHeight="1">
      <c r="N126" s="186">
        <f t="shared" si="2"/>
        <v>0</v>
      </c>
    </row>
    <row r="127" spans="1:14" ht="12.75" customHeight="1">
      <c r="A127" s="182">
        <v>9500000</v>
      </c>
      <c r="B127" s="183" t="s">
        <v>456</v>
      </c>
      <c r="D127" s="184">
        <v>0</v>
      </c>
      <c r="E127" s="184">
        <v>0</v>
      </c>
      <c r="F127" s="198">
        <v>2290893</v>
      </c>
      <c r="G127" s="184">
        <v>0</v>
      </c>
      <c r="H127" s="186">
        <f t="shared" si="1"/>
        <v>2290893</v>
      </c>
      <c r="I127" s="183" t="s">
        <v>516</v>
      </c>
      <c r="M127" s="183">
        <v>2290893</v>
      </c>
      <c r="N127" s="186">
        <f t="shared" si="2"/>
        <v>0</v>
      </c>
    </row>
    <row r="128" spans="1:14" ht="12.75" customHeight="1">
      <c r="A128" s="182" t="s">
        <v>272</v>
      </c>
      <c r="B128" s="183" t="s">
        <v>273</v>
      </c>
      <c r="D128" s="184">
        <v>-120923</v>
      </c>
      <c r="E128" s="184">
        <v>-161798</v>
      </c>
      <c r="F128" s="198">
        <v>-273366.2</v>
      </c>
      <c r="G128" s="184">
        <v>-237434</v>
      </c>
      <c r="H128" s="186">
        <f t="shared" si="1"/>
        <v>-793521.2</v>
      </c>
      <c r="I128" s="183" t="s">
        <v>509</v>
      </c>
      <c r="M128" s="183">
        <v>-793521.2</v>
      </c>
      <c r="N128" s="186">
        <f t="shared" si="2"/>
        <v>0</v>
      </c>
    </row>
    <row r="129" spans="1:14" ht="12.75" customHeight="1">
      <c r="A129" s="182">
        <v>9500100</v>
      </c>
      <c r="B129" s="183" t="s">
        <v>438</v>
      </c>
      <c r="D129" s="184">
        <v>0</v>
      </c>
      <c r="E129" s="184">
        <v>0</v>
      </c>
      <c r="F129" s="184">
        <v>0</v>
      </c>
      <c r="G129" s="184">
        <v>0</v>
      </c>
      <c r="H129" s="186">
        <f t="shared" si="1"/>
        <v>0</v>
      </c>
      <c r="M129" s="183">
        <v>0</v>
      </c>
      <c r="N129" s="186">
        <f t="shared" si="2"/>
        <v>0</v>
      </c>
    </row>
    <row r="130" spans="1:14" ht="12.75" customHeight="1">
      <c r="A130" s="182" t="s">
        <v>439</v>
      </c>
      <c r="C130" s="185"/>
      <c r="D130" s="208">
        <f>SUM(D127:D129)</f>
        <v>-120923</v>
      </c>
      <c r="E130" s="208">
        <f>SUM(E127:E128)-2</f>
        <v>-161800</v>
      </c>
      <c r="F130" s="208">
        <f>SUM(F127:F129)</f>
        <v>2017526.8</v>
      </c>
      <c r="G130" s="208">
        <f>SUM(G127:G129)</f>
        <v>-237434</v>
      </c>
      <c r="H130" s="186">
        <f t="shared" si="1"/>
        <v>1497369.8</v>
      </c>
      <c r="M130" s="183">
        <v>1497369.8</v>
      </c>
      <c r="N130" s="186">
        <f t="shared" si="2"/>
        <v>0</v>
      </c>
    </row>
    <row r="131" spans="1:14" ht="12.75" customHeight="1">
      <c r="H131" s="186">
        <f t="shared" si="1"/>
        <v>0</v>
      </c>
      <c r="M131" s="183">
        <v>0</v>
      </c>
      <c r="N131" s="186">
        <f t="shared" si="2"/>
        <v>0</v>
      </c>
    </row>
    <row r="132" spans="1:14" ht="12.75" customHeight="1">
      <c r="A132" s="183" t="s">
        <v>440</v>
      </c>
      <c r="D132" s="184">
        <f>D74+D80+D83+D87+D97+D102+D105+D118+D125+D130</f>
        <v>-2568373.5</v>
      </c>
      <c r="E132" s="184">
        <f>E74+E80+E83+E87+E97+E102+E105+E118+E125+E130</f>
        <v>-964897.33000000007</v>
      </c>
      <c r="F132" s="184">
        <f>F74+F80+F83+F87+F97+F102+F105+F118+F125+F130</f>
        <v>536507.61000000034</v>
      </c>
      <c r="G132" s="184">
        <f>G74+G80+G83+G87+G97+G102+G105+G118+G125+G130</f>
        <v>-1261577.5999999999</v>
      </c>
      <c r="H132" s="186">
        <f t="shared" si="1"/>
        <v>-4258340.8199999994</v>
      </c>
      <c r="M132" s="183">
        <v>-5214988.95</v>
      </c>
      <c r="N132" s="186">
        <f t="shared" si="2"/>
        <v>-956648.13000000082</v>
      </c>
    </row>
    <row r="133" spans="1:14" ht="12.75" customHeight="1">
      <c r="N133" s="186">
        <f t="shared" si="2"/>
        <v>0</v>
      </c>
    </row>
    <row r="134" spans="1:14" ht="12.75" customHeight="1">
      <c r="C134" s="195"/>
      <c r="D134" s="195">
        <f>SUM(D4:D67)+D132</f>
        <v>1.4900000002235174</v>
      </c>
      <c r="E134" s="195">
        <f>SUM(E4:E67)+E132</f>
        <v>0.11999999987892807</v>
      </c>
      <c r="F134" s="195">
        <f>SUM(F4:F67)+F132</f>
        <v>6.0000000870786607E-2</v>
      </c>
      <c r="G134" s="195">
        <f>SUM(G4:G67)+G132</f>
        <v>-0.75</v>
      </c>
      <c r="H134" s="217">
        <f>SUM(H4:H67)+H132</f>
        <v>0.85999999288469553</v>
      </c>
      <c r="M134" s="183">
        <v>0.9599999962374568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0F6-D4AE-49DF-9CE4-60C2F39EBC93}">
  <dimension ref="A1:O143"/>
  <sheetViews>
    <sheetView topLeftCell="A21" zoomScale="115" zoomScaleNormal="115" workbookViewId="0">
      <selection activeCell="E4" sqref="E4"/>
    </sheetView>
  </sheetViews>
  <sheetFormatPr defaultRowHeight="14.4"/>
  <cols>
    <col min="1" max="1" width="21.109375" style="119" bestFit="1" customWidth="1"/>
    <col min="2" max="2" width="70" style="117" bestFit="1" customWidth="1"/>
    <col min="3" max="3" width="24.5546875" style="184" bestFit="1" customWidth="1"/>
    <col min="4" max="7" width="22.44140625" style="184" customWidth="1"/>
    <col min="8" max="8" width="19.44140625" style="160" bestFit="1" customWidth="1"/>
    <col min="9" max="9" width="15" style="117" bestFit="1" customWidth="1"/>
    <col min="10" max="10" width="12.88671875" style="117" bestFit="1" customWidth="1"/>
    <col min="11" max="11" width="11" style="117" bestFit="1" customWidth="1"/>
    <col min="12" max="12" width="9.109375" style="117"/>
    <col min="13" max="15" width="11.33203125" style="117" bestFit="1" customWidth="1"/>
    <col min="16" max="256" width="9.109375" style="117"/>
    <col min="257" max="257" width="21.109375" style="117" bestFit="1" customWidth="1"/>
    <col min="258" max="258" width="70" style="117" bestFit="1" customWidth="1"/>
    <col min="259" max="259" width="24.5546875" style="117" bestFit="1" customWidth="1"/>
    <col min="260" max="263" width="22.44140625" style="117" customWidth="1"/>
    <col min="264" max="264" width="19.44140625" style="117" bestFit="1" customWidth="1"/>
    <col min="265" max="265" width="15" style="117" bestFit="1" customWidth="1"/>
    <col min="266" max="266" width="12.88671875" style="117" bestFit="1" customWidth="1"/>
    <col min="267" max="512" width="9.109375" style="117"/>
    <col min="513" max="513" width="21.109375" style="117" bestFit="1" customWidth="1"/>
    <col min="514" max="514" width="70" style="117" bestFit="1" customWidth="1"/>
    <col min="515" max="515" width="24.5546875" style="117" bestFit="1" customWidth="1"/>
    <col min="516" max="519" width="22.44140625" style="117" customWidth="1"/>
    <col min="520" max="520" width="19.44140625" style="117" bestFit="1" customWidth="1"/>
    <col min="521" max="521" width="15" style="117" bestFit="1" customWidth="1"/>
    <col min="522" max="522" width="12.88671875" style="117" bestFit="1" customWidth="1"/>
    <col min="523" max="768" width="9.109375" style="117"/>
    <col min="769" max="769" width="21.109375" style="117" bestFit="1" customWidth="1"/>
    <col min="770" max="770" width="70" style="117" bestFit="1" customWidth="1"/>
    <col min="771" max="771" width="24.5546875" style="117" bestFit="1" customWidth="1"/>
    <col min="772" max="775" width="22.44140625" style="117" customWidth="1"/>
    <col min="776" max="776" width="19.44140625" style="117" bestFit="1" customWidth="1"/>
    <col min="777" max="777" width="15" style="117" bestFit="1" customWidth="1"/>
    <col min="778" max="778" width="12.88671875" style="117" bestFit="1" customWidth="1"/>
    <col min="779" max="1024" width="9.109375" style="117"/>
    <col min="1025" max="1025" width="21.109375" style="117" bestFit="1" customWidth="1"/>
    <col min="1026" max="1026" width="70" style="117" bestFit="1" customWidth="1"/>
    <col min="1027" max="1027" width="24.5546875" style="117" bestFit="1" customWidth="1"/>
    <col min="1028" max="1031" width="22.44140625" style="117" customWidth="1"/>
    <col min="1032" max="1032" width="19.44140625" style="117" bestFit="1" customWidth="1"/>
    <col min="1033" max="1033" width="15" style="117" bestFit="1" customWidth="1"/>
    <col min="1034" max="1034" width="12.88671875" style="117" bestFit="1" customWidth="1"/>
    <col min="1035" max="1280" width="9.109375" style="117"/>
    <col min="1281" max="1281" width="21.109375" style="117" bestFit="1" customWidth="1"/>
    <col min="1282" max="1282" width="70" style="117" bestFit="1" customWidth="1"/>
    <col min="1283" max="1283" width="24.5546875" style="117" bestFit="1" customWidth="1"/>
    <col min="1284" max="1287" width="22.44140625" style="117" customWidth="1"/>
    <col min="1288" max="1288" width="19.44140625" style="117" bestFit="1" customWidth="1"/>
    <col min="1289" max="1289" width="15" style="117" bestFit="1" customWidth="1"/>
    <col min="1290" max="1290" width="12.88671875" style="117" bestFit="1" customWidth="1"/>
    <col min="1291" max="1536" width="9.109375" style="117"/>
    <col min="1537" max="1537" width="21.109375" style="117" bestFit="1" customWidth="1"/>
    <col min="1538" max="1538" width="70" style="117" bestFit="1" customWidth="1"/>
    <col min="1539" max="1539" width="24.5546875" style="117" bestFit="1" customWidth="1"/>
    <col min="1540" max="1543" width="22.44140625" style="117" customWidth="1"/>
    <col min="1544" max="1544" width="19.44140625" style="117" bestFit="1" customWidth="1"/>
    <col min="1545" max="1545" width="15" style="117" bestFit="1" customWidth="1"/>
    <col min="1546" max="1546" width="12.88671875" style="117" bestFit="1" customWidth="1"/>
    <col min="1547" max="1792" width="9.109375" style="117"/>
    <col min="1793" max="1793" width="21.109375" style="117" bestFit="1" customWidth="1"/>
    <col min="1794" max="1794" width="70" style="117" bestFit="1" customWidth="1"/>
    <col min="1795" max="1795" width="24.5546875" style="117" bestFit="1" customWidth="1"/>
    <col min="1796" max="1799" width="22.44140625" style="117" customWidth="1"/>
    <col min="1800" max="1800" width="19.44140625" style="117" bestFit="1" customWidth="1"/>
    <col min="1801" max="1801" width="15" style="117" bestFit="1" customWidth="1"/>
    <col min="1802" max="1802" width="12.88671875" style="117" bestFit="1" customWidth="1"/>
    <col min="1803" max="2048" width="9.109375" style="117"/>
    <col min="2049" max="2049" width="21.109375" style="117" bestFit="1" customWidth="1"/>
    <col min="2050" max="2050" width="70" style="117" bestFit="1" customWidth="1"/>
    <col min="2051" max="2051" width="24.5546875" style="117" bestFit="1" customWidth="1"/>
    <col min="2052" max="2055" width="22.44140625" style="117" customWidth="1"/>
    <col min="2056" max="2056" width="19.44140625" style="117" bestFit="1" customWidth="1"/>
    <col min="2057" max="2057" width="15" style="117" bestFit="1" customWidth="1"/>
    <col min="2058" max="2058" width="12.88671875" style="117" bestFit="1" customWidth="1"/>
    <col min="2059" max="2304" width="9.109375" style="117"/>
    <col min="2305" max="2305" width="21.109375" style="117" bestFit="1" customWidth="1"/>
    <col min="2306" max="2306" width="70" style="117" bestFit="1" customWidth="1"/>
    <col min="2307" max="2307" width="24.5546875" style="117" bestFit="1" customWidth="1"/>
    <col min="2308" max="2311" width="22.44140625" style="117" customWidth="1"/>
    <col min="2312" max="2312" width="19.44140625" style="117" bestFit="1" customWidth="1"/>
    <col min="2313" max="2313" width="15" style="117" bestFit="1" customWidth="1"/>
    <col min="2314" max="2314" width="12.88671875" style="117" bestFit="1" customWidth="1"/>
    <col min="2315" max="2560" width="9.109375" style="117"/>
    <col min="2561" max="2561" width="21.109375" style="117" bestFit="1" customWidth="1"/>
    <col min="2562" max="2562" width="70" style="117" bestFit="1" customWidth="1"/>
    <col min="2563" max="2563" width="24.5546875" style="117" bestFit="1" customWidth="1"/>
    <col min="2564" max="2567" width="22.44140625" style="117" customWidth="1"/>
    <col min="2568" max="2568" width="19.44140625" style="117" bestFit="1" customWidth="1"/>
    <col min="2569" max="2569" width="15" style="117" bestFit="1" customWidth="1"/>
    <col min="2570" max="2570" width="12.88671875" style="117" bestFit="1" customWidth="1"/>
    <col min="2571" max="2816" width="9.109375" style="117"/>
    <col min="2817" max="2817" width="21.109375" style="117" bestFit="1" customWidth="1"/>
    <col min="2818" max="2818" width="70" style="117" bestFit="1" customWidth="1"/>
    <col min="2819" max="2819" width="24.5546875" style="117" bestFit="1" customWidth="1"/>
    <col min="2820" max="2823" width="22.44140625" style="117" customWidth="1"/>
    <col min="2824" max="2824" width="19.44140625" style="117" bestFit="1" customWidth="1"/>
    <col min="2825" max="2825" width="15" style="117" bestFit="1" customWidth="1"/>
    <col min="2826" max="2826" width="12.88671875" style="117" bestFit="1" customWidth="1"/>
    <col min="2827" max="3072" width="9.109375" style="117"/>
    <col min="3073" max="3073" width="21.109375" style="117" bestFit="1" customWidth="1"/>
    <col min="3074" max="3074" width="70" style="117" bestFit="1" customWidth="1"/>
    <col min="3075" max="3075" width="24.5546875" style="117" bestFit="1" customWidth="1"/>
    <col min="3076" max="3079" width="22.44140625" style="117" customWidth="1"/>
    <col min="3080" max="3080" width="19.44140625" style="117" bestFit="1" customWidth="1"/>
    <col min="3081" max="3081" width="15" style="117" bestFit="1" customWidth="1"/>
    <col min="3082" max="3082" width="12.88671875" style="117" bestFit="1" customWidth="1"/>
    <col min="3083" max="3328" width="9.109375" style="117"/>
    <col min="3329" max="3329" width="21.109375" style="117" bestFit="1" customWidth="1"/>
    <col min="3330" max="3330" width="70" style="117" bestFit="1" customWidth="1"/>
    <col min="3331" max="3331" width="24.5546875" style="117" bestFit="1" customWidth="1"/>
    <col min="3332" max="3335" width="22.44140625" style="117" customWidth="1"/>
    <col min="3336" max="3336" width="19.44140625" style="117" bestFit="1" customWidth="1"/>
    <col min="3337" max="3337" width="15" style="117" bestFit="1" customWidth="1"/>
    <col min="3338" max="3338" width="12.88671875" style="117" bestFit="1" customWidth="1"/>
    <col min="3339" max="3584" width="9.109375" style="117"/>
    <col min="3585" max="3585" width="21.109375" style="117" bestFit="1" customWidth="1"/>
    <col min="3586" max="3586" width="70" style="117" bestFit="1" customWidth="1"/>
    <col min="3587" max="3587" width="24.5546875" style="117" bestFit="1" customWidth="1"/>
    <col min="3588" max="3591" width="22.44140625" style="117" customWidth="1"/>
    <col min="3592" max="3592" width="19.44140625" style="117" bestFit="1" customWidth="1"/>
    <col min="3593" max="3593" width="15" style="117" bestFit="1" customWidth="1"/>
    <col min="3594" max="3594" width="12.88671875" style="117" bestFit="1" customWidth="1"/>
    <col min="3595" max="3840" width="9.109375" style="117"/>
    <col min="3841" max="3841" width="21.109375" style="117" bestFit="1" customWidth="1"/>
    <col min="3842" max="3842" width="70" style="117" bestFit="1" customWidth="1"/>
    <col min="3843" max="3843" width="24.5546875" style="117" bestFit="1" customWidth="1"/>
    <col min="3844" max="3847" width="22.44140625" style="117" customWidth="1"/>
    <col min="3848" max="3848" width="19.44140625" style="117" bestFit="1" customWidth="1"/>
    <col min="3849" max="3849" width="15" style="117" bestFit="1" customWidth="1"/>
    <col min="3850" max="3850" width="12.88671875" style="117" bestFit="1" customWidth="1"/>
    <col min="3851" max="4096" width="9.109375" style="117"/>
    <col min="4097" max="4097" width="21.109375" style="117" bestFit="1" customWidth="1"/>
    <col min="4098" max="4098" width="70" style="117" bestFit="1" customWidth="1"/>
    <col min="4099" max="4099" width="24.5546875" style="117" bestFit="1" customWidth="1"/>
    <col min="4100" max="4103" width="22.44140625" style="117" customWidth="1"/>
    <col min="4104" max="4104" width="19.44140625" style="117" bestFit="1" customWidth="1"/>
    <col min="4105" max="4105" width="15" style="117" bestFit="1" customWidth="1"/>
    <col min="4106" max="4106" width="12.88671875" style="117" bestFit="1" customWidth="1"/>
    <col min="4107" max="4352" width="9.109375" style="117"/>
    <col min="4353" max="4353" width="21.109375" style="117" bestFit="1" customWidth="1"/>
    <col min="4354" max="4354" width="70" style="117" bestFit="1" customWidth="1"/>
    <col min="4355" max="4355" width="24.5546875" style="117" bestFit="1" customWidth="1"/>
    <col min="4356" max="4359" width="22.44140625" style="117" customWidth="1"/>
    <col min="4360" max="4360" width="19.44140625" style="117" bestFit="1" customWidth="1"/>
    <col min="4361" max="4361" width="15" style="117" bestFit="1" customWidth="1"/>
    <col min="4362" max="4362" width="12.88671875" style="117" bestFit="1" customWidth="1"/>
    <col min="4363" max="4608" width="9.109375" style="117"/>
    <col min="4609" max="4609" width="21.109375" style="117" bestFit="1" customWidth="1"/>
    <col min="4610" max="4610" width="70" style="117" bestFit="1" customWidth="1"/>
    <col min="4611" max="4611" width="24.5546875" style="117" bestFit="1" customWidth="1"/>
    <col min="4612" max="4615" width="22.44140625" style="117" customWidth="1"/>
    <col min="4616" max="4616" width="19.44140625" style="117" bestFit="1" customWidth="1"/>
    <col min="4617" max="4617" width="15" style="117" bestFit="1" customWidth="1"/>
    <col min="4618" max="4618" width="12.88671875" style="117" bestFit="1" customWidth="1"/>
    <col min="4619" max="4864" width="9.109375" style="117"/>
    <col min="4865" max="4865" width="21.109375" style="117" bestFit="1" customWidth="1"/>
    <col min="4866" max="4866" width="70" style="117" bestFit="1" customWidth="1"/>
    <col min="4867" max="4867" width="24.5546875" style="117" bestFit="1" customWidth="1"/>
    <col min="4868" max="4871" width="22.44140625" style="117" customWidth="1"/>
    <col min="4872" max="4872" width="19.44140625" style="117" bestFit="1" customWidth="1"/>
    <col min="4873" max="4873" width="15" style="117" bestFit="1" customWidth="1"/>
    <col min="4874" max="4874" width="12.88671875" style="117" bestFit="1" customWidth="1"/>
    <col min="4875" max="5120" width="9.109375" style="117"/>
    <col min="5121" max="5121" width="21.109375" style="117" bestFit="1" customWidth="1"/>
    <col min="5122" max="5122" width="70" style="117" bestFit="1" customWidth="1"/>
    <col min="5123" max="5123" width="24.5546875" style="117" bestFit="1" customWidth="1"/>
    <col min="5124" max="5127" width="22.44140625" style="117" customWidth="1"/>
    <col min="5128" max="5128" width="19.44140625" style="117" bestFit="1" customWidth="1"/>
    <col min="5129" max="5129" width="15" style="117" bestFit="1" customWidth="1"/>
    <col min="5130" max="5130" width="12.88671875" style="117" bestFit="1" customWidth="1"/>
    <col min="5131" max="5376" width="9.109375" style="117"/>
    <col min="5377" max="5377" width="21.109375" style="117" bestFit="1" customWidth="1"/>
    <col min="5378" max="5378" width="70" style="117" bestFit="1" customWidth="1"/>
    <col min="5379" max="5379" width="24.5546875" style="117" bestFit="1" customWidth="1"/>
    <col min="5380" max="5383" width="22.44140625" style="117" customWidth="1"/>
    <col min="5384" max="5384" width="19.44140625" style="117" bestFit="1" customWidth="1"/>
    <col min="5385" max="5385" width="15" style="117" bestFit="1" customWidth="1"/>
    <col min="5386" max="5386" width="12.88671875" style="117" bestFit="1" customWidth="1"/>
    <col min="5387" max="5632" width="9.109375" style="117"/>
    <col min="5633" max="5633" width="21.109375" style="117" bestFit="1" customWidth="1"/>
    <col min="5634" max="5634" width="70" style="117" bestFit="1" customWidth="1"/>
    <col min="5635" max="5635" width="24.5546875" style="117" bestFit="1" customWidth="1"/>
    <col min="5636" max="5639" width="22.44140625" style="117" customWidth="1"/>
    <col min="5640" max="5640" width="19.44140625" style="117" bestFit="1" customWidth="1"/>
    <col min="5641" max="5641" width="15" style="117" bestFit="1" customWidth="1"/>
    <col min="5642" max="5642" width="12.88671875" style="117" bestFit="1" customWidth="1"/>
    <col min="5643" max="5888" width="9.109375" style="117"/>
    <col min="5889" max="5889" width="21.109375" style="117" bestFit="1" customWidth="1"/>
    <col min="5890" max="5890" width="70" style="117" bestFit="1" customWidth="1"/>
    <col min="5891" max="5891" width="24.5546875" style="117" bestFit="1" customWidth="1"/>
    <col min="5892" max="5895" width="22.44140625" style="117" customWidth="1"/>
    <col min="5896" max="5896" width="19.44140625" style="117" bestFit="1" customWidth="1"/>
    <col min="5897" max="5897" width="15" style="117" bestFit="1" customWidth="1"/>
    <col min="5898" max="5898" width="12.88671875" style="117" bestFit="1" customWidth="1"/>
    <col min="5899" max="6144" width="9.109375" style="117"/>
    <col min="6145" max="6145" width="21.109375" style="117" bestFit="1" customWidth="1"/>
    <col min="6146" max="6146" width="70" style="117" bestFit="1" customWidth="1"/>
    <col min="6147" max="6147" width="24.5546875" style="117" bestFit="1" customWidth="1"/>
    <col min="6148" max="6151" width="22.44140625" style="117" customWidth="1"/>
    <col min="6152" max="6152" width="19.44140625" style="117" bestFit="1" customWidth="1"/>
    <col min="6153" max="6153" width="15" style="117" bestFit="1" customWidth="1"/>
    <col min="6154" max="6154" width="12.88671875" style="117" bestFit="1" customWidth="1"/>
    <col min="6155" max="6400" width="9.109375" style="117"/>
    <col min="6401" max="6401" width="21.109375" style="117" bestFit="1" customWidth="1"/>
    <col min="6402" max="6402" width="70" style="117" bestFit="1" customWidth="1"/>
    <col min="6403" max="6403" width="24.5546875" style="117" bestFit="1" customWidth="1"/>
    <col min="6404" max="6407" width="22.44140625" style="117" customWidth="1"/>
    <col min="6408" max="6408" width="19.44140625" style="117" bestFit="1" customWidth="1"/>
    <col min="6409" max="6409" width="15" style="117" bestFit="1" customWidth="1"/>
    <col min="6410" max="6410" width="12.88671875" style="117" bestFit="1" customWidth="1"/>
    <col min="6411" max="6656" width="9.109375" style="117"/>
    <col min="6657" max="6657" width="21.109375" style="117" bestFit="1" customWidth="1"/>
    <col min="6658" max="6658" width="70" style="117" bestFit="1" customWidth="1"/>
    <col min="6659" max="6659" width="24.5546875" style="117" bestFit="1" customWidth="1"/>
    <col min="6660" max="6663" width="22.44140625" style="117" customWidth="1"/>
    <col min="6664" max="6664" width="19.44140625" style="117" bestFit="1" customWidth="1"/>
    <col min="6665" max="6665" width="15" style="117" bestFit="1" customWidth="1"/>
    <col min="6666" max="6666" width="12.88671875" style="117" bestFit="1" customWidth="1"/>
    <col min="6667" max="6912" width="9.109375" style="117"/>
    <col min="6913" max="6913" width="21.109375" style="117" bestFit="1" customWidth="1"/>
    <col min="6914" max="6914" width="70" style="117" bestFit="1" customWidth="1"/>
    <col min="6915" max="6915" width="24.5546875" style="117" bestFit="1" customWidth="1"/>
    <col min="6916" max="6919" width="22.44140625" style="117" customWidth="1"/>
    <col min="6920" max="6920" width="19.44140625" style="117" bestFit="1" customWidth="1"/>
    <col min="6921" max="6921" width="15" style="117" bestFit="1" customWidth="1"/>
    <col min="6922" max="6922" width="12.88671875" style="117" bestFit="1" customWidth="1"/>
    <col min="6923" max="7168" width="9.109375" style="117"/>
    <col min="7169" max="7169" width="21.109375" style="117" bestFit="1" customWidth="1"/>
    <col min="7170" max="7170" width="70" style="117" bestFit="1" customWidth="1"/>
    <col min="7171" max="7171" width="24.5546875" style="117" bestFit="1" customWidth="1"/>
    <col min="7172" max="7175" width="22.44140625" style="117" customWidth="1"/>
    <col min="7176" max="7176" width="19.44140625" style="117" bestFit="1" customWidth="1"/>
    <col min="7177" max="7177" width="15" style="117" bestFit="1" customWidth="1"/>
    <col min="7178" max="7178" width="12.88671875" style="117" bestFit="1" customWidth="1"/>
    <col min="7179" max="7424" width="9.109375" style="117"/>
    <col min="7425" max="7425" width="21.109375" style="117" bestFit="1" customWidth="1"/>
    <col min="7426" max="7426" width="70" style="117" bestFit="1" customWidth="1"/>
    <col min="7427" max="7427" width="24.5546875" style="117" bestFit="1" customWidth="1"/>
    <col min="7428" max="7431" width="22.44140625" style="117" customWidth="1"/>
    <col min="7432" max="7432" width="19.44140625" style="117" bestFit="1" customWidth="1"/>
    <col min="7433" max="7433" width="15" style="117" bestFit="1" customWidth="1"/>
    <col min="7434" max="7434" width="12.88671875" style="117" bestFit="1" customWidth="1"/>
    <col min="7435" max="7680" width="9.109375" style="117"/>
    <col min="7681" max="7681" width="21.109375" style="117" bestFit="1" customWidth="1"/>
    <col min="7682" max="7682" width="70" style="117" bestFit="1" customWidth="1"/>
    <col min="7683" max="7683" width="24.5546875" style="117" bestFit="1" customWidth="1"/>
    <col min="7684" max="7687" width="22.44140625" style="117" customWidth="1"/>
    <col min="7688" max="7688" width="19.44140625" style="117" bestFit="1" customWidth="1"/>
    <col min="7689" max="7689" width="15" style="117" bestFit="1" customWidth="1"/>
    <col min="7690" max="7690" width="12.88671875" style="117" bestFit="1" customWidth="1"/>
    <col min="7691" max="7936" width="9.109375" style="117"/>
    <col min="7937" max="7937" width="21.109375" style="117" bestFit="1" customWidth="1"/>
    <col min="7938" max="7938" width="70" style="117" bestFit="1" customWidth="1"/>
    <col min="7939" max="7939" width="24.5546875" style="117" bestFit="1" customWidth="1"/>
    <col min="7940" max="7943" width="22.44140625" style="117" customWidth="1"/>
    <col min="7944" max="7944" width="19.44140625" style="117" bestFit="1" customWidth="1"/>
    <col min="7945" max="7945" width="15" style="117" bestFit="1" customWidth="1"/>
    <col min="7946" max="7946" width="12.88671875" style="117" bestFit="1" customWidth="1"/>
    <col min="7947" max="8192" width="9.109375" style="117"/>
    <col min="8193" max="8193" width="21.109375" style="117" bestFit="1" customWidth="1"/>
    <col min="8194" max="8194" width="70" style="117" bestFit="1" customWidth="1"/>
    <col min="8195" max="8195" width="24.5546875" style="117" bestFit="1" customWidth="1"/>
    <col min="8196" max="8199" width="22.44140625" style="117" customWidth="1"/>
    <col min="8200" max="8200" width="19.44140625" style="117" bestFit="1" customWidth="1"/>
    <col min="8201" max="8201" width="15" style="117" bestFit="1" customWidth="1"/>
    <col min="8202" max="8202" width="12.88671875" style="117" bestFit="1" customWidth="1"/>
    <col min="8203" max="8448" width="9.109375" style="117"/>
    <col min="8449" max="8449" width="21.109375" style="117" bestFit="1" customWidth="1"/>
    <col min="8450" max="8450" width="70" style="117" bestFit="1" customWidth="1"/>
    <col min="8451" max="8451" width="24.5546875" style="117" bestFit="1" customWidth="1"/>
    <col min="8452" max="8455" width="22.44140625" style="117" customWidth="1"/>
    <col min="8456" max="8456" width="19.44140625" style="117" bestFit="1" customWidth="1"/>
    <col min="8457" max="8457" width="15" style="117" bestFit="1" customWidth="1"/>
    <col min="8458" max="8458" width="12.88671875" style="117" bestFit="1" customWidth="1"/>
    <col min="8459" max="8704" width="9.109375" style="117"/>
    <col min="8705" max="8705" width="21.109375" style="117" bestFit="1" customWidth="1"/>
    <col min="8706" max="8706" width="70" style="117" bestFit="1" customWidth="1"/>
    <col min="8707" max="8707" width="24.5546875" style="117" bestFit="1" customWidth="1"/>
    <col min="8708" max="8711" width="22.44140625" style="117" customWidth="1"/>
    <col min="8712" max="8712" width="19.44140625" style="117" bestFit="1" customWidth="1"/>
    <col min="8713" max="8713" width="15" style="117" bestFit="1" customWidth="1"/>
    <col min="8714" max="8714" width="12.88671875" style="117" bestFit="1" customWidth="1"/>
    <col min="8715" max="8960" width="9.109375" style="117"/>
    <col min="8961" max="8961" width="21.109375" style="117" bestFit="1" customWidth="1"/>
    <col min="8962" max="8962" width="70" style="117" bestFit="1" customWidth="1"/>
    <col min="8963" max="8963" width="24.5546875" style="117" bestFit="1" customWidth="1"/>
    <col min="8964" max="8967" width="22.44140625" style="117" customWidth="1"/>
    <col min="8968" max="8968" width="19.44140625" style="117" bestFit="1" customWidth="1"/>
    <col min="8969" max="8969" width="15" style="117" bestFit="1" customWidth="1"/>
    <col min="8970" max="8970" width="12.88671875" style="117" bestFit="1" customWidth="1"/>
    <col min="8971" max="9216" width="9.109375" style="117"/>
    <col min="9217" max="9217" width="21.109375" style="117" bestFit="1" customWidth="1"/>
    <col min="9218" max="9218" width="70" style="117" bestFit="1" customWidth="1"/>
    <col min="9219" max="9219" width="24.5546875" style="117" bestFit="1" customWidth="1"/>
    <col min="9220" max="9223" width="22.44140625" style="117" customWidth="1"/>
    <col min="9224" max="9224" width="19.44140625" style="117" bestFit="1" customWidth="1"/>
    <col min="9225" max="9225" width="15" style="117" bestFit="1" customWidth="1"/>
    <col min="9226" max="9226" width="12.88671875" style="117" bestFit="1" customWidth="1"/>
    <col min="9227" max="9472" width="9.109375" style="117"/>
    <col min="9473" max="9473" width="21.109375" style="117" bestFit="1" customWidth="1"/>
    <col min="9474" max="9474" width="70" style="117" bestFit="1" customWidth="1"/>
    <col min="9475" max="9475" width="24.5546875" style="117" bestFit="1" customWidth="1"/>
    <col min="9476" max="9479" width="22.44140625" style="117" customWidth="1"/>
    <col min="9480" max="9480" width="19.44140625" style="117" bestFit="1" customWidth="1"/>
    <col min="9481" max="9481" width="15" style="117" bestFit="1" customWidth="1"/>
    <col min="9482" max="9482" width="12.88671875" style="117" bestFit="1" customWidth="1"/>
    <col min="9483" max="9728" width="9.109375" style="117"/>
    <col min="9729" max="9729" width="21.109375" style="117" bestFit="1" customWidth="1"/>
    <col min="9730" max="9730" width="70" style="117" bestFit="1" customWidth="1"/>
    <col min="9731" max="9731" width="24.5546875" style="117" bestFit="1" customWidth="1"/>
    <col min="9732" max="9735" width="22.44140625" style="117" customWidth="1"/>
    <col min="9736" max="9736" width="19.44140625" style="117" bestFit="1" customWidth="1"/>
    <col min="9737" max="9737" width="15" style="117" bestFit="1" customWidth="1"/>
    <col min="9738" max="9738" width="12.88671875" style="117" bestFit="1" customWidth="1"/>
    <col min="9739" max="9984" width="9.109375" style="117"/>
    <col min="9985" max="9985" width="21.109375" style="117" bestFit="1" customWidth="1"/>
    <col min="9986" max="9986" width="70" style="117" bestFit="1" customWidth="1"/>
    <col min="9987" max="9987" width="24.5546875" style="117" bestFit="1" customWidth="1"/>
    <col min="9988" max="9991" width="22.44140625" style="117" customWidth="1"/>
    <col min="9992" max="9992" width="19.44140625" style="117" bestFit="1" customWidth="1"/>
    <col min="9993" max="9993" width="15" style="117" bestFit="1" customWidth="1"/>
    <col min="9994" max="9994" width="12.88671875" style="117" bestFit="1" customWidth="1"/>
    <col min="9995" max="10240" width="9.109375" style="117"/>
    <col min="10241" max="10241" width="21.109375" style="117" bestFit="1" customWidth="1"/>
    <col min="10242" max="10242" width="70" style="117" bestFit="1" customWidth="1"/>
    <col min="10243" max="10243" width="24.5546875" style="117" bestFit="1" customWidth="1"/>
    <col min="10244" max="10247" width="22.44140625" style="117" customWidth="1"/>
    <col min="10248" max="10248" width="19.44140625" style="117" bestFit="1" customWidth="1"/>
    <col min="10249" max="10249" width="15" style="117" bestFit="1" customWidth="1"/>
    <col min="10250" max="10250" width="12.88671875" style="117" bestFit="1" customWidth="1"/>
    <col min="10251" max="10496" width="9.109375" style="117"/>
    <col min="10497" max="10497" width="21.109375" style="117" bestFit="1" customWidth="1"/>
    <col min="10498" max="10498" width="70" style="117" bestFit="1" customWidth="1"/>
    <col min="10499" max="10499" width="24.5546875" style="117" bestFit="1" customWidth="1"/>
    <col min="10500" max="10503" width="22.44140625" style="117" customWidth="1"/>
    <col min="10504" max="10504" width="19.44140625" style="117" bestFit="1" customWidth="1"/>
    <col min="10505" max="10505" width="15" style="117" bestFit="1" customWidth="1"/>
    <col min="10506" max="10506" width="12.88671875" style="117" bestFit="1" customWidth="1"/>
    <col min="10507" max="10752" width="9.109375" style="117"/>
    <col min="10753" max="10753" width="21.109375" style="117" bestFit="1" customWidth="1"/>
    <col min="10754" max="10754" width="70" style="117" bestFit="1" customWidth="1"/>
    <col min="10755" max="10755" width="24.5546875" style="117" bestFit="1" customWidth="1"/>
    <col min="10756" max="10759" width="22.44140625" style="117" customWidth="1"/>
    <col min="10760" max="10760" width="19.44140625" style="117" bestFit="1" customWidth="1"/>
    <col min="10761" max="10761" width="15" style="117" bestFit="1" customWidth="1"/>
    <col min="10762" max="10762" width="12.88671875" style="117" bestFit="1" customWidth="1"/>
    <col min="10763" max="11008" width="9.109375" style="117"/>
    <col min="11009" max="11009" width="21.109375" style="117" bestFit="1" customWidth="1"/>
    <col min="11010" max="11010" width="70" style="117" bestFit="1" customWidth="1"/>
    <col min="11011" max="11011" width="24.5546875" style="117" bestFit="1" customWidth="1"/>
    <col min="11012" max="11015" width="22.44140625" style="117" customWidth="1"/>
    <col min="11016" max="11016" width="19.44140625" style="117" bestFit="1" customWidth="1"/>
    <col min="11017" max="11017" width="15" style="117" bestFit="1" customWidth="1"/>
    <col min="11018" max="11018" width="12.88671875" style="117" bestFit="1" customWidth="1"/>
    <col min="11019" max="11264" width="9.109375" style="117"/>
    <col min="11265" max="11265" width="21.109375" style="117" bestFit="1" customWidth="1"/>
    <col min="11266" max="11266" width="70" style="117" bestFit="1" customWidth="1"/>
    <col min="11267" max="11267" width="24.5546875" style="117" bestFit="1" customWidth="1"/>
    <col min="11268" max="11271" width="22.44140625" style="117" customWidth="1"/>
    <col min="11272" max="11272" width="19.44140625" style="117" bestFit="1" customWidth="1"/>
    <col min="11273" max="11273" width="15" style="117" bestFit="1" customWidth="1"/>
    <col min="11274" max="11274" width="12.88671875" style="117" bestFit="1" customWidth="1"/>
    <col min="11275" max="11520" width="9.109375" style="117"/>
    <col min="11521" max="11521" width="21.109375" style="117" bestFit="1" customWidth="1"/>
    <col min="11522" max="11522" width="70" style="117" bestFit="1" customWidth="1"/>
    <col min="11523" max="11523" width="24.5546875" style="117" bestFit="1" customWidth="1"/>
    <col min="11524" max="11527" width="22.44140625" style="117" customWidth="1"/>
    <col min="11528" max="11528" width="19.44140625" style="117" bestFit="1" customWidth="1"/>
    <col min="11529" max="11529" width="15" style="117" bestFit="1" customWidth="1"/>
    <col min="11530" max="11530" width="12.88671875" style="117" bestFit="1" customWidth="1"/>
    <col min="11531" max="11776" width="9.109375" style="117"/>
    <col min="11777" max="11777" width="21.109375" style="117" bestFit="1" customWidth="1"/>
    <col min="11778" max="11778" width="70" style="117" bestFit="1" customWidth="1"/>
    <col min="11779" max="11779" width="24.5546875" style="117" bestFit="1" customWidth="1"/>
    <col min="11780" max="11783" width="22.44140625" style="117" customWidth="1"/>
    <col min="11784" max="11784" width="19.44140625" style="117" bestFit="1" customWidth="1"/>
    <col min="11785" max="11785" width="15" style="117" bestFit="1" customWidth="1"/>
    <col min="11786" max="11786" width="12.88671875" style="117" bestFit="1" customWidth="1"/>
    <col min="11787" max="12032" width="9.109375" style="117"/>
    <col min="12033" max="12033" width="21.109375" style="117" bestFit="1" customWidth="1"/>
    <col min="12034" max="12034" width="70" style="117" bestFit="1" customWidth="1"/>
    <col min="12035" max="12035" width="24.5546875" style="117" bestFit="1" customWidth="1"/>
    <col min="12036" max="12039" width="22.44140625" style="117" customWidth="1"/>
    <col min="12040" max="12040" width="19.44140625" style="117" bestFit="1" customWidth="1"/>
    <col min="12041" max="12041" width="15" style="117" bestFit="1" customWidth="1"/>
    <col min="12042" max="12042" width="12.88671875" style="117" bestFit="1" customWidth="1"/>
    <col min="12043" max="12288" width="9.109375" style="117"/>
    <col min="12289" max="12289" width="21.109375" style="117" bestFit="1" customWidth="1"/>
    <col min="12290" max="12290" width="70" style="117" bestFit="1" customWidth="1"/>
    <col min="12291" max="12291" width="24.5546875" style="117" bestFit="1" customWidth="1"/>
    <col min="12292" max="12295" width="22.44140625" style="117" customWidth="1"/>
    <col min="12296" max="12296" width="19.44140625" style="117" bestFit="1" customWidth="1"/>
    <col min="12297" max="12297" width="15" style="117" bestFit="1" customWidth="1"/>
    <col min="12298" max="12298" width="12.88671875" style="117" bestFit="1" customWidth="1"/>
    <col min="12299" max="12544" width="9.109375" style="117"/>
    <col min="12545" max="12545" width="21.109375" style="117" bestFit="1" customWidth="1"/>
    <col min="12546" max="12546" width="70" style="117" bestFit="1" customWidth="1"/>
    <col min="12547" max="12547" width="24.5546875" style="117" bestFit="1" customWidth="1"/>
    <col min="12548" max="12551" width="22.44140625" style="117" customWidth="1"/>
    <col min="12552" max="12552" width="19.44140625" style="117" bestFit="1" customWidth="1"/>
    <col min="12553" max="12553" width="15" style="117" bestFit="1" customWidth="1"/>
    <col min="12554" max="12554" width="12.88671875" style="117" bestFit="1" customWidth="1"/>
    <col min="12555" max="12800" width="9.109375" style="117"/>
    <col min="12801" max="12801" width="21.109375" style="117" bestFit="1" customWidth="1"/>
    <col min="12802" max="12802" width="70" style="117" bestFit="1" customWidth="1"/>
    <col min="12803" max="12803" width="24.5546875" style="117" bestFit="1" customWidth="1"/>
    <col min="12804" max="12807" width="22.44140625" style="117" customWidth="1"/>
    <col min="12808" max="12808" width="19.44140625" style="117" bestFit="1" customWidth="1"/>
    <col min="12809" max="12809" width="15" style="117" bestFit="1" customWidth="1"/>
    <col min="12810" max="12810" width="12.88671875" style="117" bestFit="1" customWidth="1"/>
    <col min="12811" max="13056" width="9.109375" style="117"/>
    <col min="13057" max="13057" width="21.109375" style="117" bestFit="1" customWidth="1"/>
    <col min="13058" max="13058" width="70" style="117" bestFit="1" customWidth="1"/>
    <col min="13059" max="13059" width="24.5546875" style="117" bestFit="1" customWidth="1"/>
    <col min="13060" max="13063" width="22.44140625" style="117" customWidth="1"/>
    <col min="13064" max="13064" width="19.44140625" style="117" bestFit="1" customWidth="1"/>
    <col min="13065" max="13065" width="15" style="117" bestFit="1" customWidth="1"/>
    <col min="13066" max="13066" width="12.88671875" style="117" bestFit="1" customWidth="1"/>
    <col min="13067" max="13312" width="9.109375" style="117"/>
    <col min="13313" max="13313" width="21.109375" style="117" bestFit="1" customWidth="1"/>
    <col min="13314" max="13314" width="70" style="117" bestFit="1" customWidth="1"/>
    <col min="13315" max="13315" width="24.5546875" style="117" bestFit="1" customWidth="1"/>
    <col min="13316" max="13319" width="22.44140625" style="117" customWidth="1"/>
    <col min="13320" max="13320" width="19.44140625" style="117" bestFit="1" customWidth="1"/>
    <col min="13321" max="13321" width="15" style="117" bestFit="1" customWidth="1"/>
    <col min="13322" max="13322" width="12.88671875" style="117" bestFit="1" customWidth="1"/>
    <col min="13323" max="13568" width="9.109375" style="117"/>
    <col min="13569" max="13569" width="21.109375" style="117" bestFit="1" customWidth="1"/>
    <col min="13570" max="13570" width="70" style="117" bestFit="1" customWidth="1"/>
    <col min="13571" max="13571" width="24.5546875" style="117" bestFit="1" customWidth="1"/>
    <col min="13572" max="13575" width="22.44140625" style="117" customWidth="1"/>
    <col min="13576" max="13576" width="19.44140625" style="117" bestFit="1" customWidth="1"/>
    <col min="13577" max="13577" width="15" style="117" bestFit="1" customWidth="1"/>
    <col min="13578" max="13578" width="12.88671875" style="117" bestFit="1" customWidth="1"/>
    <col min="13579" max="13824" width="9.109375" style="117"/>
    <col min="13825" max="13825" width="21.109375" style="117" bestFit="1" customWidth="1"/>
    <col min="13826" max="13826" width="70" style="117" bestFit="1" customWidth="1"/>
    <col min="13827" max="13827" width="24.5546875" style="117" bestFit="1" customWidth="1"/>
    <col min="13828" max="13831" width="22.44140625" style="117" customWidth="1"/>
    <col min="13832" max="13832" width="19.44140625" style="117" bestFit="1" customWidth="1"/>
    <col min="13833" max="13833" width="15" style="117" bestFit="1" customWidth="1"/>
    <col min="13834" max="13834" width="12.88671875" style="117" bestFit="1" customWidth="1"/>
    <col min="13835" max="14080" width="9.109375" style="117"/>
    <col min="14081" max="14081" width="21.109375" style="117" bestFit="1" customWidth="1"/>
    <col min="14082" max="14082" width="70" style="117" bestFit="1" customWidth="1"/>
    <col min="14083" max="14083" width="24.5546875" style="117" bestFit="1" customWidth="1"/>
    <col min="14084" max="14087" width="22.44140625" style="117" customWidth="1"/>
    <col min="14088" max="14088" width="19.44140625" style="117" bestFit="1" customWidth="1"/>
    <col min="14089" max="14089" width="15" style="117" bestFit="1" customWidth="1"/>
    <col min="14090" max="14090" width="12.88671875" style="117" bestFit="1" customWidth="1"/>
    <col min="14091" max="14336" width="9.109375" style="117"/>
    <col min="14337" max="14337" width="21.109375" style="117" bestFit="1" customWidth="1"/>
    <col min="14338" max="14338" width="70" style="117" bestFit="1" customWidth="1"/>
    <col min="14339" max="14339" width="24.5546875" style="117" bestFit="1" customWidth="1"/>
    <col min="14340" max="14343" width="22.44140625" style="117" customWidth="1"/>
    <col min="14344" max="14344" width="19.44140625" style="117" bestFit="1" customWidth="1"/>
    <col min="14345" max="14345" width="15" style="117" bestFit="1" customWidth="1"/>
    <col min="14346" max="14346" width="12.88671875" style="117" bestFit="1" customWidth="1"/>
    <col min="14347" max="14592" width="9.109375" style="117"/>
    <col min="14593" max="14593" width="21.109375" style="117" bestFit="1" customWidth="1"/>
    <col min="14594" max="14594" width="70" style="117" bestFit="1" customWidth="1"/>
    <col min="14595" max="14595" width="24.5546875" style="117" bestFit="1" customWidth="1"/>
    <col min="14596" max="14599" width="22.44140625" style="117" customWidth="1"/>
    <col min="14600" max="14600" width="19.44140625" style="117" bestFit="1" customWidth="1"/>
    <col min="14601" max="14601" width="15" style="117" bestFit="1" customWidth="1"/>
    <col min="14602" max="14602" width="12.88671875" style="117" bestFit="1" customWidth="1"/>
    <col min="14603" max="14848" width="9.109375" style="117"/>
    <col min="14849" max="14849" width="21.109375" style="117" bestFit="1" customWidth="1"/>
    <col min="14850" max="14850" width="70" style="117" bestFit="1" customWidth="1"/>
    <col min="14851" max="14851" width="24.5546875" style="117" bestFit="1" customWidth="1"/>
    <col min="14852" max="14855" width="22.44140625" style="117" customWidth="1"/>
    <col min="14856" max="14856" width="19.44140625" style="117" bestFit="1" customWidth="1"/>
    <col min="14857" max="14857" width="15" style="117" bestFit="1" customWidth="1"/>
    <col min="14858" max="14858" width="12.88671875" style="117" bestFit="1" customWidth="1"/>
    <col min="14859" max="15104" width="9.109375" style="117"/>
    <col min="15105" max="15105" width="21.109375" style="117" bestFit="1" customWidth="1"/>
    <col min="15106" max="15106" width="70" style="117" bestFit="1" customWidth="1"/>
    <col min="15107" max="15107" width="24.5546875" style="117" bestFit="1" customWidth="1"/>
    <col min="15108" max="15111" width="22.44140625" style="117" customWidth="1"/>
    <col min="15112" max="15112" width="19.44140625" style="117" bestFit="1" customWidth="1"/>
    <col min="15113" max="15113" width="15" style="117" bestFit="1" customWidth="1"/>
    <col min="15114" max="15114" width="12.88671875" style="117" bestFit="1" customWidth="1"/>
    <col min="15115" max="15360" width="9.109375" style="117"/>
    <col min="15361" max="15361" width="21.109375" style="117" bestFit="1" customWidth="1"/>
    <col min="15362" max="15362" width="70" style="117" bestFit="1" customWidth="1"/>
    <col min="15363" max="15363" width="24.5546875" style="117" bestFit="1" customWidth="1"/>
    <col min="15364" max="15367" width="22.44140625" style="117" customWidth="1"/>
    <col min="15368" max="15368" width="19.44140625" style="117" bestFit="1" customWidth="1"/>
    <col min="15369" max="15369" width="15" style="117" bestFit="1" customWidth="1"/>
    <col min="15370" max="15370" width="12.88671875" style="117" bestFit="1" customWidth="1"/>
    <col min="15371" max="15616" width="9.109375" style="117"/>
    <col min="15617" max="15617" width="21.109375" style="117" bestFit="1" customWidth="1"/>
    <col min="15618" max="15618" width="70" style="117" bestFit="1" customWidth="1"/>
    <col min="15619" max="15619" width="24.5546875" style="117" bestFit="1" customWidth="1"/>
    <col min="15620" max="15623" width="22.44140625" style="117" customWidth="1"/>
    <col min="15624" max="15624" width="19.44140625" style="117" bestFit="1" customWidth="1"/>
    <col min="15625" max="15625" width="15" style="117" bestFit="1" customWidth="1"/>
    <col min="15626" max="15626" width="12.88671875" style="117" bestFit="1" customWidth="1"/>
    <col min="15627" max="15872" width="9.109375" style="117"/>
    <col min="15873" max="15873" width="21.109375" style="117" bestFit="1" customWidth="1"/>
    <col min="15874" max="15874" width="70" style="117" bestFit="1" customWidth="1"/>
    <col min="15875" max="15875" width="24.5546875" style="117" bestFit="1" customWidth="1"/>
    <col min="15876" max="15879" width="22.44140625" style="117" customWidth="1"/>
    <col min="15880" max="15880" width="19.44140625" style="117" bestFit="1" customWidth="1"/>
    <col min="15881" max="15881" width="15" style="117" bestFit="1" customWidth="1"/>
    <col min="15882" max="15882" width="12.88671875" style="117" bestFit="1" customWidth="1"/>
    <col min="15883" max="16128" width="9.109375" style="117"/>
    <col min="16129" max="16129" width="21.109375" style="117" bestFit="1" customWidth="1"/>
    <col min="16130" max="16130" width="70" style="117" bestFit="1" customWidth="1"/>
    <col min="16131" max="16131" width="24.5546875" style="117" bestFit="1" customWidth="1"/>
    <col min="16132" max="16135" width="22.44140625" style="117" customWidth="1"/>
    <col min="16136" max="16136" width="19.44140625" style="117" bestFit="1" customWidth="1"/>
    <col min="16137" max="16137" width="15" style="117" bestFit="1" customWidth="1"/>
    <col min="16138" max="16138" width="12.88671875" style="117" bestFit="1" customWidth="1"/>
    <col min="16139" max="16384" width="9.109375" style="117"/>
  </cols>
  <sheetData>
    <row r="1" spans="1:15" ht="12.75" customHeight="1">
      <c r="C1" s="208" t="s">
        <v>518</v>
      </c>
      <c r="D1" s="208" t="s">
        <v>487</v>
      </c>
      <c r="E1" s="208" t="s">
        <v>502</v>
      </c>
      <c r="F1" s="208" t="s">
        <v>506</v>
      </c>
      <c r="G1" s="208" t="s">
        <v>519</v>
      </c>
      <c r="H1" s="160" t="s">
        <v>520</v>
      </c>
    </row>
    <row r="2" spans="1:15" ht="12.75" customHeight="1"/>
    <row r="3" spans="1:15" ht="12.75" customHeight="1">
      <c r="A3" s="118" t="s">
        <v>16</v>
      </c>
    </row>
    <row r="4" spans="1:15" ht="12.75" customHeight="1">
      <c r="A4" s="119">
        <v>1600000</v>
      </c>
      <c r="B4" s="117" t="s">
        <v>22</v>
      </c>
      <c r="C4" s="184">
        <v>125915209.45</v>
      </c>
      <c r="E4" s="198">
        <v>496000</v>
      </c>
      <c r="F4" s="228"/>
      <c r="H4" s="160">
        <f>SUM(C4:G4)</f>
        <v>126411209.45</v>
      </c>
      <c r="I4" s="243"/>
      <c r="L4" s="183">
        <v>230282.95</v>
      </c>
      <c r="M4" s="228">
        <v>198696.68000000005</v>
      </c>
      <c r="N4" s="245">
        <v>289183.25</v>
      </c>
      <c r="O4" s="184">
        <v>291783.90000000002</v>
      </c>
    </row>
    <row r="5" spans="1:15" ht="12.75" customHeight="1">
      <c r="A5" s="119" t="s">
        <v>23</v>
      </c>
      <c r="B5" s="117" t="s">
        <v>24</v>
      </c>
      <c r="C5" s="184">
        <v>-12737846</v>
      </c>
      <c r="D5" s="184">
        <v>-666766</v>
      </c>
      <c r="E5" s="184">
        <v>-679632</v>
      </c>
      <c r="F5" s="184">
        <v>-682456</v>
      </c>
      <c r="G5" s="184">
        <v>-682714</v>
      </c>
      <c r="H5" s="160">
        <f>SUM(C5:G5)</f>
        <v>-15449414</v>
      </c>
      <c r="I5" s="243"/>
    </row>
    <row r="6" spans="1:15" ht="12.75" customHeight="1">
      <c r="A6" s="119" t="s">
        <v>25</v>
      </c>
      <c r="B6" s="117" t="s">
        <v>26</v>
      </c>
      <c r="C6" s="184">
        <v>-2304060</v>
      </c>
      <c r="D6" s="191">
        <v>-144749</v>
      </c>
      <c r="E6" s="191">
        <v>-856186</v>
      </c>
      <c r="F6" s="191">
        <v>-331590</v>
      </c>
      <c r="G6" s="191">
        <v>-276183</v>
      </c>
      <c r="H6" s="160">
        <f>SUM(C6:G6)</f>
        <v>-3912768</v>
      </c>
      <c r="I6" s="243"/>
    </row>
    <row r="7" spans="1:15" ht="12.75" customHeight="1">
      <c r="A7" s="119" t="s">
        <v>427</v>
      </c>
      <c r="B7" s="117" t="s">
        <v>428</v>
      </c>
      <c r="C7" s="184">
        <v>244018</v>
      </c>
      <c r="D7" s="184">
        <v>16814</v>
      </c>
      <c r="E7" s="184">
        <v>102659</v>
      </c>
      <c r="F7" s="184">
        <v>41047</v>
      </c>
      <c r="G7" s="184">
        <v>36141</v>
      </c>
      <c r="H7" s="160">
        <f>SUM(C7:G7)</f>
        <v>440679</v>
      </c>
    </row>
    <row r="8" spans="1:15" ht="12.75" customHeight="1">
      <c r="A8" s="117" t="s">
        <v>351</v>
      </c>
      <c r="C8" s="184">
        <v>0</v>
      </c>
      <c r="H8" s="160">
        <f>SUM(C8:F8)</f>
        <v>0</v>
      </c>
    </row>
    <row r="9" spans="1:15" ht="12.75" customHeight="1">
      <c r="C9" s="184">
        <v>0</v>
      </c>
    </row>
    <row r="10" spans="1:15" ht="12.75" customHeight="1">
      <c r="A10" s="119" t="s">
        <v>35</v>
      </c>
      <c r="B10" s="117" t="s">
        <v>36</v>
      </c>
      <c r="C10" s="184">
        <v>3827876</v>
      </c>
      <c r="D10" s="224">
        <v>161798</v>
      </c>
      <c r="E10" s="231">
        <v>273366.2</v>
      </c>
      <c r="F10" s="239">
        <v>237434</v>
      </c>
      <c r="G10" s="224">
        <v>121126</v>
      </c>
      <c r="H10" s="160">
        <f>SUM(C10:G10)</f>
        <v>4621600.2</v>
      </c>
    </row>
    <row r="11" spans="1:15" ht="12.75" customHeight="1">
      <c r="A11" s="117" t="s">
        <v>352</v>
      </c>
      <c r="C11" s="184">
        <v>0</v>
      </c>
      <c r="H11" s="160">
        <f>SUM(C11:F11)</f>
        <v>0</v>
      </c>
    </row>
    <row r="12" spans="1:15" ht="12.75" customHeight="1">
      <c r="C12" s="184">
        <v>0</v>
      </c>
    </row>
    <row r="13" spans="1:15" ht="12.75" customHeight="1">
      <c r="A13" s="119" t="s">
        <v>41</v>
      </c>
      <c r="B13" s="117" t="s">
        <v>42</v>
      </c>
      <c r="C13" s="184">
        <v>233276</v>
      </c>
      <c r="D13" s="231">
        <v>748299.62</v>
      </c>
      <c r="E13" s="239">
        <v>-866992</v>
      </c>
      <c r="F13" s="239">
        <v>-10254.870000000001</v>
      </c>
      <c r="G13" s="239">
        <v>-9192.36</v>
      </c>
      <c r="H13" s="160">
        <f>SUM(C13:G13)</f>
        <v>95136.39</v>
      </c>
    </row>
    <row r="14" spans="1:15" ht="12.75" customHeight="1">
      <c r="A14" s="119" t="s">
        <v>43</v>
      </c>
      <c r="B14" s="117" t="s">
        <v>44</v>
      </c>
      <c r="C14" s="184">
        <v>-31915</v>
      </c>
      <c r="D14" s="184">
        <v>0</v>
      </c>
      <c r="E14" s="198">
        <v>-59966.86</v>
      </c>
      <c r="F14" s="184">
        <v>0</v>
      </c>
      <c r="G14" s="184">
        <v>0</v>
      </c>
      <c r="H14" s="160">
        <f>SUM(C14:G14)</f>
        <v>-91881.86</v>
      </c>
      <c r="I14" s="117" t="s">
        <v>521</v>
      </c>
    </row>
    <row r="15" spans="1:15" ht="12.75" customHeight="1">
      <c r="A15" s="117" t="s">
        <v>353</v>
      </c>
      <c r="C15" s="184">
        <v>0</v>
      </c>
      <c r="H15" s="160">
        <f>SUM(C15:F15)</f>
        <v>0</v>
      </c>
    </row>
    <row r="16" spans="1:15" ht="12.75" customHeight="1"/>
    <row r="17" spans="1:9" ht="12.75" customHeight="1">
      <c r="A17" s="119">
        <v>2640000</v>
      </c>
      <c r="B17" s="117" t="s">
        <v>48</v>
      </c>
      <c r="C17" s="184">
        <v>-143077</v>
      </c>
      <c r="D17" s="184">
        <v>1407409</v>
      </c>
      <c r="E17" s="198">
        <v>-1860053.43</v>
      </c>
      <c r="F17" s="184">
        <v>542643.28</v>
      </c>
      <c r="G17" s="184">
        <v>1293310.92</v>
      </c>
      <c r="H17" s="160">
        <f>SUM(C17:G17)</f>
        <v>1240232.77</v>
      </c>
      <c r="I17" s="117" t="s">
        <v>521</v>
      </c>
    </row>
    <row r="18" spans="1:9" ht="12.75" customHeight="1">
      <c r="A18" s="117" t="s">
        <v>357</v>
      </c>
      <c r="C18" s="184">
        <v>0</v>
      </c>
      <c r="H18" s="160">
        <f>SUM(C18:F18)</f>
        <v>0</v>
      </c>
    </row>
    <row r="19" spans="1:9" ht="12.75" customHeight="1">
      <c r="C19" s="184">
        <v>0</v>
      </c>
    </row>
    <row r="20" spans="1:9" ht="12.75" customHeight="1">
      <c r="A20" s="119">
        <v>2040200</v>
      </c>
      <c r="B20" s="117" t="s">
        <v>447</v>
      </c>
      <c r="C20" s="184">
        <v>5000</v>
      </c>
      <c r="D20" s="184">
        <v>0</v>
      </c>
      <c r="E20" s="184">
        <v>0</v>
      </c>
      <c r="F20" s="184">
        <v>0</v>
      </c>
      <c r="G20" s="184">
        <v>0</v>
      </c>
      <c r="H20" s="160">
        <f>SUM(C20:G20)</f>
        <v>5000</v>
      </c>
    </row>
    <row r="21" spans="1:9" ht="12.75" customHeight="1">
      <c r="A21" s="119">
        <v>2040500</v>
      </c>
      <c r="B21" s="117" t="s">
        <v>490</v>
      </c>
      <c r="C21" s="184">
        <v>56438</v>
      </c>
      <c r="D21" s="184">
        <v>-28219.3</v>
      </c>
      <c r="E21" s="184">
        <v>-28218.89</v>
      </c>
      <c r="F21" s="198">
        <v>-29220.54</v>
      </c>
      <c r="G21" s="184">
        <v>87661.64</v>
      </c>
      <c r="H21" s="160">
        <f>SUM(C21:G21)</f>
        <v>58440.91</v>
      </c>
      <c r="I21" s="117" t="s">
        <v>522</v>
      </c>
    </row>
    <row r="22" spans="1:9" ht="12.75" customHeight="1">
      <c r="A22" s="119" t="s">
        <v>53</v>
      </c>
      <c r="B22" s="117" t="s">
        <v>54</v>
      </c>
      <c r="C22" s="184">
        <v>0</v>
      </c>
      <c r="D22" s="184">
        <v>0</v>
      </c>
      <c r="E22" s="184">
        <v>1679.29</v>
      </c>
      <c r="F22" s="184">
        <v>-1679</v>
      </c>
      <c r="G22" s="184">
        <v>0</v>
      </c>
      <c r="H22" s="160">
        <f>SUM(C22:G22)</f>
        <v>0.28999999999996362</v>
      </c>
    </row>
    <row r="23" spans="1:9" ht="12.75" customHeight="1">
      <c r="A23" s="119" t="s">
        <v>55</v>
      </c>
      <c r="B23" s="117" t="s">
        <v>56</v>
      </c>
      <c r="C23" s="184">
        <v>-52347.020000000019</v>
      </c>
      <c r="D23" s="231">
        <f>-77180+388207.5</f>
        <v>311027.5</v>
      </c>
      <c r="E23" s="231">
        <v>-258680.49</v>
      </c>
      <c r="F23" s="229">
        <v>302583.67999999999</v>
      </c>
      <c r="G23" s="184">
        <v>-64419.13</v>
      </c>
      <c r="H23" s="160">
        <f>SUM(C23:G23)</f>
        <v>238164.53999999998</v>
      </c>
      <c r="I23" s="117" t="s">
        <v>523</v>
      </c>
    </row>
    <row r="24" spans="1:9" ht="12.75" customHeight="1">
      <c r="A24" s="117" t="s">
        <v>407</v>
      </c>
      <c r="C24" s="184">
        <v>0</v>
      </c>
      <c r="H24" s="160">
        <f>SUM(C24:F24)</f>
        <v>0</v>
      </c>
    </row>
    <row r="25" spans="1:9" ht="12.75" customHeight="1">
      <c r="C25" s="184">
        <v>0</v>
      </c>
    </row>
    <row r="26" spans="1:9" ht="12.75" customHeight="1">
      <c r="A26" s="119" t="s">
        <v>61</v>
      </c>
      <c r="B26" s="117" t="s">
        <v>62</v>
      </c>
      <c r="C26" s="184">
        <v>-4118.5</v>
      </c>
      <c r="D26" s="184">
        <v>-12957.2</v>
      </c>
      <c r="E26" s="184">
        <v>17075.97</v>
      </c>
      <c r="F26" s="184">
        <v>-281</v>
      </c>
      <c r="G26" s="184">
        <v>-1981.76</v>
      </c>
      <c r="H26" s="160">
        <f t="shared" ref="H26:H32" si="0">SUM(C26:G26)</f>
        <v>-2262.4899999999998</v>
      </c>
    </row>
    <row r="27" spans="1:9" ht="12.75" customHeight="1">
      <c r="A27" s="119" t="s">
        <v>65</v>
      </c>
      <c r="B27" s="117" t="s">
        <v>66</v>
      </c>
      <c r="C27" s="184">
        <v>0</v>
      </c>
      <c r="D27" s="224">
        <v>0.91</v>
      </c>
      <c r="E27" s="239">
        <v>-0.38</v>
      </c>
      <c r="F27" s="239">
        <v>-0.37</v>
      </c>
      <c r="G27" s="224">
        <v>0.1</v>
      </c>
      <c r="H27" s="160">
        <f t="shared" si="0"/>
        <v>0.26</v>
      </c>
    </row>
    <row r="28" spans="1:9" ht="12.75" customHeight="1">
      <c r="A28" s="119" t="s">
        <v>67</v>
      </c>
      <c r="B28" s="117" t="s">
        <v>68</v>
      </c>
      <c r="C28" s="184">
        <v>36694</v>
      </c>
      <c r="D28" s="224">
        <v>-18.04</v>
      </c>
      <c r="E28" s="239">
        <v>-18.04</v>
      </c>
      <c r="F28" s="239">
        <v>-18.32</v>
      </c>
      <c r="G28" s="224">
        <v>-18.48</v>
      </c>
      <c r="H28" s="160">
        <f t="shared" si="0"/>
        <v>36621.119999999995</v>
      </c>
    </row>
    <row r="29" spans="1:9" ht="12.75" customHeight="1">
      <c r="A29" s="119" t="s">
        <v>69</v>
      </c>
      <c r="B29" s="117" t="s">
        <v>70</v>
      </c>
      <c r="C29" s="184">
        <v>217165</v>
      </c>
      <c r="D29" s="224">
        <v>-53403.02</v>
      </c>
      <c r="E29" s="239">
        <v>-8084.34</v>
      </c>
      <c r="F29" s="239">
        <v>-10036.049999999999</v>
      </c>
      <c r="G29" s="224">
        <v>-95658.58</v>
      </c>
      <c r="H29" s="160">
        <f t="shared" si="0"/>
        <v>49983.010000000024</v>
      </c>
    </row>
    <row r="30" spans="1:9" ht="12.75" customHeight="1">
      <c r="A30" s="119" t="s">
        <v>71</v>
      </c>
      <c r="B30" s="117" t="s">
        <v>72</v>
      </c>
      <c r="C30" s="184">
        <v>104255</v>
      </c>
      <c r="D30" s="224">
        <v>67284.679999999993</v>
      </c>
      <c r="E30" s="239">
        <v>-89675.55</v>
      </c>
      <c r="F30" s="239">
        <v>-56453.47</v>
      </c>
      <c r="G30" s="224">
        <v>17670.91</v>
      </c>
      <c r="H30" s="160">
        <f t="shared" si="0"/>
        <v>43081.569999999992</v>
      </c>
    </row>
    <row r="31" spans="1:9" ht="12.75" customHeight="1">
      <c r="A31" s="119" t="s">
        <v>73</v>
      </c>
      <c r="B31" s="117" t="s">
        <v>74</v>
      </c>
      <c r="C31" s="184">
        <v>1099115</v>
      </c>
      <c r="D31" s="224">
        <v>-877600.44</v>
      </c>
      <c r="E31" s="239">
        <v>228072.92</v>
      </c>
      <c r="F31" s="239">
        <v>280038.53000000003</v>
      </c>
      <c r="G31" s="224">
        <v>367648.53</v>
      </c>
      <c r="H31" s="160">
        <f t="shared" si="0"/>
        <v>1097274.54</v>
      </c>
    </row>
    <row r="32" spans="1:9" ht="12.75" customHeight="1">
      <c r="A32" s="119" t="s">
        <v>75</v>
      </c>
      <c r="B32" s="117" t="s">
        <v>76</v>
      </c>
      <c r="C32" s="184">
        <v>40833</v>
      </c>
      <c r="D32" s="224">
        <v>32976.39</v>
      </c>
      <c r="E32" s="239">
        <v>-48621.34</v>
      </c>
      <c r="F32" s="239">
        <v>84669.55</v>
      </c>
      <c r="G32" s="224">
        <v>-105672.08</v>
      </c>
      <c r="H32" s="160">
        <f t="shared" si="0"/>
        <v>4185.5200000000041</v>
      </c>
    </row>
    <row r="33" spans="1:10" ht="12.75" customHeight="1">
      <c r="A33" s="117" t="s">
        <v>358</v>
      </c>
      <c r="C33" s="184">
        <v>0</v>
      </c>
      <c r="H33" s="160">
        <f>SUM(C33:F33)</f>
        <v>0</v>
      </c>
    </row>
    <row r="34" spans="1:10" ht="12.75" customHeight="1">
      <c r="C34" s="184">
        <v>0</v>
      </c>
    </row>
    <row r="35" spans="1:10" ht="12.75" customHeight="1">
      <c r="A35" s="119">
        <v>1000002</v>
      </c>
      <c r="B35" s="117" t="s">
        <v>429</v>
      </c>
      <c r="C35" s="184">
        <v>-1</v>
      </c>
      <c r="D35" s="184">
        <v>0</v>
      </c>
      <c r="E35" s="184">
        <v>0</v>
      </c>
      <c r="F35" s="184">
        <v>0</v>
      </c>
      <c r="G35" s="184">
        <v>0</v>
      </c>
      <c r="H35" s="160">
        <f>SUM(C35:G35)</f>
        <v>-1</v>
      </c>
    </row>
    <row r="36" spans="1:10" ht="12.75" customHeight="1">
      <c r="A36" s="119">
        <v>1100000</v>
      </c>
      <c r="B36" s="117" t="s">
        <v>430</v>
      </c>
      <c r="C36" s="184">
        <v>-19031219</v>
      </c>
      <c r="D36" s="184">
        <v>0</v>
      </c>
      <c r="E36" s="198">
        <v>100000</v>
      </c>
      <c r="F36" s="184">
        <v>0</v>
      </c>
      <c r="G36" s="184">
        <v>0</v>
      </c>
      <c r="H36" s="160">
        <f>SUM(C36:G36)</f>
        <v>-18931219</v>
      </c>
      <c r="I36" s="117" t="s">
        <v>521</v>
      </c>
    </row>
    <row r="37" spans="1:10" ht="12.75" customHeight="1">
      <c r="A37" s="119">
        <v>1160000</v>
      </c>
      <c r="B37" s="117" t="s">
        <v>94</v>
      </c>
      <c r="C37" s="184">
        <v>7620034.0700000003</v>
      </c>
      <c r="D37" s="184">
        <v>0</v>
      </c>
      <c r="E37" s="184">
        <v>0</v>
      </c>
      <c r="F37" s="184">
        <v>0</v>
      </c>
      <c r="G37" s="184">
        <v>0</v>
      </c>
      <c r="H37" s="160">
        <f>SUM(C37:G37)</f>
        <v>7620034.0700000003</v>
      </c>
      <c r="I37" s="243"/>
      <c r="J37" s="243"/>
    </row>
    <row r="38" spans="1:10" ht="12.75" customHeight="1">
      <c r="A38" s="119" t="s">
        <v>95</v>
      </c>
      <c r="B38" s="117" t="s">
        <v>96</v>
      </c>
      <c r="C38" s="184">
        <v>2000000</v>
      </c>
      <c r="D38" s="184">
        <v>0</v>
      </c>
      <c r="E38" s="198">
        <v>1000000</v>
      </c>
      <c r="F38" s="184">
        <v>0</v>
      </c>
      <c r="G38" s="184">
        <v>0</v>
      </c>
      <c r="H38" s="160">
        <f>SUM(C38:G38)</f>
        <v>3000000</v>
      </c>
      <c r="I38" s="117" t="s">
        <v>521</v>
      </c>
    </row>
    <row r="39" spans="1:10" ht="12.75" customHeight="1">
      <c r="A39" s="117" t="s">
        <v>359</v>
      </c>
      <c r="C39" s="184">
        <v>0</v>
      </c>
      <c r="H39" s="160">
        <f>SUM(C39:F39)</f>
        <v>0</v>
      </c>
    </row>
    <row r="40" spans="1:10" ht="12.75" customHeight="1">
      <c r="C40" s="184">
        <v>0</v>
      </c>
    </row>
    <row r="41" spans="1:10" ht="12.75" customHeight="1">
      <c r="A41" s="119">
        <v>1930001</v>
      </c>
      <c r="B41" s="117" t="s">
        <v>104</v>
      </c>
      <c r="C41" s="184">
        <v>-130000000</v>
      </c>
      <c r="D41" s="184">
        <v>0</v>
      </c>
      <c r="E41" s="184">
        <v>0</v>
      </c>
      <c r="G41" s="184">
        <v>0</v>
      </c>
      <c r="H41" s="160">
        <f>SUM(C41:G41)</f>
        <v>-130000000</v>
      </c>
    </row>
    <row r="42" spans="1:10" ht="12.75" customHeight="1">
      <c r="A42" s="119" t="s">
        <v>107</v>
      </c>
      <c r="B42" s="117" t="s">
        <v>108</v>
      </c>
      <c r="C42" s="184">
        <v>23959649</v>
      </c>
      <c r="D42" s="224">
        <v>889295.98</v>
      </c>
      <c r="E42" s="239">
        <v>1579956.98</v>
      </c>
      <c r="F42" s="239">
        <v>979503.98</v>
      </c>
      <c r="G42" s="224">
        <v>948219.98</v>
      </c>
      <c r="H42" s="160">
        <f>SUM(C42:G42)</f>
        <v>28356625.920000002</v>
      </c>
    </row>
    <row r="43" spans="1:10" ht="12.75" customHeight="1">
      <c r="A43" s="117" t="s">
        <v>362</v>
      </c>
      <c r="C43" s="184">
        <v>0</v>
      </c>
      <c r="H43" s="160">
        <f>SUM(C43:F43)</f>
        <v>0</v>
      </c>
    </row>
    <row r="44" spans="1:10" ht="12.75" customHeight="1">
      <c r="C44" s="184">
        <v>0</v>
      </c>
    </row>
    <row r="45" spans="1:10" ht="12.75" customHeight="1">
      <c r="A45" s="119" t="s">
        <v>121</v>
      </c>
      <c r="B45" s="117" t="s">
        <v>122</v>
      </c>
      <c r="C45" s="184">
        <v>-18786</v>
      </c>
      <c r="D45" s="208">
        <v>6778.95</v>
      </c>
      <c r="E45" s="184">
        <v>-530169.94999999995</v>
      </c>
      <c r="F45" s="208">
        <v>-26012.240000000002</v>
      </c>
      <c r="G45" s="208">
        <v>394615.53</v>
      </c>
      <c r="H45" s="160">
        <f>SUM(C45:G45)</f>
        <v>-173573.70999999996</v>
      </c>
    </row>
    <row r="46" spans="1:10" ht="12.75" customHeight="1">
      <c r="A46" s="119" t="s">
        <v>123</v>
      </c>
      <c r="B46" s="117" t="s">
        <v>124</v>
      </c>
      <c r="C46" s="184">
        <v>0</v>
      </c>
      <c r="D46" s="184">
        <v>0</v>
      </c>
      <c r="E46" s="184">
        <v>0</v>
      </c>
      <c r="F46" s="184">
        <v>-12100</v>
      </c>
      <c r="G46" s="184">
        <v>0</v>
      </c>
      <c r="H46" s="160">
        <f>SUM(C46:G46)</f>
        <v>-12100</v>
      </c>
    </row>
    <row r="47" spans="1:10" ht="12.75" customHeight="1">
      <c r="A47" s="117" t="s">
        <v>363</v>
      </c>
      <c r="C47" s="184">
        <v>0</v>
      </c>
      <c r="H47" s="160">
        <f>SUM(C47:F47)</f>
        <v>0</v>
      </c>
    </row>
    <row r="48" spans="1:10" ht="12.75" customHeight="1">
      <c r="C48" s="184">
        <v>0</v>
      </c>
    </row>
    <row r="49" spans="1:9" ht="12.75" customHeight="1">
      <c r="A49" s="119" t="s">
        <v>129</v>
      </c>
      <c r="B49" s="117" t="s">
        <v>130</v>
      </c>
      <c r="C49" s="184">
        <v>-3898</v>
      </c>
      <c r="D49" s="184">
        <f>-828.56+460</f>
        <v>-368.55999999999995</v>
      </c>
      <c r="E49" s="184">
        <v>-858.91</v>
      </c>
      <c r="F49" s="184">
        <v>525.91</v>
      </c>
      <c r="G49" s="184">
        <v>101.01</v>
      </c>
      <c r="H49" s="160">
        <f>SUM(C49:G49)</f>
        <v>-4498.5499999999993</v>
      </c>
    </row>
    <row r="50" spans="1:9" ht="12.75" customHeight="1">
      <c r="A50" s="119" t="s">
        <v>133</v>
      </c>
      <c r="B50" s="117" t="s">
        <v>134</v>
      </c>
      <c r="C50" s="184">
        <v>0</v>
      </c>
      <c r="D50" s="184">
        <v>0</v>
      </c>
      <c r="E50" s="184">
        <v>0</v>
      </c>
      <c r="F50" s="184">
        <v>0</v>
      </c>
      <c r="G50" s="184">
        <v>0</v>
      </c>
      <c r="H50" s="160">
        <f>SUM(C50:G50)</f>
        <v>0</v>
      </c>
    </row>
    <row r="51" spans="1:9" ht="12.75" customHeight="1">
      <c r="A51" s="119" t="s">
        <v>137</v>
      </c>
      <c r="B51" s="117" t="s">
        <v>138</v>
      </c>
      <c r="C51" s="184">
        <v>0</v>
      </c>
      <c r="D51" s="184">
        <v>0</v>
      </c>
      <c r="E51" s="184">
        <v>0</v>
      </c>
      <c r="F51" s="184">
        <v>0</v>
      </c>
      <c r="G51" s="184">
        <v>0</v>
      </c>
      <c r="H51" s="160">
        <f>SUM(C51:G51)</f>
        <v>0</v>
      </c>
    </row>
    <row r="52" spans="1:9" ht="12.75" customHeight="1">
      <c r="A52" s="117" t="s">
        <v>366</v>
      </c>
      <c r="C52" s="184">
        <v>0</v>
      </c>
      <c r="H52" s="160">
        <f>SUM(C52:F52)</f>
        <v>0</v>
      </c>
    </row>
    <row r="53" spans="1:9" ht="12.75" customHeight="1">
      <c r="C53" s="184">
        <v>0</v>
      </c>
    </row>
    <row r="54" spans="1:9" ht="12.75" customHeight="1">
      <c r="A54" s="119">
        <v>2740100</v>
      </c>
      <c r="B54" s="117" t="s">
        <v>492</v>
      </c>
      <c r="C54" s="184">
        <v>0</v>
      </c>
      <c r="D54" s="184">
        <v>-990959.87</v>
      </c>
      <c r="E54" s="184">
        <v>837333.62</v>
      </c>
      <c r="F54" s="184">
        <v>42167.89</v>
      </c>
      <c r="G54" s="184">
        <v>-796644.01</v>
      </c>
      <c r="H54" s="160">
        <f t="shared" ref="H54:H66" si="1">SUM(C54:G54)</f>
        <v>-908102.37</v>
      </c>
    </row>
    <row r="55" spans="1:9" ht="12.75" customHeight="1">
      <c r="A55" s="119" t="s">
        <v>141</v>
      </c>
      <c r="B55" s="117" t="s">
        <v>142</v>
      </c>
      <c r="C55" s="184">
        <v>-763201</v>
      </c>
      <c r="D55" s="184">
        <v>-43086.2</v>
      </c>
      <c r="E55" s="184">
        <v>-158.33000000000001</v>
      </c>
      <c r="F55" s="184">
        <v>-10419.51</v>
      </c>
      <c r="G55" s="184">
        <v>-23268.06</v>
      </c>
      <c r="H55" s="160">
        <f t="shared" si="1"/>
        <v>-840133.1</v>
      </c>
    </row>
    <row r="56" spans="1:9" ht="12.75" customHeight="1">
      <c r="A56" s="119">
        <v>2740500</v>
      </c>
      <c r="B56" s="117" t="s">
        <v>144</v>
      </c>
      <c r="C56" s="184">
        <v>-22500</v>
      </c>
      <c r="D56" s="184">
        <v>0</v>
      </c>
      <c r="E56" s="184">
        <v>0</v>
      </c>
      <c r="F56" s="184">
        <v>0</v>
      </c>
      <c r="G56" s="184">
        <v>0</v>
      </c>
      <c r="H56" s="160">
        <f t="shared" si="1"/>
        <v>-22500</v>
      </c>
    </row>
    <row r="57" spans="1:9" ht="12.75" customHeight="1">
      <c r="A57" s="119" t="s">
        <v>145</v>
      </c>
      <c r="B57" s="117" t="s">
        <v>146</v>
      </c>
      <c r="C57" s="184">
        <v>0</v>
      </c>
      <c r="D57" s="184">
        <v>0</v>
      </c>
      <c r="E57" s="184">
        <v>0</v>
      </c>
      <c r="F57" s="184">
        <v>0</v>
      </c>
      <c r="G57" s="184">
        <v>0</v>
      </c>
      <c r="H57" s="160">
        <f t="shared" si="1"/>
        <v>0</v>
      </c>
      <c r="I57" s="184"/>
    </row>
    <row r="58" spans="1:9" ht="12.75" customHeight="1">
      <c r="A58" s="119" t="s">
        <v>367</v>
      </c>
      <c r="B58" s="117" t="s">
        <v>368</v>
      </c>
      <c r="C58" s="184">
        <v>0</v>
      </c>
      <c r="D58" s="184">
        <v>0</v>
      </c>
      <c r="E58" s="184">
        <v>0</v>
      </c>
      <c r="F58" s="184">
        <v>0</v>
      </c>
      <c r="G58" s="184">
        <v>0</v>
      </c>
      <c r="H58" s="160">
        <f t="shared" si="1"/>
        <v>0</v>
      </c>
    </row>
    <row r="59" spans="1:9" ht="12.75" customHeight="1">
      <c r="A59" s="119" t="s">
        <v>147</v>
      </c>
      <c r="B59" s="117" t="s">
        <v>148</v>
      </c>
      <c r="C59" s="184">
        <v>0</v>
      </c>
      <c r="D59" s="184">
        <v>0</v>
      </c>
      <c r="E59" s="184">
        <v>-13460</v>
      </c>
      <c r="F59" s="184">
        <v>13460</v>
      </c>
      <c r="G59" s="184">
        <v>0</v>
      </c>
      <c r="H59" s="160">
        <f t="shared" si="1"/>
        <v>0</v>
      </c>
      <c r="I59" s="243"/>
    </row>
    <row r="60" spans="1:9" ht="12.75" customHeight="1">
      <c r="A60" s="119" t="s">
        <v>149</v>
      </c>
      <c r="B60" s="117" t="s">
        <v>150</v>
      </c>
      <c r="C60" s="184">
        <v>0</v>
      </c>
      <c r="D60" s="184">
        <v>0</v>
      </c>
      <c r="E60" s="184">
        <v>-1149.1300000000001</v>
      </c>
      <c r="F60" s="184">
        <v>1149</v>
      </c>
      <c r="G60" s="184">
        <v>0</v>
      </c>
      <c r="H60" s="160">
        <f t="shared" si="1"/>
        <v>-0.13000000000010914</v>
      </c>
    </row>
    <row r="61" spans="1:9" ht="12.75" customHeight="1">
      <c r="A61" s="119" t="s">
        <v>151</v>
      </c>
      <c r="B61" s="117" t="s">
        <v>152</v>
      </c>
      <c r="C61" s="184">
        <v>0</v>
      </c>
      <c r="D61" s="184">
        <v>0</v>
      </c>
      <c r="E61" s="184">
        <v>-392.3</v>
      </c>
      <c r="F61" s="184">
        <v>392</v>
      </c>
      <c r="G61" s="184">
        <v>0</v>
      </c>
      <c r="H61" s="160">
        <f t="shared" si="1"/>
        <v>-0.30000000000001137</v>
      </c>
    </row>
    <row r="62" spans="1:9" ht="12.75" customHeight="1">
      <c r="A62" s="119" t="s">
        <v>155</v>
      </c>
      <c r="B62" s="117" t="s">
        <v>156</v>
      </c>
      <c r="C62" s="184">
        <v>-246594</v>
      </c>
      <c r="D62" s="184">
        <v>121338.8</v>
      </c>
      <c r="E62" s="184">
        <v>84505.55</v>
      </c>
      <c r="F62" s="184">
        <v>-40947</v>
      </c>
      <c r="G62" s="184">
        <v>-123710.23</v>
      </c>
      <c r="H62" s="160">
        <f t="shared" si="1"/>
        <v>-205406.88</v>
      </c>
    </row>
    <row r="63" spans="1:9" ht="12.75" customHeight="1">
      <c r="A63" s="119" t="s">
        <v>157</v>
      </c>
      <c r="B63" s="117" t="s">
        <v>158</v>
      </c>
      <c r="C63" s="184">
        <v>0</v>
      </c>
      <c r="D63" s="184">
        <v>0</v>
      </c>
      <c r="E63" s="184">
        <v>0</v>
      </c>
      <c r="F63" s="184">
        <v>0</v>
      </c>
      <c r="G63" s="184">
        <v>0</v>
      </c>
      <c r="H63" s="160">
        <f t="shared" si="1"/>
        <v>0</v>
      </c>
    </row>
    <row r="64" spans="1:9" ht="12.75" customHeight="1">
      <c r="A64" s="119" t="s">
        <v>159</v>
      </c>
      <c r="B64" s="117" t="s">
        <v>494</v>
      </c>
      <c r="C64" s="184">
        <v>0</v>
      </c>
      <c r="D64" s="184">
        <v>20000</v>
      </c>
      <c r="E64" s="184">
        <v>0</v>
      </c>
      <c r="F64" s="184">
        <v>0</v>
      </c>
      <c r="G64" s="184">
        <v>-20000</v>
      </c>
      <c r="H64" s="160">
        <f t="shared" si="1"/>
        <v>0</v>
      </c>
    </row>
    <row r="65" spans="1:8" ht="12.75" customHeight="1">
      <c r="A65" s="119" t="s">
        <v>161</v>
      </c>
      <c r="B65" s="117" t="s">
        <v>162</v>
      </c>
      <c r="C65" s="184">
        <v>0</v>
      </c>
      <c r="D65" s="184">
        <v>0</v>
      </c>
      <c r="E65" s="184">
        <v>0</v>
      </c>
      <c r="F65" s="184">
        <v>0</v>
      </c>
      <c r="G65" s="184">
        <v>0</v>
      </c>
      <c r="H65" s="160">
        <f t="shared" si="1"/>
        <v>0</v>
      </c>
    </row>
    <row r="66" spans="1:8" ht="12.75" customHeight="1">
      <c r="A66" s="119" t="s">
        <v>163</v>
      </c>
      <c r="B66" s="117" t="s">
        <v>164</v>
      </c>
      <c r="C66" s="184">
        <v>0</v>
      </c>
      <c r="D66" s="184">
        <v>0</v>
      </c>
      <c r="E66" s="184">
        <v>0</v>
      </c>
      <c r="F66" s="184">
        <v>0</v>
      </c>
      <c r="G66" s="184">
        <v>0</v>
      </c>
      <c r="H66" s="160">
        <f t="shared" si="1"/>
        <v>0</v>
      </c>
    </row>
    <row r="67" spans="1:8" ht="12.75" customHeight="1">
      <c r="A67" s="117" t="s">
        <v>369</v>
      </c>
    </row>
    <row r="68" spans="1:8" ht="12.75" customHeight="1"/>
    <row r="69" spans="1:8" ht="12.75" customHeight="1"/>
    <row r="70" spans="1:8" ht="12.75" customHeight="1"/>
    <row r="71" spans="1:8" ht="12.75" customHeight="1">
      <c r="A71" s="118" t="s">
        <v>370</v>
      </c>
    </row>
    <row r="72" spans="1:8" ht="12.75" customHeight="1">
      <c r="A72" s="119" t="s">
        <v>174</v>
      </c>
      <c r="B72" s="117" t="s">
        <v>175</v>
      </c>
      <c r="D72" s="184">
        <v>-2860507</v>
      </c>
      <c r="E72" s="184">
        <v>-2862440.42</v>
      </c>
      <c r="F72" s="184">
        <v>-2870089</v>
      </c>
      <c r="G72" s="184">
        <v>-2871329.16</v>
      </c>
      <c r="H72" s="160">
        <f>SUM(C72:G72)</f>
        <v>-11464365.58</v>
      </c>
    </row>
    <row r="73" spans="1:8" ht="12.75" customHeight="1">
      <c r="A73" s="119" t="s">
        <v>176</v>
      </c>
      <c r="B73" s="117" t="s">
        <v>177</v>
      </c>
      <c r="D73" s="184">
        <v>59646.21</v>
      </c>
      <c r="E73" s="184">
        <v>38520.400000000001</v>
      </c>
      <c r="F73" s="184">
        <v>32888</v>
      </c>
      <c r="G73" s="184">
        <v>39968.65</v>
      </c>
      <c r="H73" s="160">
        <f t="shared" ref="H73:H131" si="2">SUM(C73:G73)</f>
        <v>171023.26</v>
      </c>
    </row>
    <row r="74" spans="1:8" ht="12.75" customHeight="1">
      <c r="A74" s="117" t="s">
        <v>381</v>
      </c>
      <c r="D74" s="184">
        <f>SUM(D72:D73)</f>
        <v>-2800860.79</v>
      </c>
      <c r="E74" s="184">
        <f>SUM(E72:E73)</f>
        <v>-2823920.02</v>
      </c>
      <c r="F74" s="184">
        <f>SUM(F72:F73)</f>
        <v>-2837201</v>
      </c>
      <c r="G74" s="184">
        <f>SUM(G72:G73)</f>
        <v>-2831360.5100000002</v>
      </c>
      <c r="H74" s="160">
        <f t="shared" si="2"/>
        <v>-11293342.32</v>
      </c>
    </row>
    <row r="75" spans="1:8" ht="12.75" customHeight="1"/>
    <row r="76" spans="1:8" ht="12.75" customHeight="1">
      <c r="A76" s="119">
        <v>8400400</v>
      </c>
      <c r="B76" s="117" t="s">
        <v>515</v>
      </c>
      <c r="D76" s="184">
        <v>0</v>
      </c>
      <c r="E76" s="184">
        <v>13460</v>
      </c>
      <c r="F76" s="184">
        <v>-13460</v>
      </c>
      <c r="G76" s="184">
        <v>0</v>
      </c>
      <c r="H76" s="160">
        <f t="shared" si="2"/>
        <v>0</v>
      </c>
    </row>
    <row r="77" spans="1:8" ht="12.75" customHeight="1">
      <c r="A77" s="119" t="s">
        <v>182</v>
      </c>
      <c r="B77" s="117" t="s">
        <v>183</v>
      </c>
      <c r="D77" s="184">
        <v>-163178</v>
      </c>
      <c r="E77" s="184">
        <v>-165060.65</v>
      </c>
      <c r="F77" s="184">
        <v>-164313</v>
      </c>
      <c r="G77" s="184">
        <v>-164598.62</v>
      </c>
      <c r="H77" s="160">
        <f t="shared" si="2"/>
        <v>-657150.27</v>
      </c>
    </row>
    <row r="78" spans="1:8" ht="12.75" customHeight="1">
      <c r="A78" s="119" t="s">
        <v>184</v>
      </c>
      <c r="B78" s="117" t="s">
        <v>185</v>
      </c>
      <c r="D78" s="184">
        <v>6288.75</v>
      </c>
      <c r="E78" s="184">
        <v>5967.41</v>
      </c>
      <c r="F78" s="184">
        <v>1453</v>
      </c>
      <c r="G78" s="184">
        <v>6011.91</v>
      </c>
      <c r="H78" s="160">
        <f t="shared" si="2"/>
        <v>19721.07</v>
      </c>
    </row>
    <row r="79" spans="1:8" ht="12.75" customHeight="1">
      <c r="A79" s="119" t="s">
        <v>186</v>
      </c>
      <c r="B79" s="117" t="s">
        <v>187</v>
      </c>
      <c r="D79" s="184">
        <v>161869.1</v>
      </c>
      <c r="E79" s="184">
        <v>191429.47</v>
      </c>
      <c r="F79" s="184">
        <v>271928</v>
      </c>
      <c r="G79" s="184">
        <v>195259.97</v>
      </c>
      <c r="H79" s="160">
        <f t="shared" si="2"/>
        <v>820486.54</v>
      </c>
    </row>
    <row r="80" spans="1:8" ht="12.75" customHeight="1">
      <c r="A80" s="117" t="s">
        <v>382</v>
      </c>
      <c r="D80" s="184">
        <f>SUM(D77:D79)</f>
        <v>4979.8500000000058</v>
      </c>
      <c r="E80" s="184">
        <f>SUM(E76:E79)</f>
        <v>45796.23000000001</v>
      </c>
      <c r="F80" s="184">
        <f>SUM(F76:F79)</f>
        <v>95608</v>
      </c>
      <c r="G80" s="184">
        <f>SUM(G76:G79)</f>
        <v>36673.260000000009</v>
      </c>
      <c r="H80" s="160">
        <f t="shared" si="2"/>
        <v>183057.34000000003</v>
      </c>
    </row>
    <row r="81" spans="1:9" ht="12.75" customHeight="1"/>
    <row r="82" spans="1:9" ht="12.75" customHeight="1">
      <c r="A82" s="119" t="s">
        <v>198</v>
      </c>
      <c r="B82" s="117" t="s">
        <v>199</v>
      </c>
      <c r="D82" s="184">
        <v>121881.5</v>
      </c>
      <c r="E82" s="184">
        <v>121294.6</v>
      </c>
      <c r="F82" s="184">
        <v>121679.67999999999</v>
      </c>
      <c r="G82" s="184">
        <v>121956.77</v>
      </c>
      <c r="H82" s="160">
        <f t="shared" si="2"/>
        <v>486812.55000000005</v>
      </c>
    </row>
    <row r="83" spans="1:9" ht="12.75" customHeight="1">
      <c r="A83" s="117" t="s">
        <v>408</v>
      </c>
      <c r="D83" s="184">
        <f>SUM(D82)</f>
        <v>121881.5</v>
      </c>
      <c r="E83" s="184">
        <f>SUM(E82)</f>
        <v>121294.6</v>
      </c>
      <c r="F83" s="184">
        <f>SUM(F82)</f>
        <v>121679.67999999999</v>
      </c>
      <c r="G83" s="184">
        <f>SUM(G82)</f>
        <v>121956.77</v>
      </c>
      <c r="H83" s="160">
        <f t="shared" si="2"/>
        <v>486812.55000000005</v>
      </c>
    </row>
    <row r="84" spans="1:9" ht="12.75" customHeight="1"/>
    <row r="85" spans="1:9" ht="12.75" customHeight="1">
      <c r="A85" s="119" t="s">
        <v>204</v>
      </c>
      <c r="B85" s="117" t="s">
        <v>205</v>
      </c>
      <c r="D85" s="184">
        <v>666766</v>
      </c>
      <c r="E85" s="184">
        <v>679632</v>
      </c>
      <c r="F85" s="184">
        <v>682456</v>
      </c>
      <c r="G85" s="184">
        <v>682714</v>
      </c>
      <c r="H85" s="160">
        <f t="shared" si="2"/>
        <v>2711568</v>
      </c>
    </row>
    <row r="86" spans="1:9" ht="12.75" customHeight="1">
      <c r="A86" s="119" t="s">
        <v>206</v>
      </c>
      <c r="B86" s="117" t="s">
        <v>207</v>
      </c>
      <c r="D86" s="184">
        <v>-222065</v>
      </c>
      <c r="E86" s="184">
        <v>-1362473</v>
      </c>
      <c r="F86" s="184">
        <v>-490457</v>
      </c>
      <c r="G86" s="184">
        <v>-423958</v>
      </c>
      <c r="H86" s="160">
        <f t="shared" si="2"/>
        <v>-2498953</v>
      </c>
    </row>
    <row r="87" spans="1:9" ht="12.75" customHeight="1">
      <c r="A87" s="117" t="s">
        <v>384</v>
      </c>
      <c r="D87" s="184">
        <f>SUM(D85:D86)</f>
        <v>444701</v>
      </c>
      <c r="E87" s="184">
        <f>SUM(E85:E86)</f>
        <v>-682841</v>
      </c>
      <c r="F87" s="184">
        <f>SUM(F85:F86)</f>
        <v>191999</v>
      </c>
      <c r="G87" s="184">
        <f>SUM(G85:G86)</f>
        <v>258756</v>
      </c>
      <c r="H87" s="160">
        <f t="shared" si="2"/>
        <v>212615</v>
      </c>
    </row>
    <row r="88" spans="1:9" ht="12.75" customHeight="1"/>
    <row r="89" spans="1:9" ht="12.75" customHeight="1">
      <c r="A89" s="119">
        <v>4100400</v>
      </c>
      <c r="B89" s="117" t="s">
        <v>211</v>
      </c>
      <c r="D89" s="184">
        <f>134619.1+L4</f>
        <v>364902.05000000005</v>
      </c>
      <c r="E89" s="184">
        <f>510329.85+M4</f>
        <v>709026.53</v>
      </c>
      <c r="F89" s="184">
        <f>178607+N4</f>
        <v>467790.25</v>
      </c>
      <c r="G89" s="184">
        <f>230456.52+O4</f>
        <v>522240.42000000004</v>
      </c>
      <c r="H89" s="160">
        <f t="shared" si="2"/>
        <v>2063959.25</v>
      </c>
    </row>
    <row r="90" spans="1:9" ht="12.75" customHeight="1">
      <c r="A90" s="119" t="s">
        <v>212</v>
      </c>
      <c r="B90" s="117" t="s">
        <v>213</v>
      </c>
      <c r="D90" s="184">
        <v>129402.5</v>
      </c>
      <c r="E90" s="184">
        <v>129402.49</v>
      </c>
      <c r="F90" s="198">
        <v>31818.720000000001</v>
      </c>
      <c r="G90" s="184">
        <v>31818.720000000001</v>
      </c>
      <c r="H90" s="160">
        <f t="shared" si="2"/>
        <v>322442.42999999993</v>
      </c>
      <c r="I90" s="117" t="s">
        <v>523</v>
      </c>
    </row>
    <row r="91" spans="1:9" ht="12.75" customHeight="1">
      <c r="A91" s="119" t="s">
        <v>214</v>
      </c>
      <c r="B91" s="117" t="s">
        <v>215</v>
      </c>
      <c r="D91" s="184">
        <v>84680.21</v>
      </c>
      <c r="E91" s="184">
        <v>82972.460000000006</v>
      </c>
      <c r="F91" s="184">
        <v>54979.46</v>
      </c>
      <c r="G91" s="184">
        <v>61017.04</v>
      </c>
      <c r="H91" s="160">
        <f t="shared" si="2"/>
        <v>283649.17</v>
      </c>
    </row>
    <row r="92" spans="1:9" ht="12.75" customHeight="1">
      <c r="A92" s="119" t="s">
        <v>216</v>
      </c>
      <c r="B92" s="117" t="s">
        <v>217</v>
      </c>
      <c r="D92" s="184">
        <v>107779.2</v>
      </c>
      <c r="E92" s="184">
        <v>221370.06</v>
      </c>
      <c r="F92" s="184">
        <v>167096</v>
      </c>
      <c r="G92" s="184">
        <v>146899.4</v>
      </c>
      <c r="H92" s="160">
        <f t="shared" si="2"/>
        <v>643144.66</v>
      </c>
    </row>
    <row r="93" spans="1:9" ht="12.75" customHeight="1">
      <c r="A93" s="119" t="s">
        <v>218</v>
      </c>
      <c r="B93" s="117" t="s">
        <v>219</v>
      </c>
      <c r="D93" s="184">
        <v>31288.14</v>
      </c>
      <c r="E93" s="184">
        <v>31086.75</v>
      </c>
      <c r="F93" s="184">
        <v>17584.71</v>
      </c>
      <c r="G93" s="184">
        <v>22504.3</v>
      </c>
      <c r="H93" s="160">
        <f t="shared" si="2"/>
        <v>102463.90000000001</v>
      </c>
    </row>
    <row r="94" spans="1:9" ht="12.75" customHeight="1">
      <c r="A94" s="119" t="s">
        <v>220</v>
      </c>
      <c r="B94" s="117" t="s">
        <v>221</v>
      </c>
      <c r="D94" s="184">
        <f>42842+9256-37236</f>
        <v>14862</v>
      </c>
      <c r="E94" s="184">
        <v>16030.14</v>
      </c>
      <c r="F94" s="198">
        <v>14743.33</v>
      </c>
      <c r="G94" s="184">
        <v>24087.56</v>
      </c>
      <c r="H94" s="160">
        <f t="shared" si="2"/>
        <v>69723.03</v>
      </c>
      <c r="I94" s="117" t="s">
        <v>523</v>
      </c>
    </row>
    <row r="95" spans="1:9" ht="12.75" customHeight="1">
      <c r="A95" s="119" t="s">
        <v>385</v>
      </c>
      <c r="B95" s="117" t="s">
        <v>386</v>
      </c>
      <c r="D95" s="184">
        <v>0</v>
      </c>
      <c r="E95" s="184">
        <v>-22.71</v>
      </c>
      <c r="G95" s="184">
        <v>0</v>
      </c>
      <c r="H95" s="160">
        <f t="shared" si="2"/>
        <v>-22.71</v>
      </c>
    </row>
    <row r="96" spans="1:9" ht="12.75" customHeight="1">
      <c r="A96" s="119" t="s">
        <v>431</v>
      </c>
      <c r="B96" s="117" t="s">
        <v>412</v>
      </c>
      <c r="D96" s="184">
        <v>0</v>
      </c>
      <c r="E96" s="184">
        <v>0</v>
      </c>
      <c r="G96" s="184">
        <v>0</v>
      </c>
      <c r="H96" s="160">
        <f t="shared" si="2"/>
        <v>0</v>
      </c>
    </row>
    <row r="97" spans="1:9" ht="12.75" customHeight="1">
      <c r="A97" s="117" t="s">
        <v>387</v>
      </c>
      <c r="D97" s="184">
        <f>SUM(D89:D96)</f>
        <v>732914.1</v>
      </c>
      <c r="E97" s="184">
        <f>SUM(E89:E96)</f>
        <v>1189865.72</v>
      </c>
      <c r="F97" s="184">
        <f>SUM(F89:F96)</f>
        <v>754012.46999999986</v>
      </c>
      <c r="G97" s="184">
        <f>SUM(G89:G96)</f>
        <v>808567.44000000018</v>
      </c>
      <c r="H97" s="160">
        <f t="shared" si="2"/>
        <v>3485359.7299999995</v>
      </c>
    </row>
    <row r="98" spans="1:9" ht="12.75" customHeight="1"/>
    <row r="99" spans="1:9" ht="12.75" customHeight="1">
      <c r="A99" s="119" t="s">
        <v>432</v>
      </c>
      <c r="B99" s="117" t="s">
        <v>433</v>
      </c>
      <c r="D99" s="184">
        <v>0</v>
      </c>
      <c r="E99" s="184">
        <v>0</v>
      </c>
      <c r="H99" s="160">
        <f t="shared" si="2"/>
        <v>0</v>
      </c>
    </row>
    <row r="100" spans="1:9" ht="12.75" customHeight="1">
      <c r="A100" s="119" t="s">
        <v>434</v>
      </c>
      <c r="B100" s="117" t="s">
        <v>413</v>
      </c>
      <c r="D100" s="184">
        <v>0</v>
      </c>
      <c r="E100" s="184">
        <v>59966.86</v>
      </c>
      <c r="H100" s="160">
        <f t="shared" si="2"/>
        <v>59966.86</v>
      </c>
    </row>
    <row r="101" spans="1:9" ht="12.75" customHeight="1">
      <c r="A101" s="119" t="s">
        <v>226</v>
      </c>
      <c r="B101" s="117" t="s">
        <v>227</v>
      </c>
      <c r="D101" s="184">
        <v>461</v>
      </c>
      <c r="E101" s="184">
        <v>238.16</v>
      </c>
      <c r="F101" s="184">
        <v>-3681</v>
      </c>
      <c r="G101" s="184">
        <v>1678.58</v>
      </c>
      <c r="H101" s="160">
        <f t="shared" si="2"/>
        <v>-1303.2600000000002</v>
      </c>
    </row>
    <row r="102" spans="1:9" ht="12.75" customHeight="1">
      <c r="A102" s="117" t="s">
        <v>388</v>
      </c>
      <c r="D102" s="184">
        <f>SUM(D99:D101)</f>
        <v>461</v>
      </c>
      <c r="E102" s="184">
        <f>SUM(E99:E101)</f>
        <v>60205.020000000004</v>
      </c>
      <c r="F102" s="184">
        <f>SUM(F99:F101)</f>
        <v>-3681</v>
      </c>
      <c r="G102" s="184">
        <f>SUM(G99:G101)</f>
        <v>1678.58</v>
      </c>
      <c r="H102" s="160">
        <f t="shared" si="2"/>
        <v>58663.600000000006</v>
      </c>
    </row>
    <row r="103" spans="1:9" ht="12.75" customHeight="1"/>
    <row r="104" spans="1:9" ht="12.75" customHeight="1">
      <c r="A104" s="119" t="s">
        <v>230</v>
      </c>
      <c r="B104" s="117" t="s">
        <v>231</v>
      </c>
      <c r="D104" s="184">
        <v>300</v>
      </c>
      <c r="E104" s="184">
        <v>340</v>
      </c>
      <c r="F104" s="184">
        <v>307</v>
      </c>
      <c r="G104" s="184">
        <v>300</v>
      </c>
      <c r="H104" s="160">
        <f t="shared" si="2"/>
        <v>1247</v>
      </c>
    </row>
    <row r="105" spans="1:9" ht="12.75" customHeight="1">
      <c r="A105" s="117" t="s">
        <v>389</v>
      </c>
      <c r="D105" s="184">
        <f>SUM(D104)</f>
        <v>300</v>
      </c>
      <c r="E105" s="184">
        <f>SUM(E104)</f>
        <v>340</v>
      </c>
      <c r="F105" s="184">
        <f>SUM(F104)</f>
        <v>307</v>
      </c>
      <c r="G105" s="184">
        <f>SUM(G104)</f>
        <v>300</v>
      </c>
      <c r="H105" s="160">
        <f t="shared" si="2"/>
        <v>1247</v>
      </c>
    </row>
    <row r="106" spans="1:9" ht="12.75" customHeight="1"/>
    <row r="107" spans="1:9" ht="12.75" customHeight="1">
      <c r="A107" s="119" t="s">
        <v>435</v>
      </c>
      <c r="B107" s="117" t="s">
        <v>414</v>
      </c>
      <c r="D107" s="184">
        <v>0</v>
      </c>
      <c r="E107" s="184">
        <v>0</v>
      </c>
      <c r="F107" s="184">
        <v>0</v>
      </c>
      <c r="G107" s="184">
        <v>0</v>
      </c>
      <c r="H107" s="160">
        <f t="shared" si="2"/>
        <v>0</v>
      </c>
    </row>
    <row r="108" spans="1:9" ht="12.75" customHeight="1">
      <c r="A108" s="119" t="s">
        <v>234</v>
      </c>
      <c r="B108" s="117" t="s">
        <v>235</v>
      </c>
      <c r="D108" s="184">
        <v>28219.25</v>
      </c>
      <c r="E108" s="184">
        <v>29692.1</v>
      </c>
      <c r="F108" s="198">
        <v>29598.07</v>
      </c>
      <c r="G108" s="184">
        <v>29220.54</v>
      </c>
      <c r="H108" s="160">
        <f t="shared" si="2"/>
        <v>116729.95999999999</v>
      </c>
      <c r="I108" s="117" t="s">
        <v>522</v>
      </c>
    </row>
    <row r="109" spans="1:9" ht="12.75" customHeight="1">
      <c r="A109" s="119" t="s">
        <v>236</v>
      </c>
      <c r="B109" s="117" t="s">
        <v>237</v>
      </c>
      <c r="D109" s="184">
        <v>5445</v>
      </c>
      <c r="E109" s="184">
        <v>5445</v>
      </c>
      <c r="F109" s="184">
        <v>5445</v>
      </c>
      <c r="G109" s="184">
        <v>1815</v>
      </c>
      <c r="H109" s="160">
        <f t="shared" si="2"/>
        <v>18150</v>
      </c>
    </row>
    <row r="110" spans="1:9" ht="12.75" customHeight="1">
      <c r="A110" s="119" t="s">
        <v>238</v>
      </c>
      <c r="B110" s="117" t="s">
        <v>239</v>
      </c>
      <c r="D110" s="184">
        <v>61669.95</v>
      </c>
      <c r="E110" s="184">
        <v>2612.6</v>
      </c>
      <c r="F110" s="184">
        <v>4564</v>
      </c>
      <c r="G110" s="184">
        <v>17202.63</v>
      </c>
      <c r="H110" s="160">
        <f t="shared" si="2"/>
        <v>86049.18</v>
      </c>
    </row>
    <row r="111" spans="1:9" ht="12.75" customHeight="1">
      <c r="A111" s="119" t="s">
        <v>240</v>
      </c>
      <c r="B111" s="117" t="s">
        <v>241</v>
      </c>
      <c r="D111" s="184">
        <v>2420</v>
      </c>
      <c r="E111" s="184">
        <v>2420</v>
      </c>
      <c r="G111" s="184">
        <v>2420</v>
      </c>
      <c r="H111" s="160">
        <f t="shared" si="2"/>
        <v>7260</v>
      </c>
    </row>
    <row r="112" spans="1:9" ht="12.75" customHeight="1">
      <c r="A112" s="119" t="s">
        <v>242</v>
      </c>
      <c r="B112" s="117" t="s">
        <v>243</v>
      </c>
      <c r="D112" s="184">
        <v>50119.65</v>
      </c>
      <c r="E112" s="184">
        <v>94401.18</v>
      </c>
      <c r="F112" s="184">
        <v>41825</v>
      </c>
      <c r="G112" s="184">
        <v>56676.4</v>
      </c>
      <c r="H112" s="160">
        <f t="shared" si="2"/>
        <v>243022.22999999998</v>
      </c>
    </row>
    <row r="113" spans="1:9" ht="12.75" customHeight="1">
      <c r="A113" s="119" t="s">
        <v>244</v>
      </c>
      <c r="B113" s="117" t="s">
        <v>245</v>
      </c>
      <c r="D113" s="184">
        <v>3422.05</v>
      </c>
      <c r="E113" s="184">
        <v>4699.49</v>
      </c>
      <c r="F113" s="184">
        <v>901</v>
      </c>
      <c r="G113" s="184">
        <v>11908.13</v>
      </c>
      <c r="H113" s="160">
        <f t="shared" si="2"/>
        <v>20930.669999999998</v>
      </c>
    </row>
    <row r="114" spans="1:9" ht="12.75" customHeight="1">
      <c r="A114" s="119" t="s">
        <v>246</v>
      </c>
      <c r="B114" s="117" t="s">
        <v>247</v>
      </c>
      <c r="D114" s="184">
        <v>0</v>
      </c>
      <c r="E114" s="184">
        <v>0</v>
      </c>
      <c r="F114" s="184">
        <v>12100</v>
      </c>
      <c r="G114" s="184">
        <v>10587.5</v>
      </c>
      <c r="H114" s="160">
        <f t="shared" si="2"/>
        <v>22687.5</v>
      </c>
    </row>
    <row r="115" spans="1:9" ht="12" customHeight="1">
      <c r="A115" s="119" t="s">
        <v>248</v>
      </c>
      <c r="B115" s="117" t="s">
        <v>249</v>
      </c>
      <c r="D115" s="184">
        <v>6968.21</v>
      </c>
      <c r="E115" s="184">
        <v>1225.96</v>
      </c>
      <c r="F115" s="184">
        <v>4218</v>
      </c>
      <c r="G115" s="184">
        <v>3987.94</v>
      </c>
      <c r="H115" s="160">
        <f t="shared" si="2"/>
        <v>16400.11</v>
      </c>
    </row>
    <row r="116" spans="1:9" ht="12.75" customHeight="1">
      <c r="A116" s="119" t="s">
        <v>436</v>
      </c>
      <c r="B116" s="117" t="s">
        <v>437</v>
      </c>
      <c r="D116" s="184">
        <v>20000</v>
      </c>
      <c r="E116" s="184">
        <v>0</v>
      </c>
      <c r="F116" s="184">
        <v>0</v>
      </c>
      <c r="G116" s="184">
        <v>20000</v>
      </c>
      <c r="H116" s="160">
        <f t="shared" si="2"/>
        <v>40000</v>
      </c>
    </row>
    <row r="117" spans="1:9" ht="12.75" customHeight="1">
      <c r="A117" s="119" t="s">
        <v>250</v>
      </c>
      <c r="B117" s="117" t="s">
        <v>251</v>
      </c>
      <c r="D117" s="184">
        <f>-9583+182</f>
        <v>-9401</v>
      </c>
      <c r="E117" s="184">
        <v>1050.28</v>
      </c>
      <c r="F117" s="184">
        <v>550</v>
      </c>
      <c r="G117" s="184">
        <v>1290.22</v>
      </c>
      <c r="H117" s="160">
        <f t="shared" si="2"/>
        <v>-6510.4999999999991</v>
      </c>
    </row>
    <row r="118" spans="1:9" ht="12.75" customHeight="1">
      <c r="A118" s="117" t="s">
        <v>391</v>
      </c>
      <c r="D118" s="184">
        <f>SUM(D107:D117)</f>
        <v>168863.11</v>
      </c>
      <c r="E118" s="184">
        <f>SUM(E107:E117)</f>
        <v>141546.60999999999</v>
      </c>
      <c r="F118" s="184">
        <f>SUM(F107:F117)</f>
        <v>99201.07</v>
      </c>
      <c r="G118" s="184">
        <f>SUM(G107:G117)</f>
        <v>155108.36000000002</v>
      </c>
      <c r="H118" s="160">
        <f t="shared" si="2"/>
        <v>564719.15</v>
      </c>
    </row>
    <row r="119" spans="1:9" ht="12.75" customHeight="1"/>
    <row r="120" spans="1:9" ht="12.75" customHeight="1">
      <c r="A120" s="119" t="s">
        <v>260</v>
      </c>
      <c r="B120" s="117" t="s">
        <v>261</v>
      </c>
      <c r="D120" s="184">
        <v>420037.6</v>
      </c>
      <c r="E120" s="184">
        <v>416515.02</v>
      </c>
      <c r="F120" s="184">
        <v>401338</v>
      </c>
      <c r="G120" s="184">
        <v>401959.7</v>
      </c>
      <c r="H120" s="160">
        <f t="shared" si="2"/>
        <v>1639850.32</v>
      </c>
    </row>
    <row r="121" spans="1:9" ht="12.75" customHeight="1">
      <c r="A121" s="119">
        <v>4611000</v>
      </c>
      <c r="B121" s="117" t="s">
        <v>477</v>
      </c>
      <c r="D121" s="184">
        <v>0</v>
      </c>
      <c r="E121" s="184">
        <v>4201</v>
      </c>
      <c r="F121" s="184">
        <v>0</v>
      </c>
      <c r="G121" s="184">
        <v>0</v>
      </c>
      <c r="H121" s="160">
        <f t="shared" si="2"/>
        <v>4201</v>
      </c>
    </row>
    <row r="122" spans="1:9" ht="12.75" customHeight="1">
      <c r="A122" s="119">
        <v>4630000</v>
      </c>
      <c r="B122" s="117" t="s">
        <v>265</v>
      </c>
      <c r="D122" s="184">
        <v>0</v>
      </c>
      <c r="E122" s="184">
        <v>0</v>
      </c>
      <c r="F122" s="184">
        <v>0</v>
      </c>
      <c r="G122" s="184">
        <v>0</v>
      </c>
      <c r="H122" s="160">
        <f t="shared" si="2"/>
        <v>0</v>
      </c>
    </row>
    <row r="123" spans="1:9" ht="12.75" customHeight="1">
      <c r="A123" s="119" t="s">
        <v>266</v>
      </c>
      <c r="B123" s="117" t="s">
        <v>267</v>
      </c>
      <c r="D123" s="184">
        <v>103625.3</v>
      </c>
      <c r="E123" s="184">
        <v>102995.06</v>
      </c>
      <c r="F123" s="184">
        <v>100023.25</v>
      </c>
      <c r="G123" s="184">
        <v>100452.6</v>
      </c>
      <c r="H123" s="160">
        <f t="shared" si="2"/>
        <v>407096.20999999996</v>
      </c>
    </row>
    <row r="124" spans="1:9" ht="12.75" customHeight="1">
      <c r="A124" s="119">
        <v>4642000</v>
      </c>
      <c r="B124" s="117" t="s">
        <v>462</v>
      </c>
      <c r="D124" s="184">
        <v>0</v>
      </c>
      <c r="E124" s="184">
        <v>2949.43</v>
      </c>
      <c r="F124" s="184">
        <v>0</v>
      </c>
      <c r="G124" s="184">
        <v>0</v>
      </c>
      <c r="H124" s="160">
        <f t="shared" si="2"/>
        <v>2949.43</v>
      </c>
    </row>
    <row r="125" spans="1:9" ht="12.75" customHeight="1">
      <c r="A125" s="119" t="s">
        <v>393</v>
      </c>
      <c r="D125" s="184">
        <f>SUM(D120:D124)</f>
        <v>523662.89999999997</v>
      </c>
      <c r="E125" s="184">
        <f>SUM(E120:E124)</f>
        <v>526660.51</v>
      </c>
      <c r="F125" s="184">
        <f>SUM(F120:F124)</f>
        <v>501361.25</v>
      </c>
      <c r="G125" s="184">
        <f>SUM(G120:G124)</f>
        <v>502412.30000000005</v>
      </c>
      <c r="H125" s="160">
        <f>SUM(C125:G125)</f>
        <v>2054096.96</v>
      </c>
    </row>
    <row r="126" spans="1:9" ht="12.75" customHeight="1"/>
    <row r="127" spans="1:9" ht="12.75" customHeight="1">
      <c r="A127" s="119">
        <v>9500000</v>
      </c>
      <c r="B127" s="117" t="s">
        <v>456</v>
      </c>
      <c r="D127" s="184">
        <v>0</v>
      </c>
      <c r="E127" s="198">
        <v>2276087</v>
      </c>
      <c r="F127" s="184">
        <v>0</v>
      </c>
      <c r="G127" s="184">
        <v>0</v>
      </c>
      <c r="H127" s="160">
        <f t="shared" si="2"/>
        <v>2276087</v>
      </c>
      <c r="I127" s="117" t="s">
        <v>521</v>
      </c>
    </row>
    <row r="128" spans="1:9" ht="12.75" customHeight="1">
      <c r="A128" s="119" t="s">
        <v>272</v>
      </c>
      <c r="B128" s="117" t="s">
        <v>273</v>
      </c>
      <c r="D128" s="184">
        <v>-161798</v>
      </c>
      <c r="E128" s="184">
        <v>-273366.2</v>
      </c>
      <c r="F128" s="184">
        <v>-237434</v>
      </c>
      <c r="G128" s="184">
        <v>-121126</v>
      </c>
      <c r="H128" s="160">
        <f t="shared" si="2"/>
        <v>-793724.2</v>
      </c>
    </row>
    <row r="129" spans="1:11" ht="12.75" customHeight="1">
      <c r="A129" s="119">
        <v>9500100</v>
      </c>
      <c r="B129" s="117" t="s">
        <v>438</v>
      </c>
      <c r="D129" s="184">
        <v>0</v>
      </c>
      <c r="E129" s="184">
        <v>0</v>
      </c>
      <c r="F129" s="184">
        <v>0</v>
      </c>
      <c r="G129" s="184">
        <v>0</v>
      </c>
      <c r="H129" s="160">
        <f t="shared" si="2"/>
        <v>0</v>
      </c>
    </row>
    <row r="130" spans="1:11" ht="12.75" customHeight="1">
      <c r="A130" s="119" t="s">
        <v>439</v>
      </c>
      <c r="C130" s="185"/>
      <c r="D130" s="208">
        <f>SUM(D127:D128)-2</f>
        <v>-161800</v>
      </c>
      <c r="E130" s="208">
        <f>SUM(E127:E129)</f>
        <v>2002720.8</v>
      </c>
      <c r="F130" s="208">
        <f>SUM(F127:F129)</f>
        <v>-237434</v>
      </c>
      <c r="G130" s="208">
        <f>SUM(G127:G128)-2</f>
        <v>-121128</v>
      </c>
      <c r="H130" s="160">
        <f t="shared" si="2"/>
        <v>1482358.8</v>
      </c>
    </row>
    <row r="131" spans="1:11" ht="12.75" customHeight="1">
      <c r="H131" s="160">
        <f t="shared" si="2"/>
        <v>0</v>
      </c>
    </row>
    <row r="132" spans="1:11" ht="12.75" customHeight="1">
      <c r="A132" s="117" t="s">
        <v>440</v>
      </c>
      <c r="D132" s="184">
        <f>D74+D80+D83+D87+D97+D102+D105+D118+D125+D130</f>
        <v>-964897.33000000007</v>
      </c>
      <c r="E132" s="184">
        <f>E74+E80+E83+E87+E97+E102+E105+E118+E125+E130</f>
        <v>581668.4700000002</v>
      </c>
      <c r="F132" s="184">
        <f>F74+F80+F83+F87+F97+F102+F105+F118+F125+F130</f>
        <v>-1314147.53</v>
      </c>
      <c r="G132" s="184">
        <f>G74+G80+G83+G87+G97+G102+G105+G118+G125+G130</f>
        <v>-1067035.7999999996</v>
      </c>
      <c r="H132" s="244">
        <f>H74+H80+H83+H87+H97+H102+H105+H118+H125+H130</f>
        <v>-2764412.1900000004</v>
      </c>
      <c r="I132" s="184"/>
      <c r="J132" s="160"/>
      <c r="K132" s="160"/>
    </row>
    <row r="133" spans="1:11" ht="12.75" customHeight="1"/>
    <row r="134" spans="1:11" ht="12.75" customHeight="1">
      <c r="C134" s="195"/>
      <c r="D134" s="195">
        <f>SUM(D4:D67)+D132</f>
        <v>-1.1300000000046566</v>
      </c>
      <c r="E134" s="195">
        <f>SUM(E4:E67)+E132</f>
        <v>6.0000001336447895E-2</v>
      </c>
      <c r="F134" s="195">
        <f>SUM(F4:F67)+F132</f>
        <v>-1.0800000003073364</v>
      </c>
      <c r="G134" s="195">
        <f>SUM(G4:G67)+G132</f>
        <v>-1.8699999996460974</v>
      </c>
      <c r="H134" s="160">
        <f>SUM(C132:G132)</f>
        <v>-2764412.1899999995</v>
      </c>
      <c r="I134" s="117" t="s">
        <v>524</v>
      </c>
    </row>
    <row r="135" spans="1:11" ht="12.75" customHeight="1"/>
    <row r="136" spans="1:11" ht="12.75" customHeight="1">
      <c r="H136" s="160">
        <f>SUM(C134:G134)</f>
        <v>-4.0199999986216426</v>
      </c>
    </row>
    <row r="137" spans="1:11" ht="12.75" customHeight="1"/>
    <row r="138" spans="1:11" ht="12.75" customHeight="1"/>
    <row r="139" spans="1:11" ht="12.75" customHeight="1">
      <c r="H139" s="160">
        <f>SUM(H4:H67)</f>
        <v>2764408.1700000237</v>
      </c>
    </row>
    <row r="140" spans="1:11" ht="12.75" customHeight="1"/>
    <row r="141" spans="1:11" ht="12.75" customHeight="1"/>
    <row r="142" spans="1:11" ht="12.75" customHeight="1">
      <c r="H142" s="160">
        <f>-H134-H139</f>
        <v>4.0199999758042395</v>
      </c>
    </row>
    <row r="143" spans="1:11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6339-2101-433D-90BC-DC73849BF97A}"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7" width="22.44140625" style="246" customWidth="1"/>
    <col min="8" max="8" width="19.44140625" style="114" bestFit="1" customWidth="1"/>
    <col min="9" max="9" width="12.88671875" style="1" bestFit="1" customWidth="1"/>
    <col min="10" max="10" width="11.33203125" style="1" bestFit="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12.88671875" style="1" bestFit="1" customWidth="1"/>
    <col min="266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12.88671875" style="1" bestFit="1" customWidth="1"/>
    <col min="522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12.88671875" style="1" bestFit="1" customWidth="1"/>
    <col min="778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12.88671875" style="1" bestFit="1" customWidth="1"/>
    <col min="1034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12.88671875" style="1" bestFit="1" customWidth="1"/>
    <col min="1290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12.88671875" style="1" bestFit="1" customWidth="1"/>
    <col min="1546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12.88671875" style="1" bestFit="1" customWidth="1"/>
    <col min="1802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12.88671875" style="1" bestFit="1" customWidth="1"/>
    <col min="2058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12.88671875" style="1" bestFit="1" customWidth="1"/>
    <col min="2314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12.88671875" style="1" bestFit="1" customWidth="1"/>
    <col min="2570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12.88671875" style="1" bestFit="1" customWidth="1"/>
    <col min="2826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12.88671875" style="1" bestFit="1" customWidth="1"/>
    <col min="3082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12.88671875" style="1" bestFit="1" customWidth="1"/>
    <col min="3338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12.88671875" style="1" bestFit="1" customWidth="1"/>
    <col min="3594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12.88671875" style="1" bestFit="1" customWidth="1"/>
    <col min="3850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12.88671875" style="1" bestFit="1" customWidth="1"/>
    <col min="4106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12.88671875" style="1" bestFit="1" customWidth="1"/>
    <col min="4362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12.88671875" style="1" bestFit="1" customWidth="1"/>
    <col min="4618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12.88671875" style="1" bestFit="1" customWidth="1"/>
    <col min="4874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12.88671875" style="1" bestFit="1" customWidth="1"/>
    <col min="5130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12.88671875" style="1" bestFit="1" customWidth="1"/>
    <col min="5386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12.88671875" style="1" bestFit="1" customWidth="1"/>
    <col min="5642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12.88671875" style="1" bestFit="1" customWidth="1"/>
    <col min="5898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12.88671875" style="1" bestFit="1" customWidth="1"/>
    <col min="6154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12.88671875" style="1" bestFit="1" customWidth="1"/>
    <col min="6410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12.88671875" style="1" bestFit="1" customWidth="1"/>
    <col min="6666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12.88671875" style="1" bestFit="1" customWidth="1"/>
    <col min="6922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12.88671875" style="1" bestFit="1" customWidth="1"/>
    <col min="7178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12.88671875" style="1" bestFit="1" customWidth="1"/>
    <col min="7434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12.88671875" style="1" bestFit="1" customWidth="1"/>
    <col min="7690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12.88671875" style="1" bestFit="1" customWidth="1"/>
    <col min="7946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12.88671875" style="1" bestFit="1" customWidth="1"/>
    <col min="8202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12.88671875" style="1" bestFit="1" customWidth="1"/>
    <col min="8458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12.88671875" style="1" bestFit="1" customWidth="1"/>
    <col min="8714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12.88671875" style="1" bestFit="1" customWidth="1"/>
    <col min="8970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12.88671875" style="1" bestFit="1" customWidth="1"/>
    <col min="9226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12.88671875" style="1" bestFit="1" customWidth="1"/>
    <col min="9482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12.88671875" style="1" bestFit="1" customWidth="1"/>
    <col min="9738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12.88671875" style="1" bestFit="1" customWidth="1"/>
    <col min="9994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12.88671875" style="1" bestFit="1" customWidth="1"/>
    <col min="10250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12.88671875" style="1" bestFit="1" customWidth="1"/>
    <col min="10506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12.88671875" style="1" bestFit="1" customWidth="1"/>
    <col min="10762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12.88671875" style="1" bestFit="1" customWidth="1"/>
    <col min="11018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12.88671875" style="1" bestFit="1" customWidth="1"/>
    <col min="11274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12.88671875" style="1" bestFit="1" customWidth="1"/>
    <col min="11530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12.88671875" style="1" bestFit="1" customWidth="1"/>
    <col min="11786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12.88671875" style="1" bestFit="1" customWidth="1"/>
    <col min="12042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12.88671875" style="1" bestFit="1" customWidth="1"/>
    <col min="12298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12.88671875" style="1" bestFit="1" customWidth="1"/>
    <col min="12554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12.88671875" style="1" bestFit="1" customWidth="1"/>
    <col min="12810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12.88671875" style="1" bestFit="1" customWidth="1"/>
    <col min="13066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12.88671875" style="1" bestFit="1" customWidth="1"/>
    <col min="13322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12.88671875" style="1" bestFit="1" customWidth="1"/>
    <col min="13578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12.88671875" style="1" bestFit="1" customWidth="1"/>
    <col min="13834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12.88671875" style="1" bestFit="1" customWidth="1"/>
    <col min="14090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12.88671875" style="1" bestFit="1" customWidth="1"/>
    <col min="14346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12.88671875" style="1" bestFit="1" customWidth="1"/>
    <col min="14602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12.88671875" style="1" bestFit="1" customWidth="1"/>
    <col min="14858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12.88671875" style="1" bestFit="1" customWidth="1"/>
    <col min="15114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12.88671875" style="1" bestFit="1" customWidth="1"/>
    <col min="15370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12.88671875" style="1" bestFit="1" customWidth="1"/>
    <col min="15626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12.88671875" style="1" bestFit="1" customWidth="1"/>
    <col min="15882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12.88671875" style="1" bestFit="1" customWidth="1"/>
    <col min="16138" max="16384" width="9.109375" style="1"/>
  </cols>
  <sheetData>
    <row r="1" spans="1:13" ht="12.75" customHeight="1">
      <c r="C1" s="175" t="s">
        <v>526</v>
      </c>
      <c r="D1" s="175" t="s">
        <v>502</v>
      </c>
      <c r="E1" s="175" t="s">
        <v>506</v>
      </c>
      <c r="F1" s="175" t="s">
        <v>519</v>
      </c>
      <c r="G1" s="175" t="s">
        <v>527</v>
      </c>
      <c r="H1" s="114" t="s">
        <v>528</v>
      </c>
    </row>
    <row r="3" spans="1:13" ht="12.75" customHeight="1">
      <c r="A3" s="138" t="s">
        <v>16</v>
      </c>
    </row>
    <row r="4" spans="1:13" ht="12.75" customHeight="1">
      <c r="A4" s="136">
        <v>1600000</v>
      </c>
      <c r="B4" s="1" t="s">
        <v>22</v>
      </c>
      <c r="C4" s="246">
        <v>126145492.40000001</v>
      </c>
      <c r="D4" s="251">
        <v>496000</v>
      </c>
      <c r="H4" s="114">
        <f>SUM(C4:G4)</f>
        <v>126641492.40000001</v>
      </c>
      <c r="J4" s="228">
        <v>198696.68000000005</v>
      </c>
      <c r="K4" s="1">
        <v>289183.25</v>
      </c>
      <c r="L4" s="1">
        <v>291783.90000000002</v>
      </c>
      <c r="M4" s="1">
        <v>243593.77</v>
      </c>
    </row>
    <row r="5" spans="1:13" ht="12.75" customHeight="1">
      <c r="A5" s="136" t="s">
        <v>23</v>
      </c>
      <c r="B5" s="1" t="s">
        <v>24</v>
      </c>
      <c r="C5" s="246">
        <v>-13404612</v>
      </c>
      <c r="D5" s="246">
        <v>-679632</v>
      </c>
      <c r="E5" s="246">
        <v>-682456</v>
      </c>
      <c r="F5" s="246">
        <v>-682714</v>
      </c>
      <c r="G5" s="246">
        <v>-695326</v>
      </c>
      <c r="H5" s="114">
        <f t="shared" ref="H5:H66" si="0">SUM(C5:G5)</f>
        <v>-16144740</v>
      </c>
    </row>
    <row r="6" spans="1:13" ht="12.75" customHeight="1">
      <c r="A6" s="136" t="s">
        <v>25</v>
      </c>
      <c r="B6" s="1" t="s">
        <v>26</v>
      </c>
      <c r="C6" s="246">
        <v>-2448809</v>
      </c>
      <c r="D6" s="247">
        <v>-856186</v>
      </c>
      <c r="E6" s="247">
        <v>-331590</v>
      </c>
      <c r="F6" s="247">
        <v>-276183</v>
      </c>
      <c r="G6" s="247">
        <v>-363436</v>
      </c>
      <c r="H6" s="114">
        <f t="shared" si="0"/>
        <v>-4276204</v>
      </c>
    </row>
    <row r="7" spans="1:13" ht="12.75" customHeight="1">
      <c r="A7" s="136" t="s">
        <v>427</v>
      </c>
      <c r="B7" s="1" t="s">
        <v>428</v>
      </c>
      <c r="C7" s="246">
        <v>260832</v>
      </c>
      <c r="D7" s="246">
        <v>102659</v>
      </c>
      <c r="E7" s="246">
        <v>41047</v>
      </c>
      <c r="F7" s="246">
        <v>36141</v>
      </c>
      <c r="G7" s="246">
        <v>49532</v>
      </c>
      <c r="H7" s="114">
        <f t="shared" si="0"/>
        <v>490211</v>
      </c>
    </row>
    <row r="8" spans="1:13" ht="12.75" customHeight="1">
      <c r="A8" s="1" t="s">
        <v>351</v>
      </c>
      <c r="C8" s="246">
        <v>0</v>
      </c>
      <c r="H8" s="114">
        <f t="shared" si="0"/>
        <v>0</v>
      </c>
    </row>
    <row r="9" spans="1:13" ht="12.75" customHeight="1">
      <c r="C9" s="246">
        <v>0</v>
      </c>
      <c r="H9" s="114">
        <f t="shared" si="0"/>
        <v>0</v>
      </c>
    </row>
    <row r="10" spans="1:13" ht="12.75" customHeight="1">
      <c r="A10" s="136" t="s">
        <v>35</v>
      </c>
      <c r="B10" s="1" t="s">
        <v>36</v>
      </c>
      <c r="C10" s="246">
        <v>3989674</v>
      </c>
      <c r="D10" s="248">
        <v>273366.2</v>
      </c>
      <c r="E10" s="249">
        <v>237434</v>
      </c>
      <c r="F10" s="249">
        <v>121126</v>
      </c>
      <c r="G10" s="249">
        <v>165568</v>
      </c>
      <c r="H10" s="114">
        <f t="shared" si="0"/>
        <v>4787168.2</v>
      </c>
    </row>
    <row r="11" spans="1:13" ht="12.75" customHeight="1">
      <c r="A11" s="1" t="s">
        <v>352</v>
      </c>
      <c r="C11" s="246">
        <v>0</v>
      </c>
      <c r="H11" s="114">
        <f t="shared" si="0"/>
        <v>0</v>
      </c>
    </row>
    <row r="12" spans="1:13" ht="12.75" customHeight="1">
      <c r="C12" s="246">
        <v>0</v>
      </c>
      <c r="H12" s="114">
        <f t="shared" si="0"/>
        <v>0</v>
      </c>
    </row>
    <row r="13" spans="1:13" ht="12.75" customHeight="1">
      <c r="A13" s="136" t="s">
        <v>41</v>
      </c>
      <c r="B13" s="1" t="s">
        <v>42</v>
      </c>
      <c r="C13" s="246">
        <v>981575.62</v>
      </c>
      <c r="D13" s="249">
        <v>-866992</v>
      </c>
      <c r="E13" s="249">
        <v>-10254.870000000001</v>
      </c>
      <c r="F13" s="249">
        <v>-9192.36</v>
      </c>
      <c r="G13" s="249">
        <v>1191082.1599999999</v>
      </c>
      <c r="H13" s="114">
        <f t="shared" si="0"/>
        <v>1286218.5499999998</v>
      </c>
    </row>
    <row r="14" spans="1:13" ht="12.75" customHeight="1">
      <c r="A14" s="136" t="s">
        <v>43</v>
      </c>
      <c r="B14" s="1" t="s">
        <v>44</v>
      </c>
      <c r="C14" s="246">
        <v>-31915</v>
      </c>
      <c r="D14" s="246">
        <v>-59966.86</v>
      </c>
      <c r="E14" s="246">
        <v>0</v>
      </c>
      <c r="F14" s="246">
        <v>0</v>
      </c>
      <c r="G14" s="246">
        <v>0</v>
      </c>
      <c r="H14" s="114">
        <f t="shared" si="0"/>
        <v>-91881.86</v>
      </c>
    </row>
    <row r="15" spans="1:13" ht="12.75" customHeight="1">
      <c r="A15" s="1" t="s">
        <v>353</v>
      </c>
      <c r="C15" s="246">
        <v>0</v>
      </c>
      <c r="H15" s="114">
        <f t="shared" si="0"/>
        <v>0</v>
      </c>
    </row>
    <row r="16" spans="1:13" ht="12.75" customHeight="1">
      <c r="C16" s="246">
        <v>0</v>
      </c>
      <c r="H16" s="114">
        <f t="shared" si="0"/>
        <v>0</v>
      </c>
    </row>
    <row r="17" spans="1:9" ht="12.75" customHeight="1">
      <c r="A17" s="136">
        <v>2640000</v>
      </c>
      <c r="B17" s="1" t="s">
        <v>48</v>
      </c>
      <c r="C17" s="246">
        <v>1264332</v>
      </c>
      <c r="D17" s="246">
        <v>-1860053.43</v>
      </c>
      <c r="E17" s="246">
        <v>542643.28</v>
      </c>
      <c r="F17" s="246">
        <v>1293310.92</v>
      </c>
      <c r="G17" s="246">
        <v>570839.92000000004</v>
      </c>
      <c r="H17" s="114">
        <f t="shared" si="0"/>
        <v>1811072.69</v>
      </c>
    </row>
    <row r="18" spans="1:9" ht="12.75" customHeight="1">
      <c r="A18" s="1" t="s">
        <v>357</v>
      </c>
      <c r="C18" s="246">
        <v>0</v>
      </c>
      <c r="H18" s="114">
        <f t="shared" si="0"/>
        <v>0</v>
      </c>
    </row>
    <row r="19" spans="1:9" ht="12.75" customHeight="1">
      <c r="C19" s="246">
        <v>0</v>
      </c>
      <c r="H19" s="114">
        <f t="shared" si="0"/>
        <v>0</v>
      </c>
    </row>
    <row r="20" spans="1:9" ht="12.75" customHeight="1">
      <c r="A20" s="136">
        <v>2040200</v>
      </c>
      <c r="B20" s="1" t="s">
        <v>447</v>
      </c>
      <c r="C20" s="246">
        <v>5000</v>
      </c>
      <c r="D20" s="246">
        <v>0</v>
      </c>
      <c r="E20" s="246">
        <v>0</v>
      </c>
      <c r="F20" s="246">
        <v>0</v>
      </c>
      <c r="G20" s="246">
        <v>0</v>
      </c>
      <c r="H20" s="114">
        <f t="shared" si="0"/>
        <v>5000</v>
      </c>
    </row>
    <row r="21" spans="1:9" ht="12.75" customHeight="1">
      <c r="A21" s="136">
        <v>2040500</v>
      </c>
      <c r="B21" s="1" t="s">
        <v>490</v>
      </c>
      <c r="C21" s="246">
        <v>28218.7</v>
      </c>
      <c r="D21" s="246">
        <v>-28218.89</v>
      </c>
      <c r="E21" s="246">
        <v>-29220.54</v>
      </c>
      <c r="F21" s="246">
        <v>87661.64</v>
      </c>
      <c r="G21" s="246">
        <v>-29220.560000000001</v>
      </c>
      <c r="H21" s="114">
        <f t="shared" si="0"/>
        <v>29220.350000000002</v>
      </c>
    </row>
    <row r="22" spans="1:9" ht="12.75" customHeight="1">
      <c r="A22" s="136" t="s">
        <v>53</v>
      </c>
      <c r="B22" s="1" t="s">
        <v>54</v>
      </c>
      <c r="C22" s="246">
        <v>0</v>
      </c>
      <c r="D22" s="246">
        <v>1679.29</v>
      </c>
      <c r="E22" s="246">
        <v>-1679</v>
      </c>
      <c r="F22" s="246">
        <v>0</v>
      </c>
      <c r="G22" s="246">
        <v>0</v>
      </c>
      <c r="H22" s="114">
        <f t="shared" si="0"/>
        <v>0.28999999999996362</v>
      </c>
    </row>
    <row r="23" spans="1:9" ht="12.75" customHeight="1">
      <c r="A23" s="136" t="s">
        <v>55</v>
      </c>
      <c r="B23" s="1" t="s">
        <v>56</v>
      </c>
      <c r="C23" s="246">
        <v>258680.47999999998</v>
      </c>
      <c r="D23" s="248">
        <v>-258680.49</v>
      </c>
      <c r="E23" s="250">
        <v>-6334.13</v>
      </c>
      <c r="F23" s="251">
        <v>-78945.789999999994</v>
      </c>
      <c r="G23" s="246">
        <v>218888.95999999999</v>
      </c>
      <c r="H23" s="114">
        <f t="shared" si="0"/>
        <v>133609.02999999997</v>
      </c>
      <c r="I23" s="1" t="s">
        <v>529</v>
      </c>
    </row>
    <row r="24" spans="1:9" ht="12.75" customHeight="1">
      <c r="A24" s="1" t="s">
        <v>407</v>
      </c>
      <c r="C24" s="246">
        <v>0</v>
      </c>
      <c r="H24" s="114">
        <f t="shared" si="0"/>
        <v>0</v>
      </c>
    </row>
    <row r="25" spans="1:9" ht="12.75" customHeight="1">
      <c r="C25" s="246">
        <v>0</v>
      </c>
      <c r="H25" s="114">
        <f t="shared" si="0"/>
        <v>0</v>
      </c>
    </row>
    <row r="26" spans="1:9" ht="12.75" customHeight="1">
      <c r="A26" s="136" t="s">
        <v>61</v>
      </c>
      <c r="B26" s="1" t="s">
        <v>62</v>
      </c>
      <c r="C26" s="246">
        <v>-17075.7</v>
      </c>
      <c r="D26" s="246">
        <v>17075.97</v>
      </c>
      <c r="E26" s="246">
        <v>-281</v>
      </c>
      <c r="F26" s="246">
        <v>-1981.76</v>
      </c>
      <c r="G26" s="246">
        <v>1168.1600000000001</v>
      </c>
      <c r="H26" s="114">
        <f t="shared" si="0"/>
        <v>-1094.3299999999997</v>
      </c>
    </row>
    <row r="27" spans="1:9" ht="12.75" customHeight="1">
      <c r="A27" s="136" t="s">
        <v>65</v>
      </c>
      <c r="B27" s="1" t="s">
        <v>66</v>
      </c>
      <c r="C27" s="246">
        <v>0.91</v>
      </c>
      <c r="D27" s="249">
        <v>-0.38</v>
      </c>
      <c r="E27" s="249">
        <v>-0.37</v>
      </c>
      <c r="F27" s="249">
        <v>0.1</v>
      </c>
      <c r="G27" s="249">
        <v>276380.24</v>
      </c>
      <c r="H27" s="114">
        <f t="shared" si="0"/>
        <v>276380.5</v>
      </c>
    </row>
    <row r="28" spans="1:9" ht="12.75" customHeight="1">
      <c r="A28" s="136" t="s">
        <v>67</v>
      </c>
      <c r="B28" s="1" t="s">
        <v>68</v>
      </c>
      <c r="C28" s="246">
        <v>36675.96</v>
      </c>
      <c r="D28" s="249">
        <v>-18.04</v>
      </c>
      <c r="E28" s="249">
        <v>-18.32</v>
      </c>
      <c r="F28" s="249">
        <v>-18.48</v>
      </c>
      <c r="G28" s="249">
        <v>-633966.34</v>
      </c>
      <c r="H28" s="114">
        <f t="shared" si="0"/>
        <v>-597345.22</v>
      </c>
    </row>
    <row r="29" spans="1:9" ht="12.75" customHeight="1">
      <c r="A29" s="136" t="s">
        <v>69</v>
      </c>
      <c r="B29" s="1" t="s">
        <v>70</v>
      </c>
      <c r="C29" s="246">
        <v>163761.98000000001</v>
      </c>
      <c r="D29" s="249">
        <v>-8084.34</v>
      </c>
      <c r="E29" s="249">
        <v>-10036.049999999999</v>
      </c>
      <c r="F29" s="249">
        <v>-95658.58</v>
      </c>
      <c r="G29" s="249">
        <v>-49793.26</v>
      </c>
      <c r="H29" s="114">
        <f t="shared" si="0"/>
        <v>189.75000000002183</v>
      </c>
    </row>
    <row r="30" spans="1:9" ht="12.75" customHeight="1">
      <c r="A30" s="136" t="s">
        <v>71</v>
      </c>
      <c r="B30" s="1" t="s">
        <v>72</v>
      </c>
      <c r="C30" s="246">
        <v>171539.68</v>
      </c>
      <c r="D30" s="249">
        <v>-89675.55</v>
      </c>
      <c r="E30" s="249">
        <v>-56453.47</v>
      </c>
      <c r="F30" s="249">
        <v>17670.91</v>
      </c>
      <c r="G30" s="249">
        <v>139682.04999999999</v>
      </c>
      <c r="H30" s="114">
        <f t="shared" si="0"/>
        <v>182763.62</v>
      </c>
    </row>
    <row r="31" spans="1:9" ht="12.75" customHeight="1">
      <c r="A31" s="136" t="s">
        <v>73</v>
      </c>
      <c r="B31" s="1" t="s">
        <v>74</v>
      </c>
      <c r="C31" s="246">
        <v>221514.56000000006</v>
      </c>
      <c r="D31" s="249">
        <v>228072.92</v>
      </c>
      <c r="E31" s="249">
        <v>280038.53000000003</v>
      </c>
      <c r="F31" s="249">
        <v>367648.53</v>
      </c>
      <c r="G31" s="249">
        <v>323121.93</v>
      </c>
      <c r="H31" s="114">
        <f t="shared" si="0"/>
        <v>1420396.47</v>
      </c>
    </row>
    <row r="32" spans="1:9" ht="12.75" customHeight="1">
      <c r="A32" s="136" t="s">
        <v>75</v>
      </c>
      <c r="B32" s="1" t="s">
        <v>76</v>
      </c>
      <c r="C32" s="246">
        <v>73809.39</v>
      </c>
      <c r="D32" s="249">
        <v>-48621.34</v>
      </c>
      <c r="E32" s="249">
        <v>84669.55</v>
      </c>
      <c r="F32" s="249">
        <v>-105672.08</v>
      </c>
      <c r="G32" s="249">
        <v>98531.57</v>
      </c>
      <c r="H32" s="114">
        <f t="shared" si="0"/>
        <v>102717.09000000001</v>
      </c>
    </row>
    <row r="33" spans="1:9" ht="12.75" customHeight="1">
      <c r="A33" s="1" t="s">
        <v>358</v>
      </c>
      <c r="C33" s="246">
        <v>0</v>
      </c>
      <c r="H33" s="114">
        <f t="shared" si="0"/>
        <v>0</v>
      </c>
    </row>
    <row r="34" spans="1:9" ht="12.75" customHeight="1">
      <c r="C34" s="246">
        <v>0</v>
      </c>
      <c r="H34" s="114">
        <f t="shared" si="0"/>
        <v>0</v>
      </c>
    </row>
    <row r="35" spans="1:9" ht="12.75" customHeight="1">
      <c r="A35" s="136">
        <v>1000002</v>
      </c>
      <c r="B35" s="1" t="s">
        <v>429</v>
      </c>
      <c r="C35" s="246">
        <v>-1</v>
      </c>
      <c r="D35" s="246">
        <v>0</v>
      </c>
      <c r="E35" s="246">
        <v>0</v>
      </c>
      <c r="F35" s="246">
        <v>0</v>
      </c>
      <c r="G35" s="246">
        <v>0</v>
      </c>
      <c r="H35" s="114">
        <f t="shared" si="0"/>
        <v>-1</v>
      </c>
    </row>
    <row r="36" spans="1:9" ht="12.75" customHeight="1">
      <c r="A36" s="136">
        <v>1100000</v>
      </c>
      <c r="B36" s="1" t="s">
        <v>430</v>
      </c>
      <c r="C36" s="246">
        <v>-19031219</v>
      </c>
      <c r="D36" s="246">
        <v>100000</v>
      </c>
      <c r="E36" s="246">
        <v>0</v>
      </c>
      <c r="F36" s="246">
        <v>0</v>
      </c>
      <c r="G36" s="246">
        <v>0</v>
      </c>
      <c r="H36" s="114">
        <f t="shared" si="0"/>
        <v>-18931219</v>
      </c>
    </row>
    <row r="37" spans="1:9" ht="12.75" customHeight="1">
      <c r="A37" s="136">
        <v>1160000</v>
      </c>
      <c r="B37" s="1" t="s">
        <v>94</v>
      </c>
      <c r="C37" s="246">
        <v>6424854.9199999999</v>
      </c>
      <c r="D37" s="246">
        <v>0</v>
      </c>
      <c r="E37" s="246">
        <v>0</v>
      </c>
      <c r="F37" s="246">
        <v>0</v>
      </c>
      <c r="G37" s="246">
        <v>0</v>
      </c>
      <c r="H37" s="114">
        <f t="shared" si="0"/>
        <v>6424854.9199999999</v>
      </c>
      <c r="I37" s="141"/>
    </row>
    <row r="38" spans="1:9" ht="12.75" customHeight="1">
      <c r="A38" s="136" t="s">
        <v>95</v>
      </c>
      <c r="B38" s="1" t="s">
        <v>96</v>
      </c>
      <c r="C38" s="246">
        <v>2000000</v>
      </c>
      <c r="D38" s="246">
        <v>1000000</v>
      </c>
      <c r="E38" s="246">
        <v>0</v>
      </c>
      <c r="F38" s="246">
        <v>0</v>
      </c>
      <c r="G38" s="246">
        <v>0</v>
      </c>
      <c r="H38" s="114">
        <f t="shared" si="0"/>
        <v>3000000</v>
      </c>
    </row>
    <row r="39" spans="1:9" ht="12.75" customHeight="1">
      <c r="A39" s="1" t="s">
        <v>359</v>
      </c>
      <c r="C39" s="246">
        <v>0</v>
      </c>
      <c r="H39" s="114">
        <f t="shared" si="0"/>
        <v>0</v>
      </c>
    </row>
    <row r="40" spans="1:9" ht="12.75" customHeight="1">
      <c r="C40" s="246">
        <v>0</v>
      </c>
      <c r="H40" s="114">
        <f t="shared" si="0"/>
        <v>0</v>
      </c>
    </row>
    <row r="41" spans="1:9" ht="12.75" customHeight="1">
      <c r="A41" s="136">
        <v>1930001</v>
      </c>
      <c r="B41" s="1" t="s">
        <v>104</v>
      </c>
      <c r="C41" s="246">
        <v>-130000000</v>
      </c>
      <c r="D41" s="246">
        <v>0</v>
      </c>
      <c r="F41" s="246">
        <v>0</v>
      </c>
      <c r="G41" s="246">
        <v>0</v>
      </c>
      <c r="H41" s="114">
        <f t="shared" si="0"/>
        <v>-130000000</v>
      </c>
    </row>
    <row r="42" spans="1:9" ht="12.75" customHeight="1">
      <c r="A42" s="136" t="s">
        <v>107</v>
      </c>
      <c r="B42" s="1" t="s">
        <v>108</v>
      </c>
      <c r="C42" s="246">
        <v>24848944.98</v>
      </c>
      <c r="D42" s="249">
        <v>1579956.98</v>
      </c>
      <c r="E42" s="249">
        <v>979503.98</v>
      </c>
      <c r="F42" s="249">
        <v>948219.98</v>
      </c>
      <c r="G42" s="249">
        <v>601183.98</v>
      </c>
      <c r="H42" s="114">
        <f t="shared" si="0"/>
        <v>28957809.900000002</v>
      </c>
    </row>
    <row r="43" spans="1:9" ht="12.75" customHeight="1">
      <c r="A43" s="1" t="s">
        <v>362</v>
      </c>
      <c r="C43" s="246">
        <v>0</v>
      </c>
    </row>
    <row r="44" spans="1:9" ht="12.75" customHeight="1">
      <c r="C44" s="246">
        <v>0</v>
      </c>
    </row>
    <row r="45" spans="1:9" ht="12.75" customHeight="1">
      <c r="A45" s="136" t="s">
        <v>121</v>
      </c>
      <c r="B45" s="1" t="s">
        <v>122</v>
      </c>
      <c r="C45" s="246">
        <v>-12007.05</v>
      </c>
      <c r="D45" s="246">
        <v>-530169.94999999995</v>
      </c>
      <c r="E45" s="175">
        <v>-26012.240000000002</v>
      </c>
      <c r="F45" s="175">
        <v>394615.53</v>
      </c>
      <c r="G45" s="175">
        <v>-377746.56</v>
      </c>
      <c r="H45" s="114">
        <f t="shared" si="0"/>
        <v>-551320.27</v>
      </c>
    </row>
    <row r="46" spans="1:9" ht="12.75" customHeight="1">
      <c r="A46" s="136" t="s">
        <v>123</v>
      </c>
      <c r="B46" s="1" t="s">
        <v>124</v>
      </c>
      <c r="C46" s="246">
        <v>0</v>
      </c>
      <c r="D46" s="246">
        <v>0</v>
      </c>
      <c r="E46" s="246">
        <v>-12100</v>
      </c>
      <c r="F46" s="246">
        <v>0</v>
      </c>
      <c r="G46" s="246">
        <v>-24200</v>
      </c>
      <c r="H46" s="114">
        <f t="shared" si="0"/>
        <v>-36300</v>
      </c>
    </row>
    <row r="47" spans="1:9" ht="12.75" customHeight="1">
      <c r="A47" s="1" t="s">
        <v>363</v>
      </c>
      <c r="C47" s="246">
        <v>0</v>
      </c>
    </row>
    <row r="48" spans="1:9" ht="12.75" customHeight="1">
      <c r="C48" s="246">
        <v>0</v>
      </c>
    </row>
    <row r="49" spans="1:9" ht="12.75" customHeight="1">
      <c r="A49" s="136" t="s">
        <v>129</v>
      </c>
      <c r="B49" s="1" t="s">
        <v>130</v>
      </c>
      <c r="C49" s="246">
        <v>-4266.5599999999995</v>
      </c>
      <c r="D49" s="246">
        <v>-858.91</v>
      </c>
      <c r="E49" s="246">
        <v>525.91</v>
      </c>
      <c r="F49" s="246">
        <v>101.01</v>
      </c>
      <c r="G49" s="246">
        <v>-230.48</v>
      </c>
      <c r="H49" s="114">
        <f t="shared" si="0"/>
        <v>-4729.0299999999988</v>
      </c>
    </row>
    <row r="50" spans="1:9" ht="12.75" customHeight="1">
      <c r="A50" s="136" t="s">
        <v>133</v>
      </c>
      <c r="B50" s="1" t="s">
        <v>134</v>
      </c>
      <c r="C50" s="246">
        <v>0</v>
      </c>
      <c r="D50" s="246">
        <v>0</v>
      </c>
      <c r="E50" s="246">
        <v>0</v>
      </c>
      <c r="F50" s="246">
        <v>0</v>
      </c>
      <c r="G50" s="246">
        <v>0</v>
      </c>
      <c r="H50" s="114">
        <f t="shared" si="0"/>
        <v>0</v>
      </c>
    </row>
    <row r="51" spans="1:9" ht="12.75" customHeight="1">
      <c r="A51" s="136" t="s">
        <v>137</v>
      </c>
      <c r="B51" s="1" t="s">
        <v>138</v>
      </c>
      <c r="C51" s="246">
        <v>0</v>
      </c>
      <c r="D51" s="246">
        <v>0</v>
      </c>
      <c r="E51" s="246">
        <v>0</v>
      </c>
      <c r="F51" s="246">
        <v>0</v>
      </c>
      <c r="G51" s="246">
        <v>0</v>
      </c>
      <c r="H51" s="114">
        <f t="shared" si="0"/>
        <v>0</v>
      </c>
    </row>
    <row r="52" spans="1:9" ht="12.75" customHeight="1">
      <c r="A52" s="1" t="s">
        <v>366</v>
      </c>
      <c r="C52" s="246">
        <v>0</v>
      </c>
    </row>
    <row r="53" spans="1:9" ht="12.75" customHeight="1">
      <c r="C53" s="246">
        <v>0</v>
      </c>
    </row>
    <row r="54" spans="1:9" ht="12.75" customHeight="1">
      <c r="A54" s="136">
        <v>2740100</v>
      </c>
      <c r="B54" s="1" t="s">
        <v>492</v>
      </c>
      <c r="C54" s="246">
        <v>-990959.87</v>
      </c>
      <c r="D54" s="246">
        <v>837333.62</v>
      </c>
      <c r="E54" s="246">
        <v>42167.89</v>
      </c>
      <c r="F54" s="246">
        <v>-796644.01</v>
      </c>
      <c r="G54" s="246">
        <v>-105259.43</v>
      </c>
      <c r="H54" s="114">
        <f t="shared" si="0"/>
        <v>-1013361.8</v>
      </c>
    </row>
    <row r="55" spans="1:9" ht="12.75" customHeight="1">
      <c r="A55" s="136" t="s">
        <v>141</v>
      </c>
      <c r="B55" s="1" t="s">
        <v>142</v>
      </c>
      <c r="C55" s="246">
        <v>-806287.2</v>
      </c>
      <c r="D55" s="246">
        <v>-158.33000000000001</v>
      </c>
      <c r="E55" s="246">
        <v>-10419.51</v>
      </c>
      <c r="F55" s="246">
        <v>-23268.06</v>
      </c>
      <c r="G55" s="246">
        <v>-3189.54</v>
      </c>
      <c r="H55" s="114">
        <f t="shared" si="0"/>
        <v>-843322.64</v>
      </c>
    </row>
    <row r="56" spans="1:9" ht="12.75" customHeight="1">
      <c r="A56" s="136">
        <v>2740500</v>
      </c>
      <c r="B56" s="1" t="s">
        <v>144</v>
      </c>
      <c r="C56" s="246">
        <v>-22500</v>
      </c>
      <c r="D56" s="246">
        <v>0</v>
      </c>
      <c r="E56" s="246">
        <v>0</v>
      </c>
      <c r="F56" s="246">
        <v>0</v>
      </c>
      <c r="G56" s="246">
        <v>0</v>
      </c>
      <c r="H56" s="114">
        <f t="shared" si="0"/>
        <v>-22500</v>
      </c>
    </row>
    <row r="57" spans="1:9" ht="12.75" customHeight="1">
      <c r="A57" s="136" t="s">
        <v>145</v>
      </c>
      <c r="B57" s="1" t="s">
        <v>146</v>
      </c>
      <c r="C57" s="246">
        <v>0</v>
      </c>
      <c r="D57" s="246">
        <v>0</v>
      </c>
      <c r="E57" s="246">
        <v>0</v>
      </c>
      <c r="F57" s="246">
        <v>0</v>
      </c>
      <c r="G57" s="246">
        <v>0</v>
      </c>
      <c r="H57" s="114">
        <f t="shared" si="0"/>
        <v>0</v>
      </c>
    </row>
    <row r="58" spans="1:9" ht="12.75" customHeight="1">
      <c r="A58" s="136" t="s">
        <v>367</v>
      </c>
      <c r="B58" s="1" t="s">
        <v>368</v>
      </c>
      <c r="C58" s="246">
        <v>0</v>
      </c>
      <c r="D58" s="246">
        <v>0</v>
      </c>
      <c r="E58" s="246">
        <v>0</v>
      </c>
      <c r="F58" s="246">
        <v>0</v>
      </c>
      <c r="G58" s="246">
        <v>0</v>
      </c>
      <c r="H58" s="114">
        <f t="shared" si="0"/>
        <v>0</v>
      </c>
    </row>
    <row r="59" spans="1:9" ht="12.75" customHeight="1">
      <c r="A59" s="136" t="s">
        <v>147</v>
      </c>
      <c r="B59" s="1" t="s">
        <v>148</v>
      </c>
      <c r="C59" s="246">
        <v>0</v>
      </c>
      <c r="D59" s="246">
        <v>-13460</v>
      </c>
      <c r="E59" s="251">
        <v>234253.32</v>
      </c>
      <c r="F59" s="251">
        <v>-73597.84</v>
      </c>
      <c r="G59" s="246">
        <v>-73597.86</v>
      </c>
      <c r="H59" s="114">
        <f t="shared" si="0"/>
        <v>73597.62000000001</v>
      </c>
      <c r="I59" s="1" t="s">
        <v>529</v>
      </c>
    </row>
    <row r="60" spans="1:9" ht="12.75" customHeight="1">
      <c r="A60" s="136" t="s">
        <v>149</v>
      </c>
      <c r="B60" s="1" t="s">
        <v>150</v>
      </c>
      <c r="C60" s="246">
        <v>0</v>
      </c>
      <c r="D60" s="246">
        <v>-1149.1300000000001</v>
      </c>
      <c r="E60" s="246">
        <v>1149</v>
      </c>
      <c r="F60" s="246">
        <v>0</v>
      </c>
      <c r="G60" s="246">
        <v>0</v>
      </c>
      <c r="H60" s="114">
        <f t="shared" si="0"/>
        <v>-0.13000000000010914</v>
      </c>
    </row>
    <row r="61" spans="1:9" ht="12.75" customHeight="1">
      <c r="A61" s="136" t="s">
        <v>151</v>
      </c>
      <c r="B61" s="1" t="s">
        <v>152</v>
      </c>
      <c r="C61" s="246">
        <v>0</v>
      </c>
      <c r="D61" s="246">
        <v>-392.3</v>
      </c>
      <c r="E61" s="246">
        <v>392</v>
      </c>
      <c r="F61" s="246">
        <v>0</v>
      </c>
      <c r="G61" s="246">
        <v>0</v>
      </c>
      <c r="H61" s="114">
        <f t="shared" si="0"/>
        <v>-0.30000000000001137</v>
      </c>
    </row>
    <row r="62" spans="1:9" ht="12.75" customHeight="1">
      <c r="A62" s="136" t="s">
        <v>155</v>
      </c>
      <c r="B62" s="1" t="s">
        <v>156</v>
      </c>
      <c r="C62" s="246">
        <v>-125255.2</v>
      </c>
      <c r="D62" s="246">
        <v>84505.55</v>
      </c>
      <c r="E62" s="246">
        <v>-40947</v>
      </c>
      <c r="F62" s="246">
        <v>-123710.23</v>
      </c>
      <c r="G62" s="246">
        <v>79630.240000000005</v>
      </c>
      <c r="H62" s="114">
        <f t="shared" si="0"/>
        <v>-125776.64</v>
      </c>
    </row>
    <row r="63" spans="1:9" ht="12.75" customHeight="1">
      <c r="A63" s="136" t="s">
        <v>157</v>
      </c>
      <c r="B63" s="1" t="s">
        <v>158</v>
      </c>
      <c r="C63" s="246">
        <v>0</v>
      </c>
      <c r="D63" s="246">
        <v>0</v>
      </c>
      <c r="E63" s="246">
        <v>0</v>
      </c>
      <c r="F63" s="246">
        <v>0</v>
      </c>
      <c r="G63" s="246">
        <v>0</v>
      </c>
      <c r="H63" s="114">
        <f t="shared" si="0"/>
        <v>0</v>
      </c>
    </row>
    <row r="64" spans="1:9" ht="12.75" customHeight="1">
      <c r="A64" s="136" t="s">
        <v>159</v>
      </c>
      <c r="B64" s="1" t="s">
        <v>494</v>
      </c>
      <c r="C64" s="246">
        <v>20000</v>
      </c>
      <c r="D64" s="246">
        <v>0</v>
      </c>
      <c r="E64" s="246">
        <v>0</v>
      </c>
      <c r="F64" s="246">
        <v>-20000</v>
      </c>
      <c r="G64" s="246">
        <v>20000</v>
      </c>
      <c r="H64" s="114">
        <f t="shared" si="0"/>
        <v>20000</v>
      </c>
    </row>
    <row r="65" spans="1:8" ht="12.75" customHeight="1">
      <c r="A65" s="136" t="s">
        <v>161</v>
      </c>
      <c r="B65" s="1" t="s">
        <v>162</v>
      </c>
      <c r="C65" s="246">
        <v>0</v>
      </c>
      <c r="D65" s="246">
        <v>0</v>
      </c>
      <c r="E65" s="246">
        <v>0</v>
      </c>
      <c r="F65" s="246">
        <v>0</v>
      </c>
      <c r="G65" s="246">
        <v>0</v>
      </c>
      <c r="H65" s="114">
        <f t="shared" si="0"/>
        <v>0</v>
      </c>
    </row>
    <row r="66" spans="1:8" ht="12.75" customHeight="1">
      <c r="A66" s="136" t="s">
        <v>163</v>
      </c>
      <c r="B66" s="1" t="s">
        <v>164</v>
      </c>
      <c r="C66" s="246">
        <v>0</v>
      </c>
      <c r="D66" s="246">
        <v>0</v>
      </c>
      <c r="E66" s="246">
        <v>0</v>
      </c>
      <c r="F66" s="246">
        <v>0</v>
      </c>
      <c r="G66" s="246">
        <v>0</v>
      </c>
      <c r="H66" s="114">
        <f t="shared" si="0"/>
        <v>0</v>
      </c>
    </row>
    <row r="67" spans="1:8" ht="12.75" customHeight="1">
      <c r="A67" s="1" t="s">
        <v>369</v>
      </c>
    </row>
    <row r="70" spans="1:8" ht="12.75" customHeight="1">
      <c r="A70" s="138" t="s">
        <v>370</v>
      </c>
    </row>
    <row r="71" spans="1:8" ht="12.75" customHeight="1">
      <c r="A71" s="136" t="s">
        <v>174</v>
      </c>
      <c r="B71" s="1" t="s">
        <v>175</v>
      </c>
      <c r="D71" s="246">
        <v>-2862440.42</v>
      </c>
      <c r="E71" s="246">
        <v>-2870089</v>
      </c>
      <c r="F71" s="246">
        <v>-2871329.16</v>
      </c>
      <c r="G71" s="246">
        <v>-2944242.41</v>
      </c>
      <c r="H71" s="114">
        <f t="shared" ref="H71:H132" si="1">SUM(C71:G71)</f>
        <v>-11548100.99</v>
      </c>
    </row>
    <row r="72" spans="1:8" ht="12.75" customHeight="1">
      <c r="A72" s="136" t="s">
        <v>176</v>
      </c>
      <c r="B72" s="1" t="s">
        <v>177</v>
      </c>
      <c r="D72" s="246">
        <v>38520.400000000001</v>
      </c>
      <c r="E72" s="246">
        <v>32888</v>
      </c>
      <c r="F72" s="246">
        <v>39968.65</v>
      </c>
      <c r="G72" s="246">
        <v>55228.45</v>
      </c>
      <c r="H72" s="114">
        <f t="shared" si="1"/>
        <v>166605.5</v>
      </c>
    </row>
    <row r="73" spans="1:8" ht="12.75" customHeight="1">
      <c r="A73" s="1" t="s">
        <v>381</v>
      </c>
      <c r="D73" s="246">
        <f>SUM(D71:D72)</f>
        <v>-2823920.02</v>
      </c>
      <c r="E73" s="246">
        <f>SUM(E71:E72)</f>
        <v>-2837201</v>
      </c>
      <c r="F73" s="246">
        <f>SUM(F71:F72)</f>
        <v>-2831360.5100000002</v>
      </c>
      <c r="G73" s="246">
        <f>SUM(G71:G72)</f>
        <v>-2889013.96</v>
      </c>
      <c r="H73" s="114">
        <f t="shared" si="1"/>
        <v>-11381495.489999998</v>
      </c>
    </row>
    <row r="74" spans="1:8" ht="12.75" customHeight="1">
      <c r="H74" s="114">
        <f t="shared" si="1"/>
        <v>0</v>
      </c>
    </row>
    <row r="75" spans="1:8" ht="12.75" customHeight="1">
      <c r="A75" s="136">
        <v>8400400</v>
      </c>
      <c r="B75" s="1" t="s">
        <v>515</v>
      </c>
      <c r="D75" s="246">
        <v>13460</v>
      </c>
      <c r="E75" s="246">
        <v>-13460</v>
      </c>
      <c r="F75" s="246">
        <v>0</v>
      </c>
      <c r="H75" s="114">
        <f t="shared" si="1"/>
        <v>0</v>
      </c>
    </row>
    <row r="76" spans="1:8" ht="12.75" customHeight="1">
      <c r="A76" s="136" t="s">
        <v>182</v>
      </c>
      <c r="B76" s="1" t="s">
        <v>183</v>
      </c>
      <c r="D76" s="246">
        <v>-165060.65</v>
      </c>
      <c r="E76" s="246">
        <v>-164313</v>
      </c>
      <c r="F76" s="246">
        <v>-164598.62</v>
      </c>
      <c r="G76" s="246">
        <v>-350659.51</v>
      </c>
      <c r="H76" s="114">
        <f t="shared" si="1"/>
        <v>-844631.78</v>
      </c>
    </row>
    <row r="77" spans="1:8" ht="12.75" customHeight="1">
      <c r="A77" s="136" t="s">
        <v>184</v>
      </c>
      <c r="B77" s="1" t="s">
        <v>185</v>
      </c>
      <c r="D77" s="246">
        <v>5967.41</v>
      </c>
      <c r="E77" s="246">
        <v>1453</v>
      </c>
      <c r="F77" s="246">
        <v>6011.91</v>
      </c>
      <c r="G77" s="246">
        <v>7008.0439999999999</v>
      </c>
      <c r="H77" s="114">
        <f t="shared" si="1"/>
        <v>20440.364000000001</v>
      </c>
    </row>
    <row r="78" spans="1:8" ht="12.75" customHeight="1">
      <c r="A78" s="136" t="s">
        <v>186</v>
      </c>
      <c r="B78" s="1" t="s">
        <v>187</v>
      </c>
      <c r="D78" s="246">
        <v>191429.47</v>
      </c>
      <c r="E78" s="246">
        <v>271928</v>
      </c>
      <c r="F78" s="246">
        <v>195259.97</v>
      </c>
      <c r="G78" s="246">
        <v>239859.03</v>
      </c>
      <c r="H78" s="114">
        <f t="shared" si="1"/>
        <v>898476.47</v>
      </c>
    </row>
    <row r="79" spans="1:8" ht="12.75" customHeight="1">
      <c r="A79" s="1" t="s">
        <v>382</v>
      </c>
      <c r="D79" s="246">
        <f>SUM(D75:D78)</f>
        <v>45796.23000000001</v>
      </c>
      <c r="E79" s="246">
        <f>SUM(E75:E78)</f>
        <v>95608</v>
      </c>
      <c r="F79" s="246">
        <f>SUM(F75:F78)</f>
        <v>36673.260000000009</v>
      </c>
      <c r="G79" s="246">
        <f>SUM(G75:G78)</f>
        <v>-103792.43600000002</v>
      </c>
      <c r="H79" s="114">
        <f>SUM(C79:G79)</f>
        <v>74285.054000000004</v>
      </c>
    </row>
    <row r="80" spans="1:8" ht="12.75" customHeight="1">
      <c r="H80" s="114">
        <f t="shared" si="1"/>
        <v>0</v>
      </c>
    </row>
    <row r="81" spans="1:9" ht="12.75" customHeight="1">
      <c r="A81" s="136" t="s">
        <v>198</v>
      </c>
      <c r="B81" s="1" t="s">
        <v>199</v>
      </c>
      <c r="D81" s="246">
        <v>121294.6</v>
      </c>
      <c r="E81" s="246">
        <v>121679.67999999999</v>
      </c>
      <c r="F81" s="246">
        <v>121956.77</v>
      </c>
      <c r="G81" s="246">
        <v>124885.89</v>
      </c>
      <c r="H81" s="114">
        <f t="shared" si="1"/>
        <v>489816.94</v>
      </c>
    </row>
    <row r="82" spans="1:9" ht="12.75" customHeight="1">
      <c r="A82" s="1" t="s">
        <v>408</v>
      </c>
      <c r="D82" s="246">
        <f>SUM(D81)</f>
        <v>121294.6</v>
      </c>
      <c r="E82" s="246">
        <f>SUM(E81)</f>
        <v>121679.67999999999</v>
      </c>
      <c r="F82" s="246">
        <f>SUM(F81)</f>
        <v>121956.77</v>
      </c>
      <c r="G82" s="246">
        <f>SUM(G81)</f>
        <v>124885.89</v>
      </c>
      <c r="H82" s="114">
        <f t="shared" si="1"/>
        <v>489816.94</v>
      </c>
    </row>
    <row r="83" spans="1:9" ht="12.75" customHeight="1">
      <c r="H83" s="114">
        <f t="shared" si="1"/>
        <v>0</v>
      </c>
    </row>
    <row r="84" spans="1:9" ht="12.75" customHeight="1">
      <c r="A84" s="136" t="s">
        <v>204</v>
      </c>
      <c r="B84" s="1" t="s">
        <v>205</v>
      </c>
      <c r="D84" s="246">
        <v>679632</v>
      </c>
      <c r="E84" s="246">
        <v>682456</v>
      </c>
      <c r="F84" s="246">
        <v>682714</v>
      </c>
      <c r="G84" s="246">
        <v>695326</v>
      </c>
      <c r="H84" s="114">
        <f t="shared" si="1"/>
        <v>2740128</v>
      </c>
    </row>
    <row r="85" spans="1:9" ht="12.75" customHeight="1">
      <c r="A85" s="136" t="s">
        <v>206</v>
      </c>
      <c r="B85" s="1" t="s">
        <v>207</v>
      </c>
      <c r="D85" s="246">
        <v>-1362473</v>
      </c>
      <c r="E85" s="246">
        <v>-490457</v>
      </c>
      <c r="F85" s="246">
        <v>-423958</v>
      </c>
      <c r="G85" s="246">
        <v>-544596</v>
      </c>
      <c r="H85" s="114">
        <f t="shared" si="1"/>
        <v>-2821484</v>
      </c>
    </row>
    <row r="86" spans="1:9" ht="12.75" customHeight="1">
      <c r="A86" s="1" t="s">
        <v>384</v>
      </c>
      <c r="D86" s="246">
        <f>SUM(D84:D85)</f>
        <v>-682841</v>
      </c>
      <c r="E86" s="246">
        <f>SUM(E84:E85)</f>
        <v>191999</v>
      </c>
      <c r="F86" s="246">
        <f>SUM(F84:F85)</f>
        <v>258756</v>
      </c>
      <c r="G86" s="246">
        <f>SUM(G84:G85)</f>
        <v>150730</v>
      </c>
      <c r="H86" s="114">
        <f t="shared" si="1"/>
        <v>-81356</v>
      </c>
    </row>
    <row r="87" spans="1:9" ht="12.75" customHeight="1">
      <c r="H87" s="114">
        <f t="shared" si="1"/>
        <v>0</v>
      </c>
    </row>
    <row r="88" spans="1:9" ht="12.75" customHeight="1">
      <c r="A88" s="136">
        <v>4100400</v>
      </c>
      <c r="B88" s="1" t="s">
        <v>211</v>
      </c>
      <c r="D88" s="246">
        <f>510329.85+J4</f>
        <v>709026.53</v>
      </c>
      <c r="E88" s="246">
        <f>178607+K4</f>
        <v>467790.25</v>
      </c>
      <c r="F88" s="246">
        <f>230456.52+L4</f>
        <v>522240.42000000004</v>
      </c>
      <c r="G88" s="246">
        <f>205277.39+M4</f>
        <v>448871.16000000003</v>
      </c>
      <c r="H88" s="114">
        <f t="shared" si="1"/>
        <v>2147928.3600000003</v>
      </c>
    </row>
    <row r="89" spans="1:9" ht="12.75" customHeight="1">
      <c r="A89" s="136" t="s">
        <v>212</v>
      </c>
      <c r="B89" s="1" t="s">
        <v>213</v>
      </c>
      <c r="D89" s="246">
        <v>129402.49</v>
      </c>
      <c r="E89" s="251">
        <v>119943.21</v>
      </c>
      <c r="F89" s="251">
        <v>119943.22</v>
      </c>
      <c r="G89" s="246">
        <v>119943.23</v>
      </c>
      <c r="H89" s="114">
        <f t="shared" si="1"/>
        <v>489232.15</v>
      </c>
      <c r="I89" s="1" t="s">
        <v>529</v>
      </c>
    </row>
    <row r="90" spans="1:9" ht="12.75" customHeight="1">
      <c r="A90" s="136" t="s">
        <v>214</v>
      </c>
      <c r="B90" s="1" t="s">
        <v>215</v>
      </c>
      <c r="D90" s="246">
        <v>82972.460000000006</v>
      </c>
      <c r="E90" s="246">
        <v>54979.46</v>
      </c>
      <c r="F90" s="246">
        <v>61017.04</v>
      </c>
      <c r="G90" s="246">
        <v>70988.5</v>
      </c>
      <c r="H90" s="114">
        <f t="shared" si="1"/>
        <v>269957.46000000002</v>
      </c>
    </row>
    <row r="91" spans="1:9" ht="12.75" customHeight="1">
      <c r="A91" s="136" t="s">
        <v>216</v>
      </c>
      <c r="B91" s="1" t="s">
        <v>217</v>
      </c>
      <c r="D91" s="246">
        <v>221370.06</v>
      </c>
      <c r="E91" s="246">
        <v>167096</v>
      </c>
      <c r="F91" s="246">
        <v>146899.4</v>
      </c>
      <c r="G91" s="246">
        <v>135095.91</v>
      </c>
      <c r="H91" s="114">
        <f t="shared" si="1"/>
        <v>670461.37</v>
      </c>
    </row>
    <row r="92" spans="1:9" ht="12.75" customHeight="1">
      <c r="A92" s="136" t="s">
        <v>218</v>
      </c>
      <c r="B92" s="1" t="s">
        <v>219</v>
      </c>
      <c r="D92" s="246">
        <v>31086.75</v>
      </c>
      <c r="E92" s="246">
        <v>17584.71</v>
      </c>
      <c r="F92" s="246">
        <v>22504.3</v>
      </c>
      <c r="G92" s="246">
        <v>26095.63</v>
      </c>
      <c r="H92" s="114">
        <f t="shared" si="1"/>
        <v>97271.39</v>
      </c>
    </row>
    <row r="93" spans="1:9" ht="12.75" customHeight="1">
      <c r="A93" s="136" t="s">
        <v>220</v>
      </c>
      <c r="B93" s="1" t="s">
        <v>221</v>
      </c>
      <c r="D93" s="246">
        <v>16030.14</v>
      </c>
      <c r="E93" s="246">
        <v>14743.33</v>
      </c>
      <c r="F93" s="246">
        <v>24087.56</v>
      </c>
      <c r="G93" s="246">
        <v>28638.46</v>
      </c>
      <c r="H93" s="114">
        <f t="shared" si="1"/>
        <v>83499.489999999991</v>
      </c>
    </row>
    <row r="94" spans="1:9" ht="12.75" customHeight="1">
      <c r="A94" s="136" t="s">
        <v>385</v>
      </c>
      <c r="B94" s="1" t="s">
        <v>386</v>
      </c>
      <c r="D94" s="246">
        <v>-22.71</v>
      </c>
      <c r="F94" s="246">
        <v>0</v>
      </c>
      <c r="G94" s="246">
        <v>0</v>
      </c>
      <c r="H94" s="114">
        <f t="shared" si="1"/>
        <v>-22.71</v>
      </c>
    </row>
    <row r="95" spans="1:9" ht="12.75" customHeight="1">
      <c r="A95" s="136" t="s">
        <v>431</v>
      </c>
      <c r="B95" s="1" t="s">
        <v>412</v>
      </c>
      <c r="D95" s="246">
        <v>0</v>
      </c>
      <c r="F95" s="246">
        <v>0</v>
      </c>
      <c r="G95" s="246">
        <v>0</v>
      </c>
      <c r="H95" s="114">
        <f t="shared" si="1"/>
        <v>0</v>
      </c>
    </row>
    <row r="96" spans="1:9" ht="12.75" customHeight="1">
      <c r="A96" s="1" t="s">
        <v>387</v>
      </c>
      <c r="D96" s="246">
        <f>SUM(D88:D95)</f>
        <v>1189865.72</v>
      </c>
      <c r="E96" s="246">
        <f>SUM(E88:E95)</f>
        <v>842136.95999999985</v>
      </c>
      <c r="F96" s="246">
        <f>SUM(F88:F95)</f>
        <v>896691.94000000018</v>
      </c>
      <c r="G96" s="246">
        <f>SUM(G88:G95)</f>
        <v>829632.89</v>
      </c>
      <c r="H96" s="114">
        <f t="shared" si="1"/>
        <v>3758327.5100000002</v>
      </c>
    </row>
    <row r="98" spans="1:8" ht="12.75" customHeight="1">
      <c r="A98" s="136" t="s">
        <v>432</v>
      </c>
      <c r="B98" s="1" t="s">
        <v>433</v>
      </c>
      <c r="D98" s="246">
        <v>0</v>
      </c>
      <c r="E98" s="246">
        <v>0</v>
      </c>
      <c r="F98" s="246">
        <v>0</v>
      </c>
      <c r="G98" s="246">
        <v>0</v>
      </c>
      <c r="H98" s="114">
        <f t="shared" si="1"/>
        <v>0</v>
      </c>
    </row>
    <row r="99" spans="1:8" ht="12.75" customHeight="1">
      <c r="A99" s="136" t="s">
        <v>434</v>
      </c>
      <c r="B99" s="1" t="s">
        <v>413</v>
      </c>
      <c r="D99" s="246">
        <v>59966.86</v>
      </c>
      <c r="E99" s="246">
        <v>0</v>
      </c>
      <c r="F99" s="246">
        <v>0</v>
      </c>
      <c r="G99" s="246">
        <v>0</v>
      </c>
      <c r="H99" s="114">
        <f t="shared" si="1"/>
        <v>59966.86</v>
      </c>
    </row>
    <row r="100" spans="1:8" ht="12.75" customHeight="1">
      <c r="A100" s="136" t="s">
        <v>226</v>
      </c>
      <c r="B100" s="1" t="s">
        <v>227</v>
      </c>
      <c r="D100" s="246">
        <v>238.16</v>
      </c>
      <c r="E100" s="246">
        <v>-3681</v>
      </c>
      <c r="F100" s="246">
        <v>1678.58</v>
      </c>
      <c r="G100" s="246">
        <v>765.92</v>
      </c>
      <c r="H100" s="114">
        <f t="shared" si="1"/>
        <v>-998.34000000000026</v>
      </c>
    </row>
    <row r="101" spans="1:8" ht="12.75" customHeight="1">
      <c r="A101" s="1" t="s">
        <v>388</v>
      </c>
      <c r="D101" s="246">
        <f>SUM(D98:D100)</f>
        <v>60205.020000000004</v>
      </c>
      <c r="E101" s="246">
        <f>SUM(E98:E100)</f>
        <v>-3681</v>
      </c>
      <c r="F101" s="246">
        <f>SUM(F98:F100)</f>
        <v>1678.58</v>
      </c>
      <c r="G101" s="246">
        <f>SUM(G98:G100)</f>
        <v>765.92</v>
      </c>
      <c r="H101" s="114">
        <f t="shared" si="1"/>
        <v>58968.520000000004</v>
      </c>
    </row>
    <row r="102" spans="1:8" ht="12.75" customHeight="1">
      <c r="H102" s="114">
        <f t="shared" si="1"/>
        <v>0</v>
      </c>
    </row>
    <row r="103" spans="1:8" ht="12.75" customHeight="1">
      <c r="A103" s="136" t="s">
        <v>230</v>
      </c>
      <c r="B103" s="1" t="s">
        <v>231</v>
      </c>
      <c r="D103" s="246">
        <v>340</v>
      </c>
      <c r="E103" s="246">
        <v>307</v>
      </c>
      <c r="F103" s="246">
        <v>300</v>
      </c>
      <c r="G103" s="246">
        <v>600</v>
      </c>
      <c r="H103" s="114">
        <f t="shared" si="1"/>
        <v>1547</v>
      </c>
    </row>
    <row r="104" spans="1:8" ht="12.75" customHeight="1">
      <c r="A104" s="1" t="s">
        <v>389</v>
      </c>
      <c r="D104" s="246">
        <f>SUM(D103)</f>
        <v>340</v>
      </c>
      <c r="E104" s="246">
        <f>SUM(E103)</f>
        <v>307</v>
      </c>
      <c r="F104" s="246">
        <f>SUM(F103)</f>
        <v>300</v>
      </c>
      <c r="G104" s="246">
        <f>SUM(G103)</f>
        <v>600</v>
      </c>
      <c r="H104" s="114">
        <f t="shared" si="1"/>
        <v>1547</v>
      </c>
    </row>
    <row r="105" spans="1:8" ht="12.75" customHeight="1">
      <c r="H105" s="114">
        <f t="shared" si="1"/>
        <v>0</v>
      </c>
    </row>
    <row r="106" spans="1:8" ht="12.75" customHeight="1">
      <c r="A106" s="136" t="s">
        <v>435</v>
      </c>
      <c r="B106" s="1" t="s">
        <v>414</v>
      </c>
      <c r="D106" s="246">
        <v>0</v>
      </c>
      <c r="E106" s="246">
        <v>0</v>
      </c>
      <c r="F106" s="246">
        <v>0</v>
      </c>
      <c r="G106" s="246">
        <v>0</v>
      </c>
      <c r="H106" s="114">
        <f t="shared" si="1"/>
        <v>0</v>
      </c>
    </row>
    <row r="107" spans="1:8" ht="12.75" customHeight="1">
      <c r="A107" s="136" t="s">
        <v>234</v>
      </c>
      <c r="B107" s="1" t="s">
        <v>235</v>
      </c>
      <c r="D107" s="246">
        <v>29692.1</v>
      </c>
      <c r="E107" s="246">
        <v>29598.07</v>
      </c>
      <c r="F107" s="246">
        <v>29220.54</v>
      </c>
      <c r="G107" s="246">
        <v>29220.560000000001</v>
      </c>
      <c r="H107" s="114">
        <f t="shared" si="1"/>
        <v>117731.26999999999</v>
      </c>
    </row>
    <row r="108" spans="1:8" ht="12.75" customHeight="1">
      <c r="A108" s="136" t="s">
        <v>236</v>
      </c>
      <c r="B108" s="1" t="s">
        <v>237</v>
      </c>
      <c r="D108" s="246">
        <v>5445</v>
      </c>
      <c r="E108" s="246">
        <v>5445</v>
      </c>
      <c r="F108" s="246">
        <v>1815</v>
      </c>
      <c r="G108" s="246">
        <v>1815</v>
      </c>
      <c r="H108" s="114">
        <f t="shared" si="1"/>
        <v>14520</v>
      </c>
    </row>
    <row r="109" spans="1:8" ht="12.75" customHeight="1">
      <c r="A109" s="136" t="s">
        <v>238</v>
      </c>
      <c r="B109" s="1" t="s">
        <v>239</v>
      </c>
      <c r="D109" s="246">
        <v>2612.6</v>
      </c>
      <c r="E109" s="246">
        <v>4564</v>
      </c>
      <c r="F109" s="246">
        <v>17202.63</v>
      </c>
      <c r="G109" s="246">
        <v>25189.79</v>
      </c>
      <c r="H109" s="114">
        <f t="shared" si="1"/>
        <v>49569.020000000004</v>
      </c>
    </row>
    <row r="110" spans="1:8" ht="12.75" customHeight="1">
      <c r="A110" s="136" t="s">
        <v>240</v>
      </c>
      <c r="B110" s="1" t="s">
        <v>241</v>
      </c>
      <c r="D110" s="246">
        <v>2420</v>
      </c>
      <c r="F110" s="246">
        <v>2420</v>
      </c>
      <c r="G110" s="246">
        <v>1210</v>
      </c>
      <c r="H110" s="114">
        <f t="shared" si="1"/>
        <v>6050</v>
      </c>
    </row>
    <row r="111" spans="1:8" ht="12.75" customHeight="1">
      <c r="A111" s="136" t="s">
        <v>242</v>
      </c>
      <c r="B111" s="1" t="s">
        <v>243</v>
      </c>
      <c r="D111" s="246">
        <v>94401.18</v>
      </c>
      <c r="E111" s="246">
        <v>41825</v>
      </c>
      <c r="F111" s="246">
        <v>56676.4</v>
      </c>
      <c r="G111" s="246">
        <v>51142.69</v>
      </c>
      <c r="H111" s="114">
        <f t="shared" si="1"/>
        <v>244045.27</v>
      </c>
    </row>
    <row r="112" spans="1:8" ht="12.75" customHeight="1">
      <c r="A112" s="136" t="s">
        <v>244</v>
      </c>
      <c r="B112" s="1" t="s">
        <v>245</v>
      </c>
      <c r="D112" s="246">
        <v>4699.49</v>
      </c>
      <c r="E112" s="246">
        <v>901</v>
      </c>
      <c r="F112" s="246">
        <v>11908.13</v>
      </c>
      <c r="G112" s="246">
        <v>10656.91</v>
      </c>
      <c r="H112" s="114">
        <f t="shared" si="1"/>
        <v>28165.53</v>
      </c>
    </row>
    <row r="113" spans="1:8" ht="12.75" customHeight="1">
      <c r="A113" s="136" t="s">
        <v>246</v>
      </c>
      <c r="B113" s="1" t="s">
        <v>247</v>
      </c>
      <c r="D113" s="246">
        <v>0</v>
      </c>
      <c r="E113" s="246">
        <v>12100</v>
      </c>
      <c r="F113" s="246">
        <v>10587.5</v>
      </c>
      <c r="G113" s="246">
        <v>24200</v>
      </c>
      <c r="H113" s="114">
        <f t="shared" si="1"/>
        <v>46887.5</v>
      </c>
    </row>
    <row r="114" spans="1:8" ht="12" customHeight="1">
      <c r="A114" s="136" t="s">
        <v>248</v>
      </c>
      <c r="B114" s="1" t="s">
        <v>249</v>
      </c>
      <c r="D114" s="246">
        <v>1225.96</v>
      </c>
      <c r="E114" s="246">
        <v>4218</v>
      </c>
      <c r="F114" s="246">
        <v>3987.94</v>
      </c>
      <c r="G114" s="246">
        <v>3190.89</v>
      </c>
      <c r="H114" s="114">
        <f t="shared" si="1"/>
        <v>12622.789999999999</v>
      </c>
    </row>
    <row r="115" spans="1:8" ht="12.75" customHeight="1">
      <c r="A115" s="136" t="s">
        <v>436</v>
      </c>
      <c r="B115" s="1" t="s">
        <v>437</v>
      </c>
      <c r="D115" s="246">
        <v>0</v>
      </c>
      <c r="E115" s="246">
        <v>0</v>
      </c>
      <c r="F115" s="246">
        <v>20000</v>
      </c>
      <c r="G115" s="246">
        <v>20000</v>
      </c>
      <c r="H115" s="114">
        <f t="shared" si="1"/>
        <v>40000</v>
      </c>
    </row>
    <row r="116" spans="1:8" ht="12.75" customHeight="1">
      <c r="A116" s="136" t="s">
        <v>250</v>
      </c>
      <c r="B116" s="1" t="s">
        <v>251</v>
      </c>
      <c r="D116" s="246">
        <v>1050.28</v>
      </c>
      <c r="E116" s="246">
        <v>550</v>
      </c>
      <c r="F116" s="246">
        <v>1290.22</v>
      </c>
      <c r="G116" s="246">
        <v>1920.61</v>
      </c>
      <c r="H116" s="114">
        <f t="shared" si="1"/>
        <v>4811.1099999999997</v>
      </c>
    </row>
    <row r="117" spans="1:8" ht="12.75" customHeight="1">
      <c r="A117" s="1" t="s">
        <v>391</v>
      </c>
      <c r="D117" s="246">
        <f>SUM(D106:D116)</f>
        <v>141546.60999999999</v>
      </c>
      <c r="E117" s="246">
        <f>SUM(E106:E116)</f>
        <v>99201.07</v>
      </c>
      <c r="F117" s="246">
        <f>SUM(F106:F116)</f>
        <v>155108.36000000002</v>
      </c>
      <c r="G117" s="246">
        <f>SUM(G106:G116)</f>
        <v>168546.45</v>
      </c>
      <c r="H117" s="114">
        <f t="shared" si="1"/>
        <v>564402.49</v>
      </c>
    </row>
    <row r="118" spans="1:8" ht="12.75" customHeight="1">
      <c r="H118" s="114">
        <f t="shared" si="1"/>
        <v>0</v>
      </c>
    </row>
    <row r="119" spans="1:8" ht="12.75" customHeight="1">
      <c r="A119" s="136" t="s">
        <v>260</v>
      </c>
      <c r="B119" s="1" t="s">
        <v>261</v>
      </c>
      <c r="D119" s="246">
        <v>416515.02</v>
      </c>
      <c r="E119" s="246">
        <v>401338</v>
      </c>
      <c r="F119" s="246">
        <v>401959.7</v>
      </c>
      <c r="G119" s="246">
        <v>402764.5</v>
      </c>
      <c r="H119" s="114">
        <f t="shared" si="1"/>
        <v>1622577.22</v>
      </c>
    </row>
    <row r="120" spans="1:8" ht="12.75" customHeight="1">
      <c r="A120" s="136">
        <v>4611000</v>
      </c>
      <c r="B120" s="1" t="s">
        <v>477</v>
      </c>
      <c r="D120" s="246">
        <v>4201</v>
      </c>
      <c r="E120" s="246">
        <v>0</v>
      </c>
      <c r="F120" s="246">
        <v>0</v>
      </c>
      <c r="G120" s="246">
        <v>0</v>
      </c>
      <c r="H120" s="114">
        <f t="shared" si="1"/>
        <v>4201</v>
      </c>
    </row>
    <row r="121" spans="1:8" ht="12.75" customHeight="1">
      <c r="A121" s="136">
        <v>4630000</v>
      </c>
      <c r="B121" s="1" t="s">
        <v>265</v>
      </c>
      <c r="D121" s="246">
        <v>0</v>
      </c>
      <c r="E121" s="246">
        <v>0</v>
      </c>
      <c r="F121" s="246">
        <v>0</v>
      </c>
      <c r="G121" s="246">
        <v>0</v>
      </c>
      <c r="H121" s="114">
        <f t="shared" si="1"/>
        <v>0</v>
      </c>
    </row>
    <row r="122" spans="1:8" ht="12.75" customHeight="1">
      <c r="A122" s="136" t="s">
        <v>266</v>
      </c>
      <c r="B122" s="1" t="s">
        <v>267</v>
      </c>
      <c r="D122" s="246">
        <v>102995.06</v>
      </c>
      <c r="E122" s="246">
        <v>100023.25</v>
      </c>
      <c r="F122" s="246">
        <v>100452.6</v>
      </c>
      <c r="G122" s="246">
        <v>100805.57</v>
      </c>
      <c r="H122" s="114">
        <f t="shared" si="1"/>
        <v>404276.48000000004</v>
      </c>
    </row>
    <row r="123" spans="1:8" ht="12.75" customHeight="1">
      <c r="A123" s="136">
        <v>4642000</v>
      </c>
      <c r="B123" s="1" t="s">
        <v>462</v>
      </c>
      <c r="D123" s="246">
        <v>2949.43</v>
      </c>
      <c r="E123" s="246">
        <v>0</v>
      </c>
      <c r="F123" s="246">
        <v>0</v>
      </c>
      <c r="G123" s="246">
        <v>0</v>
      </c>
      <c r="H123" s="114">
        <f t="shared" si="1"/>
        <v>2949.43</v>
      </c>
    </row>
    <row r="124" spans="1:8" ht="12.75" customHeight="1">
      <c r="A124" s="136" t="s">
        <v>393</v>
      </c>
      <c r="D124" s="246">
        <f>SUM(D119:D123)</f>
        <v>526660.51</v>
      </c>
      <c r="E124" s="246">
        <f>SUM(E119:E123)</f>
        <v>501361.25</v>
      </c>
      <c r="F124" s="246">
        <f>SUM(F119:F123)</f>
        <v>502412.30000000005</v>
      </c>
      <c r="G124" s="246">
        <f>SUM(G119:G123)</f>
        <v>503570.07</v>
      </c>
      <c r="H124" s="114">
        <f t="shared" si="1"/>
        <v>2034004.1300000001</v>
      </c>
    </row>
    <row r="125" spans="1:8" ht="12.75" customHeight="1">
      <c r="H125" s="114">
        <f t="shared" si="1"/>
        <v>0</v>
      </c>
    </row>
    <row r="126" spans="1:8" ht="12.75" customHeight="1">
      <c r="A126" s="136">
        <v>9500000</v>
      </c>
      <c r="B126" s="1" t="s">
        <v>456</v>
      </c>
      <c r="D126" s="246">
        <v>2276087</v>
      </c>
      <c r="E126" s="246">
        <v>0</v>
      </c>
      <c r="F126" s="246">
        <v>0</v>
      </c>
      <c r="G126" s="246">
        <v>0</v>
      </c>
      <c r="H126" s="114">
        <f t="shared" si="1"/>
        <v>2276087</v>
      </c>
    </row>
    <row r="127" spans="1:8" ht="12.75" customHeight="1">
      <c r="A127" s="136" t="s">
        <v>272</v>
      </c>
      <c r="B127" s="1" t="s">
        <v>273</v>
      </c>
      <c r="D127" s="246">
        <v>-273366.2</v>
      </c>
      <c r="E127" s="246">
        <v>-237434</v>
      </c>
      <c r="F127" s="246">
        <v>-121126</v>
      </c>
      <c r="G127" s="246">
        <v>-165568</v>
      </c>
      <c r="H127" s="114">
        <f t="shared" si="1"/>
        <v>-797494.2</v>
      </c>
    </row>
    <row r="128" spans="1:8" ht="12.75" customHeight="1">
      <c r="A128" s="136">
        <v>9500100</v>
      </c>
      <c r="B128" s="1" t="s">
        <v>438</v>
      </c>
      <c r="D128" s="246">
        <v>0</v>
      </c>
      <c r="E128" s="246">
        <v>0</v>
      </c>
      <c r="F128" s="246">
        <v>0</v>
      </c>
      <c r="G128" s="246">
        <v>0</v>
      </c>
      <c r="H128" s="114">
        <f t="shared" si="1"/>
        <v>0</v>
      </c>
    </row>
    <row r="129" spans="1:8" ht="12.75" customHeight="1">
      <c r="A129" s="136" t="s">
        <v>439</v>
      </c>
      <c r="C129" s="147"/>
      <c r="D129" s="175">
        <f>SUM(D126:D128)</f>
        <v>2002720.8</v>
      </c>
      <c r="E129" s="175">
        <f>SUM(E126:E128)</f>
        <v>-237434</v>
      </c>
      <c r="F129" s="175">
        <f>SUM(F126:F127)-2</f>
        <v>-121128</v>
      </c>
      <c r="G129" s="175">
        <f>SUM(G126:G128)</f>
        <v>-165568</v>
      </c>
      <c r="H129" s="114">
        <f t="shared" si="1"/>
        <v>1478590.8</v>
      </c>
    </row>
    <row r="130" spans="1:8" ht="12.75" customHeight="1">
      <c r="H130" s="114">
        <f t="shared" si="1"/>
        <v>0</v>
      </c>
    </row>
    <row r="131" spans="1:8" ht="12.75" customHeight="1">
      <c r="A131" s="1" t="s">
        <v>440</v>
      </c>
      <c r="D131" s="246">
        <f>D73+D79+D82+D86+D96+D101+D104+D117+D124+D129</f>
        <v>581668.4700000002</v>
      </c>
      <c r="E131" s="246">
        <f>E73+E79+E82+E86+E96+E101+E104+E117+E124+E129</f>
        <v>-1226023.0399999998</v>
      </c>
      <c r="F131" s="246">
        <f>F73+F79+F82+F86+F96+F101+F104+F117+F124+F129</f>
        <v>-978911.29999999958</v>
      </c>
      <c r="G131" s="246">
        <f>G73+G79+G82+G86+G96+G101+G104+G117+G124+G129</f>
        <v>-1379643.176</v>
      </c>
      <c r="H131" s="114">
        <f t="shared" si="1"/>
        <v>-3002909.0459999992</v>
      </c>
    </row>
    <row r="132" spans="1:8" ht="12.75" customHeight="1">
      <c r="H132" s="114">
        <f t="shared" si="1"/>
        <v>0</v>
      </c>
    </row>
    <row r="133" spans="1:8" ht="12.75" customHeight="1">
      <c r="C133" s="252"/>
      <c r="D133" s="252">
        <f>SUM(D4:D67)+D131</f>
        <v>6.0000001336447895E-2</v>
      </c>
      <c r="E133" s="252">
        <f>SUM(E4:E67)+E131</f>
        <v>-1.0799999996088445</v>
      </c>
      <c r="F133" s="252">
        <f>SUM(F4:F67)+F131</f>
        <v>-1.8699999998789281</v>
      </c>
      <c r="G133" s="252">
        <f>SUM(G4:G67)+G131</f>
        <v>3.9999997243285179E-3</v>
      </c>
      <c r="H133" s="141">
        <f>SUM(C133:G133)</f>
        <v>-2.8859999984269962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D93-7C60-405C-8326-3B82157D854B}"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7" width="22.44140625" style="246" customWidth="1"/>
    <col min="8" max="8" width="19.44140625" style="114" bestFit="1" customWidth="1"/>
    <col min="9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384" width="9.109375" style="1"/>
  </cols>
  <sheetData>
    <row r="1" spans="1:12" ht="12.75" customHeight="1">
      <c r="C1" s="175" t="s">
        <v>532</v>
      </c>
      <c r="D1" s="175" t="s">
        <v>506</v>
      </c>
      <c r="E1" s="175" t="s">
        <v>519</v>
      </c>
      <c r="F1" s="175" t="s">
        <v>527</v>
      </c>
      <c r="G1" s="175" t="s">
        <v>533</v>
      </c>
      <c r="H1" s="114" t="s">
        <v>534</v>
      </c>
      <c r="L1" s="117" t="s">
        <v>553</v>
      </c>
    </row>
    <row r="2" spans="1:12" ht="12.75" customHeight="1">
      <c r="L2" s="117">
        <f>16045+12576+12100</f>
        <v>40721</v>
      </c>
    </row>
    <row r="3" spans="1:12" ht="12.75" customHeight="1">
      <c r="A3" s="138" t="s">
        <v>16</v>
      </c>
    </row>
    <row r="4" spans="1:12" ht="12.75" customHeight="1">
      <c r="A4" s="136">
        <v>1600000</v>
      </c>
      <c r="B4" s="1" t="s">
        <v>22</v>
      </c>
      <c r="C4" s="246">
        <v>123535194.26000001</v>
      </c>
      <c r="D4" s="246">
        <v>289183.25</v>
      </c>
      <c r="E4" s="246">
        <v>291783.90000000002</v>
      </c>
      <c r="F4" s="246">
        <v>243593.77</v>
      </c>
      <c r="G4" s="246">
        <f>221807.83+L2</f>
        <v>262528.82999999996</v>
      </c>
      <c r="H4" s="114">
        <f>SUM(C4:G4)</f>
        <v>124622284.01000001</v>
      </c>
    </row>
    <row r="5" spans="1:12" ht="12.75" customHeight="1">
      <c r="A5" s="136" t="s">
        <v>23</v>
      </c>
      <c r="B5" s="1" t="s">
        <v>24</v>
      </c>
      <c r="C5" s="246">
        <v>-13720753</v>
      </c>
      <c r="D5" s="246">
        <v>-682456</v>
      </c>
      <c r="E5" s="246">
        <v>-682714</v>
      </c>
      <c r="F5" s="246">
        <v>-695326</v>
      </c>
      <c r="G5" s="246">
        <v>-707755</v>
      </c>
      <c r="H5" s="114">
        <f>SUM(C5:G5)</f>
        <v>-16489004</v>
      </c>
    </row>
    <row r="6" spans="1:12" ht="12.75" customHeight="1">
      <c r="A6" s="136" t="s">
        <v>25</v>
      </c>
      <c r="B6" s="1" t="s">
        <v>26</v>
      </c>
      <c r="C6" s="246">
        <v>0</v>
      </c>
      <c r="D6" s="247">
        <v>-331590</v>
      </c>
      <c r="E6" s="247">
        <v>-276183</v>
      </c>
      <c r="F6" s="247">
        <v>-363436</v>
      </c>
      <c r="G6" s="247">
        <v>-108045</v>
      </c>
      <c r="H6" s="114">
        <f>SUM(C6:G6)</f>
        <v>-1079254</v>
      </c>
    </row>
    <row r="7" spans="1:12" ht="12.75" customHeight="1">
      <c r="A7" s="136" t="s">
        <v>427</v>
      </c>
      <c r="B7" s="1" t="s">
        <v>428</v>
      </c>
      <c r="D7" s="246">
        <v>41047</v>
      </c>
      <c r="E7" s="246">
        <v>36141</v>
      </c>
      <c r="F7" s="246">
        <v>49532</v>
      </c>
      <c r="G7" s="246">
        <v>15030</v>
      </c>
      <c r="H7" s="114">
        <f t="shared" ref="H7:H73" si="0">SUM(C7:G7)</f>
        <v>141750</v>
      </c>
    </row>
    <row r="8" spans="1:12" ht="12.75" customHeight="1">
      <c r="A8" s="1" t="s">
        <v>351</v>
      </c>
      <c r="C8" s="246">
        <v>0</v>
      </c>
      <c r="H8" s="114">
        <f t="shared" si="0"/>
        <v>0</v>
      </c>
    </row>
    <row r="9" spans="1:12" ht="12.75" customHeight="1">
      <c r="C9" s="246">
        <v>0</v>
      </c>
      <c r="H9" s="114">
        <f t="shared" si="0"/>
        <v>0</v>
      </c>
    </row>
    <row r="10" spans="1:12" ht="12.75" customHeight="1">
      <c r="A10" s="136" t="s">
        <v>35</v>
      </c>
      <c r="B10" s="1" t="s">
        <v>36</v>
      </c>
      <c r="C10" s="246">
        <v>4263040</v>
      </c>
      <c r="D10" s="249">
        <v>237434</v>
      </c>
      <c r="E10" s="249">
        <v>121126</v>
      </c>
      <c r="F10" s="249">
        <v>165568</v>
      </c>
      <c r="G10" s="249">
        <v>149037</v>
      </c>
      <c r="H10" s="114">
        <f t="shared" si="0"/>
        <v>4936205</v>
      </c>
    </row>
    <row r="11" spans="1:12" ht="12.75" customHeight="1">
      <c r="A11" s="136">
        <v>1990000</v>
      </c>
      <c r="B11" s="1" t="s">
        <v>535</v>
      </c>
      <c r="C11" s="246">
        <v>0</v>
      </c>
      <c r="D11" s="246">
        <v>0</v>
      </c>
      <c r="E11" s="246">
        <v>0</v>
      </c>
      <c r="F11" s="246">
        <v>0</v>
      </c>
      <c r="G11" s="246">
        <v>38320325</v>
      </c>
      <c r="H11" s="161">
        <f>SUM(C11:G11)</f>
        <v>38320325</v>
      </c>
      <c r="I11" s="1" t="s">
        <v>536</v>
      </c>
    </row>
    <row r="12" spans="1:12" ht="12.75" customHeight="1">
      <c r="A12" s="1" t="s">
        <v>352</v>
      </c>
      <c r="C12" s="246">
        <v>0</v>
      </c>
      <c r="H12" s="114">
        <f t="shared" si="0"/>
        <v>0</v>
      </c>
    </row>
    <row r="14" spans="1:12" ht="12.75" customHeight="1">
      <c r="A14" s="136" t="s">
        <v>41</v>
      </c>
      <c r="B14" s="1" t="s">
        <v>42</v>
      </c>
      <c r="C14" s="246">
        <v>114583.32</v>
      </c>
      <c r="D14" s="249">
        <v>-10254.870000000001</v>
      </c>
      <c r="E14" s="249">
        <v>-9192.36</v>
      </c>
      <c r="F14" s="249">
        <v>1191082.1599999999</v>
      </c>
      <c r="G14" s="249">
        <v>-417172.34</v>
      </c>
      <c r="H14" s="114">
        <f t="shared" si="0"/>
        <v>869045.90999999992</v>
      </c>
    </row>
    <row r="15" spans="1:12" ht="12.75" customHeight="1">
      <c r="A15" s="136" t="s">
        <v>43</v>
      </c>
      <c r="B15" s="1" t="s">
        <v>44</v>
      </c>
      <c r="C15" s="246">
        <v>-91881.58</v>
      </c>
      <c r="D15" s="246">
        <v>0</v>
      </c>
      <c r="E15" s="246">
        <v>0</v>
      </c>
      <c r="F15" s="246">
        <v>0</v>
      </c>
      <c r="G15" s="246">
        <v>0</v>
      </c>
      <c r="H15" s="114">
        <f t="shared" si="0"/>
        <v>-91881.58</v>
      </c>
      <c r="I15" s="1" t="s">
        <v>537</v>
      </c>
    </row>
    <row r="16" spans="1:12" ht="12.75" customHeight="1">
      <c r="A16" s="1" t="s">
        <v>353</v>
      </c>
      <c r="C16" s="246">
        <v>0</v>
      </c>
      <c r="H16" s="114">
        <f t="shared" si="0"/>
        <v>0</v>
      </c>
    </row>
    <row r="18" spans="1:8" ht="12.75" customHeight="1">
      <c r="A18" s="136">
        <v>2640000</v>
      </c>
      <c r="B18" s="1" t="s">
        <v>48</v>
      </c>
      <c r="C18" s="246">
        <v>-595721.9</v>
      </c>
      <c r="D18" s="246">
        <v>542643.28</v>
      </c>
      <c r="E18" s="246">
        <v>1293310.92</v>
      </c>
      <c r="F18" s="246">
        <v>570839.92000000004</v>
      </c>
      <c r="G18" s="246">
        <v>-644160.07999999996</v>
      </c>
      <c r="H18" s="114">
        <f t="shared" si="0"/>
        <v>1166912.1399999997</v>
      </c>
    </row>
    <row r="19" spans="1:8" ht="12.75" customHeight="1">
      <c r="A19" s="1" t="s">
        <v>357</v>
      </c>
      <c r="C19" s="246">
        <v>0</v>
      </c>
      <c r="H19" s="114">
        <f t="shared" si="0"/>
        <v>0</v>
      </c>
    </row>
    <row r="20" spans="1:8" ht="12.75" customHeight="1">
      <c r="C20" s="246">
        <v>0</v>
      </c>
      <c r="H20" s="114">
        <f t="shared" si="0"/>
        <v>0</v>
      </c>
    </row>
    <row r="21" spans="1:8" ht="12.75" customHeight="1">
      <c r="A21" s="136">
        <v>2040200</v>
      </c>
      <c r="B21" s="1" t="s">
        <v>447</v>
      </c>
      <c r="C21" s="246">
        <v>5000</v>
      </c>
      <c r="D21" s="246">
        <v>0</v>
      </c>
      <c r="E21" s="246">
        <v>0</v>
      </c>
      <c r="F21" s="246">
        <v>0</v>
      </c>
      <c r="G21" s="246">
        <v>0</v>
      </c>
      <c r="H21" s="114">
        <f t="shared" si="0"/>
        <v>5000</v>
      </c>
    </row>
    <row r="22" spans="1:8" ht="12.75" customHeight="1">
      <c r="A22" s="136">
        <v>2040500</v>
      </c>
      <c r="B22" s="1" t="s">
        <v>490</v>
      </c>
      <c r="C22" s="246">
        <v>0</v>
      </c>
      <c r="D22" s="246">
        <v>-29220.54</v>
      </c>
      <c r="E22" s="246">
        <v>87661.64</v>
      </c>
      <c r="F22" s="246">
        <v>-29220.560000000001</v>
      </c>
      <c r="G22" s="246">
        <v>-29220.560000000001</v>
      </c>
      <c r="H22" s="114">
        <f t="shared" si="0"/>
        <v>-2.0000000004074536E-2</v>
      </c>
    </row>
    <row r="23" spans="1:8" ht="12.75" customHeight="1">
      <c r="A23" s="136" t="s">
        <v>53</v>
      </c>
      <c r="B23" s="1" t="s">
        <v>54</v>
      </c>
      <c r="C23" s="246">
        <v>1678.95</v>
      </c>
      <c r="D23" s="246">
        <v>-1679</v>
      </c>
      <c r="E23" s="246">
        <v>0</v>
      </c>
      <c r="F23" s="246">
        <v>0</v>
      </c>
      <c r="G23" s="246">
        <v>0</v>
      </c>
      <c r="H23" s="114">
        <f t="shared" si="0"/>
        <v>-4.9999999999954525E-2</v>
      </c>
    </row>
    <row r="24" spans="1:8" ht="12.75" customHeight="1">
      <c r="A24" s="136" t="s">
        <v>55</v>
      </c>
      <c r="B24" s="1" t="s">
        <v>56</v>
      </c>
      <c r="C24" s="246">
        <v>0</v>
      </c>
      <c r="D24" s="248">
        <v>-6334.13</v>
      </c>
      <c r="E24" s="246">
        <v>-78945.789999999994</v>
      </c>
      <c r="F24" s="246">
        <v>218888.95999999999</v>
      </c>
      <c r="G24" s="246">
        <v>-138568.29</v>
      </c>
      <c r="H24" s="114">
        <f>SUM(C24:G24)</f>
        <v>-4959.2500000000291</v>
      </c>
    </row>
    <row r="25" spans="1:8" ht="12.75" customHeight="1">
      <c r="A25" s="1" t="s">
        <v>407</v>
      </c>
      <c r="C25" s="246">
        <v>0</v>
      </c>
      <c r="H25" s="114">
        <f t="shared" si="0"/>
        <v>0</v>
      </c>
    </row>
    <row r="26" spans="1:8" ht="12.75" customHeight="1">
      <c r="C26" s="246">
        <v>0</v>
      </c>
      <c r="H26" s="114">
        <f t="shared" si="0"/>
        <v>0</v>
      </c>
    </row>
    <row r="27" spans="1:8" ht="12.75" customHeight="1">
      <c r="A27" s="136" t="s">
        <v>61</v>
      </c>
      <c r="B27" s="1" t="s">
        <v>62</v>
      </c>
      <c r="C27" s="246">
        <v>0</v>
      </c>
      <c r="D27" s="246">
        <v>-281</v>
      </c>
      <c r="E27" s="246">
        <v>-1981.76</v>
      </c>
      <c r="F27" s="246">
        <v>1168.1600000000001</v>
      </c>
      <c r="G27" s="246">
        <v>1095.07</v>
      </c>
      <c r="H27" s="114">
        <f t="shared" si="0"/>
        <v>0.46999999999979991</v>
      </c>
    </row>
    <row r="28" spans="1:8" ht="12.75" customHeight="1">
      <c r="A28" s="136" t="s">
        <v>65</v>
      </c>
      <c r="B28" s="1" t="s">
        <v>66</v>
      </c>
      <c r="C28" s="246">
        <v>0.54</v>
      </c>
      <c r="D28" s="249">
        <v>-0.37</v>
      </c>
      <c r="E28" s="249">
        <v>0.1</v>
      </c>
      <c r="F28" s="249">
        <v>276380.24</v>
      </c>
      <c r="G28" s="249">
        <v>261185.75</v>
      </c>
      <c r="H28" s="114">
        <f t="shared" si="0"/>
        <v>537566.26</v>
      </c>
    </row>
    <row r="29" spans="1:8" ht="12.75" customHeight="1">
      <c r="A29" s="136" t="s">
        <v>67</v>
      </c>
      <c r="B29" s="1" t="s">
        <v>68</v>
      </c>
      <c r="C29" s="246">
        <v>36662.81</v>
      </c>
      <c r="D29" s="249">
        <v>-18.32</v>
      </c>
      <c r="E29" s="249">
        <v>-18.48</v>
      </c>
      <c r="F29" s="249">
        <v>-633966.34</v>
      </c>
      <c r="G29" s="249">
        <v>502142.01</v>
      </c>
      <c r="H29" s="114">
        <f t="shared" si="0"/>
        <v>-95198.319999999949</v>
      </c>
    </row>
    <row r="30" spans="1:8" ht="12.75" customHeight="1">
      <c r="A30" s="136" t="s">
        <v>69</v>
      </c>
      <c r="B30" s="1" t="s">
        <v>70</v>
      </c>
      <c r="C30" s="246">
        <v>155679.01999999999</v>
      </c>
      <c r="D30" s="249">
        <v>-10036.049999999999</v>
      </c>
      <c r="E30" s="249">
        <v>-95658.58</v>
      </c>
      <c r="F30" s="249">
        <v>-49793.26</v>
      </c>
      <c r="G30" s="249">
        <v>-12.05</v>
      </c>
      <c r="H30" s="114">
        <f t="shared" si="0"/>
        <v>179.07999999999737</v>
      </c>
    </row>
    <row r="31" spans="1:8" ht="12.75" customHeight="1">
      <c r="A31" s="136" t="s">
        <v>71</v>
      </c>
      <c r="B31" s="1" t="s">
        <v>72</v>
      </c>
      <c r="C31" s="246">
        <v>81862.47</v>
      </c>
      <c r="D31" s="249">
        <v>-56453.47</v>
      </c>
      <c r="E31" s="249">
        <v>17670.91</v>
      </c>
      <c r="F31" s="249">
        <v>139682.04999999999</v>
      </c>
      <c r="G31" s="249">
        <v>-53607.74</v>
      </c>
      <c r="H31" s="114">
        <f t="shared" si="0"/>
        <v>129154.22</v>
      </c>
    </row>
    <row r="32" spans="1:8" ht="12.75" customHeight="1">
      <c r="A32" s="136" t="s">
        <v>73</v>
      </c>
      <c r="B32" s="1" t="s">
        <v>74</v>
      </c>
      <c r="C32" s="246">
        <v>449584.04</v>
      </c>
      <c r="D32" s="249">
        <v>280038.53000000003</v>
      </c>
      <c r="E32" s="249">
        <v>367648.53</v>
      </c>
      <c r="F32" s="249">
        <v>323121.93</v>
      </c>
      <c r="G32" s="249">
        <v>-1298518.42</v>
      </c>
      <c r="H32" s="114">
        <f t="shared" si="0"/>
        <v>121874.6100000001</v>
      </c>
    </row>
    <row r="33" spans="1:9" ht="12.75" customHeight="1">
      <c r="A33" s="136" t="s">
        <v>75</v>
      </c>
      <c r="B33" s="1" t="s">
        <v>76</v>
      </c>
      <c r="C33" s="246">
        <v>25186.95</v>
      </c>
      <c r="D33" s="249">
        <v>84669.55</v>
      </c>
      <c r="E33" s="249">
        <v>-105672.08</v>
      </c>
      <c r="F33" s="249">
        <v>98531.57</v>
      </c>
      <c r="G33" s="249">
        <v>-5460.63</v>
      </c>
      <c r="H33" s="114">
        <f t="shared" si="0"/>
        <v>97255.360000000001</v>
      </c>
    </row>
    <row r="34" spans="1:9" ht="12.75" customHeight="1">
      <c r="A34" s="1" t="s">
        <v>358</v>
      </c>
      <c r="C34" s="246">
        <v>0</v>
      </c>
      <c r="H34" s="114">
        <f t="shared" si="0"/>
        <v>0</v>
      </c>
    </row>
    <row r="35" spans="1:9" ht="12.75" customHeight="1">
      <c r="C35" s="246">
        <v>0</v>
      </c>
      <c r="H35" s="114">
        <f t="shared" si="0"/>
        <v>0</v>
      </c>
    </row>
    <row r="36" spans="1:9" ht="12.75" customHeight="1">
      <c r="A36" s="136">
        <v>1000002</v>
      </c>
      <c r="B36" s="1" t="s">
        <v>429</v>
      </c>
      <c r="C36" s="246">
        <v>-1</v>
      </c>
      <c r="D36" s="246">
        <v>0</v>
      </c>
      <c r="E36" s="246">
        <v>0</v>
      </c>
      <c r="F36" s="246">
        <v>0</v>
      </c>
      <c r="G36" s="246">
        <v>0</v>
      </c>
      <c r="H36" s="114">
        <f t="shared" si="0"/>
        <v>-1</v>
      </c>
    </row>
    <row r="37" spans="1:9" ht="12.75" customHeight="1">
      <c r="A37" s="136">
        <v>1100000</v>
      </c>
      <c r="B37" s="1" t="s">
        <v>430</v>
      </c>
      <c r="C37" s="246">
        <v>-18931219.48</v>
      </c>
      <c r="D37" s="246">
        <v>0</v>
      </c>
      <c r="E37" s="246">
        <v>0</v>
      </c>
      <c r="F37" s="246">
        <v>0</v>
      </c>
      <c r="G37" s="246">
        <v>0</v>
      </c>
      <c r="H37" s="114">
        <f t="shared" si="0"/>
        <v>-18931219.48</v>
      </c>
    </row>
    <row r="38" spans="1:9" ht="12.75" customHeight="1">
      <c r="A38" s="136">
        <v>1160000</v>
      </c>
      <c r="B38" s="1" t="s">
        <v>94</v>
      </c>
      <c r="C38" s="246">
        <v>9807828.4399999995</v>
      </c>
      <c r="D38" s="246">
        <v>0</v>
      </c>
      <c r="E38" s="246">
        <v>0</v>
      </c>
      <c r="F38" s="246">
        <v>0</v>
      </c>
      <c r="G38" s="246">
        <v>0</v>
      </c>
      <c r="H38" s="114">
        <f t="shared" si="0"/>
        <v>9807828.4399999995</v>
      </c>
    </row>
    <row r="39" spans="1:9" ht="12.75" customHeight="1">
      <c r="A39" s="136" t="s">
        <v>95</v>
      </c>
      <c r="B39" s="1" t="s">
        <v>96</v>
      </c>
      <c r="C39" s="246">
        <v>0</v>
      </c>
      <c r="D39" s="246">
        <v>0</v>
      </c>
      <c r="E39" s="246">
        <v>0</v>
      </c>
      <c r="F39" s="246">
        <v>0</v>
      </c>
      <c r="G39" s="246">
        <v>0</v>
      </c>
      <c r="H39" s="114">
        <f t="shared" si="0"/>
        <v>0</v>
      </c>
    </row>
    <row r="40" spans="1:9" ht="12.75" customHeight="1">
      <c r="A40" s="1" t="s">
        <v>359</v>
      </c>
      <c r="C40" s="246">
        <v>0</v>
      </c>
      <c r="H40" s="114">
        <f t="shared" si="0"/>
        <v>0</v>
      </c>
    </row>
    <row r="41" spans="1:9" ht="12.75" customHeight="1">
      <c r="C41" s="246">
        <v>0</v>
      </c>
      <c r="H41" s="114">
        <f t="shared" si="0"/>
        <v>0</v>
      </c>
    </row>
    <row r="42" spans="1:9" ht="12.75" customHeight="1">
      <c r="A42" s="136">
        <v>1930001</v>
      </c>
      <c r="B42" s="1" t="s">
        <v>104</v>
      </c>
      <c r="C42" s="246">
        <v>-130000000</v>
      </c>
      <c r="E42" s="246">
        <v>0</v>
      </c>
      <c r="F42" s="246">
        <v>0</v>
      </c>
      <c r="G42" s="246">
        <v>-38066125.810000002</v>
      </c>
      <c r="H42" s="114">
        <f t="shared" si="0"/>
        <v>-168066125.81</v>
      </c>
    </row>
    <row r="43" spans="1:9" ht="12.75" customHeight="1">
      <c r="A43" s="136" t="s">
        <v>107</v>
      </c>
      <c r="B43" s="1" t="s">
        <v>108</v>
      </c>
      <c r="C43" s="246">
        <v>26428900.850000001</v>
      </c>
      <c r="D43" s="249">
        <v>979503.98</v>
      </c>
      <c r="E43" s="249">
        <v>948219.98</v>
      </c>
      <c r="F43" s="249">
        <v>601183.98</v>
      </c>
      <c r="G43" s="249">
        <v>-505383.17</v>
      </c>
      <c r="H43" s="114">
        <f t="shared" si="0"/>
        <v>28452425.620000001</v>
      </c>
    </row>
    <row r="44" spans="1:9" ht="12.75" customHeight="1">
      <c r="A44" s="136">
        <v>1930200</v>
      </c>
      <c r="B44" s="1" t="s">
        <v>538</v>
      </c>
      <c r="C44" s="246">
        <v>0</v>
      </c>
      <c r="D44" s="249">
        <v>0</v>
      </c>
      <c r="E44" s="249">
        <v>0</v>
      </c>
      <c r="F44" s="249">
        <v>0</v>
      </c>
      <c r="G44" s="249">
        <v>2515600.0099999998</v>
      </c>
      <c r="H44" s="114">
        <f t="shared" si="0"/>
        <v>2515600.0099999998</v>
      </c>
    </row>
    <row r="45" spans="1:9" ht="12.75" customHeight="1">
      <c r="A45" s="1" t="s">
        <v>362</v>
      </c>
      <c r="C45" s="246">
        <v>0</v>
      </c>
      <c r="H45" s="114">
        <f t="shared" si="0"/>
        <v>0</v>
      </c>
    </row>
    <row r="46" spans="1:9" ht="12.75" customHeight="1">
      <c r="C46" s="246">
        <v>0</v>
      </c>
      <c r="H46" s="114">
        <f t="shared" si="0"/>
        <v>0</v>
      </c>
    </row>
    <row r="47" spans="1:9" ht="12.75" customHeight="1">
      <c r="A47" s="136" t="s">
        <v>121</v>
      </c>
      <c r="B47" s="1" t="s">
        <v>122</v>
      </c>
      <c r="C47" s="246">
        <v>-542176.97</v>
      </c>
      <c r="D47" s="175">
        <v>-26012.240000000002</v>
      </c>
      <c r="E47" s="175">
        <v>394615.53</v>
      </c>
      <c r="F47" s="251">
        <v>-403705.29</v>
      </c>
      <c r="G47" s="175">
        <v>373379.74</v>
      </c>
      <c r="H47" s="114">
        <f t="shared" si="0"/>
        <v>-203899.22999999998</v>
      </c>
      <c r="I47" s="1" t="s">
        <v>539</v>
      </c>
    </row>
    <row r="48" spans="1:9" ht="12.75" customHeight="1">
      <c r="A48" s="136" t="s">
        <v>123</v>
      </c>
      <c r="B48" s="1" t="s">
        <v>124</v>
      </c>
      <c r="C48" s="246">
        <v>0</v>
      </c>
      <c r="D48" s="246">
        <v>-12100</v>
      </c>
      <c r="E48" s="246">
        <v>0</v>
      </c>
      <c r="F48" s="246">
        <v>-24200</v>
      </c>
      <c r="G48" s="246">
        <v>-856680</v>
      </c>
      <c r="H48" s="114">
        <f t="shared" si="0"/>
        <v>-892980</v>
      </c>
      <c r="I48" s="1" t="s">
        <v>540</v>
      </c>
    </row>
    <row r="49" spans="1:9" ht="12.75" customHeight="1">
      <c r="A49" s="1" t="s">
        <v>363</v>
      </c>
      <c r="C49" s="246">
        <v>0</v>
      </c>
      <c r="H49" s="114">
        <f t="shared" si="0"/>
        <v>0</v>
      </c>
    </row>
    <row r="50" spans="1:9" ht="12.75" customHeight="1">
      <c r="C50" s="246">
        <v>0</v>
      </c>
      <c r="H50" s="114">
        <f t="shared" si="0"/>
        <v>0</v>
      </c>
    </row>
    <row r="51" spans="1:9" ht="12.75" customHeight="1">
      <c r="A51" s="136" t="s">
        <v>129</v>
      </c>
      <c r="B51" s="1" t="s">
        <v>130</v>
      </c>
      <c r="C51" s="246">
        <v>-5124.91</v>
      </c>
      <c r="D51" s="246">
        <v>525.91</v>
      </c>
      <c r="E51" s="246">
        <v>101.01</v>
      </c>
      <c r="F51" s="246">
        <v>-230.48</v>
      </c>
      <c r="G51" s="246">
        <v>-1084.99</v>
      </c>
      <c r="H51" s="114">
        <f t="shared" si="0"/>
        <v>-5813.4599999999991</v>
      </c>
      <c r="I51" s="1" t="s">
        <v>541</v>
      </c>
    </row>
    <row r="52" spans="1:9" ht="12.75" customHeight="1">
      <c r="A52" s="136" t="s">
        <v>133</v>
      </c>
      <c r="B52" s="1" t="s">
        <v>134</v>
      </c>
      <c r="C52" s="246">
        <v>0</v>
      </c>
      <c r="D52" s="246">
        <v>0</v>
      </c>
      <c r="E52" s="246">
        <v>0</v>
      </c>
      <c r="F52" s="246">
        <v>0</v>
      </c>
      <c r="G52" s="246">
        <v>0</v>
      </c>
      <c r="H52" s="114">
        <f t="shared" si="0"/>
        <v>0</v>
      </c>
    </row>
    <row r="53" spans="1:9" ht="12.75" customHeight="1">
      <c r="A53" s="136" t="s">
        <v>137</v>
      </c>
      <c r="B53" s="1" t="s">
        <v>138</v>
      </c>
      <c r="C53" s="246">
        <v>0</v>
      </c>
      <c r="D53" s="246">
        <v>0</v>
      </c>
      <c r="E53" s="246">
        <v>0</v>
      </c>
      <c r="F53" s="246">
        <v>0</v>
      </c>
      <c r="G53" s="246">
        <v>0</v>
      </c>
      <c r="H53" s="114">
        <f t="shared" si="0"/>
        <v>0</v>
      </c>
    </row>
    <row r="54" spans="1:9" ht="12.75" customHeight="1">
      <c r="A54" s="1" t="s">
        <v>366</v>
      </c>
      <c r="C54" s="246">
        <v>0</v>
      </c>
      <c r="H54" s="114">
        <f t="shared" si="0"/>
        <v>0</v>
      </c>
    </row>
    <row r="55" spans="1:9" ht="12.75" customHeight="1">
      <c r="C55" s="246">
        <v>0</v>
      </c>
      <c r="H55" s="114">
        <f>SUM(C55:G55)</f>
        <v>0</v>
      </c>
    </row>
    <row r="56" spans="1:9" ht="12.75" customHeight="1">
      <c r="A56" s="136">
        <v>2600000</v>
      </c>
      <c r="B56" s="1" t="s">
        <v>542</v>
      </c>
      <c r="C56" s="246">
        <v>0</v>
      </c>
      <c r="D56" s="246">
        <v>0</v>
      </c>
      <c r="E56" s="246">
        <v>0</v>
      </c>
      <c r="F56" s="246">
        <v>0</v>
      </c>
      <c r="G56" s="246">
        <v>-100000</v>
      </c>
      <c r="H56" s="161">
        <f>SUM(C56:G56)</f>
        <v>-100000</v>
      </c>
    </row>
    <row r="57" spans="1:9" ht="12.75" customHeight="1">
      <c r="A57" s="136" t="s">
        <v>543</v>
      </c>
    </row>
    <row r="58" spans="1:9" ht="12.75" customHeight="1">
      <c r="C58" s="246">
        <v>0</v>
      </c>
      <c r="H58" s="114">
        <f t="shared" si="0"/>
        <v>0</v>
      </c>
    </row>
    <row r="59" spans="1:9" ht="12.75" customHeight="1">
      <c r="A59" s="136">
        <v>2740100</v>
      </c>
      <c r="B59" s="1" t="s">
        <v>492</v>
      </c>
      <c r="C59" s="246">
        <v>-153626.25</v>
      </c>
      <c r="D59" s="246">
        <v>42167.89</v>
      </c>
      <c r="E59" s="246">
        <v>-796644.01</v>
      </c>
      <c r="F59" s="246">
        <v>-105259.43</v>
      </c>
      <c r="G59" s="246">
        <v>129016.66</v>
      </c>
      <c r="H59" s="114">
        <f t="shared" si="0"/>
        <v>-884345.14</v>
      </c>
    </row>
    <row r="60" spans="1:9" ht="12.75" customHeight="1">
      <c r="A60" s="136" t="s">
        <v>141</v>
      </c>
      <c r="B60" s="1" t="s">
        <v>142</v>
      </c>
      <c r="C60" s="246">
        <v>-806446.11</v>
      </c>
      <c r="D60" s="246">
        <v>-10419.51</v>
      </c>
      <c r="E60" s="246">
        <v>-23268.06</v>
      </c>
      <c r="F60" s="246">
        <v>-3189.54</v>
      </c>
      <c r="G60" s="246">
        <v>-29141.32</v>
      </c>
      <c r="H60" s="114">
        <f t="shared" si="0"/>
        <v>-872464.54</v>
      </c>
    </row>
    <row r="61" spans="1:9" ht="12.75" customHeight="1">
      <c r="A61" s="136">
        <v>2740500</v>
      </c>
      <c r="B61" s="1" t="s">
        <v>144</v>
      </c>
      <c r="C61" s="246">
        <v>-22500</v>
      </c>
      <c r="D61" s="246">
        <v>0</v>
      </c>
      <c r="E61" s="246">
        <v>0</v>
      </c>
      <c r="F61" s="246">
        <v>0</v>
      </c>
      <c r="G61" s="246">
        <v>0</v>
      </c>
      <c r="H61" s="114">
        <f t="shared" si="0"/>
        <v>-22500</v>
      </c>
    </row>
    <row r="62" spans="1:9" ht="12.75" customHeight="1">
      <c r="A62" s="136" t="s">
        <v>145</v>
      </c>
      <c r="B62" s="1" t="s">
        <v>146</v>
      </c>
      <c r="C62" s="246">
        <v>0</v>
      </c>
      <c r="D62" s="246">
        <v>0</v>
      </c>
      <c r="E62" s="246">
        <v>0</v>
      </c>
      <c r="F62" s="246">
        <v>0</v>
      </c>
      <c r="G62" s="246">
        <v>0</v>
      </c>
      <c r="H62" s="114">
        <f t="shared" si="0"/>
        <v>0</v>
      </c>
    </row>
    <row r="63" spans="1:9" ht="12.75" customHeight="1">
      <c r="A63" s="136" t="s">
        <v>367</v>
      </c>
      <c r="B63" s="1" t="s">
        <v>368</v>
      </c>
      <c r="C63" s="246">
        <v>0</v>
      </c>
      <c r="D63" s="246">
        <v>0</v>
      </c>
      <c r="E63" s="246">
        <v>0</v>
      </c>
      <c r="F63" s="246">
        <v>0</v>
      </c>
      <c r="G63" s="246">
        <v>0</v>
      </c>
      <c r="H63" s="114">
        <f t="shared" si="0"/>
        <v>0</v>
      </c>
    </row>
    <row r="64" spans="1:9" ht="12.75" customHeight="1">
      <c r="A64" s="136" t="s">
        <v>147</v>
      </c>
      <c r="B64" s="1" t="s">
        <v>148</v>
      </c>
      <c r="C64" s="246">
        <v>-13459.78</v>
      </c>
      <c r="D64" s="246">
        <v>234253.32</v>
      </c>
      <c r="E64" s="246">
        <v>-73597.84</v>
      </c>
      <c r="F64" s="246">
        <v>-73597.86</v>
      </c>
      <c r="G64" s="246">
        <v>-68638.59</v>
      </c>
      <c r="H64" s="114">
        <f t="shared" si="0"/>
        <v>4959.2500000000146</v>
      </c>
    </row>
    <row r="65" spans="1:8" ht="12.75" customHeight="1">
      <c r="A65" s="136" t="s">
        <v>149</v>
      </c>
      <c r="B65" s="1" t="s">
        <v>150</v>
      </c>
      <c r="C65" s="246">
        <v>-1149.1300000000001</v>
      </c>
      <c r="D65" s="246">
        <v>1149</v>
      </c>
      <c r="E65" s="246">
        <v>0</v>
      </c>
      <c r="F65" s="246">
        <v>0</v>
      </c>
      <c r="G65" s="246">
        <v>0</v>
      </c>
      <c r="H65" s="114">
        <f t="shared" si="0"/>
        <v>-0.13000000000010914</v>
      </c>
    </row>
    <row r="66" spans="1:8" ht="12.75" customHeight="1">
      <c r="A66" s="136" t="s">
        <v>151</v>
      </c>
      <c r="B66" s="1" t="s">
        <v>152</v>
      </c>
      <c r="C66" s="246">
        <v>-392.3</v>
      </c>
      <c r="D66" s="246">
        <v>392</v>
      </c>
      <c r="E66" s="246">
        <v>0</v>
      </c>
      <c r="F66" s="246">
        <v>0</v>
      </c>
      <c r="G66" s="246">
        <v>0</v>
      </c>
      <c r="H66" s="114">
        <f t="shared" si="0"/>
        <v>-0.30000000000001137</v>
      </c>
    </row>
    <row r="67" spans="1:8" ht="12.75" customHeight="1">
      <c r="A67" s="136" t="s">
        <v>155</v>
      </c>
      <c r="B67" s="1" t="s">
        <v>156</v>
      </c>
      <c r="C67" s="246">
        <v>-40749.629999999997</v>
      </c>
      <c r="D67" s="246">
        <v>-40947</v>
      </c>
      <c r="E67" s="246">
        <v>-123710.23</v>
      </c>
      <c r="F67" s="246">
        <v>79630.240000000005</v>
      </c>
      <c r="G67" s="246">
        <v>-84767.4</v>
      </c>
      <c r="H67" s="114">
        <f t="shared" si="0"/>
        <v>-210544.01999999996</v>
      </c>
    </row>
    <row r="68" spans="1:8" ht="12.75" customHeight="1">
      <c r="A68" s="136" t="s">
        <v>157</v>
      </c>
      <c r="B68" s="1" t="s">
        <v>158</v>
      </c>
      <c r="C68" s="246">
        <v>0</v>
      </c>
      <c r="D68" s="246">
        <v>0</v>
      </c>
      <c r="E68" s="246">
        <v>0</v>
      </c>
      <c r="F68" s="246">
        <v>0</v>
      </c>
      <c r="G68" s="246">
        <v>0</v>
      </c>
      <c r="H68" s="114">
        <f t="shared" si="0"/>
        <v>0</v>
      </c>
    </row>
    <row r="69" spans="1:8" ht="12.75" customHeight="1">
      <c r="A69" s="136" t="s">
        <v>159</v>
      </c>
      <c r="B69" s="1" t="s">
        <v>494</v>
      </c>
      <c r="C69" s="246">
        <v>20000</v>
      </c>
      <c r="D69" s="246">
        <v>0</v>
      </c>
      <c r="E69" s="246">
        <v>-20000</v>
      </c>
      <c r="F69" s="246">
        <v>20000</v>
      </c>
      <c r="G69" s="246">
        <v>0</v>
      </c>
      <c r="H69" s="114">
        <f t="shared" si="0"/>
        <v>20000</v>
      </c>
    </row>
    <row r="70" spans="1:8" ht="12.75" customHeight="1">
      <c r="A70" s="136" t="s">
        <v>161</v>
      </c>
      <c r="B70" s="1" t="s">
        <v>162</v>
      </c>
      <c r="C70" s="246">
        <v>0</v>
      </c>
      <c r="D70" s="246">
        <v>0</v>
      </c>
      <c r="E70" s="246">
        <v>0</v>
      </c>
      <c r="F70" s="246">
        <v>0</v>
      </c>
      <c r="H70" s="114">
        <f t="shared" si="0"/>
        <v>0</v>
      </c>
    </row>
    <row r="71" spans="1:8" ht="12.75" customHeight="1">
      <c r="A71" s="136" t="s">
        <v>163</v>
      </c>
      <c r="B71" s="1" t="s">
        <v>164</v>
      </c>
      <c r="C71" s="246">
        <v>0</v>
      </c>
      <c r="D71" s="246">
        <v>0</v>
      </c>
      <c r="E71" s="246">
        <v>0</v>
      </c>
      <c r="F71" s="246">
        <v>0</v>
      </c>
      <c r="H71" s="114">
        <f t="shared" si="0"/>
        <v>0</v>
      </c>
    </row>
    <row r="72" spans="1:8" ht="12.75" customHeight="1">
      <c r="A72" s="1" t="s">
        <v>369</v>
      </c>
      <c r="C72" s="246">
        <v>0</v>
      </c>
      <c r="H72" s="114">
        <f t="shared" si="0"/>
        <v>0</v>
      </c>
    </row>
    <row r="73" spans="1:8" ht="12.75" customHeight="1">
      <c r="H73" s="114">
        <f t="shared" si="0"/>
        <v>0</v>
      </c>
    </row>
    <row r="74" spans="1:8" ht="12.75" customHeight="1">
      <c r="H74" s="114">
        <f t="shared" ref="H74:H135" si="1">SUM(C74:G74)</f>
        <v>0</v>
      </c>
    </row>
    <row r="75" spans="1:8" ht="12.75" customHeight="1">
      <c r="A75" s="138" t="s">
        <v>370</v>
      </c>
      <c r="H75" s="114">
        <f t="shared" si="1"/>
        <v>0</v>
      </c>
    </row>
    <row r="76" spans="1:8" ht="12.75" customHeight="1">
      <c r="A76" s="136" t="s">
        <v>174</v>
      </c>
      <c r="B76" s="1" t="s">
        <v>175</v>
      </c>
      <c r="D76" s="246">
        <v>-2870089</v>
      </c>
      <c r="E76" s="246">
        <v>-2871329.16</v>
      </c>
      <c r="F76" s="246">
        <v>-2944242.41</v>
      </c>
      <c r="G76" s="246">
        <v>-2950963.19</v>
      </c>
      <c r="H76" s="114">
        <f>SUM(C76:G76)</f>
        <v>-11636623.76</v>
      </c>
    </row>
    <row r="77" spans="1:8" ht="12.75" customHeight="1">
      <c r="A77" s="136" t="s">
        <v>176</v>
      </c>
      <c r="B77" s="1" t="s">
        <v>177</v>
      </c>
      <c r="D77" s="246">
        <v>32888</v>
      </c>
      <c r="E77" s="246">
        <v>39968.65</v>
      </c>
      <c r="F77" s="246">
        <v>55228.45</v>
      </c>
      <c r="G77" s="246">
        <v>59011.37</v>
      </c>
      <c r="H77" s="114">
        <f>SUM(C77:G77)</f>
        <v>187096.47</v>
      </c>
    </row>
    <row r="78" spans="1:8" ht="12.75" customHeight="1">
      <c r="A78" s="1" t="s">
        <v>381</v>
      </c>
      <c r="D78" s="246">
        <f>SUM(D76:D77)</f>
        <v>-2837201</v>
      </c>
      <c r="E78" s="246">
        <f>SUM(E76:E77)</f>
        <v>-2831360.5100000002</v>
      </c>
      <c r="F78" s="246">
        <f>SUM(F76:F77)</f>
        <v>-2889013.96</v>
      </c>
      <c r="G78" s="246">
        <f>G76+G77</f>
        <v>-2891951.82</v>
      </c>
      <c r="H78" s="114">
        <f>SUM(C78:G78)</f>
        <v>-11449527.289999999</v>
      </c>
    </row>
    <row r="79" spans="1:8" ht="12.75" customHeight="1">
      <c r="H79" s="114">
        <f t="shared" si="1"/>
        <v>0</v>
      </c>
    </row>
    <row r="80" spans="1:8" ht="12.75" customHeight="1">
      <c r="A80" s="136">
        <v>8400400</v>
      </c>
      <c r="B80" s="1" t="s">
        <v>515</v>
      </c>
      <c r="D80" s="246">
        <v>-13460</v>
      </c>
      <c r="E80" s="246">
        <v>0</v>
      </c>
      <c r="H80" s="114">
        <f t="shared" si="1"/>
        <v>-13460</v>
      </c>
    </row>
    <row r="81" spans="1:9" ht="12.75" customHeight="1">
      <c r="A81" s="136" t="s">
        <v>182</v>
      </c>
      <c r="B81" s="1" t="s">
        <v>183</v>
      </c>
      <c r="D81" s="246">
        <v>-164313</v>
      </c>
      <c r="E81" s="246">
        <v>-164598.62</v>
      </c>
      <c r="F81" s="246">
        <v>-350659.51</v>
      </c>
      <c r="G81" s="246">
        <v>-165044.01999999999</v>
      </c>
      <c r="H81" s="114">
        <f t="shared" si="1"/>
        <v>-844615.15</v>
      </c>
    </row>
    <row r="82" spans="1:9" ht="12.75" customHeight="1">
      <c r="A82" s="136" t="s">
        <v>184</v>
      </c>
      <c r="B82" s="1" t="s">
        <v>185</v>
      </c>
      <c r="D82" s="246">
        <v>1453</v>
      </c>
      <c r="E82" s="246">
        <v>6011.91</v>
      </c>
      <c r="F82" s="246">
        <v>7008.0439999999999</v>
      </c>
      <c r="G82" s="246">
        <v>1527.68</v>
      </c>
      <c r="H82" s="114">
        <f t="shared" si="1"/>
        <v>16000.634</v>
      </c>
    </row>
    <row r="83" spans="1:9" ht="12.75" customHeight="1">
      <c r="A83" s="136" t="s">
        <v>186</v>
      </c>
      <c r="B83" s="1" t="s">
        <v>187</v>
      </c>
      <c r="D83" s="246">
        <v>271928</v>
      </c>
      <c r="E83" s="246">
        <v>195259.97</v>
      </c>
      <c r="F83" s="246">
        <v>239859.03</v>
      </c>
      <c r="G83" s="175">
        <v>217604.78</v>
      </c>
      <c r="H83" s="114">
        <f t="shared" si="1"/>
        <v>924651.78</v>
      </c>
    </row>
    <row r="84" spans="1:9" ht="12.75" customHeight="1">
      <c r="A84" s="1" t="s">
        <v>382</v>
      </c>
      <c r="D84" s="246">
        <f>SUM(D80:D83)</f>
        <v>95608</v>
      </c>
      <c r="E84" s="246">
        <f>SUM(E80:E83)</f>
        <v>36673.260000000009</v>
      </c>
      <c r="F84" s="246">
        <f>SUM(F80:F83)</f>
        <v>-103792.43600000002</v>
      </c>
      <c r="G84" s="246">
        <f>SUM(G80:G83)</f>
        <v>54088.44</v>
      </c>
      <c r="H84" s="114">
        <f>SUM(C84:G84)</f>
        <v>82577.263999999996</v>
      </c>
    </row>
    <row r="85" spans="1:9" ht="12.75" customHeight="1">
      <c r="H85" s="114">
        <f t="shared" si="1"/>
        <v>0</v>
      </c>
    </row>
    <row r="86" spans="1:9" ht="12.75" customHeight="1">
      <c r="A86" s="136" t="s">
        <v>198</v>
      </c>
      <c r="B86" s="1" t="s">
        <v>199</v>
      </c>
      <c r="D86" s="246">
        <v>121679.67999999999</v>
      </c>
      <c r="E86" s="246">
        <v>121956.77</v>
      </c>
      <c r="F86" s="246">
        <v>124885.89</v>
      </c>
      <c r="G86" s="246">
        <v>83465.509999999995</v>
      </c>
      <c r="H86" s="114">
        <f t="shared" si="1"/>
        <v>451987.85000000003</v>
      </c>
      <c r="I86" s="1" t="s">
        <v>544</v>
      </c>
    </row>
    <row r="87" spans="1:9" ht="12.75" customHeight="1">
      <c r="A87" s="1" t="s">
        <v>408</v>
      </c>
      <c r="D87" s="246">
        <f>SUM(D86)</f>
        <v>121679.67999999999</v>
      </c>
      <c r="E87" s="246">
        <f>SUM(E86)</f>
        <v>121956.77</v>
      </c>
      <c r="F87" s="246">
        <f>SUM(F86)</f>
        <v>124885.89</v>
      </c>
      <c r="G87" s="246">
        <f>SUM(G86)</f>
        <v>83465.509999999995</v>
      </c>
      <c r="H87" s="114">
        <f>SUM(C87:G87)</f>
        <v>451987.85000000003</v>
      </c>
    </row>
    <row r="88" spans="1:9" ht="12.75" customHeight="1">
      <c r="H88" s="114">
        <f t="shared" si="1"/>
        <v>0</v>
      </c>
    </row>
    <row r="89" spans="1:9" ht="12.75" customHeight="1">
      <c r="A89" s="136" t="s">
        <v>204</v>
      </c>
      <c r="B89" s="1" t="s">
        <v>205</v>
      </c>
      <c r="D89" s="246">
        <v>682456</v>
      </c>
      <c r="E89" s="246">
        <v>682714</v>
      </c>
      <c r="F89" s="246">
        <v>695326</v>
      </c>
      <c r="G89" s="246">
        <v>707755</v>
      </c>
      <c r="H89" s="114">
        <f t="shared" si="1"/>
        <v>2768251</v>
      </c>
    </row>
    <row r="90" spans="1:9" ht="12.75" customHeight="1">
      <c r="A90" s="136" t="s">
        <v>206</v>
      </c>
      <c r="B90" s="1" t="s">
        <v>207</v>
      </c>
      <c r="D90" s="246">
        <v>-490457</v>
      </c>
      <c r="E90" s="246">
        <v>-423958</v>
      </c>
      <c r="F90" s="246">
        <v>-544596</v>
      </c>
      <c r="G90" s="246">
        <v>-181985</v>
      </c>
      <c r="H90" s="114">
        <f t="shared" si="1"/>
        <v>-1640996</v>
      </c>
    </row>
    <row r="91" spans="1:9" ht="12.75" customHeight="1">
      <c r="A91" s="1" t="s">
        <v>384</v>
      </c>
      <c r="D91" s="246">
        <f>SUM(D89:D90)</f>
        <v>191999</v>
      </c>
      <c r="E91" s="246">
        <f>SUM(E89:E90)</f>
        <v>258756</v>
      </c>
      <c r="F91" s="246">
        <f>SUM(F89:F90)</f>
        <v>150730</v>
      </c>
      <c r="G91" s="246">
        <f>SUM(G89:G90)</f>
        <v>525770</v>
      </c>
      <c r="H91" s="114">
        <f t="shared" si="1"/>
        <v>1127255</v>
      </c>
    </row>
    <row r="93" spans="1:9" ht="12.75" customHeight="1">
      <c r="A93" s="136" t="s">
        <v>210</v>
      </c>
      <c r="B93" s="1" t="s">
        <v>211</v>
      </c>
      <c r="D93" s="246">
        <v>178607</v>
      </c>
      <c r="E93" s="246">
        <v>230456.52</v>
      </c>
      <c r="F93" s="246">
        <v>205277.39</v>
      </c>
      <c r="G93" s="246">
        <f>284202.8-L2</f>
        <v>243481.8</v>
      </c>
      <c r="H93" s="114">
        <f t="shared" si="1"/>
        <v>857822.71</v>
      </c>
    </row>
    <row r="94" spans="1:9" ht="12.75" customHeight="1">
      <c r="A94" s="136" t="s">
        <v>212</v>
      </c>
      <c r="B94" s="1" t="s">
        <v>213</v>
      </c>
      <c r="D94" s="246">
        <v>119943.21</v>
      </c>
      <c r="E94" s="246">
        <v>119943.22</v>
      </c>
      <c r="F94" s="246">
        <v>119943.23</v>
      </c>
      <c r="G94" s="246">
        <v>119943.23</v>
      </c>
      <c r="H94" s="114">
        <f t="shared" si="1"/>
        <v>479772.88999999996</v>
      </c>
    </row>
    <row r="95" spans="1:9" ht="12.75" customHeight="1">
      <c r="A95" s="136" t="s">
        <v>214</v>
      </c>
      <c r="B95" s="1" t="s">
        <v>215</v>
      </c>
      <c r="D95" s="246">
        <v>54979.46</v>
      </c>
      <c r="E95" s="246">
        <v>61017.04</v>
      </c>
      <c r="F95" s="246">
        <v>70988.5</v>
      </c>
      <c r="G95" s="246">
        <v>55883.99</v>
      </c>
      <c r="H95" s="114">
        <f>SUM(C95:G95)</f>
        <v>242868.99</v>
      </c>
    </row>
    <row r="96" spans="1:9" ht="12.75" customHeight="1">
      <c r="A96" s="136" t="s">
        <v>216</v>
      </c>
      <c r="B96" s="1" t="s">
        <v>217</v>
      </c>
      <c r="D96" s="246">
        <v>167096</v>
      </c>
      <c r="E96" s="246">
        <v>146899.4</v>
      </c>
      <c r="F96" s="246">
        <v>135095.91</v>
      </c>
      <c r="G96" s="246">
        <v>105866.95</v>
      </c>
      <c r="H96" s="114">
        <f t="shared" si="1"/>
        <v>554958.26</v>
      </c>
    </row>
    <row r="97" spans="1:8" ht="12.75" customHeight="1">
      <c r="A97" s="136" t="s">
        <v>218</v>
      </c>
      <c r="B97" s="1" t="s">
        <v>219</v>
      </c>
      <c r="D97" s="246">
        <v>17584.71</v>
      </c>
      <c r="E97" s="246">
        <v>22504.3</v>
      </c>
      <c r="F97" s="246">
        <v>26095.63</v>
      </c>
      <c r="G97" s="246">
        <v>18190.919999999998</v>
      </c>
      <c r="H97" s="114">
        <f t="shared" si="1"/>
        <v>84375.56</v>
      </c>
    </row>
    <row r="98" spans="1:8" ht="12.75" customHeight="1">
      <c r="A98" s="136" t="s">
        <v>220</v>
      </c>
      <c r="B98" s="1" t="s">
        <v>221</v>
      </c>
      <c r="D98" s="246">
        <v>14743.33</v>
      </c>
      <c r="E98" s="246">
        <v>24087.56</v>
      </c>
      <c r="F98" s="246">
        <v>28638.46</v>
      </c>
      <c r="G98" s="246">
        <v>15453.02</v>
      </c>
      <c r="H98" s="114">
        <f t="shared" si="1"/>
        <v>82922.37000000001</v>
      </c>
    </row>
    <row r="99" spans="1:8" ht="12.75" customHeight="1">
      <c r="A99" s="136" t="s">
        <v>385</v>
      </c>
      <c r="B99" s="1" t="s">
        <v>386</v>
      </c>
      <c r="E99" s="246">
        <v>0</v>
      </c>
      <c r="F99" s="246">
        <v>0</v>
      </c>
      <c r="G99" s="246">
        <v>0</v>
      </c>
      <c r="H99" s="114">
        <f t="shared" si="1"/>
        <v>0</v>
      </c>
    </row>
    <row r="100" spans="1:8" ht="12.75" customHeight="1">
      <c r="A100" s="136" t="s">
        <v>431</v>
      </c>
      <c r="B100" s="1" t="s">
        <v>412</v>
      </c>
      <c r="E100" s="246">
        <v>0</v>
      </c>
      <c r="F100" s="246">
        <v>0</v>
      </c>
      <c r="G100" s="246">
        <v>0</v>
      </c>
      <c r="H100" s="114">
        <f t="shared" si="1"/>
        <v>0</v>
      </c>
    </row>
    <row r="101" spans="1:8" ht="12.75" customHeight="1">
      <c r="A101" s="1" t="s">
        <v>387</v>
      </c>
      <c r="D101" s="246">
        <f>SUM(D93:D100)</f>
        <v>552953.71</v>
      </c>
      <c r="E101" s="246">
        <f>SUM(E93:E100)</f>
        <v>604908.04</v>
      </c>
      <c r="F101" s="246">
        <f>SUM(F93:F100)</f>
        <v>586039.12</v>
      </c>
      <c r="G101" s="246">
        <f>SUM(G93:G100)</f>
        <v>558819.91</v>
      </c>
      <c r="H101" s="114">
        <f t="shared" si="1"/>
        <v>2302720.7800000003</v>
      </c>
    </row>
    <row r="103" spans="1:8" ht="12.75" customHeight="1">
      <c r="A103" s="136" t="s">
        <v>432</v>
      </c>
      <c r="B103" s="1" t="s">
        <v>433</v>
      </c>
      <c r="D103" s="246">
        <v>0</v>
      </c>
      <c r="E103" s="246">
        <v>0</v>
      </c>
      <c r="F103" s="246">
        <v>0</v>
      </c>
      <c r="G103" s="246">
        <v>0</v>
      </c>
      <c r="H103" s="114">
        <f t="shared" si="1"/>
        <v>0</v>
      </c>
    </row>
    <row r="104" spans="1:8" ht="12.75" customHeight="1">
      <c r="A104" s="136" t="s">
        <v>434</v>
      </c>
      <c r="B104" s="1" t="s">
        <v>413</v>
      </c>
      <c r="D104" s="246">
        <v>0</v>
      </c>
      <c r="E104" s="246">
        <v>0</v>
      </c>
      <c r="F104" s="246">
        <v>0</v>
      </c>
      <c r="G104" s="246">
        <v>0</v>
      </c>
      <c r="H104" s="114">
        <f t="shared" si="1"/>
        <v>0</v>
      </c>
    </row>
    <row r="105" spans="1:8" ht="12.75" customHeight="1">
      <c r="A105" s="136" t="s">
        <v>226</v>
      </c>
      <c r="B105" s="1" t="s">
        <v>227</v>
      </c>
      <c r="D105" s="246">
        <v>-3681</v>
      </c>
      <c r="E105" s="246">
        <v>1678.58</v>
      </c>
      <c r="F105" s="246">
        <v>765.92</v>
      </c>
      <c r="G105" s="246">
        <v>-156.08000000000001</v>
      </c>
      <c r="H105" s="114">
        <f t="shared" si="1"/>
        <v>-1392.58</v>
      </c>
    </row>
    <row r="106" spans="1:8" ht="12.75" customHeight="1">
      <c r="A106" s="1" t="s">
        <v>388</v>
      </c>
      <c r="D106" s="246">
        <f>SUM(D103:D105)</f>
        <v>-3681</v>
      </c>
      <c r="E106" s="246">
        <f>SUM(E103:E105)</f>
        <v>1678.58</v>
      </c>
      <c r="F106" s="246">
        <f>SUM(F103:F105)</f>
        <v>765.92</v>
      </c>
      <c r="G106" s="246">
        <f>SUM(G103:G105)</f>
        <v>-156.08000000000001</v>
      </c>
      <c r="H106" s="114">
        <f t="shared" si="1"/>
        <v>-1392.58</v>
      </c>
    </row>
    <row r="107" spans="1:8" ht="12.75" customHeight="1">
      <c r="H107" s="114">
        <f t="shared" si="1"/>
        <v>0</v>
      </c>
    </row>
    <row r="108" spans="1:8" ht="12.75" customHeight="1">
      <c r="A108" s="136" t="s">
        <v>230</v>
      </c>
      <c r="B108" s="1" t="s">
        <v>231</v>
      </c>
      <c r="D108" s="246">
        <v>307</v>
      </c>
      <c r="E108" s="246">
        <v>300</v>
      </c>
      <c r="F108" s="246">
        <v>600</v>
      </c>
      <c r="G108" s="246">
        <v>0</v>
      </c>
      <c r="H108" s="114">
        <f t="shared" si="1"/>
        <v>1207</v>
      </c>
    </row>
    <row r="109" spans="1:8" ht="12.75" customHeight="1">
      <c r="A109" s="1" t="s">
        <v>389</v>
      </c>
      <c r="D109" s="246">
        <f>SUM(D108)</f>
        <v>307</v>
      </c>
      <c r="E109" s="246">
        <f>SUM(E108)</f>
        <v>300</v>
      </c>
      <c r="F109" s="246">
        <f>SUM(F108)</f>
        <v>600</v>
      </c>
      <c r="G109" s="246">
        <v>0</v>
      </c>
      <c r="H109" s="114">
        <f t="shared" si="1"/>
        <v>1207</v>
      </c>
    </row>
    <row r="110" spans="1:8" ht="12.75" customHeight="1">
      <c r="H110" s="114">
        <f t="shared" si="1"/>
        <v>0</v>
      </c>
    </row>
    <row r="111" spans="1:8" ht="12.75" customHeight="1">
      <c r="A111" s="136" t="s">
        <v>435</v>
      </c>
      <c r="B111" s="1" t="s">
        <v>414</v>
      </c>
      <c r="D111" s="246">
        <v>0</v>
      </c>
      <c r="E111" s="246">
        <v>0</v>
      </c>
      <c r="F111" s="246">
        <v>0</v>
      </c>
      <c r="G111" s="246">
        <v>0</v>
      </c>
      <c r="H111" s="114">
        <f t="shared" si="1"/>
        <v>0</v>
      </c>
    </row>
    <row r="112" spans="1:8" ht="12.75" customHeight="1">
      <c r="A112" s="136" t="s">
        <v>234</v>
      </c>
      <c r="B112" s="1" t="s">
        <v>235</v>
      </c>
      <c r="D112" s="246">
        <v>29598.07</v>
      </c>
      <c r="E112" s="246">
        <v>29220.54</v>
      </c>
      <c r="F112" s="246">
        <v>29220.560000000001</v>
      </c>
      <c r="G112" s="246">
        <v>27618.03</v>
      </c>
      <c r="H112" s="114">
        <f t="shared" si="1"/>
        <v>115657.2</v>
      </c>
    </row>
    <row r="113" spans="1:13" ht="12.75" customHeight="1">
      <c r="A113" s="136" t="s">
        <v>236</v>
      </c>
      <c r="B113" s="1" t="s">
        <v>237</v>
      </c>
      <c r="D113" s="246">
        <v>5445</v>
      </c>
      <c r="E113" s="246">
        <v>1815</v>
      </c>
      <c r="F113" s="246">
        <v>1815</v>
      </c>
      <c r="G113" s="246">
        <v>1815</v>
      </c>
      <c r="H113" s="114">
        <f t="shared" si="1"/>
        <v>10890</v>
      </c>
    </row>
    <row r="114" spans="1:13" ht="12.75" customHeight="1">
      <c r="A114" s="136" t="s">
        <v>238</v>
      </c>
      <c r="B114" s="1" t="s">
        <v>239</v>
      </c>
      <c r="D114" s="246">
        <v>4564</v>
      </c>
      <c r="E114" s="246">
        <v>17202.63</v>
      </c>
      <c r="F114" s="246">
        <v>25189.79</v>
      </c>
      <c r="G114" s="246">
        <v>25542.38</v>
      </c>
      <c r="H114" s="114">
        <f t="shared" si="1"/>
        <v>72498.8</v>
      </c>
    </row>
    <row r="115" spans="1:13" ht="12.75" customHeight="1">
      <c r="A115" s="136" t="s">
        <v>240</v>
      </c>
      <c r="B115" s="1" t="s">
        <v>241</v>
      </c>
      <c r="E115" s="246">
        <v>2420</v>
      </c>
      <c r="F115" s="246">
        <v>1210</v>
      </c>
      <c r="G115" s="246">
        <v>1210</v>
      </c>
      <c r="H115" s="114">
        <f t="shared" si="1"/>
        <v>4840</v>
      </c>
    </row>
    <row r="116" spans="1:13" ht="12.75" customHeight="1">
      <c r="A116" s="136" t="s">
        <v>242</v>
      </c>
      <c r="B116" s="1" t="s">
        <v>243</v>
      </c>
      <c r="D116" s="246">
        <v>41825</v>
      </c>
      <c r="E116" s="246">
        <v>56676.4</v>
      </c>
      <c r="F116" s="246">
        <v>51142.69</v>
      </c>
      <c r="G116" s="246">
        <v>61678.68</v>
      </c>
      <c r="H116" s="114">
        <f t="shared" si="1"/>
        <v>211322.77</v>
      </c>
    </row>
    <row r="117" spans="1:13" ht="14.25" customHeight="1">
      <c r="A117" s="136" t="s">
        <v>244</v>
      </c>
      <c r="B117" s="1" t="s">
        <v>245</v>
      </c>
      <c r="D117" s="246">
        <v>901</v>
      </c>
      <c r="E117" s="246">
        <v>11908.13</v>
      </c>
      <c r="F117" s="251">
        <v>36615.64</v>
      </c>
      <c r="G117" s="246">
        <v>85597.43</v>
      </c>
      <c r="H117" s="114">
        <f t="shared" si="1"/>
        <v>135022.19999999998</v>
      </c>
      <c r="I117" s="1" t="s">
        <v>539</v>
      </c>
    </row>
    <row r="118" spans="1:13" ht="12.75" customHeight="1">
      <c r="A118" s="136">
        <v>4311800</v>
      </c>
      <c r="B118" s="1" t="s">
        <v>247</v>
      </c>
      <c r="D118" s="246">
        <v>12100</v>
      </c>
      <c r="E118" s="246">
        <v>10587.5</v>
      </c>
      <c r="F118" s="246">
        <v>24200</v>
      </c>
      <c r="G118" s="246">
        <f>856680-M119</f>
        <v>9680</v>
      </c>
      <c r="H118" s="114">
        <f t="shared" si="1"/>
        <v>56567.5</v>
      </c>
      <c r="M118" s="1" t="s">
        <v>551</v>
      </c>
    </row>
    <row r="119" spans="1:13" ht="12" customHeight="1">
      <c r="A119" s="136" t="s">
        <v>248</v>
      </c>
      <c r="B119" s="1" t="s">
        <v>249</v>
      </c>
      <c r="D119" s="246">
        <v>4218</v>
      </c>
      <c r="E119" s="246">
        <v>3987.94</v>
      </c>
      <c r="F119" s="246">
        <v>3190.89</v>
      </c>
      <c r="G119" s="246">
        <v>230587.08</v>
      </c>
      <c r="H119" s="114">
        <f t="shared" si="1"/>
        <v>241983.90999999997</v>
      </c>
      <c r="M119" s="1">
        <f>363000+363000+121000</f>
        <v>847000</v>
      </c>
    </row>
    <row r="120" spans="1:13" ht="12.75" customHeight="1">
      <c r="A120" s="136" t="s">
        <v>436</v>
      </c>
      <c r="B120" s="1" t="s">
        <v>437</v>
      </c>
      <c r="D120" s="246">
        <v>0</v>
      </c>
      <c r="E120" s="246">
        <v>20000</v>
      </c>
      <c r="F120" s="246">
        <v>20000</v>
      </c>
      <c r="G120" s="246">
        <v>10000</v>
      </c>
      <c r="H120" s="114">
        <f t="shared" si="1"/>
        <v>50000</v>
      </c>
    </row>
    <row r="121" spans="1:13" ht="12.75" customHeight="1">
      <c r="A121" s="136" t="s">
        <v>250</v>
      </c>
      <c r="B121" s="1" t="s">
        <v>251</v>
      </c>
      <c r="D121" s="246">
        <v>550</v>
      </c>
      <c r="E121" s="246">
        <v>1290.22</v>
      </c>
      <c r="F121" s="246">
        <v>1920.61</v>
      </c>
      <c r="G121" s="246">
        <v>-4758.3599999999997</v>
      </c>
      <c r="H121" s="114">
        <f t="shared" si="1"/>
        <v>-997.52999999999975</v>
      </c>
    </row>
    <row r="122" spans="1:13" ht="12.75" customHeight="1">
      <c r="A122" s="1" t="s">
        <v>391</v>
      </c>
      <c r="D122" s="246">
        <f>SUM(D111:D121)</f>
        <v>99201.07</v>
      </c>
      <c r="E122" s="246">
        <f>SUM(E111:E121)</f>
        <v>155108.36000000002</v>
      </c>
      <c r="F122" s="246">
        <f>SUM(F111:F121)</f>
        <v>194505.18</v>
      </c>
      <c r="G122" s="246">
        <f>SUM(G111:G121)</f>
        <v>448970.23999999999</v>
      </c>
      <c r="H122" s="114">
        <f t="shared" si="1"/>
        <v>897784.85</v>
      </c>
    </row>
    <row r="123" spans="1:13" ht="12.75" customHeight="1">
      <c r="H123" s="114">
        <f t="shared" si="1"/>
        <v>0</v>
      </c>
    </row>
    <row r="124" spans="1:13" ht="12.75" customHeight="1">
      <c r="A124" s="136" t="s">
        <v>260</v>
      </c>
      <c r="B124" s="1" t="s">
        <v>261</v>
      </c>
      <c r="D124" s="246">
        <v>401338</v>
      </c>
      <c r="E124" s="246">
        <v>401959.7</v>
      </c>
      <c r="F124" s="246">
        <v>402764.5</v>
      </c>
      <c r="G124" s="246">
        <v>1046415.29</v>
      </c>
      <c r="H124" s="114">
        <f t="shared" si="1"/>
        <v>2252477.4900000002</v>
      </c>
    </row>
    <row r="125" spans="1:13" ht="12.75" customHeight="1">
      <c r="A125" s="136">
        <v>4611000</v>
      </c>
      <c r="B125" s="1" t="s">
        <v>477</v>
      </c>
      <c r="D125" s="246">
        <v>0</v>
      </c>
      <c r="E125" s="246">
        <v>0</v>
      </c>
      <c r="F125" s="246">
        <v>0</v>
      </c>
      <c r="G125" s="246">
        <v>0</v>
      </c>
      <c r="H125" s="114">
        <f t="shared" si="1"/>
        <v>0</v>
      </c>
    </row>
    <row r="126" spans="1:13" ht="12.75" customHeight="1">
      <c r="A126" s="136">
        <v>4630000</v>
      </c>
      <c r="B126" s="1" t="s">
        <v>265</v>
      </c>
      <c r="D126" s="246">
        <v>0</v>
      </c>
      <c r="E126" s="246">
        <v>0</v>
      </c>
      <c r="F126" s="246">
        <v>0</v>
      </c>
      <c r="G126" s="246">
        <v>0</v>
      </c>
      <c r="H126" s="114">
        <f t="shared" si="1"/>
        <v>0</v>
      </c>
    </row>
    <row r="127" spans="1:13" ht="12.75" customHeight="1">
      <c r="A127" s="136" t="s">
        <v>266</v>
      </c>
      <c r="B127" s="1" t="s">
        <v>267</v>
      </c>
      <c r="D127" s="246">
        <v>100023.25</v>
      </c>
      <c r="E127" s="246">
        <v>100452.6</v>
      </c>
      <c r="F127" s="246">
        <v>100805.57</v>
      </c>
      <c r="G127" s="246">
        <f>39866.69+21750</f>
        <v>61616.69</v>
      </c>
      <c r="H127" s="114">
        <f t="shared" si="1"/>
        <v>362898.11000000004</v>
      </c>
    </row>
    <row r="128" spans="1:13" ht="12.75" customHeight="1">
      <c r="A128" s="136">
        <v>4642000</v>
      </c>
      <c r="B128" s="1" t="s">
        <v>462</v>
      </c>
      <c r="D128" s="246">
        <v>0</v>
      </c>
      <c r="E128" s="246">
        <v>0</v>
      </c>
      <c r="F128" s="246">
        <v>0</v>
      </c>
      <c r="G128" s="246">
        <v>0</v>
      </c>
      <c r="H128" s="114">
        <f t="shared" si="1"/>
        <v>0</v>
      </c>
    </row>
    <row r="129" spans="1:9" ht="12.75" customHeight="1">
      <c r="A129" s="136" t="s">
        <v>393</v>
      </c>
      <c r="D129" s="246">
        <f>SUM(D124:D128)</f>
        <v>501361.25</v>
      </c>
      <c r="E129" s="246">
        <f>SUM(E124:E128)</f>
        <v>502412.30000000005</v>
      </c>
      <c r="F129" s="246">
        <f>SUM(F124:F128)</f>
        <v>503570.07</v>
      </c>
      <c r="G129" s="246">
        <f>SUM(G124:G128)</f>
        <v>1108031.98</v>
      </c>
      <c r="H129" s="114">
        <f t="shared" si="1"/>
        <v>2615375.6</v>
      </c>
    </row>
    <row r="130" spans="1:9" ht="12.75" customHeight="1">
      <c r="H130" s="114">
        <f t="shared" si="1"/>
        <v>0</v>
      </c>
    </row>
    <row r="131" spans="1:9" ht="12.75" customHeight="1">
      <c r="A131" s="136">
        <v>9500000</v>
      </c>
      <c r="B131" s="1" t="s">
        <v>456</v>
      </c>
      <c r="D131" s="246">
        <v>0</v>
      </c>
      <c r="E131" s="246">
        <v>0</v>
      </c>
      <c r="F131" s="246">
        <v>0</v>
      </c>
      <c r="G131" s="246">
        <v>0</v>
      </c>
      <c r="H131" s="114">
        <f t="shared" si="1"/>
        <v>0</v>
      </c>
    </row>
    <row r="132" spans="1:9" ht="12.75" customHeight="1">
      <c r="A132" s="136" t="s">
        <v>272</v>
      </c>
      <c r="B132" s="1" t="s">
        <v>273</v>
      </c>
      <c r="D132" s="246">
        <v>-237434</v>
      </c>
      <c r="E132" s="246">
        <v>-121126</v>
      </c>
      <c r="F132" s="246">
        <v>-165568</v>
      </c>
      <c r="G132" s="246">
        <v>-149037</v>
      </c>
      <c r="H132" s="114">
        <f t="shared" si="1"/>
        <v>-673165</v>
      </c>
      <c r="I132" s="1" t="s">
        <v>545</v>
      </c>
    </row>
    <row r="133" spans="1:9" ht="12.75" customHeight="1">
      <c r="A133" s="136">
        <v>9500100</v>
      </c>
      <c r="B133" s="1" t="s">
        <v>438</v>
      </c>
      <c r="D133" s="246">
        <v>0</v>
      </c>
      <c r="E133" s="246">
        <v>0</v>
      </c>
      <c r="F133" s="246">
        <v>0</v>
      </c>
      <c r="G133" s="246">
        <v>0</v>
      </c>
      <c r="H133" s="114">
        <f t="shared" si="1"/>
        <v>0</v>
      </c>
    </row>
    <row r="134" spans="1:9" ht="12.75" customHeight="1">
      <c r="A134" s="136" t="s">
        <v>439</v>
      </c>
      <c r="C134" s="147"/>
      <c r="D134" s="175">
        <f>SUM(D131:D133)</f>
        <v>-237434</v>
      </c>
      <c r="E134" s="175">
        <f>SUM(E131:E132)-2</f>
        <v>-121128</v>
      </c>
      <c r="F134" s="175">
        <f>SUM(F131:F133)</f>
        <v>-165568</v>
      </c>
      <c r="G134" s="175">
        <f>SUM(G131:G133)</f>
        <v>-149037</v>
      </c>
      <c r="H134" s="114">
        <f t="shared" si="1"/>
        <v>-673167</v>
      </c>
    </row>
    <row r="135" spans="1:9" ht="12.75" customHeight="1">
      <c r="H135" s="114">
        <f t="shared" si="1"/>
        <v>0</v>
      </c>
    </row>
    <row r="136" spans="1:9" ht="12.75" customHeight="1">
      <c r="A136" s="1" t="s">
        <v>440</v>
      </c>
      <c r="D136" s="246">
        <f>D78+D84+D87+D91+D101+D106+D109+D122+D129+D134</f>
        <v>-1515206.2899999998</v>
      </c>
      <c r="E136" s="246">
        <f>E78+E84+E87+E91+E101+E106+E109+E122+E129+E134</f>
        <v>-1270695.1999999997</v>
      </c>
      <c r="F136" s="246">
        <f>F78+F84+F87+F91+F101+F106+F109+F122+F129+F134</f>
        <v>-1597278.216</v>
      </c>
      <c r="G136" s="246">
        <f>G78+G84+G87+G91+G101+G106+G109+G122+G129+G134</f>
        <v>-261998.82000000007</v>
      </c>
      <c r="H136" s="114">
        <f>SUM(C136:G136)</f>
        <v>-4645178.5259999996</v>
      </c>
    </row>
    <row r="138" spans="1:9" ht="12.75" customHeight="1">
      <c r="C138" s="252"/>
      <c r="D138" s="252">
        <f>SUM(D4:D72)+D136</f>
        <v>-1.0799999998416752</v>
      </c>
      <c r="E138" s="252">
        <f>SUM(E4:E72)+E136</f>
        <v>-1.8700000001117587</v>
      </c>
      <c r="F138" s="252">
        <f>SUM(F4:F72)+F136</f>
        <v>3.9999999571591616E-3</v>
      </c>
      <c r="G138" s="252">
        <f>SUM(G4:G72)+G136</f>
        <v>-847000.14000001305</v>
      </c>
      <c r="H138" s="114">
        <f>SUM(C138:F138)</f>
        <v>-2.9459999999962747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2A4A-B93E-40D8-87BC-C5FFBC9AA5C9}">
  <dimension ref="A1:P148"/>
  <sheetViews>
    <sheetView zoomScaleNormal="100" workbookViewId="0">
      <pane xSplit="2" topLeftCell="C1" activePane="topRight" state="frozen"/>
      <selection pane="topRight" activeCell="A83" sqref="A83:XFD83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7" width="22.44140625" style="246" customWidth="1"/>
    <col min="8" max="8" width="19.44140625" style="114" bestFit="1" customWidth="1"/>
    <col min="9" max="13" width="9.109375" style="1"/>
    <col min="14" max="14" width="15.5546875" style="1" bestFit="1" customWidth="1"/>
    <col min="15" max="15" width="9.109375" style="1"/>
    <col min="16" max="16" width="11.109375" style="1" bestFit="1" customWidth="1"/>
    <col min="17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384" width="9.109375" style="1"/>
  </cols>
  <sheetData>
    <row r="1" spans="1:9" ht="12.75" customHeight="1">
      <c r="C1" s="175" t="s">
        <v>554</v>
      </c>
      <c r="D1" s="175" t="s">
        <v>519</v>
      </c>
      <c r="E1" s="175" t="s">
        <v>527</v>
      </c>
      <c r="F1" s="175" t="s">
        <v>533</v>
      </c>
      <c r="G1" s="175" t="s">
        <v>555</v>
      </c>
      <c r="H1" s="114" t="s">
        <v>556</v>
      </c>
    </row>
    <row r="3" spans="1:9" ht="12.75" customHeight="1">
      <c r="A3" s="138" t="s">
        <v>16</v>
      </c>
    </row>
    <row r="4" spans="1:9" ht="12.75" customHeight="1">
      <c r="A4" s="136">
        <v>1600000</v>
      </c>
      <c r="B4" s="1" t="s">
        <v>22</v>
      </c>
      <c r="C4" s="246">
        <v>123824377.51000001</v>
      </c>
      <c r="D4" s="246">
        <v>291783.90000000002</v>
      </c>
      <c r="E4" s="246">
        <v>243593.77</v>
      </c>
      <c r="F4" s="251">
        <v>222347.9</v>
      </c>
      <c r="G4" s="246">
        <v>369860.81</v>
      </c>
      <c r="H4" s="177">
        <f>SUM(C4:G4)</f>
        <v>124951963.89000002</v>
      </c>
      <c r="I4" s="1" t="s">
        <v>557</v>
      </c>
    </row>
    <row r="5" spans="1:9" ht="12.75" customHeight="1">
      <c r="A5" s="136" t="s">
        <v>23</v>
      </c>
      <c r="B5" s="1" t="s">
        <v>24</v>
      </c>
      <c r="C5" s="246">
        <v>-14403209</v>
      </c>
      <c r="D5" s="246">
        <v>-682714</v>
      </c>
      <c r="E5" s="246">
        <v>-695326</v>
      </c>
      <c r="F5" s="251">
        <v>-707759</v>
      </c>
      <c r="G5" s="246">
        <v>-707631</v>
      </c>
      <c r="H5" s="177">
        <f>SUM(C5:G5)</f>
        <v>-17196639</v>
      </c>
      <c r="I5" s="1" t="s">
        <v>557</v>
      </c>
    </row>
    <row r="6" spans="1:9" ht="12.75" customHeight="1">
      <c r="A6" s="136" t="s">
        <v>25</v>
      </c>
      <c r="B6" s="1" t="s">
        <v>26</v>
      </c>
      <c r="C6" s="246">
        <v>-331590</v>
      </c>
      <c r="D6" s="247">
        <v>-276183</v>
      </c>
      <c r="E6" s="247">
        <v>-363436</v>
      </c>
      <c r="F6" s="247">
        <v>-108045</v>
      </c>
      <c r="G6" s="247">
        <v>-117551</v>
      </c>
      <c r="H6" s="177">
        <f>SUM(C6:G6)</f>
        <v>-1196805</v>
      </c>
    </row>
    <row r="7" spans="1:9" ht="12.75" customHeight="1">
      <c r="A7" s="136" t="s">
        <v>427</v>
      </c>
      <c r="B7" s="1" t="s">
        <v>428</v>
      </c>
      <c r="C7" s="246">
        <v>41047</v>
      </c>
      <c r="D7" s="246">
        <v>36141</v>
      </c>
      <c r="E7" s="246">
        <v>49532</v>
      </c>
      <c r="F7" s="246">
        <v>15030</v>
      </c>
      <c r="G7" s="246">
        <v>17214</v>
      </c>
      <c r="H7" s="177">
        <f>SUM(C7:G7)</f>
        <v>158964</v>
      </c>
    </row>
    <row r="8" spans="1:9" ht="12.75" customHeight="1">
      <c r="A8" s="1" t="s">
        <v>351</v>
      </c>
      <c r="C8" s="246">
        <v>0</v>
      </c>
      <c r="H8" s="114">
        <f>SUM(C8:F8)</f>
        <v>0</v>
      </c>
    </row>
    <row r="9" spans="1:9" ht="12.75" customHeight="1">
      <c r="C9" s="246">
        <v>0</v>
      </c>
      <c r="H9" s="114">
        <f>SUM(C9:F9)</f>
        <v>0</v>
      </c>
    </row>
    <row r="10" spans="1:9" ht="12.75" customHeight="1">
      <c r="A10" s="136">
        <v>1790000</v>
      </c>
      <c r="B10" s="1" t="s">
        <v>558</v>
      </c>
      <c r="F10" s="251">
        <v>2102350.0099999998</v>
      </c>
      <c r="G10" s="246">
        <v>-110649.99</v>
      </c>
      <c r="H10" s="177">
        <f>SUM(C10:G10)</f>
        <v>1991700.0199999998</v>
      </c>
    </row>
    <row r="11" spans="1:9" ht="12.75" customHeight="1">
      <c r="A11" s="136" t="s">
        <v>35</v>
      </c>
      <c r="B11" s="1" t="s">
        <v>36</v>
      </c>
      <c r="C11" s="246">
        <v>4500474</v>
      </c>
      <c r="D11" s="249">
        <v>121126</v>
      </c>
      <c r="E11" s="249">
        <v>165568</v>
      </c>
      <c r="F11" s="250">
        <v>285289</v>
      </c>
      <c r="G11" s="249">
        <v>181734</v>
      </c>
      <c r="H11" s="177">
        <f>SUM(C11:G11)</f>
        <v>5254191</v>
      </c>
      <c r="I11" s="1" t="s">
        <v>557</v>
      </c>
    </row>
    <row r="12" spans="1:9" ht="12.75" customHeight="1">
      <c r="A12" s="136">
        <v>1760000</v>
      </c>
      <c r="B12" s="1" t="s">
        <v>535</v>
      </c>
      <c r="C12" s="246">
        <v>0</v>
      </c>
      <c r="D12" s="246">
        <v>0</v>
      </c>
      <c r="E12" s="246">
        <v>0</v>
      </c>
      <c r="F12" s="246">
        <v>38320325</v>
      </c>
      <c r="G12" s="246">
        <v>0</v>
      </c>
      <c r="H12" s="177">
        <f>SUM(C12:G12)</f>
        <v>38320325</v>
      </c>
    </row>
    <row r="13" spans="1:9" ht="12.75" customHeight="1">
      <c r="A13" s="136">
        <v>1760300</v>
      </c>
      <c r="B13" s="1" t="s">
        <v>559</v>
      </c>
      <c r="C13" s="246">
        <v>0</v>
      </c>
      <c r="D13" s="246">
        <v>0</v>
      </c>
      <c r="E13" s="246">
        <v>0</v>
      </c>
      <c r="F13" s="251">
        <v>-95800.81</v>
      </c>
      <c r="G13" s="246">
        <v>-137679.46</v>
      </c>
      <c r="H13" s="177">
        <f>SUM(C13:G13)</f>
        <v>-233480.27</v>
      </c>
      <c r="I13" s="1" t="s">
        <v>557</v>
      </c>
    </row>
    <row r="14" spans="1:9" ht="12.75" customHeight="1">
      <c r="A14" s="1" t="s">
        <v>352</v>
      </c>
      <c r="C14" s="246">
        <v>0</v>
      </c>
      <c r="H14" s="114">
        <f>SUM(C14:F14)</f>
        <v>0</v>
      </c>
    </row>
    <row r="15" spans="1:9" ht="12.75" customHeight="1">
      <c r="C15" s="246">
        <v>0</v>
      </c>
    </row>
    <row r="16" spans="1:9" ht="12.75" customHeight="1">
      <c r="A16" s="136" t="s">
        <v>41</v>
      </c>
      <c r="B16" s="1" t="s">
        <v>42</v>
      </c>
      <c r="C16" s="246">
        <v>104328.45000000001</v>
      </c>
      <c r="D16" s="249">
        <v>-9192.36</v>
      </c>
      <c r="E16" s="249">
        <v>1191082.1599999999</v>
      </c>
      <c r="F16" s="250">
        <v>-780026.62</v>
      </c>
      <c r="G16" s="249">
        <v>523319.01</v>
      </c>
      <c r="H16" s="177">
        <f>SUM(C16:G16)</f>
        <v>1029510.64</v>
      </c>
      <c r="I16" s="1" t="s">
        <v>557</v>
      </c>
    </row>
    <row r="17" spans="1:9" ht="12.75" customHeight="1">
      <c r="A17" s="136" t="s">
        <v>43</v>
      </c>
      <c r="B17" s="1" t="s">
        <v>44</v>
      </c>
      <c r="C17" s="246">
        <v>-91881.58</v>
      </c>
      <c r="D17" s="246">
        <v>0</v>
      </c>
      <c r="E17" s="246">
        <v>0</v>
      </c>
      <c r="F17" s="251">
        <v>15003.05</v>
      </c>
      <c r="G17" s="246">
        <v>0</v>
      </c>
      <c r="H17" s="177">
        <f>SUM(C17:G17)</f>
        <v>-76878.53</v>
      </c>
      <c r="I17" s="1" t="s">
        <v>557</v>
      </c>
    </row>
    <row r="18" spans="1:9" ht="12.75" customHeight="1">
      <c r="A18" s="1" t="s">
        <v>353</v>
      </c>
      <c r="C18" s="246">
        <v>0</v>
      </c>
      <c r="H18" s="177">
        <f>SUM(C18:F18)</f>
        <v>0</v>
      </c>
    </row>
    <row r="19" spans="1:9" ht="12.75" customHeight="1">
      <c r="C19" s="246">
        <v>0</v>
      </c>
      <c r="H19" s="177"/>
    </row>
    <row r="20" spans="1:9" ht="12.75" customHeight="1">
      <c r="A20" s="136">
        <v>2640000</v>
      </c>
      <c r="B20" s="1" t="s">
        <v>48</v>
      </c>
      <c r="C20" s="246">
        <v>-53078.619999999995</v>
      </c>
      <c r="D20" s="246">
        <v>1293310.92</v>
      </c>
      <c r="E20" s="246">
        <v>570839.92000000004</v>
      </c>
      <c r="F20" s="251">
        <v>-2493301.08</v>
      </c>
      <c r="G20" s="246">
        <v>-6167</v>
      </c>
      <c r="H20" s="177">
        <f>SUM(C20:G20)</f>
        <v>-688395.86000000034</v>
      </c>
    </row>
    <row r="21" spans="1:9" ht="12.75" customHeight="1">
      <c r="A21" s="1" t="s">
        <v>357</v>
      </c>
      <c r="C21" s="246">
        <v>0</v>
      </c>
      <c r="H21" s="114">
        <f>SUM(C21:F21)</f>
        <v>0</v>
      </c>
    </row>
    <row r="22" spans="1:9" ht="12.75" customHeight="1">
      <c r="C22" s="246">
        <v>0</v>
      </c>
      <c r="H22" s="114">
        <f>SUM(C22:F22)</f>
        <v>0</v>
      </c>
    </row>
    <row r="23" spans="1:9" ht="12.75" customHeight="1">
      <c r="A23" s="136">
        <v>2040200</v>
      </c>
      <c r="B23" s="1" t="s">
        <v>447</v>
      </c>
      <c r="C23" s="246">
        <v>5000</v>
      </c>
      <c r="D23" s="246">
        <v>0</v>
      </c>
      <c r="E23" s="246">
        <v>0</v>
      </c>
      <c r="F23" s="246">
        <v>0</v>
      </c>
      <c r="G23" s="246">
        <v>0</v>
      </c>
      <c r="H23" s="177">
        <f>SUM(C23:G23)</f>
        <v>5000</v>
      </c>
    </row>
    <row r="24" spans="1:9" ht="12.75" customHeight="1">
      <c r="A24" s="136">
        <v>2040500</v>
      </c>
      <c r="B24" s="1" t="s">
        <v>490</v>
      </c>
      <c r="C24" s="246">
        <v>-29220.54</v>
      </c>
      <c r="D24" s="246">
        <v>87661.64</v>
      </c>
      <c r="E24" s="246">
        <v>-29220.560000000001</v>
      </c>
      <c r="F24" s="246">
        <v>-29220.560000000001</v>
      </c>
      <c r="G24" s="246">
        <v>86298.880000000005</v>
      </c>
      <c r="H24" s="177">
        <f>SUM(C24:G24)</f>
        <v>86298.86</v>
      </c>
    </row>
    <row r="25" spans="1:9" ht="12.75" customHeight="1">
      <c r="A25" s="136" t="s">
        <v>53</v>
      </c>
      <c r="B25" s="1" t="s">
        <v>54</v>
      </c>
      <c r="C25" s="246">
        <v>-4.9999999999954525E-2</v>
      </c>
      <c r="D25" s="246">
        <v>0</v>
      </c>
      <c r="E25" s="246">
        <v>0</v>
      </c>
      <c r="F25" s="246">
        <v>0</v>
      </c>
      <c r="G25" s="246">
        <v>0</v>
      </c>
      <c r="H25" s="114">
        <f>SUM(C25:G25)</f>
        <v>-4.9999999999954525E-2</v>
      </c>
    </row>
    <row r="26" spans="1:9" ht="12.75" customHeight="1">
      <c r="A26" s="136" t="s">
        <v>55</v>
      </c>
      <c r="B26" s="1" t="s">
        <v>56</v>
      </c>
      <c r="C26" s="246">
        <v>-6334.13</v>
      </c>
      <c r="D26" s="246">
        <v>-78945.789999999994</v>
      </c>
      <c r="E26" s="246">
        <v>218888.95999999999</v>
      </c>
      <c r="F26" s="251">
        <v>-133609.04</v>
      </c>
      <c r="G26" s="246">
        <v>0</v>
      </c>
      <c r="H26" s="114">
        <f>SUM(C26:G26)</f>
        <v>-2.9103830456733704E-11</v>
      </c>
      <c r="I26" s="1" t="s">
        <v>557</v>
      </c>
    </row>
    <row r="27" spans="1:9" ht="12.75" customHeight="1">
      <c r="A27" s="1" t="s">
        <v>407</v>
      </c>
      <c r="C27" s="246">
        <v>0</v>
      </c>
      <c r="H27" s="114">
        <f>SUM(C27:F27)</f>
        <v>0</v>
      </c>
    </row>
    <row r="28" spans="1:9" ht="12.75" customHeight="1">
      <c r="C28" s="246">
        <v>0</v>
      </c>
      <c r="H28" s="114">
        <f>SUM(C28:F28)</f>
        <v>0</v>
      </c>
    </row>
    <row r="29" spans="1:9" ht="12.75" customHeight="1">
      <c r="A29" s="136" t="s">
        <v>61</v>
      </c>
      <c r="B29" s="1" t="s">
        <v>62</v>
      </c>
      <c r="C29" s="246">
        <v>-281</v>
      </c>
      <c r="D29" s="246">
        <v>-1981.76</v>
      </c>
      <c r="E29" s="246">
        <v>1168.1600000000001</v>
      </c>
      <c r="F29" s="246">
        <v>1095.07</v>
      </c>
      <c r="G29" s="246">
        <v>1948.2</v>
      </c>
      <c r="H29" s="177">
        <f>SUM(C29:G29)</f>
        <v>1948.6699999999998</v>
      </c>
    </row>
    <row r="30" spans="1:9" ht="12.75" customHeight="1">
      <c r="A30" s="136" t="s">
        <v>65</v>
      </c>
      <c r="B30" s="1" t="s">
        <v>66</v>
      </c>
      <c r="C30" s="246">
        <v>0.17000000000000004</v>
      </c>
      <c r="D30" s="249">
        <v>0.1</v>
      </c>
      <c r="E30" s="249">
        <v>276380.24</v>
      </c>
      <c r="F30" s="249">
        <v>261185.75</v>
      </c>
      <c r="G30" s="249">
        <v>-537566.26</v>
      </c>
      <c r="H30" s="177">
        <f t="shared" ref="H30:H36" si="0">SUM(C30:G30)</f>
        <v>0</v>
      </c>
    </row>
    <row r="31" spans="1:9" ht="12.75" customHeight="1">
      <c r="A31" s="136" t="s">
        <v>67</v>
      </c>
      <c r="B31" s="1" t="s">
        <v>68</v>
      </c>
      <c r="C31" s="246">
        <v>36644.49</v>
      </c>
      <c r="D31" s="249">
        <v>-18.48</v>
      </c>
      <c r="E31" s="249">
        <v>-633966.34</v>
      </c>
      <c r="F31" s="249">
        <v>502142.01</v>
      </c>
      <c r="G31" s="249">
        <v>96845.81</v>
      </c>
      <c r="H31" s="177">
        <f t="shared" si="0"/>
        <v>1647.4900000000489</v>
      </c>
    </row>
    <row r="32" spans="1:9" ht="12.75" customHeight="1">
      <c r="A32" s="136" t="s">
        <v>69</v>
      </c>
      <c r="B32" s="1" t="s">
        <v>70</v>
      </c>
      <c r="C32" s="246">
        <v>145642.97</v>
      </c>
      <c r="D32" s="249">
        <v>-95658.58</v>
      </c>
      <c r="E32" s="249">
        <v>-49793.26</v>
      </c>
      <c r="F32" s="249">
        <v>-12.05</v>
      </c>
      <c r="G32" s="249">
        <v>0</v>
      </c>
      <c r="H32" s="177">
        <f t="shared" si="0"/>
        <v>179.07999999999737</v>
      </c>
    </row>
    <row r="33" spans="1:16" ht="12.75" customHeight="1">
      <c r="A33" s="136" t="s">
        <v>71</v>
      </c>
      <c r="B33" s="1" t="s">
        <v>72</v>
      </c>
      <c r="C33" s="246">
        <v>25409</v>
      </c>
      <c r="D33" s="249">
        <v>17670.91</v>
      </c>
      <c r="E33" s="249">
        <v>139682.04999999999</v>
      </c>
      <c r="F33" s="249">
        <v>-53607.74</v>
      </c>
      <c r="G33" s="249">
        <v>-109016.02</v>
      </c>
      <c r="H33" s="177">
        <f t="shared" si="0"/>
        <v>20138.199999999997</v>
      </c>
    </row>
    <row r="34" spans="1:16" ht="12.75" customHeight="1">
      <c r="A34" s="136" t="s">
        <v>73</v>
      </c>
      <c r="B34" s="1" t="s">
        <v>74</v>
      </c>
      <c r="C34" s="246">
        <v>729622.57000000007</v>
      </c>
      <c r="D34" s="249">
        <v>367648.53</v>
      </c>
      <c r="E34" s="249">
        <v>323121.93</v>
      </c>
      <c r="F34" s="249">
        <v>-1298518.42</v>
      </c>
      <c r="G34" s="249">
        <v>273260.99</v>
      </c>
      <c r="H34" s="177">
        <f t="shared" si="0"/>
        <v>395135.60000000009</v>
      </c>
    </row>
    <row r="35" spans="1:16" ht="12.75" customHeight="1">
      <c r="A35" s="136" t="s">
        <v>75</v>
      </c>
      <c r="B35" s="1" t="s">
        <v>76</v>
      </c>
      <c r="C35" s="246">
        <v>109856.5</v>
      </c>
      <c r="D35" s="249">
        <v>-105672.08</v>
      </c>
      <c r="E35" s="249">
        <v>98531.57</v>
      </c>
      <c r="F35" s="249">
        <v>-5460.63</v>
      </c>
      <c r="G35" s="249">
        <v>-85043.32</v>
      </c>
      <c r="H35" s="177">
        <f t="shared" si="0"/>
        <v>12212.039999999994</v>
      </c>
    </row>
    <row r="36" spans="1:16" ht="12.75" customHeight="1">
      <c r="A36" s="136">
        <v>2400206</v>
      </c>
      <c r="B36" s="1" t="s">
        <v>560</v>
      </c>
      <c r="C36" s="246">
        <v>0</v>
      </c>
      <c r="D36" s="249">
        <v>0</v>
      </c>
      <c r="E36" s="249">
        <v>0</v>
      </c>
      <c r="F36" s="249">
        <v>-11.39</v>
      </c>
      <c r="G36" s="249">
        <v>-5.65</v>
      </c>
      <c r="H36" s="177">
        <f t="shared" si="0"/>
        <v>-17.04</v>
      </c>
    </row>
    <row r="37" spans="1:16" ht="12.75" customHeight="1">
      <c r="A37" s="1" t="s">
        <v>358</v>
      </c>
      <c r="C37" s="246">
        <v>0</v>
      </c>
      <c r="H37" s="114">
        <f>SUM(C37:F37)</f>
        <v>0</v>
      </c>
    </row>
    <row r="38" spans="1:16" ht="12.75" customHeight="1">
      <c r="C38" s="246">
        <v>0</v>
      </c>
      <c r="H38" s="114">
        <f>SUM(C38:F38)</f>
        <v>0</v>
      </c>
      <c r="N38" s="257">
        <v>37939703.729999997</v>
      </c>
    </row>
    <row r="39" spans="1:16" ht="12.75" customHeight="1">
      <c r="A39" s="136">
        <v>1000002</v>
      </c>
      <c r="B39" s="1" t="s">
        <v>429</v>
      </c>
      <c r="C39" s="246">
        <v>-1</v>
      </c>
      <c r="D39" s="246">
        <v>0</v>
      </c>
      <c r="E39" s="246">
        <v>0</v>
      </c>
      <c r="F39" s="246">
        <v>0</v>
      </c>
      <c r="G39" s="246">
        <v>0</v>
      </c>
      <c r="H39" s="177">
        <f>SUM(C39:G39)</f>
        <v>-1</v>
      </c>
      <c r="N39" s="256">
        <v>100669730.01000001</v>
      </c>
    </row>
    <row r="40" spans="1:16" ht="12.75" customHeight="1">
      <c r="A40" s="136">
        <v>1100000</v>
      </c>
      <c r="B40" s="1" t="s">
        <v>430</v>
      </c>
      <c r="C40" s="246">
        <v>-18931219.48</v>
      </c>
      <c r="D40" s="246">
        <v>0</v>
      </c>
      <c r="E40" s="246">
        <v>0</v>
      </c>
      <c r="F40" s="246">
        <v>0</v>
      </c>
      <c r="G40" s="246">
        <v>0</v>
      </c>
      <c r="H40" s="177">
        <f>SUM(C40:G40)</f>
        <v>-18931219.48</v>
      </c>
    </row>
    <row r="41" spans="1:16" ht="12.75" customHeight="1">
      <c r="A41" s="136">
        <v>1160000</v>
      </c>
      <c r="B41" s="1" t="s">
        <v>94</v>
      </c>
      <c r="C41" s="246">
        <v>8292623.6200000001</v>
      </c>
      <c r="D41" s="246">
        <v>0</v>
      </c>
      <c r="E41" s="246">
        <v>0</v>
      </c>
      <c r="F41" s="246">
        <v>0</v>
      </c>
      <c r="G41" s="246">
        <v>0</v>
      </c>
      <c r="H41" s="177">
        <f>SUM(C41:G41)</f>
        <v>8292623.6200000001</v>
      </c>
      <c r="N41" s="258">
        <f>SUM(N38:N39)</f>
        <v>138609433.74000001</v>
      </c>
      <c r="P41" s="1">
        <v>138609433.74000001</v>
      </c>
    </row>
    <row r="42" spans="1:16" ht="12.75" customHeight="1">
      <c r="A42" s="136" t="s">
        <v>95</v>
      </c>
      <c r="B42" s="1" t="s">
        <v>96</v>
      </c>
      <c r="C42" s="246">
        <v>0</v>
      </c>
      <c r="D42" s="246">
        <v>0</v>
      </c>
      <c r="E42" s="246">
        <v>0</v>
      </c>
      <c r="F42" s="246">
        <v>0</v>
      </c>
      <c r="G42" s="246">
        <v>0</v>
      </c>
      <c r="H42" s="114">
        <f>SUM(C42:G42)</f>
        <v>0</v>
      </c>
      <c r="N42" s="114">
        <f>-(H45+H46)</f>
        <v>138609433.74000001</v>
      </c>
    </row>
    <row r="43" spans="1:16" ht="12.75" customHeight="1">
      <c r="A43" s="1" t="s">
        <v>359</v>
      </c>
      <c r="C43" s="246">
        <v>0</v>
      </c>
      <c r="H43" s="114">
        <f>SUM(C43:F43)</f>
        <v>0</v>
      </c>
      <c r="N43" s="141">
        <f>N41-N42</f>
        <v>0</v>
      </c>
    </row>
    <row r="44" spans="1:16" ht="12.75" customHeight="1">
      <c r="C44" s="246">
        <v>0</v>
      </c>
      <c r="H44" s="114">
        <f>SUM(C44:F44)</f>
        <v>0</v>
      </c>
    </row>
    <row r="45" spans="1:16" ht="12.75" customHeight="1">
      <c r="A45" s="136">
        <v>1930001</v>
      </c>
      <c r="B45" s="1" t="s">
        <v>104</v>
      </c>
      <c r="C45" s="246">
        <v>-130000000</v>
      </c>
      <c r="D45" s="246">
        <v>0</v>
      </c>
      <c r="E45" s="246">
        <v>0</v>
      </c>
      <c r="F45" s="251">
        <v>-38320325</v>
      </c>
      <c r="G45" s="246">
        <v>0</v>
      </c>
      <c r="H45" s="177">
        <f>SUM(C45:G45)</f>
        <v>-168320325</v>
      </c>
      <c r="I45" s="1" t="s">
        <v>557</v>
      </c>
      <c r="N45" s="141">
        <v>36299.810000002384</v>
      </c>
    </row>
    <row r="46" spans="1:16" ht="12.75" customHeight="1">
      <c r="A46" s="136" t="s">
        <v>107</v>
      </c>
      <c r="B46" s="1" t="s">
        <v>108</v>
      </c>
      <c r="C46" s="246">
        <f>27408404.83-N45</f>
        <v>27372105.019999996</v>
      </c>
      <c r="D46" s="249">
        <v>948219.98</v>
      </c>
      <c r="E46" s="249">
        <v>601183.98</v>
      </c>
      <c r="F46" s="250">
        <v>-251183.98</v>
      </c>
      <c r="G46" s="249">
        <v>1040566.26</v>
      </c>
      <c r="H46" s="177">
        <f>SUM(C46:G46)</f>
        <v>29710891.259999998</v>
      </c>
      <c r="I46" s="1" t="s">
        <v>557</v>
      </c>
    </row>
    <row r="47" spans="1:16" ht="12.75" customHeight="1">
      <c r="A47" s="136">
        <v>1930200</v>
      </c>
      <c r="B47" s="1" t="s">
        <v>561</v>
      </c>
      <c r="C47" s="246">
        <v>0</v>
      </c>
      <c r="D47" s="249">
        <v>0</v>
      </c>
      <c r="E47" s="249">
        <v>0</v>
      </c>
      <c r="F47" s="250">
        <v>552312.06000000006</v>
      </c>
      <c r="G47" s="249">
        <v>-29069.07</v>
      </c>
      <c r="H47" s="177">
        <f>SUM(C47:G47)</f>
        <v>523242.99000000005</v>
      </c>
      <c r="I47" s="1" t="s">
        <v>557</v>
      </c>
    </row>
    <row r="48" spans="1:16" ht="12.75" customHeight="1">
      <c r="A48" s="1" t="s">
        <v>362</v>
      </c>
      <c r="C48" s="246">
        <v>0</v>
      </c>
      <c r="H48" s="114">
        <f>SUM(C48:F48)</f>
        <v>0</v>
      </c>
    </row>
    <row r="49" spans="1:9" ht="12.75" customHeight="1">
      <c r="C49" s="246">
        <v>0</v>
      </c>
      <c r="H49" s="114">
        <f>SUM(C49:F49)</f>
        <v>0</v>
      </c>
    </row>
    <row r="50" spans="1:9" ht="12.75" customHeight="1">
      <c r="A50" s="136" t="s">
        <v>121</v>
      </c>
      <c r="B50" s="1" t="s">
        <v>122</v>
      </c>
      <c r="C50" s="246">
        <v>-568189.21</v>
      </c>
      <c r="D50" s="175">
        <v>394615.53</v>
      </c>
      <c r="E50" s="246">
        <v>-403705.29</v>
      </c>
      <c r="F50" s="251">
        <v>221244.37</v>
      </c>
      <c r="G50" s="175">
        <v>-339462.09</v>
      </c>
      <c r="H50" s="177">
        <f>SUM(C50:G50)</f>
        <v>-695496.69</v>
      </c>
      <c r="I50" s="1" t="s">
        <v>557</v>
      </c>
    </row>
    <row r="51" spans="1:9" ht="12.75" customHeight="1">
      <c r="A51" s="136" t="s">
        <v>123</v>
      </c>
      <c r="B51" s="1" t="s">
        <v>124</v>
      </c>
      <c r="C51" s="246">
        <v>-12100</v>
      </c>
      <c r="D51" s="246">
        <v>0</v>
      </c>
      <c r="E51" s="246">
        <v>-24200</v>
      </c>
      <c r="F51" s="246">
        <v>-856680</v>
      </c>
      <c r="G51" s="246">
        <v>-12500</v>
      </c>
      <c r="H51" s="177">
        <f>SUM(C51:G51)</f>
        <v>-905480</v>
      </c>
    </row>
    <row r="52" spans="1:9" ht="12.75" customHeight="1">
      <c r="A52" s="1" t="s">
        <v>363</v>
      </c>
      <c r="C52" s="246">
        <v>0</v>
      </c>
      <c r="H52" s="114">
        <f>SUM(C52:F52)</f>
        <v>0</v>
      </c>
    </row>
    <row r="53" spans="1:9" ht="12.75" customHeight="1">
      <c r="C53" s="246">
        <v>0</v>
      </c>
      <c r="H53" s="114">
        <f>SUM(C53:F53)</f>
        <v>0</v>
      </c>
    </row>
    <row r="54" spans="1:9" ht="12.75" customHeight="1">
      <c r="A54" s="136" t="s">
        <v>129</v>
      </c>
      <c r="B54" s="1" t="s">
        <v>130</v>
      </c>
      <c r="C54" s="246">
        <v>-4599</v>
      </c>
      <c r="D54" s="246">
        <v>101.01</v>
      </c>
      <c r="E54" s="246">
        <v>-230.48</v>
      </c>
      <c r="F54" s="251">
        <v>-997.53</v>
      </c>
      <c r="G54" s="246">
        <v>757.23</v>
      </c>
      <c r="H54" s="177">
        <f>SUM(C54:G54)</f>
        <v>-4968.7699999999986</v>
      </c>
      <c r="I54" s="1" t="s">
        <v>557</v>
      </c>
    </row>
    <row r="55" spans="1:9" ht="12.75" customHeight="1">
      <c r="A55" s="136" t="s">
        <v>133</v>
      </c>
      <c r="B55" s="1" t="s">
        <v>134</v>
      </c>
      <c r="C55" s="246">
        <v>0</v>
      </c>
      <c r="D55" s="246">
        <v>0</v>
      </c>
      <c r="E55" s="246">
        <v>0</v>
      </c>
      <c r="F55" s="246">
        <v>0</v>
      </c>
      <c r="H55" s="114">
        <f>SUM(C55:F55)</f>
        <v>0</v>
      </c>
    </row>
    <row r="56" spans="1:9" ht="12.75" customHeight="1">
      <c r="A56" s="136" t="s">
        <v>137</v>
      </c>
      <c r="B56" s="1" t="s">
        <v>138</v>
      </c>
      <c r="C56" s="246">
        <v>0</v>
      </c>
      <c r="D56" s="246">
        <v>0</v>
      </c>
      <c r="E56" s="246">
        <v>0</v>
      </c>
      <c r="F56" s="246">
        <v>0</v>
      </c>
      <c r="H56" s="114">
        <f>SUM(C56:F56)</f>
        <v>0</v>
      </c>
    </row>
    <row r="57" spans="1:9" ht="12.75" customHeight="1">
      <c r="A57" s="1" t="s">
        <v>366</v>
      </c>
      <c r="C57" s="246">
        <v>0</v>
      </c>
      <c r="H57" s="114">
        <f>SUM(C57:F57)</f>
        <v>0</v>
      </c>
    </row>
    <row r="58" spans="1:9" ht="12.75" customHeight="1">
      <c r="C58" s="246">
        <v>0</v>
      </c>
      <c r="H58" s="114">
        <f>SUM(C58:F58)</f>
        <v>0</v>
      </c>
    </row>
    <row r="59" spans="1:9" ht="12.75" customHeight="1">
      <c r="A59" s="136">
        <v>2620000</v>
      </c>
      <c r="B59" s="1" t="s">
        <v>542</v>
      </c>
      <c r="C59" s="246">
        <v>0</v>
      </c>
      <c r="D59" s="246">
        <v>0</v>
      </c>
      <c r="E59" s="246">
        <v>0</v>
      </c>
      <c r="F59" s="246">
        <v>-100000</v>
      </c>
      <c r="G59" s="246">
        <v>100000</v>
      </c>
      <c r="H59" s="114">
        <f>SUM(C59:G59)</f>
        <v>0</v>
      </c>
    </row>
    <row r="60" spans="1:9" ht="12.75" customHeight="1">
      <c r="A60" s="136" t="s">
        <v>543</v>
      </c>
      <c r="C60" s="246">
        <v>0</v>
      </c>
    </row>
    <row r="61" spans="1:9" ht="12.75" customHeight="1">
      <c r="C61" s="246">
        <v>0</v>
      </c>
      <c r="H61" s="114">
        <f>SUM(C61:F61)</f>
        <v>0</v>
      </c>
    </row>
    <row r="62" spans="1:9" ht="12.75" customHeight="1">
      <c r="A62" s="136">
        <v>2740100</v>
      </c>
      <c r="B62" s="1" t="s">
        <v>492</v>
      </c>
      <c r="C62" s="246">
        <v>-111458.36</v>
      </c>
      <c r="D62" s="246">
        <v>-796644.01</v>
      </c>
      <c r="E62" s="246">
        <v>-105259.43</v>
      </c>
      <c r="F62" s="251">
        <v>876536.84</v>
      </c>
      <c r="G62" s="246">
        <v>-19436.43</v>
      </c>
      <c r="H62" s="177">
        <f t="shared" ref="H62:H71" si="1">SUM(C62:G62)</f>
        <v>-156261.39000000007</v>
      </c>
      <c r="I62" s="1" t="s">
        <v>557</v>
      </c>
    </row>
    <row r="63" spans="1:9" ht="12.75" customHeight="1">
      <c r="A63" s="136" t="s">
        <v>141</v>
      </c>
      <c r="B63" s="1" t="s">
        <v>142</v>
      </c>
      <c r="C63" s="246">
        <v>-816865.62</v>
      </c>
      <c r="D63" s="246">
        <v>-23268.06</v>
      </c>
      <c r="E63" s="246">
        <v>-3189.54</v>
      </c>
      <c r="F63" s="246">
        <v>-29141.32</v>
      </c>
      <c r="G63" s="246">
        <v>-34705.35</v>
      </c>
      <c r="H63" s="177">
        <f t="shared" si="1"/>
        <v>-907169.89</v>
      </c>
    </row>
    <row r="64" spans="1:9" ht="12.75" customHeight="1">
      <c r="A64" s="136">
        <v>2740500</v>
      </c>
      <c r="B64" s="1" t="s">
        <v>144</v>
      </c>
      <c r="C64" s="246">
        <v>-22500</v>
      </c>
      <c r="D64" s="246">
        <v>0</v>
      </c>
      <c r="E64" s="246">
        <v>0</v>
      </c>
      <c r="F64" s="246">
        <v>-22500</v>
      </c>
      <c r="G64" s="246">
        <v>400.95</v>
      </c>
      <c r="H64" s="177">
        <f t="shared" si="1"/>
        <v>-44599.05</v>
      </c>
    </row>
    <row r="65" spans="1:9" ht="12.75" customHeight="1">
      <c r="A65" s="136" t="s">
        <v>145</v>
      </c>
      <c r="B65" s="1" t="s">
        <v>146</v>
      </c>
      <c r="C65" s="246">
        <v>0</v>
      </c>
      <c r="D65" s="246">
        <v>0</v>
      </c>
      <c r="E65" s="246">
        <v>0</v>
      </c>
      <c r="F65" s="246">
        <v>0</v>
      </c>
      <c r="G65" s="246">
        <v>0</v>
      </c>
      <c r="H65" s="114">
        <f t="shared" si="1"/>
        <v>0</v>
      </c>
    </row>
    <row r="66" spans="1:9" ht="12.75" customHeight="1">
      <c r="A66" s="136" t="s">
        <v>367</v>
      </c>
      <c r="B66" s="1" t="s">
        <v>368</v>
      </c>
      <c r="C66" s="246">
        <v>0</v>
      </c>
      <c r="D66" s="246">
        <v>0</v>
      </c>
      <c r="E66" s="246">
        <v>0</v>
      </c>
      <c r="F66" s="246">
        <v>0</v>
      </c>
      <c r="G66" s="246">
        <v>0</v>
      </c>
      <c r="H66" s="114">
        <f t="shared" si="1"/>
        <v>0</v>
      </c>
    </row>
    <row r="67" spans="1:9" ht="12.75" customHeight="1">
      <c r="A67" s="136" t="s">
        <v>147</v>
      </c>
      <c r="B67" s="1" t="s">
        <v>148</v>
      </c>
      <c r="C67" s="246">
        <v>220793.54</v>
      </c>
      <c r="D67" s="246">
        <v>-73597.84</v>
      </c>
      <c r="E67" s="246">
        <v>-73597.86</v>
      </c>
      <c r="F67" s="251">
        <v>-76077.460000000006</v>
      </c>
      <c r="G67" s="246">
        <v>158051.76999999999</v>
      </c>
      <c r="H67" s="177">
        <f t="shared" si="1"/>
        <v>155572.15</v>
      </c>
      <c r="I67" s="1" t="s">
        <v>557</v>
      </c>
    </row>
    <row r="68" spans="1:9" ht="12.75" customHeight="1">
      <c r="A68" s="136" t="s">
        <v>149</v>
      </c>
      <c r="B68" s="1" t="s">
        <v>150</v>
      </c>
      <c r="C68" s="246">
        <v>-0.13000000000010914</v>
      </c>
      <c r="D68" s="246">
        <v>0</v>
      </c>
      <c r="E68" s="246">
        <v>0</v>
      </c>
      <c r="F68" s="251">
        <v>-42098.85</v>
      </c>
      <c r="G68" s="246">
        <v>0</v>
      </c>
      <c r="H68" s="177">
        <f t="shared" si="1"/>
        <v>-42098.979999999996</v>
      </c>
      <c r="I68" s="1" t="s">
        <v>557</v>
      </c>
    </row>
    <row r="69" spans="1:9" ht="12.75" customHeight="1">
      <c r="A69" s="136" t="s">
        <v>151</v>
      </c>
      <c r="B69" s="1" t="s">
        <v>152</v>
      </c>
      <c r="C69" s="246">
        <v>-0.30000000000001137</v>
      </c>
      <c r="D69" s="246">
        <v>0</v>
      </c>
      <c r="E69" s="246">
        <v>0</v>
      </c>
      <c r="F69" s="246">
        <v>0</v>
      </c>
      <c r="G69" s="246">
        <v>0</v>
      </c>
      <c r="H69" s="114">
        <f t="shared" si="1"/>
        <v>-0.30000000000001137</v>
      </c>
    </row>
    <row r="70" spans="1:9" ht="12.75" customHeight="1">
      <c r="A70" s="136" t="s">
        <v>155</v>
      </c>
      <c r="B70" s="1" t="s">
        <v>156</v>
      </c>
      <c r="C70" s="246">
        <v>-81696.63</v>
      </c>
      <c r="D70" s="246">
        <v>-123710.23</v>
      </c>
      <c r="E70" s="246">
        <v>79630.240000000005</v>
      </c>
      <c r="F70" s="251">
        <v>-126704.07</v>
      </c>
      <c r="G70" s="246">
        <v>125173.56</v>
      </c>
      <c r="H70" s="177">
        <f t="shared" si="1"/>
        <v>-127307.13</v>
      </c>
      <c r="I70" s="1" t="s">
        <v>557</v>
      </c>
    </row>
    <row r="71" spans="1:9" ht="12.75" customHeight="1">
      <c r="A71" s="136" t="s">
        <v>157</v>
      </c>
      <c r="B71" s="1" t="s">
        <v>158</v>
      </c>
      <c r="C71" s="246">
        <v>0</v>
      </c>
      <c r="D71" s="246">
        <v>0</v>
      </c>
      <c r="E71" s="246">
        <v>0</v>
      </c>
      <c r="F71" s="246">
        <v>0</v>
      </c>
      <c r="G71" s="246">
        <v>0</v>
      </c>
      <c r="H71" s="114">
        <f t="shared" si="1"/>
        <v>0</v>
      </c>
    </row>
    <row r="72" spans="1:9" ht="12.75" customHeight="1">
      <c r="A72" s="136" t="s">
        <v>159</v>
      </c>
      <c r="B72" s="1" t="s">
        <v>494</v>
      </c>
      <c r="C72" s="246">
        <v>20000</v>
      </c>
      <c r="D72" s="246">
        <v>-20000</v>
      </c>
      <c r="E72" s="246">
        <v>20000</v>
      </c>
      <c r="F72" s="251">
        <v>10000</v>
      </c>
      <c r="H72" s="177">
        <f t="shared" ref="H72:H78" si="2">SUM(C72:F72)</f>
        <v>30000</v>
      </c>
    </row>
    <row r="73" spans="1:9" ht="12.75" customHeight="1">
      <c r="A73" s="136" t="s">
        <v>161</v>
      </c>
      <c r="B73" s="1" t="s">
        <v>162</v>
      </c>
      <c r="C73" s="246">
        <v>0</v>
      </c>
      <c r="D73" s="246">
        <v>0</v>
      </c>
      <c r="E73" s="246">
        <v>0</v>
      </c>
      <c r="H73" s="114">
        <f t="shared" si="2"/>
        <v>0</v>
      </c>
    </row>
    <row r="74" spans="1:9" ht="12.75" customHeight="1">
      <c r="A74" s="136" t="s">
        <v>163</v>
      </c>
      <c r="B74" s="1" t="s">
        <v>164</v>
      </c>
      <c r="C74" s="246">
        <v>0</v>
      </c>
      <c r="D74" s="246">
        <v>0</v>
      </c>
      <c r="E74" s="246">
        <v>0</v>
      </c>
      <c r="H74" s="114">
        <f t="shared" si="2"/>
        <v>0</v>
      </c>
    </row>
    <row r="75" spans="1:9" ht="12.75" customHeight="1">
      <c r="A75" s="1" t="s">
        <v>369</v>
      </c>
      <c r="C75" s="246">
        <v>0</v>
      </c>
      <c r="H75" s="114">
        <f t="shared" si="2"/>
        <v>0</v>
      </c>
    </row>
    <row r="76" spans="1:9" ht="12.75" customHeight="1">
      <c r="H76" s="114">
        <f t="shared" si="2"/>
        <v>0</v>
      </c>
    </row>
    <row r="77" spans="1:9" ht="12.75" customHeight="1">
      <c r="H77" s="114">
        <f t="shared" si="2"/>
        <v>0</v>
      </c>
    </row>
    <row r="78" spans="1:9" ht="12.75" customHeight="1">
      <c r="A78" s="138" t="s">
        <v>370</v>
      </c>
      <c r="H78" s="177">
        <f t="shared" si="2"/>
        <v>0</v>
      </c>
    </row>
    <row r="79" spans="1:9" ht="12.75" customHeight="1">
      <c r="A79" s="136" t="s">
        <v>174</v>
      </c>
      <c r="B79" s="1" t="s">
        <v>175</v>
      </c>
      <c r="D79" s="246">
        <v>-2871329.16</v>
      </c>
      <c r="E79" s="246">
        <v>-2944242.41</v>
      </c>
      <c r="F79" s="246">
        <v>-2950963.19</v>
      </c>
      <c r="G79" s="246">
        <v>-2959140.94</v>
      </c>
      <c r="H79" s="177">
        <f>SUM(C79:G79)</f>
        <v>-11725675.699999999</v>
      </c>
    </row>
    <row r="80" spans="1:9" ht="12.75" customHeight="1">
      <c r="A80" s="136" t="s">
        <v>176</v>
      </c>
      <c r="B80" s="1" t="s">
        <v>177</v>
      </c>
      <c r="D80" s="246">
        <v>39968.65</v>
      </c>
      <c r="E80" s="246">
        <v>55228.45</v>
      </c>
      <c r="F80" s="246">
        <v>59011.37</v>
      </c>
      <c r="G80" s="246">
        <v>55162.54</v>
      </c>
      <c r="H80" s="177">
        <f>SUM(C80:G80)</f>
        <v>209371.01</v>
      </c>
    </row>
    <row r="81" spans="1:9" ht="12.75" customHeight="1">
      <c r="A81" s="1" t="s">
        <v>381</v>
      </c>
      <c r="D81" s="246">
        <f>SUM(D79:D80)</f>
        <v>-2831360.5100000002</v>
      </c>
      <c r="E81" s="246">
        <f>SUM(E79:E80)</f>
        <v>-2889013.96</v>
      </c>
      <c r="F81" s="246">
        <f>F79+F80</f>
        <v>-2891951.82</v>
      </c>
      <c r="G81" s="255">
        <f>G79+G80</f>
        <v>-2903978.4</v>
      </c>
      <c r="H81" s="177">
        <f t="shared" ref="H81:H140" si="3">SUM(C81:G81)</f>
        <v>-11516304.690000001</v>
      </c>
    </row>
    <row r="82" spans="1:9" ht="12.75" customHeight="1">
      <c r="H82" s="177">
        <f t="shared" si="3"/>
        <v>0</v>
      </c>
    </row>
    <row r="83" spans="1:9" ht="12.75" customHeight="1">
      <c r="A83" s="136">
        <v>8400400</v>
      </c>
      <c r="B83" s="1" t="s">
        <v>515</v>
      </c>
      <c r="D83" s="246">
        <v>0</v>
      </c>
      <c r="H83" s="177">
        <f t="shared" si="3"/>
        <v>0</v>
      </c>
    </row>
    <row r="84" spans="1:9" ht="12.75" customHeight="1">
      <c r="A84" s="136" t="s">
        <v>182</v>
      </c>
      <c r="B84" s="1" t="s">
        <v>183</v>
      </c>
      <c r="D84" s="246">
        <v>-164598.62</v>
      </c>
      <c r="E84" s="246">
        <v>-350659.51</v>
      </c>
      <c r="F84" s="246">
        <v>-165044.01999999999</v>
      </c>
      <c r="G84" s="246">
        <v>-165745.84</v>
      </c>
      <c r="H84" s="177">
        <f t="shared" si="3"/>
        <v>-846047.99</v>
      </c>
    </row>
    <row r="85" spans="1:9" ht="12.75" customHeight="1">
      <c r="A85" s="136" t="s">
        <v>184</v>
      </c>
      <c r="B85" s="1" t="s">
        <v>185</v>
      </c>
      <c r="D85" s="246">
        <v>6011.91</v>
      </c>
      <c r="E85" s="246">
        <v>7008.0439999999999</v>
      </c>
      <c r="F85" s="246">
        <v>3789.4</v>
      </c>
      <c r="G85" s="246">
        <v>9522.0300000000007</v>
      </c>
      <c r="H85" s="177">
        <f t="shared" si="3"/>
        <v>26331.383999999998</v>
      </c>
    </row>
    <row r="86" spans="1:9" ht="12.75" customHeight="1">
      <c r="A86" s="136" t="s">
        <v>186</v>
      </c>
      <c r="B86" s="1" t="s">
        <v>187</v>
      </c>
      <c r="D86" s="246">
        <v>195259.97</v>
      </c>
      <c r="E86" s="246">
        <v>239859.03</v>
      </c>
      <c r="F86" s="251">
        <v>220949.51</v>
      </c>
      <c r="G86" s="175">
        <v>353718.65</v>
      </c>
      <c r="H86" s="177">
        <f t="shared" si="3"/>
        <v>1009787.16</v>
      </c>
      <c r="I86" s="1" t="s">
        <v>557</v>
      </c>
    </row>
    <row r="87" spans="1:9" ht="12.75" customHeight="1">
      <c r="A87" s="1" t="s">
        <v>382</v>
      </c>
      <c r="D87" s="246">
        <f>SUM(D83:D86)</f>
        <v>36673.260000000009</v>
      </c>
      <c r="E87" s="246">
        <f>SUM(E83:E86)</f>
        <v>-103792.43600000002</v>
      </c>
      <c r="F87" s="246">
        <f>SUM(F83:F86)</f>
        <v>59694.890000000014</v>
      </c>
      <c r="G87" s="255">
        <f>SUM(G83:G86)</f>
        <v>197494.84000000003</v>
      </c>
      <c r="H87" s="177">
        <f t="shared" si="3"/>
        <v>190070.55400000003</v>
      </c>
    </row>
    <row r="88" spans="1:9" ht="12.75" customHeight="1">
      <c r="H88" s="114">
        <f t="shared" si="3"/>
        <v>0</v>
      </c>
    </row>
    <row r="89" spans="1:9" ht="12.75" customHeight="1">
      <c r="A89" s="136" t="s">
        <v>198</v>
      </c>
      <c r="B89" s="1" t="s">
        <v>199</v>
      </c>
      <c r="D89" s="246">
        <v>121956.77</v>
      </c>
      <c r="E89" s="246">
        <v>124885.89</v>
      </c>
      <c r="F89" s="251">
        <v>125402.18</v>
      </c>
      <c r="G89" s="255">
        <v>126034.62</v>
      </c>
      <c r="H89" s="177">
        <f t="shared" si="3"/>
        <v>498279.45999999996</v>
      </c>
      <c r="I89" s="1" t="s">
        <v>557</v>
      </c>
    </row>
    <row r="90" spans="1:9" ht="12.75" customHeight="1">
      <c r="A90" s="1" t="s">
        <v>408</v>
      </c>
      <c r="D90" s="246">
        <f>SUM(D89)</f>
        <v>121956.77</v>
      </c>
      <c r="E90" s="246">
        <f>SUM(E89)</f>
        <v>124885.89</v>
      </c>
      <c r="F90" s="246">
        <f>SUM(F89)</f>
        <v>125402.18</v>
      </c>
      <c r="G90" s="246">
        <f>SUM(G89)</f>
        <v>126034.62</v>
      </c>
      <c r="H90" s="114">
        <f t="shared" si="3"/>
        <v>498279.45999999996</v>
      </c>
    </row>
    <row r="91" spans="1:9" ht="12.75" customHeight="1">
      <c r="H91" s="114">
        <f t="shared" si="3"/>
        <v>0</v>
      </c>
    </row>
    <row r="92" spans="1:9" ht="12.75" customHeight="1">
      <c r="A92" s="136" t="s">
        <v>204</v>
      </c>
      <c r="B92" s="1" t="s">
        <v>205</v>
      </c>
      <c r="D92" s="246">
        <v>682714</v>
      </c>
      <c r="E92" s="246">
        <v>695326</v>
      </c>
      <c r="F92" s="246">
        <v>707759</v>
      </c>
      <c r="G92" s="246">
        <f>707631+N45</f>
        <v>743930.81000000238</v>
      </c>
      <c r="H92" s="114">
        <f t="shared" si="3"/>
        <v>2829729.8100000024</v>
      </c>
    </row>
    <row r="93" spans="1:9" ht="12.75" customHeight="1">
      <c r="A93" s="136" t="s">
        <v>206</v>
      </c>
      <c r="B93" s="1" t="s">
        <v>207</v>
      </c>
      <c r="D93" s="246">
        <v>-423958</v>
      </c>
      <c r="E93" s="246">
        <v>-544596</v>
      </c>
      <c r="F93" s="246">
        <v>-181985</v>
      </c>
      <c r="G93" s="246">
        <v>-114663</v>
      </c>
      <c r="H93" s="114">
        <f t="shared" si="3"/>
        <v>-1265202</v>
      </c>
    </row>
    <row r="94" spans="1:9" ht="12.75" customHeight="1">
      <c r="A94" s="1" t="s">
        <v>384</v>
      </c>
      <c r="D94" s="246">
        <f>SUM(D92:D93)</f>
        <v>258756</v>
      </c>
      <c r="E94" s="246">
        <f>SUM(E92:E93)</f>
        <v>150730</v>
      </c>
      <c r="F94" s="246">
        <f>SUM(F92:F93)</f>
        <v>525774</v>
      </c>
      <c r="G94" s="255">
        <f>SUM(G92:G93)</f>
        <v>629267.81000000238</v>
      </c>
      <c r="H94" s="114">
        <f t="shared" si="3"/>
        <v>1564527.8100000024</v>
      </c>
    </row>
    <row r="95" spans="1:9" ht="12.75" customHeight="1">
      <c r="H95" s="114">
        <f t="shared" si="3"/>
        <v>0</v>
      </c>
    </row>
    <row r="96" spans="1:9" ht="12.75" customHeight="1">
      <c r="A96" s="136" t="s">
        <v>210</v>
      </c>
      <c r="B96" s="1" t="s">
        <v>211</v>
      </c>
      <c r="D96" s="246">
        <v>230456.52</v>
      </c>
      <c r="E96" s="246">
        <v>205277.39</v>
      </c>
      <c r="F96" s="251">
        <v>324266.13</v>
      </c>
      <c r="G96" s="246">
        <v>183914.03</v>
      </c>
      <c r="H96" s="177">
        <f t="shared" si="3"/>
        <v>943914.07000000007</v>
      </c>
      <c r="I96" s="1" t="s">
        <v>557</v>
      </c>
    </row>
    <row r="97" spans="1:9" ht="12.75" customHeight="1">
      <c r="A97" s="136" t="s">
        <v>212</v>
      </c>
      <c r="B97" s="1" t="s">
        <v>213</v>
      </c>
      <c r="D97" s="246">
        <v>119943.22</v>
      </c>
      <c r="E97" s="246">
        <v>119943.23</v>
      </c>
      <c r="F97" s="246">
        <v>119943.23</v>
      </c>
      <c r="G97" s="246">
        <v>0</v>
      </c>
      <c r="H97" s="177">
        <f t="shared" si="3"/>
        <v>359829.68</v>
      </c>
    </row>
    <row r="98" spans="1:9" ht="12.75" customHeight="1">
      <c r="A98" s="136" t="s">
        <v>214</v>
      </c>
      <c r="B98" s="1" t="s">
        <v>215</v>
      </c>
      <c r="D98" s="246">
        <v>61017.04</v>
      </c>
      <c r="E98" s="246">
        <v>70988.5</v>
      </c>
      <c r="F98" s="251">
        <v>57028.11</v>
      </c>
      <c r="G98" s="246">
        <v>56855.42</v>
      </c>
      <c r="H98" s="177">
        <f t="shared" si="3"/>
        <v>245889.07</v>
      </c>
      <c r="I98" s="1" t="s">
        <v>557</v>
      </c>
    </row>
    <row r="99" spans="1:9" ht="12.75" customHeight="1">
      <c r="A99" s="136" t="s">
        <v>216</v>
      </c>
      <c r="B99" s="1" t="s">
        <v>217</v>
      </c>
      <c r="D99" s="246">
        <v>146899.4</v>
      </c>
      <c r="E99" s="246">
        <v>135095.91</v>
      </c>
      <c r="F99" s="251">
        <v>109128.17</v>
      </c>
      <c r="G99" s="246">
        <v>146200.38</v>
      </c>
      <c r="H99" s="177">
        <f t="shared" si="3"/>
        <v>537323.86</v>
      </c>
      <c r="I99" s="1" t="s">
        <v>557</v>
      </c>
    </row>
    <row r="100" spans="1:9" ht="12.75" customHeight="1">
      <c r="A100" s="136" t="s">
        <v>218</v>
      </c>
      <c r="B100" s="1" t="s">
        <v>219</v>
      </c>
      <c r="D100" s="246">
        <v>22504.3</v>
      </c>
      <c r="E100" s="246">
        <v>26095.63</v>
      </c>
      <c r="F100" s="251">
        <v>20670.54</v>
      </c>
      <c r="G100" s="246">
        <v>95071.45</v>
      </c>
      <c r="H100" s="177">
        <f t="shared" si="3"/>
        <v>164341.91999999998</v>
      </c>
      <c r="I100" s="1" t="s">
        <v>557</v>
      </c>
    </row>
    <row r="101" spans="1:9" ht="12.75" customHeight="1">
      <c r="A101" s="136" t="s">
        <v>220</v>
      </c>
      <c r="B101" s="1" t="s">
        <v>221</v>
      </c>
      <c r="D101" s="246">
        <v>24087.56</v>
      </c>
      <c r="E101" s="246">
        <v>28638.46</v>
      </c>
      <c r="F101" s="246">
        <v>15453.02</v>
      </c>
      <c r="G101" s="246">
        <v>8625.43</v>
      </c>
      <c r="H101" s="177">
        <f t="shared" si="3"/>
        <v>76804.47</v>
      </c>
    </row>
    <row r="102" spans="1:9" ht="12.75" customHeight="1">
      <c r="A102" s="136" t="s">
        <v>385</v>
      </c>
      <c r="B102" s="1" t="s">
        <v>386</v>
      </c>
      <c r="D102" s="246">
        <v>0</v>
      </c>
      <c r="E102" s="246">
        <v>0</v>
      </c>
      <c r="F102" s="246">
        <v>0</v>
      </c>
      <c r="G102" s="246">
        <v>0</v>
      </c>
      <c r="H102" s="114">
        <f t="shared" si="3"/>
        <v>0</v>
      </c>
    </row>
    <row r="103" spans="1:9" ht="12.75" customHeight="1">
      <c r="A103" s="136" t="s">
        <v>431</v>
      </c>
      <c r="B103" s="1" t="s">
        <v>412</v>
      </c>
      <c r="D103" s="246">
        <v>0</v>
      </c>
      <c r="E103" s="246">
        <v>0</v>
      </c>
      <c r="F103" s="246">
        <v>0</v>
      </c>
      <c r="G103" s="246">
        <v>0</v>
      </c>
      <c r="H103" s="114">
        <f t="shared" si="3"/>
        <v>0</v>
      </c>
    </row>
    <row r="104" spans="1:9" ht="12.75" customHeight="1">
      <c r="A104" s="1" t="s">
        <v>387</v>
      </c>
      <c r="D104" s="246">
        <f>SUM(D96:D103)</f>
        <v>604908.04</v>
      </c>
      <c r="E104" s="246">
        <f>SUM(E96:E103)</f>
        <v>586039.12</v>
      </c>
      <c r="F104" s="246">
        <f>SUM(F96:F103)</f>
        <v>646489.20000000007</v>
      </c>
      <c r="G104" s="246">
        <f>SUM(G96:G103)</f>
        <v>490666.71</v>
      </c>
      <c r="H104" s="114">
        <f t="shared" si="3"/>
        <v>2328103.0700000003</v>
      </c>
    </row>
    <row r="105" spans="1:9" ht="12.75" customHeight="1">
      <c r="H105" s="114">
        <f t="shared" si="3"/>
        <v>0</v>
      </c>
    </row>
    <row r="106" spans="1:9" ht="12.75" customHeight="1">
      <c r="A106" s="136" t="s">
        <v>432</v>
      </c>
      <c r="B106" s="1" t="s">
        <v>433</v>
      </c>
      <c r="D106" s="246">
        <v>0</v>
      </c>
      <c r="E106" s="246">
        <v>0</v>
      </c>
      <c r="F106" s="246">
        <v>0</v>
      </c>
      <c r="H106" s="114">
        <f t="shared" si="3"/>
        <v>0</v>
      </c>
    </row>
    <row r="107" spans="1:9" ht="12.75" customHeight="1">
      <c r="A107" s="136" t="s">
        <v>434</v>
      </c>
      <c r="B107" s="1" t="s">
        <v>413</v>
      </c>
      <c r="D107" s="246">
        <v>0</v>
      </c>
      <c r="E107" s="246">
        <v>0</v>
      </c>
      <c r="F107" s="251">
        <v>-15003.05</v>
      </c>
      <c r="H107" s="114">
        <f t="shared" si="3"/>
        <v>-15003.05</v>
      </c>
      <c r="I107" s="1" t="s">
        <v>557</v>
      </c>
    </row>
    <row r="108" spans="1:9" ht="12.75" customHeight="1">
      <c r="A108" s="136" t="s">
        <v>226</v>
      </c>
      <c r="B108" s="1" t="s">
        <v>227</v>
      </c>
      <c r="D108" s="246">
        <v>1678.58</v>
      </c>
      <c r="E108" s="246">
        <v>765.92</v>
      </c>
      <c r="F108" s="246">
        <v>-156.08000000000001</v>
      </c>
      <c r="G108" s="246">
        <v>1823.94</v>
      </c>
      <c r="H108" s="114">
        <f t="shared" si="3"/>
        <v>4112.3600000000006</v>
      </c>
    </row>
    <row r="109" spans="1:9" ht="12.75" customHeight="1">
      <c r="A109" s="1" t="s">
        <v>388</v>
      </c>
      <c r="D109" s="246">
        <f>SUM(D106:D108)</f>
        <v>1678.58</v>
      </c>
      <c r="E109" s="246">
        <f>SUM(E106:E108)</f>
        <v>765.92</v>
      </c>
      <c r="F109" s="246">
        <f>SUM(F106:F108)</f>
        <v>-15159.13</v>
      </c>
      <c r="G109" s="246">
        <f>SUM(G106:G108)</f>
        <v>1823.94</v>
      </c>
      <c r="H109" s="177">
        <f t="shared" si="3"/>
        <v>-10890.689999999999</v>
      </c>
    </row>
    <row r="110" spans="1:9" ht="12.75" customHeight="1">
      <c r="H110" s="114">
        <f t="shared" si="3"/>
        <v>0</v>
      </c>
    </row>
    <row r="111" spans="1:9" ht="12.75" customHeight="1">
      <c r="A111" s="136" t="s">
        <v>230</v>
      </c>
      <c r="B111" s="1" t="s">
        <v>231</v>
      </c>
      <c r="D111" s="246">
        <v>300</v>
      </c>
      <c r="E111" s="246">
        <v>600</v>
      </c>
      <c r="F111" s="246">
        <v>0</v>
      </c>
      <c r="G111" s="246">
        <v>0</v>
      </c>
      <c r="H111" s="114">
        <f t="shared" si="3"/>
        <v>900</v>
      </c>
    </row>
    <row r="112" spans="1:9" ht="12.75" customHeight="1">
      <c r="A112" s="1" t="s">
        <v>389</v>
      </c>
      <c r="D112" s="246">
        <f>SUM(D111)</f>
        <v>300</v>
      </c>
      <c r="E112" s="246">
        <f>SUM(E111)</f>
        <v>600</v>
      </c>
      <c r="F112" s="246">
        <v>0</v>
      </c>
      <c r="G112" s="246">
        <v>0</v>
      </c>
      <c r="H112" s="177">
        <f t="shared" si="3"/>
        <v>900</v>
      </c>
    </row>
    <row r="113" spans="1:9" ht="12.75" customHeight="1">
      <c r="H113" s="114">
        <f t="shared" si="3"/>
        <v>0</v>
      </c>
    </row>
    <row r="114" spans="1:9" ht="12.75" customHeight="1">
      <c r="A114" s="136" t="s">
        <v>435</v>
      </c>
      <c r="B114" s="1" t="s">
        <v>414</v>
      </c>
      <c r="D114" s="246">
        <v>0</v>
      </c>
      <c r="E114" s="246">
        <v>0</v>
      </c>
      <c r="F114" s="246">
        <v>0</v>
      </c>
      <c r="G114" s="246">
        <v>0</v>
      </c>
      <c r="H114" s="114">
        <f t="shared" si="3"/>
        <v>0</v>
      </c>
    </row>
    <row r="115" spans="1:9" ht="12.75" customHeight="1">
      <c r="A115" s="136" t="s">
        <v>234</v>
      </c>
      <c r="B115" s="1" t="s">
        <v>235</v>
      </c>
      <c r="D115" s="246">
        <v>29220.54</v>
      </c>
      <c r="E115" s="246">
        <v>29220.560000000001</v>
      </c>
      <c r="F115" s="246">
        <v>27618.03</v>
      </c>
      <c r="G115" s="246">
        <v>29190.65</v>
      </c>
      <c r="H115" s="177">
        <f t="shared" si="3"/>
        <v>115249.78</v>
      </c>
    </row>
    <row r="116" spans="1:9" ht="12.75" customHeight="1">
      <c r="A116" s="136" t="s">
        <v>236</v>
      </c>
      <c r="B116" s="1" t="s">
        <v>237</v>
      </c>
      <c r="D116" s="246">
        <v>1815</v>
      </c>
      <c r="E116" s="246">
        <v>1815</v>
      </c>
      <c r="F116" s="246">
        <v>1815</v>
      </c>
      <c r="G116" s="255">
        <v>1500</v>
      </c>
      <c r="H116" s="177">
        <f t="shared" si="3"/>
        <v>6945</v>
      </c>
    </row>
    <row r="117" spans="1:9" ht="12.75" customHeight="1">
      <c r="A117" s="136" t="s">
        <v>238</v>
      </c>
      <c r="B117" s="1" t="s">
        <v>239</v>
      </c>
      <c r="D117" s="246">
        <v>17202.63</v>
      </c>
      <c r="E117" s="246">
        <v>25189.79</v>
      </c>
      <c r="F117" s="251">
        <v>48042.38</v>
      </c>
      <c r="G117" s="246">
        <v>5734.87</v>
      </c>
      <c r="H117" s="177">
        <f t="shared" si="3"/>
        <v>96169.669999999984</v>
      </c>
      <c r="I117" s="1" t="s">
        <v>557</v>
      </c>
    </row>
    <row r="118" spans="1:9" ht="12.75" customHeight="1">
      <c r="A118" s="136" t="s">
        <v>240</v>
      </c>
      <c r="B118" s="1" t="s">
        <v>241</v>
      </c>
      <c r="D118" s="246">
        <v>2420</v>
      </c>
      <c r="E118" s="246">
        <v>1210</v>
      </c>
      <c r="F118" s="246">
        <v>1210</v>
      </c>
      <c r="G118" s="246">
        <v>1331</v>
      </c>
      <c r="H118" s="177">
        <f t="shared" si="3"/>
        <v>6171</v>
      </c>
    </row>
    <row r="119" spans="1:9" ht="12.75" customHeight="1">
      <c r="A119" s="136" t="s">
        <v>242</v>
      </c>
      <c r="B119" s="1" t="s">
        <v>243</v>
      </c>
      <c r="D119" s="246">
        <v>56676.4</v>
      </c>
      <c r="E119" s="246">
        <v>51142.69</v>
      </c>
      <c r="F119" s="246">
        <v>61678.68</v>
      </c>
      <c r="G119" s="246">
        <v>0</v>
      </c>
      <c r="H119" s="177">
        <f t="shared" si="3"/>
        <v>169497.77</v>
      </c>
    </row>
    <row r="120" spans="1:9" ht="12.75" customHeight="1">
      <c r="A120" s="136">
        <v>4310800</v>
      </c>
      <c r="B120" s="1" t="s">
        <v>562</v>
      </c>
      <c r="D120" s="246">
        <v>0</v>
      </c>
      <c r="E120" s="246">
        <v>0</v>
      </c>
      <c r="F120" s="246">
        <v>0</v>
      </c>
      <c r="G120" s="246">
        <v>39350.699999999997</v>
      </c>
      <c r="H120" s="177">
        <f t="shared" si="3"/>
        <v>39350.699999999997</v>
      </c>
    </row>
    <row r="121" spans="1:9" ht="12.75" customHeight="1">
      <c r="A121" s="136" t="s">
        <v>244</v>
      </c>
      <c r="B121" s="1" t="s">
        <v>245</v>
      </c>
      <c r="D121" s="246">
        <v>11908.13</v>
      </c>
      <c r="E121" s="246">
        <v>36615.64</v>
      </c>
      <c r="F121" s="251">
        <v>87957.23</v>
      </c>
      <c r="G121" s="246">
        <v>23990.48</v>
      </c>
      <c r="H121" s="177">
        <f t="shared" si="3"/>
        <v>160471.48000000001</v>
      </c>
      <c r="I121" s="1" t="s">
        <v>557</v>
      </c>
    </row>
    <row r="122" spans="1:9" ht="12.75" customHeight="1">
      <c r="A122" s="136" t="s">
        <v>246</v>
      </c>
      <c r="B122" s="1" t="s">
        <v>247</v>
      </c>
      <c r="D122" s="246">
        <v>10587.5</v>
      </c>
      <c r="E122" s="246">
        <v>24200</v>
      </c>
      <c r="F122" s="246">
        <v>856680</v>
      </c>
      <c r="G122" s="246">
        <v>11000</v>
      </c>
      <c r="H122" s="177">
        <f t="shared" si="3"/>
        <v>902467.5</v>
      </c>
    </row>
    <row r="123" spans="1:9" ht="12" customHeight="1">
      <c r="A123" s="136" t="s">
        <v>248</v>
      </c>
      <c r="B123" s="1" t="s">
        <v>249</v>
      </c>
      <c r="D123" s="246">
        <v>3987.94</v>
      </c>
      <c r="E123" s="246">
        <v>3190.89</v>
      </c>
      <c r="F123" s="251">
        <v>259667.54</v>
      </c>
      <c r="G123" s="246">
        <v>33232.36</v>
      </c>
      <c r="H123" s="177">
        <f t="shared" si="3"/>
        <v>300078.73</v>
      </c>
      <c r="I123" s="1" t="s">
        <v>557</v>
      </c>
    </row>
    <row r="124" spans="1:9" ht="12.75" customHeight="1">
      <c r="A124" s="136" t="s">
        <v>436</v>
      </c>
      <c r="B124" s="1" t="s">
        <v>437</v>
      </c>
      <c r="D124" s="246">
        <v>20000</v>
      </c>
      <c r="E124" s="246">
        <v>20000</v>
      </c>
      <c r="F124" s="251">
        <v>0</v>
      </c>
      <c r="G124" s="246">
        <v>0</v>
      </c>
      <c r="H124" s="177">
        <f t="shared" si="3"/>
        <v>40000</v>
      </c>
    </row>
    <row r="125" spans="1:9" ht="12.75" customHeight="1">
      <c r="A125" s="136" t="s">
        <v>250</v>
      </c>
      <c r="B125" s="1" t="s">
        <v>251</v>
      </c>
      <c r="D125" s="246">
        <v>1290.22</v>
      </c>
      <c r="E125" s="246">
        <v>1920.61</v>
      </c>
      <c r="F125" s="251">
        <v>-9967.81</v>
      </c>
      <c r="G125" s="246">
        <v>1908.15</v>
      </c>
      <c r="H125" s="177">
        <f t="shared" si="3"/>
        <v>-4848.83</v>
      </c>
      <c r="I125" s="1" t="s">
        <v>557</v>
      </c>
    </row>
    <row r="126" spans="1:9" ht="12.75" customHeight="1">
      <c r="A126" s="1" t="s">
        <v>391</v>
      </c>
      <c r="D126" s="246">
        <f>SUM(D114:D125)</f>
        <v>155108.36000000002</v>
      </c>
      <c r="E126" s="246">
        <f>SUM(E114:E125)</f>
        <v>194505.18</v>
      </c>
      <c r="F126" s="246">
        <f>SUM(F114:F125)</f>
        <v>1334701.05</v>
      </c>
      <c r="G126" s="246">
        <f>SUM(G114:G125)</f>
        <v>147238.21</v>
      </c>
      <c r="H126" s="114">
        <f t="shared" si="3"/>
        <v>1831552.8</v>
      </c>
    </row>
    <row r="127" spans="1:9" ht="12.75" customHeight="1">
      <c r="H127" s="114">
        <f t="shared" si="3"/>
        <v>0</v>
      </c>
    </row>
    <row r="128" spans="1:9" ht="12.75" customHeight="1">
      <c r="A128" s="136">
        <v>4620200</v>
      </c>
      <c r="B128" s="1" t="s">
        <v>563</v>
      </c>
      <c r="D128" s="246">
        <v>0</v>
      </c>
      <c r="E128" s="246">
        <v>0</v>
      </c>
      <c r="F128" s="251">
        <v>0.12</v>
      </c>
      <c r="G128" s="246">
        <v>29.09</v>
      </c>
      <c r="H128" s="114">
        <f t="shared" si="3"/>
        <v>29.21</v>
      </c>
      <c r="I128" s="1" t="s">
        <v>557</v>
      </c>
    </row>
    <row r="129" spans="1:9" ht="12.75" customHeight="1">
      <c r="A129" s="136" t="s">
        <v>260</v>
      </c>
      <c r="B129" s="1" t="s">
        <v>261</v>
      </c>
      <c r="D129" s="246">
        <v>401959.7</v>
      </c>
      <c r="E129" s="246">
        <v>402764.5</v>
      </c>
      <c r="F129" s="246">
        <v>1046415.29</v>
      </c>
      <c r="G129" s="246">
        <v>1389702.3</v>
      </c>
      <c r="H129" s="114">
        <f t="shared" si="3"/>
        <v>3240841.79</v>
      </c>
    </row>
    <row r="130" spans="1:9" ht="12.75" customHeight="1">
      <c r="A130" s="136">
        <v>4611000</v>
      </c>
      <c r="B130" s="1" t="s">
        <v>477</v>
      </c>
      <c r="D130" s="246">
        <v>0</v>
      </c>
      <c r="E130" s="246">
        <v>0</v>
      </c>
      <c r="F130" s="251">
        <v>-28672</v>
      </c>
      <c r="G130" s="246">
        <v>0</v>
      </c>
      <c r="H130" s="114">
        <f t="shared" si="3"/>
        <v>-28672</v>
      </c>
      <c r="I130" s="1" t="s">
        <v>557</v>
      </c>
    </row>
    <row r="131" spans="1:9" ht="12.75" customHeight="1">
      <c r="A131" s="136">
        <v>4630000</v>
      </c>
      <c r="B131" s="1" t="s">
        <v>265</v>
      </c>
      <c r="D131" s="246">
        <v>0</v>
      </c>
      <c r="E131" s="246">
        <v>0</v>
      </c>
      <c r="F131" s="246">
        <v>0</v>
      </c>
      <c r="H131" s="114">
        <f t="shared" si="3"/>
        <v>0</v>
      </c>
    </row>
    <row r="132" spans="1:9" ht="12.75" customHeight="1">
      <c r="A132" s="136">
        <v>4663000</v>
      </c>
      <c r="B132" s="1" t="s">
        <v>564</v>
      </c>
      <c r="D132" s="246">
        <v>0</v>
      </c>
      <c r="E132" s="246">
        <v>0</v>
      </c>
      <c r="F132" s="246">
        <v>-288865</v>
      </c>
      <c r="G132" s="246">
        <v>-380384.59</v>
      </c>
      <c r="H132" s="114">
        <f t="shared" si="3"/>
        <v>-669249.59000000008</v>
      </c>
    </row>
    <row r="133" spans="1:9" ht="12.75" customHeight="1">
      <c r="A133" s="136" t="s">
        <v>266</v>
      </c>
      <c r="B133" s="1" t="s">
        <v>267</v>
      </c>
      <c r="D133" s="246">
        <v>100452.6</v>
      </c>
      <c r="E133" s="246">
        <v>100805.57</v>
      </c>
      <c r="F133" s="251">
        <v>39866.69</v>
      </c>
      <c r="G133" s="246">
        <v>-208809.65</v>
      </c>
      <c r="H133" s="114">
        <f t="shared" si="3"/>
        <v>32315.210000000021</v>
      </c>
      <c r="I133" s="1" t="s">
        <v>557</v>
      </c>
    </row>
    <row r="134" spans="1:9" ht="12.75" customHeight="1">
      <c r="A134" s="136">
        <v>4642000</v>
      </c>
      <c r="B134" s="1" t="s">
        <v>462</v>
      </c>
      <c r="D134" s="246">
        <v>0</v>
      </c>
      <c r="E134" s="246">
        <v>0</v>
      </c>
      <c r="F134" s="246">
        <v>0</v>
      </c>
      <c r="G134" s="246">
        <v>0</v>
      </c>
      <c r="H134" s="114">
        <f t="shared" si="3"/>
        <v>0</v>
      </c>
    </row>
    <row r="135" spans="1:9" ht="12.75" customHeight="1">
      <c r="A135" s="136" t="s">
        <v>393</v>
      </c>
      <c r="D135" s="246">
        <f>SUM(D129:D134)</f>
        <v>502412.30000000005</v>
      </c>
      <c r="E135" s="246">
        <f>SUM(E129:E134)</f>
        <v>503570.07</v>
      </c>
      <c r="F135" s="246">
        <f>SUM(F128:F134)</f>
        <v>768745.10000000009</v>
      </c>
      <c r="G135" s="246">
        <f>SUM(G128:G134)</f>
        <v>800537.15</v>
      </c>
      <c r="H135" s="114">
        <f t="shared" si="3"/>
        <v>2575264.62</v>
      </c>
    </row>
    <row r="136" spans="1:9" ht="12.75" customHeight="1">
      <c r="H136" s="114">
        <f t="shared" si="3"/>
        <v>0</v>
      </c>
    </row>
    <row r="137" spans="1:9" ht="12.75" customHeight="1">
      <c r="A137" s="136">
        <v>9500000</v>
      </c>
      <c r="B137" s="1" t="s">
        <v>456</v>
      </c>
      <c r="D137" s="246">
        <v>0</v>
      </c>
      <c r="E137" s="246">
        <v>0</v>
      </c>
      <c r="F137" s="246">
        <v>1877813</v>
      </c>
      <c r="G137" s="246">
        <v>0</v>
      </c>
      <c r="H137" s="114">
        <f t="shared" si="3"/>
        <v>1877813</v>
      </c>
    </row>
    <row r="138" spans="1:9" ht="12.75" customHeight="1">
      <c r="A138" s="136" t="s">
        <v>272</v>
      </c>
      <c r="B138" s="1" t="s">
        <v>273</v>
      </c>
      <c r="D138" s="246">
        <v>-121126</v>
      </c>
      <c r="E138" s="246">
        <v>-165568</v>
      </c>
      <c r="F138" s="251">
        <v>-285289</v>
      </c>
      <c r="G138" s="246">
        <v>-181734</v>
      </c>
      <c r="H138" s="114">
        <f t="shared" si="3"/>
        <v>-753717</v>
      </c>
      <c r="I138" s="1" t="s">
        <v>557</v>
      </c>
    </row>
    <row r="139" spans="1:9" ht="12.75" customHeight="1">
      <c r="A139" s="136">
        <v>9500100</v>
      </c>
      <c r="B139" s="1" t="s">
        <v>438</v>
      </c>
      <c r="D139" s="246">
        <v>0</v>
      </c>
      <c r="E139" s="246">
        <v>0</v>
      </c>
      <c r="F139" s="246">
        <v>0</v>
      </c>
      <c r="H139" s="114">
        <f t="shared" si="3"/>
        <v>0</v>
      </c>
    </row>
    <row r="140" spans="1:9" ht="12.75" customHeight="1">
      <c r="A140" s="136" t="s">
        <v>439</v>
      </c>
      <c r="C140" s="175"/>
      <c r="D140" s="175">
        <f>SUM(D137:D138)-2</f>
        <v>-121128</v>
      </c>
      <c r="E140" s="175">
        <f>SUM(E137:E139)</f>
        <v>-165568</v>
      </c>
      <c r="F140" s="175">
        <f>SUM(F137:F139)</f>
        <v>1592524</v>
      </c>
      <c r="G140" s="175">
        <f>SUM(G137:G139)</f>
        <v>-181734</v>
      </c>
      <c r="H140" s="114">
        <f t="shared" si="3"/>
        <v>1124094</v>
      </c>
    </row>
    <row r="141" spans="1:9" ht="12.75" customHeight="1">
      <c r="H141" s="114">
        <f>SUM(C141:F141)</f>
        <v>0</v>
      </c>
    </row>
    <row r="142" spans="1:9" ht="12.75" customHeight="1">
      <c r="A142" s="1" t="s">
        <v>440</v>
      </c>
      <c r="D142" s="246">
        <f>D81+D87+D90+D94+D104+D109+D112+D126+D135+D140</f>
        <v>-1270695.1999999997</v>
      </c>
      <c r="E142" s="246">
        <f>E81+E87+E90+E94+E104+E109+E112+E126+E135+E140</f>
        <v>-1597278.216</v>
      </c>
      <c r="F142" s="246">
        <f>F81+F87+F90+F94+F104+F109+F112+F126+F135+F140</f>
        <v>2146219.4700000007</v>
      </c>
      <c r="G142" s="246">
        <f>G81+G87+G90+G94+G104+G109+G112+G126+G135+G140</f>
        <v>-692649.11999999767</v>
      </c>
      <c r="H142" s="246">
        <f>H81+H87+H90+H94+H104+H109+H112+H126+H135+H140</f>
        <v>-1414403.0660000006</v>
      </c>
    </row>
    <row r="144" spans="1:9" ht="12.75" customHeight="1">
      <c r="C144" s="252"/>
      <c r="D144" s="252">
        <f>SUM(D4:D75)+D142</f>
        <v>-1.8700000001117587</v>
      </c>
      <c r="E144" s="252">
        <f>SUM(E4:E75)+E142</f>
        <v>3.9999999571591616E-3</v>
      </c>
      <c r="F144" s="252">
        <f>SUM(F4:F75)+F142</f>
        <v>-2.0000011194497347E-2</v>
      </c>
      <c r="G144" s="252">
        <f>SUM(G4:G75)+G142</f>
        <v>36299.710000002407</v>
      </c>
      <c r="H144" s="114">
        <f>SUM(C144:G144)</f>
        <v>36297.823999991058</v>
      </c>
    </row>
    <row r="147" spans="8:8" ht="12.75" customHeight="1">
      <c r="H147" s="254">
        <f>SUM(H4:H75)</f>
        <v>1414401.0799999633</v>
      </c>
    </row>
    <row r="148" spans="8:8" ht="12.75" customHeight="1">
      <c r="H148" s="254">
        <f>H147+H142</f>
        <v>-1.9860000372864306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8329-D8EA-48E9-8478-E2FA7A6327DB}">
  <dimension ref="A1:J154"/>
  <sheetViews>
    <sheetView zoomScale="115" zoomScaleNormal="115" workbookViewId="0">
      <pane xSplit="2" topLeftCell="C1" activePane="topRight" state="frozen"/>
      <selection pane="topRight" activeCell="E98" sqref="E98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4" width="22.5546875" style="246" customWidth="1"/>
    <col min="5" max="7" width="22.44140625" style="246" customWidth="1"/>
    <col min="8" max="8" width="19.44140625" style="114" bestFit="1" customWidth="1"/>
    <col min="9" max="9" width="9.109375" style="1"/>
    <col min="10" max="10" width="13.5546875" style="1" bestFit="1" customWidth="1"/>
    <col min="11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0" width="22.5546875" style="1" customWidth="1"/>
    <col min="261" max="263" width="22.44140625" style="1" customWidth="1"/>
    <col min="264" max="264" width="19.44140625" style="1" bestFit="1" customWidth="1"/>
    <col min="265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6" width="22.5546875" style="1" customWidth="1"/>
    <col min="517" max="519" width="22.44140625" style="1" customWidth="1"/>
    <col min="520" max="520" width="19.44140625" style="1" bestFit="1" customWidth="1"/>
    <col min="521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2" width="22.5546875" style="1" customWidth="1"/>
    <col min="773" max="775" width="22.44140625" style="1" customWidth="1"/>
    <col min="776" max="776" width="19.44140625" style="1" bestFit="1" customWidth="1"/>
    <col min="777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28" width="22.5546875" style="1" customWidth="1"/>
    <col min="1029" max="1031" width="22.44140625" style="1" customWidth="1"/>
    <col min="1032" max="1032" width="19.44140625" style="1" bestFit="1" customWidth="1"/>
    <col min="1033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4" width="22.5546875" style="1" customWidth="1"/>
    <col min="1285" max="1287" width="22.44140625" style="1" customWidth="1"/>
    <col min="1288" max="1288" width="19.44140625" style="1" bestFit="1" customWidth="1"/>
    <col min="1289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0" width="22.5546875" style="1" customWidth="1"/>
    <col min="1541" max="1543" width="22.44140625" style="1" customWidth="1"/>
    <col min="1544" max="1544" width="19.44140625" style="1" bestFit="1" customWidth="1"/>
    <col min="1545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6" width="22.5546875" style="1" customWidth="1"/>
    <col min="1797" max="1799" width="22.44140625" style="1" customWidth="1"/>
    <col min="1800" max="1800" width="19.44140625" style="1" bestFit="1" customWidth="1"/>
    <col min="1801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2" width="22.5546875" style="1" customWidth="1"/>
    <col min="2053" max="2055" width="22.44140625" style="1" customWidth="1"/>
    <col min="2056" max="2056" width="19.44140625" style="1" bestFit="1" customWidth="1"/>
    <col min="2057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08" width="22.5546875" style="1" customWidth="1"/>
    <col min="2309" max="2311" width="22.44140625" style="1" customWidth="1"/>
    <col min="2312" max="2312" width="19.44140625" style="1" bestFit="1" customWidth="1"/>
    <col min="2313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4" width="22.5546875" style="1" customWidth="1"/>
    <col min="2565" max="2567" width="22.44140625" style="1" customWidth="1"/>
    <col min="2568" max="2568" width="19.44140625" style="1" bestFit="1" customWidth="1"/>
    <col min="2569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0" width="22.5546875" style="1" customWidth="1"/>
    <col min="2821" max="2823" width="22.44140625" style="1" customWidth="1"/>
    <col min="2824" max="2824" width="19.44140625" style="1" bestFit="1" customWidth="1"/>
    <col min="2825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6" width="22.5546875" style="1" customWidth="1"/>
    <col min="3077" max="3079" width="22.44140625" style="1" customWidth="1"/>
    <col min="3080" max="3080" width="19.44140625" style="1" bestFit="1" customWidth="1"/>
    <col min="3081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2" width="22.5546875" style="1" customWidth="1"/>
    <col min="3333" max="3335" width="22.44140625" style="1" customWidth="1"/>
    <col min="3336" max="3336" width="19.44140625" style="1" bestFit="1" customWidth="1"/>
    <col min="3337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88" width="22.5546875" style="1" customWidth="1"/>
    <col min="3589" max="3591" width="22.44140625" style="1" customWidth="1"/>
    <col min="3592" max="3592" width="19.44140625" style="1" bestFit="1" customWidth="1"/>
    <col min="3593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4" width="22.5546875" style="1" customWidth="1"/>
    <col min="3845" max="3847" width="22.44140625" style="1" customWidth="1"/>
    <col min="3848" max="3848" width="19.44140625" style="1" bestFit="1" customWidth="1"/>
    <col min="3849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0" width="22.5546875" style="1" customWidth="1"/>
    <col min="4101" max="4103" width="22.44140625" style="1" customWidth="1"/>
    <col min="4104" max="4104" width="19.44140625" style="1" bestFit="1" customWidth="1"/>
    <col min="4105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6" width="22.5546875" style="1" customWidth="1"/>
    <col min="4357" max="4359" width="22.44140625" style="1" customWidth="1"/>
    <col min="4360" max="4360" width="19.44140625" style="1" bestFit="1" customWidth="1"/>
    <col min="4361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2" width="22.5546875" style="1" customWidth="1"/>
    <col min="4613" max="4615" width="22.44140625" style="1" customWidth="1"/>
    <col min="4616" max="4616" width="19.44140625" style="1" bestFit="1" customWidth="1"/>
    <col min="4617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68" width="22.5546875" style="1" customWidth="1"/>
    <col min="4869" max="4871" width="22.44140625" style="1" customWidth="1"/>
    <col min="4872" max="4872" width="19.44140625" style="1" bestFit="1" customWidth="1"/>
    <col min="4873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4" width="22.5546875" style="1" customWidth="1"/>
    <col min="5125" max="5127" width="22.44140625" style="1" customWidth="1"/>
    <col min="5128" max="5128" width="19.44140625" style="1" bestFit="1" customWidth="1"/>
    <col min="5129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0" width="22.5546875" style="1" customWidth="1"/>
    <col min="5381" max="5383" width="22.44140625" style="1" customWidth="1"/>
    <col min="5384" max="5384" width="19.44140625" style="1" bestFit="1" customWidth="1"/>
    <col min="5385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6" width="22.5546875" style="1" customWidth="1"/>
    <col min="5637" max="5639" width="22.44140625" style="1" customWidth="1"/>
    <col min="5640" max="5640" width="19.44140625" style="1" bestFit="1" customWidth="1"/>
    <col min="5641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2" width="22.5546875" style="1" customWidth="1"/>
    <col min="5893" max="5895" width="22.44140625" style="1" customWidth="1"/>
    <col min="5896" max="5896" width="19.44140625" style="1" bestFit="1" customWidth="1"/>
    <col min="5897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48" width="22.5546875" style="1" customWidth="1"/>
    <col min="6149" max="6151" width="22.44140625" style="1" customWidth="1"/>
    <col min="6152" max="6152" width="19.44140625" style="1" bestFit="1" customWidth="1"/>
    <col min="6153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4" width="22.5546875" style="1" customWidth="1"/>
    <col min="6405" max="6407" width="22.44140625" style="1" customWidth="1"/>
    <col min="6408" max="6408" width="19.44140625" style="1" bestFit="1" customWidth="1"/>
    <col min="6409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0" width="22.5546875" style="1" customWidth="1"/>
    <col min="6661" max="6663" width="22.44140625" style="1" customWidth="1"/>
    <col min="6664" max="6664" width="19.44140625" style="1" bestFit="1" customWidth="1"/>
    <col min="6665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6" width="22.5546875" style="1" customWidth="1"/>
    <col min="6917" max="6919" width="22.44140625" style="1" customWidth="1"/>
    <col min="6920" max="6920" width="19.44140625" style="1" bestFit="1" customWidth="1"/>
    <col min="6921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2" width="22.5546875" style="1" customWidth="1"/>
    <col min="7173" max="7175" width="22.44140625" style="1" customWidth="1"/>
    <col min="7176" max="7176" width="19.44140625" style="1" bestFit="1" customWidth="1"/>
    <col min="7177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28" width="22.5546875" style="1" customWidth="1"/>
    <col min="7429" max="7431" width="22.44140625" style="1" customWidth="1"/>
    <col min="7432" max="7432" width="19.44140625" style="1" bestFit="1" customWidth="1"/>
    <col min="7433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4" width="22.5546875" style="1" customWidth="1"/>
    <col min="7685" max="7687" width="22.44140625" style="1" customWidth="1"/>
    <col min="7688" max="7688" width="19.44140625" style="1" bestFit="1" customWidth="1"/>
    <col min="7689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0" width="22.5546875" style="1" customWidth="1"/>
    <col min="7941" max="7943" width="22.44140625" style="1" customWidth="1"/>
    <col min="7944" max="7944" width="19.44140625" style="1" bestFit="1" customWidth="1"/>
    <col min="7945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6" width="22.5546875" style="1" customWidth="1"/>
    <col min="8197" max="8199" width="22.44140625" style="1" customWidth="1"/>
    <col min="8200" max="8200" width="19.44140625" style="1" bestFit="1" customWidth="1"/>
    <col min="8201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2" width="22.5546875" style="1" customWidth="1"/>
    <col min="8453" max="8455" width="22.44140625" style="1" customWidth="1"/>
    <col min="8456" max="8456" width="19.44140625" style="1" bestFit="1" customWidth="1"/>
    <col min="8457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08" width="22.5546875" style="1" customWidth="1"/>
    <col min="8709" max="8711" width="22.44140625" style="1" customWidth="1"/>
    <col min="8712" max="8712" width="19.44140625" style="1" bestFit="1" customWidth="1"/>
    <col min="8713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4" width="22.5546875" style="1" customWidth="1"/>
    <col min="8965" max="8967" width="22.44140625" style="1" customWidth="1"/>
    <col min="8968" max="8968" width="19.44140625" style="1" bestFit="1" customWidth="1"/>
    <col min="8969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0" width="22.5546875" style="1" customWidth="1"/>
    <col min="9221" max="9223" width="22.44140625" style="1" customWidth="1"/>
    <col min="9224" max="9224" width="19.44140625" style="1" bestFit="1" customWidth="1"/>
    <col min="9225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6" width="22.5546875" style="1" customWidth="1"/>
    <col min="9477" max="9479" width="22.44140625" style="1" customWidth="1"/>
    <col min="9480" max="9480" width="19.44140625" style="1" bestFit="1" customWidth="1"/>
    <col min="9481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2" width="22.5546875" style="1" customWidth="1"/>
    <col min="9733" max="9735" width="22.44140625" style="1" customWidth="1"/>
    <col min="9736" max="9736" width="19.44140625" style="1" bestFit="1" customWidth="1"/>
    <col min="9737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88" width="22.5546875" style="1" customWidth="1"/>
    <col min="9989" max="9991" width="22.44140625" style="1" customWidth="1"/>
    <col min="9992" max="9992" width="19.44140625" style="1" bestFit="1" customWidth="1"/>
    <col min="9993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4" width="22.5546875" style="1" customWidth="1"/>
    <col min="10245" max="10247" width="22.44140625" style="1" customWidth="1"/>
    <col min="10248" max="10248" width="19.44140625" style="1" bestFit="1" customWidth="1"/>
    <col min="10249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0" width="22.5546875" style="1" customWidth="1"/>
    <col min="10501" max="10503" width="22.44140625" style="1" customWidth="1"/>
    <col min="10504" max="10504" width="19.44140625" style="1" bestFit="1" customWidth="1"/>
    <col min="10505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6" width="22.5546875" style="1" customWidth="1"/>
    <col min="10757" max="10759" width="22.44140625" style="1" customWidth="1"/>
    <col min="10760" max="10760" width="19.44140625" style="1" bestFit="1" customWidth="1"/>
    <col min="10761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2" width="22.5546875" style="1" customWidth="1"/>
    <col min="11013" max="11015" width="22.44140625" style="1" customWidth="1"/>
    <col min="11016" max="11016" width="19.44140625" style="1" bestFit="1" customWidth="1"/>
    <col min="11017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68" width="22.5546875" style="1" customWidth="1"/>
    <col min="11269" max="11271" width="22.44140625" style="1" customWidth="1"/>
    <col min="11272" max="11272" width="19.44140625" style="1" bestFit="1" customWidth="1"/>
    <col min="11273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4" width="22.5546875" style="1" customWidth="1"/>
    <col min="11525" max="11527" width="22.44140625" style="1" customWidth="1"/>
    <col min="11528" max="11528" width="19.44140625" style="1" bestFit="1" customWidth="1"/>
    <col min="11529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0" width="22.5546875" style="1" customWidth="1"/>
    <col min="11781" max="11783" width="22.44140625" style="1" customWidth="1"/>
    <col min="11784" max="11784" width="19.44140625" style="1" bestFit="1" customWidth="1"/>
    <col min="11785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6" width="22.5546875" style="1" customWidth="1"/>
    <col min="12037" max="12039" width="22.44140625" style="1" customWidth="1"/>
    <col min="12040" max="12040" width="19.44140625" style="1" bestFit="1" customWidth="1"/>
    <col min="12041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2" width="22.5546875" style="1" customWidth="1"/>
    <col min="12293" max="12295" width="22.44140625" style="1" customWidth="1"/>
    <col min="12296" max="12296" width="19.44140625" style="1" bestFit="1" customWidth="1"/>
    <col min="12297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48" width="22.5546875" style="1" customWidth="1"/>
    <col min="12549" max="12551" width="22.44140625" style="1" customWidth="1"/>
    <col min="12552" max="12552" width="19.44140625" style="1" bestFit="1" customWidth="1"/>
    <col min="12553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4" width="22.5546875" style="1" customWidth="1"/>
    <col min="12805" max="12807" width="22.44140625" style="1" customWidth="1"/>
    <col min="12808" max="12808" width="19.44140625" style="1" bestFit="1" customWidth="1"/>
    <col min="12809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0" width="22.5546875" style="1" customWidth="1"/>
    <col min="13061" max="13063" width="22.44140625" style="1" customWidth="1"/>
    <col min="13064" max="13064" width="19.44140625" style="1" bestFit="1" customWidth="1"/>
    <col min="13065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6" width="22.5546875" style="1" customWidth="1"/>
    <col min="13317" max="13319" width="22.44140625" style="1" customWidth="1"/>
    <col min="13320" max="13320" width="19.44140625" style="1" bestFit="1" customWidth="1"/>
    <col min="13321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2" width="22.5546875" style="1" customWidth="1"/>
    <col min="13573" max="13575" width="22.44140625" style="1" customWidth="1"/>
    <col min="13576" max="13576" width="19.44140625" style="1" bestFit="1" customWidth="1"/>
    <col min="13577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28" width="22.5546875" style="1" customWidth="1"/>
    <col min="13829" max="13831" width="22.44140625" style="1" customWidth="1"/>
    <col min="13832" max="13832" width="19.44140625" style="1" bestFit="1" customWidth="1"/>
    <col min="13833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4" width="22.5546875" style="1" customWidth="1"/>
    <col min="14085" max="14087" width="22.44140625" style="1" customWidth="1"/>
    <col min="14088" max="14088" width="19.44140625" style="1" bestFit="1" customWidth="1"/>
    <col min="14089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0" width="22.5546875" style="1" customWidth="1"/>
    <col min="14341" max="14343" width="22.44140625" style="1" customWidth="1"/>
    <col min="14344" max="14344" width="19.44140625" style="1" bestFit="1" customWidth="1"/>
    <col min="14345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6" width="22.5546875" style="1" customWidth="1"/>
    <col min="14597" max="14599" width="22.44140625" style="1" customWidth="1"/>
    <col min="14600" max="14600" width="19.44140625" style="1" bestFit="1" customWidth="1"/>
    <col min="14601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2" width="22.5546875" style="1" customWidth="1"/>
    <col min="14853" max="14855" width="22.44140625" style="1" customWidth="1"/>
    <col min="14856" max="14856" width="19.44140625" style="1" bestFit="1" customWidth="1"/>
    <col min="14857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08" width="22.5546875" style="1" customWidth="1"/>
    <col min="15109" max="15111" width="22.44140625" style="1" customWidth="1"/>
    <col min="15112" max="15112" width="19.44140625" style="1" bestFit="1" customWidth="1"/>
    <col min="15113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4" width="22.5546875" style="1" customWidth="1"/>
    <col min="15365" max="15367" width="22.44140625" style="1" customWidth="1"/>
    <col min="15368" max="15368" width="19.44140625" style="1" bestFit="1" customWidth="1"/>
    <col min="15369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0" width="22.5546875" style="1" customWidth="1"/>
    <col min="15621" max="15623" width="22.44140625" style="1" customWidth="1"/>
    <col min="15624" max="15624" width="19.44140625" style="1" bestFit="1" customWidth="1"/>
    <col min="15625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6" width="22.5546875" style="1" customWidth="1"/>
    <col min="15877" max="15879" width="22.44140625" style="1" customWidth="1"/>
    <col min="15880" max="15880" width="19.44140625" style="1" bestFit="1" customWidth="1"/>
    <col min="15881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2" width="22.5546875" style="1" customWidth="1"/>
    <col min="16133" max="16135" width="22.44140625" style="1" customWidth="1"/>
    <col min="16136" max="16136" width="19.44140625" style="1" bestFit="1" customWidth="1"/>
    <col min="16137" max="16384" width="9.109375" style="1"/>
  </cols>
  <sheetData>
    <row r="1" spans="1:9" ht="12.75" customHeight="1">
      <c r="C1" s="175" t="s">
        <v>573</v>
      </c>
      <c r="D1" s="175" t="s">
        <v>527</v>
      </c>
      <c r="E1" s="175" t="s">
        <v>533</v>
      </c>
      <c r="F1" s="175" t="s">
        <v>555</v>
      </c>
      <c r="G1" s="175" t="s">
        <v>574</v>
      </c>
      <c r="H1" s="114" t="s">
        <v>575</v>
      </c>
    </row>
    <row r="3" spans="1:9" ht="12.75" customHeight="1">
      <c r="A3" s="138" t="s">
        <v>16</v>
      </c>
    </row>
    <row r="4" spans="1:9" ht="12.75" customHeight="1">
      <c r="A4" s="136">
        <v>1600000</v>
      </c>
      <c r="B4" s="1" t="s">
        <v>22</v>
      </c>
      <c r="C4" s="246">
        <v>124116161.41000001</v>
      </c>
      <c r="D4" s="246">
        <v>243593.77</v>
      </c>
      <c r="E4" s="246">
        <v>222347.9</v>
      </c>
      <c r="F4" s="246">
        <v>369860.81</v>
      </c>
      <c r="G4" s="246">
        <f>204566.31+J97</f>
        <v>276736.19</v>
      </c>
      <c r="H4" s="259">
        <f>SUM(C4:G4)</f>
        <v>125228700.08000001</v>
      </c>
    </row>
    <row r="5" spans="1:9" ht="12.75" customHeight="1">
      <c r="A5" s="136" t="s">
        <v>23</v>
      </c>
      <c r="B5" s="1" t="s">
        <v>24</v>
      </c>
      <c r="C5" s="246">
        <v>-15085923</v>
      </c>
      <c r="D5" s="246">
        <v>-695326</v>
      </c>
      <c r="E5" s="246">
        <v>-707759</v>
      </c>
      <c r="F5" s="246">
        <v>-707631</v>
      </c>
      <c r="G5" s="246">
        <v>-705538</v>
      </c>
      <c r="H5" s="259">
        <f t="shared" ref="H5:H68" si="0">SUM(C5:G5)</f>
        <v>-17902177</v>
      </c>
    </row>
    <row r="6" spans="1:9" ht="12.75" customHeight="1">
      <c r="A6" s="136" t="s">
        <v>25</v>
      </c>
      <c r="B6" s="1" t="s">
        <v>26</v>
      </c>
      <c r="C6" s="246">
        <v>-607773</v>
      </c>
      <c r="D6" s="247">
        <v>-363436</v>
      </c>
      <c r="E6" s="247">
        <v>-108045</v>
      </c>
      <c r="F6" s="247">
        <v>-117551</v>
      </c>
      <c r="G6" s="247">
        <v>-205430</v>
      </c>
      <c r="H6" s="259">
        <f t="shared" si="0"/>
        <v>-1402235</v>
      </c>
    </row>
    <row r="7" spans="1:9" ht="12.75" customHeight="1">
      <c r="A7" s="136" t="s">
        <v>427</v>
      </c>
      <c r="B7" s="1" t="s">
        <v>428</v>
      </c>
      <c r="C7" s="246">
        <v>77188</v>
      </c>
      <c r="D7" s="246">
        <v>49532</v>
      </c>
      <c r="E7" s="246">
        <v>15030</v>
      </c>
      <c r="F7" s="246">
        <v>17214</v>
      </c>
      <c r="G7" s="246">
        <v>31299</v>
      </c>
      <c r="H7" s="259">
        <f t="shared" si="0"/>
        <v>190263</v>
      </c>
    </row>
    <row r="8" spans="1:9" ht="12.75" customHeight="1">
      <c r="A8" s="1" t="s">
        <v>351</v>
      </c>
      <c r="C8" s="246">
        <v>0</v>
      </c>
      <c r="H8" s="114">
        <f t="shared" si="0"/>
        <v>0</v>
      </c>
    </row>
    <row r="9" spans="1:9" ht="12.75" customHeight="1">
      <c r="C9" s="246">
        <v>0</v>
      </c>
      <c r="H9" s="114">
        <f t="shared" si="0"/>
        <v>0</v>
      </c>
    </row>
    <row r="10" spans="1:9" ht="12.75" customHeight="1">
      <c r="A10" s="136">
        <v>1790000</v>
      </c>
      <c r="B10" s="1" t="s">
        <v>558</v>
      </c>
      <c r="C10" s="246">
        <v>0</v>
      </c>
      <c r="E10" s="246">
        <v>2102350.0099999998</v>
      </c>
      <c r="F10" s="246">
        <v>-110649.99</v>
      </c>
      <c r="G10" s="246">
        <v>-110649.99</v>
      </c>
      <c r="H10" s="259">
        <f t="shared" si="0"/>
        <v>1881050.0299999998</v>
      </c>
    </row>
    <row r="11" spans="1:9" ht="12.75" customHeight="1">
      <c r="A11" s="136" t="s">
        <v>35</v>
      </c>
      <c r="B11" s="1" t="s">
        <v>36</v>
      </c>
      <c r="C11" s="246">
        <v>4621600</v>
      </c>
      <c r="D11" s="249">
        <v>165568</v>
      </c>
      <c r="E11" s="248">
        <v>285289</v>
      </c>
      <c r="F11" s="249">
        <v>181734</v>
      </c>
      <c r="G11" s="248">
        <v>172942</v>
      </c>
      <c r="H11" s="259">
        <f t="shared" si="0"/>
        <v>5427133</v>
      </c>
    </row>
    <row r="12" spans="1:9" ht="12.75" customHeight="1">
      <c r="A12" s="136">
        <v>1760000</v>
      </c>
      <c r="B12" s="1" t="s">
        <v>535</v>
      </c>
      <c r="C12" s="246">
        <v>0</v>
      </c>
      <c r="D12" s="246">
        <v>0</v>
      </c>
      <c r="E12" s="246">
        <v>38320325</v>
      </c>
      <c r="F12" s="246">
        <v>0</v>
      </c>
      <c r="G12" s="246">
        <v>0</v>
      </c>
      <c r="H12" s="259">
        <f t="shared" si="0"/>
        <v>38320325</v>
      </c>
    </row>
    <row r="13" spans="1:9" ht="12.75" customHeight="1">
      <c r="A13" s="136">
        <v>1760300</v>
      </c>
      <c r="B13" s="1" t="s">
        <v>559</v>
      </c>
      <c r="C13" s="246">
        <v>0</v>
      </c>
      <c r="D13" s="246">
        <v>0</v>
      </c>
      <c r="E13" s="246">
        <v>-95800.81</v>
      </c>
      <c r="F13" s="246">
        <v>-137679.46</v>
      </c>
      <c r="G13" s="251">
        <v>-53922.16</v>
      </c>
      <c r="H13" s="259">
        <f t="shared" si="0"/>
        <v>-287402.43</v>
      </c>
      <c r="I13" s="1" t="s">
        <v>576</v>
      </c>
    </row>
    <row r="14" spans="1:9" ht="12.75" customHeight="1">
      <c r="A14" s="1" t="s">
        <v>352</v>
      </c>
      <c r="C14" s="246">
        <v>0</v>
      </c>
      <c r="H14" s="114">
        <f t="shared" si="0"/>
        <v>0</v>
      </c>
    </row>
    <row r="15" spans="1:9" ht="12.75" customHeight="1">
      <c r="C15" s="246">
        <v>0</v>
      </c>
      <c r="H15" s="114">
        <f t="shared" si="0"/>
        <v>0</v>
      </c>
    </row>
    <row r="16" spans="1:9" ht="12.75" customHeight="1">
      <c r="A16" s="136" t="s">
        <v>41</v>
      </c>
      <c r="B16" s="1" t="s">
        <v>42</v>
      </c>
      <c r="C16" s="246">
        <v>95136.090000000011</v>
      </c>
      <c r="D16" s="249">
        <v>1191082.1599999999</v>
      </c>
      <c r="E16" s="248">
        <v>-780026.62</v>
      </c>
      <c r="F16" s="249">
        <v>523319.01</v>
      </c>
      <c r="G16" s="248">
        <v>-241129.99</v>
      </c>
      <c r="H16" s="259">
        <f t="shared" si="0"/>
        <v>788380.65</v>
      </c>
    </row>
    <row r="17" spans="1:8" ht="12.75" customHeight="1">
      <c r="A17" s="136" t="s">
        <v>43</v>
      </c>
      <c r="B17" s="1" t="s">
        <v>44</v>
      </c>
      <c r="C17" s="246">
        <v>-91881.58</v>
      </c>
      <c r="D17" s="246">
        <v>0</v>
      </c>
      <c r="E17" s="246">
        <v>15003.05</v>
      </c>
      <c r="F17" s="246">
        <v>0</v>
      </c>
      <c r="G17" s="246">
        <v>0</v>
      </c>
      <c r="H17" s="259">
        <f t="shared" si="0"/>
        <v>-76878.53</v>
      </c>
    </row>
    <row r="18" spans="1:8" ht="12.75" customHeight="1">
      <c r="A18" s="1" t="s">
        <v>353</v>
      </c>
      <c r="C18" s="246">
        <v>0</v>
      </c>
      <c r="H18" s="114">
        <f t="shared" si="0"/>
        <v>0</v>
      </c>
    </row>
    <row r="19" spans="1:8" ht="12.75" customHeight="1">
      <c r="C19" s="246">
        <v>0</v>
      </c>
      <c r="H19" s="114">
        <f t="shared" si="0"/>
        <v>0</v>
      </c>
    </row>
    <row r="20" spans="1:8" ht="12.75" customHeight="1">
      <c r="A20" s="136">
        <v>2640000</v>
      </c>
      <c r="B20" s="1" t="s">
        <v>48</v>
      </c>
      <c r="C20" s="246">
        <v>1240232.2999999998</v>
      </c>
      <c r="D20" s="246">
        <v>570839.92000000004</v>
      </c>
      <c r="E20" s="246">
        <v>-2493301.08</v>
      </c>
      <c r="F20" s="246">
        <v>-6167</v>
      </c>
      <c r="G20" s="246">
        <v>592347</v>
      </c>
      <c r="H20" s="259">
        <f t="shared" si="0"/>
        <v>-96048.860000000335</v>
      </c>
    </row>
    <row r="21" spans="1:8" ht="12.75" customHeight="1">
      <c r="A21" s="1" t="s">
        <v>357</v>
      </c>
      <c r="C21" s="246">
        <v>0</v>
      </c>
      <c r="H21" s="114">
        <f t="shared" si="0"/>
        <v>0</v>
      </c>
    </row>
    <row r="22" spans="1:8" ht="12.75" customHeight="1">
      <c r="C22" s="246">
        <v>0</v>
      </c>
      <c r="H22" s="114">
        <f t="shared" si="0"/>
        <v>0</v>
      </c>
    </row>
    <row r="23" spans="1:8" ht="12.75" customHeight="1">
      <c r="A23" s="136">
        <v>2040200</v>
      </c>
      <c r="B23" s="1" t="s">
        <v>447</v>
      </c>
      <c r="C23" s="246">
        <v>5000</v>
      </c>
      <c r="D23" s="246">
        <v>0</v>
      </c>
      <c r="E23" s="246">
        <v>0</v>
      </c>
      <c r="F23" s="246">
        <v>0</v>
      </c>
      <c r="H23" s="259">
        <f t="shared" si="0"/>
        <v>5000</v>
      </c>
    </row>
    <row r="24" spans="1:8" ht="12.75" customHeight="1">
      <c r="A24" s="136">
        <v>2040500</v>
      </c>
      <c r="B24" s="1" t="s">
        <v>490</v>
      </c>
      <c r="C24" s="246">
        <v>58441.1</v>
      </c>
      <c r="D24" s="246">
        <v>-29220.560000000001</v>
      </c>
      <c r="E24" s="246">
        <v>-29220.560000000001</v>
      </c>
      <c r="F24" s="246">
        <v>86298.880000000005</v>
      </c>
      <c r="G24" s="246">
        <v>-28766.29</v>
      </c>
      <c r="H24" s="259">
        <f t="shared" si="0"/>
        <v>57532.57</v>
      </c>
    </row>
    <row r="25" spans="1:8" ht="12.75" customHeight="1">
      <c r="A25" s="136" t="s">
        <v>53</v>
      </c>
      <c r="B25" s="1" t="s">
        <v>54</v>
      </c>
      <c r="C25" s="246">
        <v>-4.9999999999954525E-2</v>
      </c>
      <c r="D25" s="246">
        <v>0</v>
      </c>
      <c r="E25" s="246">
        <v>0</v>
      </c>
      <c r="F25" s="246">
        <v>0</v>
      </c>
      <c r="G25" s="246">
        <v>0</v>
      </c>
      <c r="H25" s="114">
        <f t="shared" si="0"/>
        <v>-4.9999999999954525E-2</v>
      </c>
    </row>
    <row r="26" spans="1:8" ht="12.75" customHeight="1">
      <c r="A26" s="136" t="s">
        <v>55</v>
      </c>
      <c r="B26" s="1" t="s">
        <v>56</v>
      </c>
      <c r="C26" s="246">
        <v>-85279.92</v>
      </c>
      <c r="D26" s="246">
        <v>218888.95999999999</v>
      </c>
      <c r="E26" s="246">
        <v>-133609.04</v>
      </c>
      <c r="F26" s="246">
        <v>0</v>
      </c>
      <c r="G26" s="246">
        <v>0</v>
      </c>
      <c r="H26" s="114">
        <f t="shared" si="0"/>
        <v>-2.9103830456733704E-11</v>
      </c>
    </row>
    <row r="27" spans="1:8" ht="12.75" customHeight="1">
      <c r="A27" s="1" t="s">
        <v>407</v>
      </c>
      <c r="C27" s="246">
        <v>0</v>
      </c>
      <c r="H27" s="114">
        <f t="shared" si="0"/>
        <v>0</v>
      </c>
    </row>
    <row r="28" spans="1:8" ht="12.75" customHeight="1">
      <c r="C28" s="246">
        <v>0</v>
      </c>
      <c r="H28" s="114">
        <f t="shared" si="0"/>
        <v>0</v>
      </c>
    </row>
    <row r="29" spans="1:8" ht="12.75" customHeight="1">
      <c r="A29" s="136" t="s">
        <v>61</v>
      </c>
      <c r="B29" s="1" t="s">
        <v>62</v>
      </c>
      <c r="C29" s="246">
        <v>-2262.7600000000002</v>
      </c>
      <c r="D29" s="246">
        <v>1168.1600000000001</v>
      </c>
      <c r="E29" s="246">
        <v>1095.07</v>
      </c>
      <c r="F29" s="246">
        <v>1948.2</v>
      </c>
      <c r="G29" s="246">
        <v>1958.46</v>
      </c>
      <c r="H29" s="259">
        <f t="shared" si="0"/>
        <v>3907.13</v>
      </c>
    </row>
    <row r="30" spans="1:8" ht="12.75" customHeight="1">
      <c r="A30" s="136" t="s">
        <v>65</v>
      </c>
      <c r="B30" s="1" t="s">
        <v>66</v>
      </c>
      <c r="C30" s="246">
        <v>0.27</v>
      </c>
      <c r="D30" s="249">
        <v>276380.24</v>
      </c>
      <c r="E30" s="249">
        <v>261185.75</v>
      </c>
      <c r="F30" s="249">
        <v>-537566.26</v>
      </c>
      <c r="G30" s="249">
        <v>128000</v>
      </c>
      <c r="H30" s="259">
        <f t="shared" si="0"/>
        <v>128000</v>
      </c>
    </row>
    <row r="31" spans="1:8" ht="12.75" customHeight="1">
      <c r="A31" s="136" t="s">
        <v>67</v>
      </c>
      <c r="B31" s="1" t="s">
        <v>68</v>
      </c>
      <c r="C31" s="246">
        <v>36626.009999999995</v>
      </c>
      <c r="D31" s="249">
        <v>-633966.34</v>
      </c>
      <c r="E31" s="249">
        <v>502142.01</v>
      </c>
      <c r="F31" s="249">
        <v>96845.81</v>
      </c>
      <c r="G31" s="249">
        <v>-43252.62</v>
      </c>
      <c r="H31" s="259">
        <f t="shared" si="0"/>
        <v>-41605.129999999954</v>
      </c>
    </row>
    <row r="32" spans="1:8" ht="12.75" customHeight="1">
      <c r="A32" s="136" t="s">
        <v>69</v>
      </c>
      <c r="B32" s="1" t="s">
        <v>70</v>
      </c>
      <c r="C32" s="246">
        <v>49984.39</v>
      </c>
      <c r="D32" s="249">
        <v>-49793.26</v>
      </c>
      <c r="E32" s="249">
        <v>-12.05</v>
      </c>
      <c r="F32" s="249">
        <v>0</v>
      </c>
      <c r="G32" s="249">
        <v>0</v>
      </c>
      <c r="H32" s="259">
        <f t="shared" si="0"/>
        <v>179.07999999999737</v>
      </c>
    </row>
    <row r="33" spans="1:8" ht="12.75" customHeight="1">
      <c r="A33" s="136" t="s">
        <v>71</v>
      </c>
      <c r="B33" s="1" t="s">
        <v>72</v>
      </c>
      <c r="C33" s="246">
        <v>43079.91</v>
      </c>
      <c r="D33" s="249">
        <v>139682.04999999999</v>
      </c>
      <c r="E33" s="249">
        <v>-53607.74</v>
      </c>
      <c r="F33" s="249">
        <v>-109016.02</v>
      </c>
      <c r="G33" s="249">
        <v>-13039.08</v>
      </c>
      <c r="H33" s="259">
        <f t="shared" si="0"/>
        <v>7099.1199999999972</v>
      </c>
    </row>
    <row r="34" spans="1:8" ht="12.75" customHeight="1">
      <c r="A34" s="136" t="s">
        <v>73</v>
      </c>
      <c r="B34" s="1" t="s">
        <v>74</v>
      </c>
      <c r="C34" s="246">
        <v>1097271.1000000001</v>
      </c>
      <c r="D34" s="249">
        <v>323121.93</v>
      </c>
      <c r="E34" s="249">
        <v>-1298518.42</v>
      </c>
      <c r="F34" s="249">
        <v>273260.99</v>
      </c>
      <c r="G34" s="249">
        <v>-45193.38</v>
      </c>
      <c r="H34" s="259">
        <f t="shared" si="0"/>
        <v>349942.22000000009</v>
      </c>
    </row>
    <row r="35" spans="1:8" ht="12.75" customHeight="1">
      <c r="A35" s="136" t="s">
        <v>75</v>
      </c>
      <c r="B35" s="1" t="s">
        <v>76</v>
      </c>
      <c r="C35" s="246">
        <v>4184.4199999999983</v>
      </c>
      <c r="D35" s="249">
        <v>98531.57</v>
      </c>
      <c r="E35" s="249">
        <v>-5460.63</v>
      </c>
      <c r="F35" s="249">
        <v>-85043.32</v>
      </c>
      <c r="G35" s="249">
        <v>-9996.6299999999992</v>
      </c>
      <c r="H35" s="259">
        <f t="shared" si="0"/>
        <v>2215.4099999999944</v>
      </c>
    </row>
    <row r="36" spans="1:8" ht="12.75" customHeight="1">
      <c r="A36" s="136">
        <v>2400206</v>
      </c>
      <c r="B36" s="1" t="s">
        <v>560</v>
      </c>
      <c r="C36" s="246">
        <v>0</v>
      </c>
      <c r="D36" s="249">
        <v>0</v>
      </c>
      <c r="E36" s="249">
        <v>-11.39</v>
      </c>
      <c r="F36" s="249">
        <v>-5.65</v>
      </c>
      <c r="G36" s="249">
        <v>0</v>
      </c>
      <c r="H36" s="259">
        <f t="shared" si="0"/>
        <v>-17.04</v>
      </c>
    </row>
    <row r="37" spans="1:8" ht="12.75" customHeight="1">
      <c r="A37" s="1" t="s">
        <v>358</v>
      </c>
      <c r="C37" s="246">
        <v>0</v>
      </c>
      <c r="H37" s="114">
        <f t="shared" si="0"/>
        <v>0</v>
      </c>
    </row>
    <row r="38" spans="1:8" ht="12.75" customHeight="1">
      <c r="C38" s="246">
        <v>0</v>
      </c>
      <c r="H38" s="114">
        <f t="shared" si="0"/>
        <v>0</v>
      </c>
    </row>
    <row r="39" spans="1:8" ht="12.75" customHeight="1">
      <c r="A39" s="136">
        <v>1000002</v>
      </c>
      <c r="B39" s="1" t="s">
        <v>429</v>
      </c>
      <c r="C39" s="246">
        <v>-1</v>
      </c>
      <c r="D39" s="246">
        <v>0</v>
      </c>
      <c r="E39" s="246">
        <v>0</v>
      </c>
      <c r="F39" s="246">
        <v>0</v>
      </c>
      <c r="G39" s="246">
        <v>0</v>
      </c>
      <c r="H39" s="259">
        <f t="shared" si="0"/>
        <v>-1</v>
      </c>
    </row>
    <row r="40" spans="1:8" ht="12.75" customHeight="1">
      <c r="A40" s="136">
        <v>1100000</v>
      </c>
      <c r="B40" s="1" t="s">
        <v>430</v>
      </c>
      <c r="C40" s="246">
        <v>-18931219.48</v>
      </c>
      <c r="D40" s="246">
        <v>0</v>
      </c>
      <c r="E40" s="246">
        <v>0</v>
      </c>
      <c r="F40" s="246">
        <v>0</v>
      </c>
      <c r="G40" s="246">
        <v>0</v>
      </c>
      <c r="H40" s="259">
        <f t="shared" si="0"/>
        <v>-18931219.48</v>
      </c>
    </row>
    <row r="41" spans="1:8" ht="12.75" customHeight="1">
      <c r="A41" s="136">
        <v>1160000</v>
      </c>
      <c r="B41" s="1" t="s">
        <v>94</v>
      </c>
      <c r="C41" s="246">
        <v>7058230.2699999996</v>
      </c>
      <c r="D41" s="246">
        <v>0</v>
      </c>
      <c r="E41" s="246">
        <v>0</v>
      </c>
      <c r="F41" s="246">
        <v>0</v>
      </c>
      <c r="G41" s="246">
        <v>0</v>
      </c>
      <c r="H41" s="259">
        <f t="shared" si="0"/>
        <v>7058230.2699999996</v>
      </c>
    </row>
    <row r="42" spans="1:8" ht="12.75" customHeight="1">
      <c r="A42" s="136" t="s">
        <v>95</v>
      </c>
      <c r="B42" s="1" t="s">
        <v>96</v>
      </c>
      <c r="C42" s="246">
        <v>0</v>
      </c>
      <c r="D42" s="246">
        <v>0</v>
      </c>
      <c r="E42" s="246">
        <v>0</v>
      </c>
      <c r="F42" s="246">
        <v>0</v>
      </c>
      <c r="G42" s="246">
        <v>0</v>
      </c>
      <c r="H42" s="114">
        <f t="shared" si="0"/>
        <v>0</v>
      </c>
    </row>
    <row r="43" spans="1:8" ht="12.75" customHeight="1">
      <c r="A43" s="1" t="s">
        <v>359</v>
      </c>
      <c r="C43" s="246">
        <v>0</v>
      </c>
      <c r="H43" s="114">
        <f t="shared" si="0"/>
        <v>0</v>
      </c>
    </row>
    <row r="44" spans="1:8" ht="12.75" customHeight="1">
      <c r="C44" s="246">
        <v>0</v>
      </c>
      <c r="H44" s="114">
        <f t="shared" si="0"/>
        <v>0</v>
      </c>
    </row>
    <row r="45" spans="1:8" ht="12.75" customHeight="1">
      <c r="A45" s="136">
        <v>1930001</v>
      </c>
      <c r="B45" s="1" t="s">
        <v>104</v>
      </c>
      <c r="C45" s="246">
        <v>-130000000</v>
      </c>
      <c r="D45" s="246">
        <v>0</v>
      </c>
      <c r="E45" s="246">
        <v>-38320325</v>
      </c>
      <c r="F45" s="246">
        <v>0</v>
      </c>
      <c r="H45" s="114">
        <f t="shared" si="0"/>
        <v>-168320325</v>
      </c>
    </row>
    <row r="46" spans="1:8" ht="12.75" customHeight="1">
      <c r="A46" s="136" t="s">
        <v>107</v>
      </c>
      <c r="B46" s="1" t="s">
        <v>108</v>
      </c>
      <c r="C46" s="246">
        <v>28320324.830000002</v>
      </c>
      <c r="D46" s="249">
        <v>601183.98</v>
      </c>
      <c r="E46" s="248">
        <v>-251183.98</v>
      </c>
      <c r="F46" s="249">
        <v>1040566.26</v>
      </c>
      <c r="G46" s="248">
        <v>531000</v>
      </c>
      <c r="H46" s="114">
        <f t="shared" si="0"/>
        <v>30241891.090000004</v>
      </c>
    </row>
    <row r="47" spans="1:8" ht="12.75" customHeight="1">
      <c r="A47" s="136">
        <v>1930200</v>
      </c>
      <c r="B47" s="1" t="s">
        <v>561</v>
      </c>
      <c r="C47" s="246">
        <v>0</v>
      </c>
      <c r="D47" s="249">
        <v>0</v>
      </c>
      <c r="E47" s="248">
        <v>552312.06000000006</v>
      </c>
      <c r="F47" s="249">
        <v>-29069.07</v>
      </c>
      <c r="G47" s="248">
        <v>-29069.06</v>
      </c>
      <c r="H47" s="259">
        <f t="shared" si="0"/>
        <v>494173.93000000005</v>
      </c>
    </row>
    <row r="48" spans="1:8" ht="12.75" customHeight="1">
      <c r="A48" s="1" t="s">
        <v>362</v>
      </c>
      <c r="C48" s="246">
        <v>0</v>
      </c>
      <c r="H48" s="114">
        <f t="shared" si="0"/>
        <v>0</v>
      </c>
    </row>
    <row r="49" spans="1:8" ht="12.75" customHeight="1">
      <c r="C49" s="246">
        <v>0</v>
      </c>
      <c r="H49" s="114">
        <f t="shared" si="0"/>
        <v>0</v>
      </c>
    </row>
    <row r="50" spans="1:8" ht="12.75" customHeight="1">
      <c r="A50" s="136" t="s">
        <v>121</v>
      </c>
      <c r="B50" s="1" t="s">
        <v>122</v>
      </c>
      <c r="C50" s="246">
        <v>-173573.67999999993</v>
      </c>
      <c r="D50" s="246">
        <v>-403705.29</v>
      </c>
      <c r="E50" s="246">
        <v>221244.37</v>
      </c>
      <c r="F50" s="175">
        <v>-339462.09</v>
      </c>
      <c r="G50" s="246">
        <v>459980.87</v>
      </c>
      <c r="H50" s="259">
        <f t="shared" si="0"/>
        <v>-235515.81999999995</v>
      </c>
    </row>
    <row r="51" spans="1:8" ht="12.75" customHeight="1">
      <c r="A51" s="136" t="s">
        <v>123</v>
      </c>
      <c r="B51" s="1" t="s">
        <v>124</v>
      </c>
      <c r="C51" s="246">
        <v>-12100</v>
      </c>
      <c r="D51" s="246">
        <v>-24200</v>
      </c>
      <c r="E51" s="246">
        <v>-856680</v>
      </c>
      <c r="F51" s="246">
        <v>-12500</v>
      </c>
      <c r="G51" s="246">
        <v>-13200</v>
      </c>
      <c r="H51" s="259">
        <f t="shared" si="0"/>
        <v>-918680</v>
      </c>
    </row>
    <row r="52" spans="1:8" ht="12.75" customHeight="1">
      <c r="A52" s="1" t="s">
        <v>363</v>
      </c>
      <c r="C52" s="246">
        <v>0</v>
      </c>
      <c r="H52" s="114">
        <f t="shared" si="0"/>
        <v>0</v>
      </c>
    </row>
    <row r="53" spans="1:8" ht="12.75" customHeight="1">
      <c r="C53" s="246">
        <v>0</v>
      </c>
      <c r="H53" s="114">
        <f t="shared" si="0"/>
        <v>0</v>
      </c>
    </row>
    <row r="54" spans="1:8" ht="12.75" customHeight="1">
      <c r="A54" s="136" t="s">
        <v>129</v>
      </c>
      <c r="B54" s="1" t="s">
        <v>130</v>
      </c>
      <c r="C54" s="246">
        <v>-4497.99</v>
      </c>
      <c r="D54" s="246">
        <v>-230.48</v>
      </c>
      <c r="E54" s="246">
        <v>-997.53</v>
      </c>
      <c r="F54" s="246">
        <v>757.23</v>
      </c>
      <c r="G54" s="246">
        <v>168.17</v>
      </c>
      <c r="H54" s="259">
        <f t="shared" si="0"/>
        <v>-4800.5999999999985</v>
      </c>
    </row>
    <row r="55" spans="1:8" ht="12.75" customHeight="1">
      <c r="A55" s="136" t="s">
        <v>133</v>
      </c>
      <c r="B55" s="1" t="s">
        <v>134</v>
      </c>
      <c r="C55" s="246">
        <v>0</v>
      </c>
      <c r="D55" s="246">
        <v>0</v>
      </c>
      <c r="E55" s="246">
        <v>0</v>
      </c>
      <c r="H55" s="114">
        <f t="shared" si="0"/>
        <v>0</v>
      </c>
    </row>
    <row r="56" spans="1:8" ht="12.75" customHeight="1">
      <c r="A56" s="136" t="s">
        <v>137</v>
      </c>
      <c r="B56" s="1" t="s">
        <v>138</v>
      </c>
      <c r="C56" s="246">
        <v>0</v>
      </c>
      <c r="D56" s="246">
        <v>0</v>
      </c>
      <c r="E56" s="246">
        <v>0</v>
      </c>
      <c r="H56" s="114">
        <f t="shared" si="0"/>
        <v>0</v>
      </c>
    </row>
    <row r="57" spans="1:8" ht="12.75" customHeight="1">
      <c r="A57" s="1" t="s">
        <v>366</v>
      </c>
      <c r="C57" s="246">
        <v>0</v>
      </c>
      <c r="H57" s="114">
        <f t="shared" si="0"/>
        <v>0</v>
      </c>
    </row>
    <row r="58" spans="1:8" ht="12.75" customHeight="1">
      <c r="C58" s="246">
        <v>0</v>
      </c>
      <c r="H58" s="114">
        <f t="shared" si="0"/>
        <v>0</v>
      </c>
    </row>
    <row r="59" spans="1:8" ht="12.75" customHeight="1">
      <c r="A59" s="136">
        <v>2620000</v>
      </c>
      <c r="B59" s="1" t="s">
        <v>542</v>
      </c>
      <c r="C59" s="246">
        <v>0</v>
      </c>
      <c r="D59" s="246">
        <v>0</v>
      </c>
      <c r="E59" s="246">
        <v>-100000</v>
      </c>
      <c r="F59" s="246">
        <v>100000</v>
      </c>
      <c r="G59" s="246">
        <v>0</v>
      </c>
      <c r="H59" s="114">
        <f t="shared" si="0"/>
        <v>0</v>
      </c>
    </row>
    <row r="60" spans="1:8" ht="12.75" customHeight="1">
      <c r="A60" s="136" t="s">
        <v>543</v>
      </c>
      <c r="C60" s="246">
        <v>0</v>
      </c>
      <c r="H60" s="114">
        <f t="shared" si="0"/>
        <v>0</v>
      </c>
    </row>
    <row r="61" spans="1:8" ht="12.75" customHeight="1">
      <c r="C61" s="246">
        <v>0</v>
      </c>
      <c r="H61" s="114">
        <f t="shared" si="0"/>
        <v>0</v>
      </c>
    </row>
    <row r="62" spans="1:8" ht="12.75" customHeight="1">
      <c r="A62" s="136">
        <v>2740100</v>
      </c>
      <c r="B62" s="1" t="s">
        <v>492</v>
      </c>
      <c r="C62" s="246">
        <v>-908102.37</v>
      </c>
      <c r="D62" s="246">
        <v>-105259.43</v>
      </c>
      <c r="E62" s="246">
        <v>876536.84</v>
      </c>
      <c r="F62" s="246">
        <v>-19436.43</v>
      </c>
      <c r="G62" s="246">
        <v>-27486.62</v>
      </c>
      <c r="H62" s="259">
        <f t="shared" si="0"/>
        <v>-183748.01000000007</v>
      </c>
    </row>
    <row r="63" spans="1:8" ht="12.75" customHeight="1">
      <c r="A63" s="136" t="s">
        <v>141</v>
      </c>
      <c r="B63" s="1" t="s">
        <v>142</v>
      </c>
      <c r="C63" s="246">
        <v>-840133.68</v>
      </c>
      <c r="D63" s="246">
        <v>-3189.54</v>
      </c>
      <c r="E63" s="246">
        <v>-29141.32</v>
      </c>
      <c r="F63" s="246">
        <v>-34705.35</v>
      </c>
      <c r="G63" s="246">
        <v>-20233.89</v>
      </c>
      <c r="H63" s="259">
        <f t="shared" si="0"/>
        <v>-927403.78</v>
      </c>
    </row>
    <row r="64" spans="1:8" ht="12.75" customHeight="1">
      <c r="A64" s="136">
        <v>2740500</v>
      </c>
      <c r="B64" s="1" t="s">
        <v>144</v>
      </c>
      <c r="C64" s="246">
        <v>-22500</v>
      </c>
      <c r="D64" s="246">
        <v>0</v>
      </c>
      <c r="E64" s="246">
        <v>-22500</v>
      </c>
      <c r="F64" s="246">
        <v>400.95</v>
      </c>
      <c r="G64" s="246">
        <v>-400.49</v>
      </c>
      <c r="H64" s="259">
        <f t="shared" si="0"/>
        <v>-44999.54</v>
      </c>
    </row>
    <row r="65" spans="1:9" ht="12.75" customHeight="1">
      <c r="A65" s="136" t="s">
        <v>145</v>
      </c>
      <c r="B65" s="1" t="s">
        <v>146</v>
      </c>
      <c r="C65" s="246">
        <v>0</v>
      </c>
      <c r="D65" s="246">
        <v>0</v>
      </c>
      <c r="E65" s="246">
        <v>0</v>
      </c>
      <c r="F65" s="246">
        <v>0</v>
      </c>
      <c r="G65" s="246">
        <v>0</v>
      </c>
      <c r="H65" s="114">
        <f t="shared" si="0"/>
        <v>0</v>
      </c>
    </row>
    <row r="66" spans="1:9" ht="12.75" customHeight="1">
      <c r="A66" s="136" t="s">
        <v>367</v>
      </c>
      <c r="B66" s="1" t="s">
        <v>368</v>
      </c>
      <c r="C66" s="246">
        <v>0</v>
      </c>
      <c r="D66" s="246">
        <v>0</v>
      </c>
      <c r="E66" s="246">
        <v>0</v>
      </c>
      <c r="F66" s="246">
        <v>0</v>
      </c>
      <c r="G66" s="246">
        <v>0</v>
      </c>
      <c r="H66" s="114">
        <f t="shared" si="0"/>
        <v>0</v>
      </c>
    </row>
    <row r="67" spans="1:9" ht="12.75" customHeight="1">
      <c r="A67" s="136" t="s">
        <v>147</v>
      </c>
      <c r="B67" s="1" t="s">
        <v>148</v>
      </c>
      <c r="C67" s="246">
        <v>147195.70000000001</v>
      </c>
      <c r="D67" s="246">
        <v>-73597.86</v>
      </c>
      <c r="E67" s="246">
        <v>-76077.460000000006</v>
      </c>
      <c r="F67" s="251">
        <v>129789</v>
      </c>
      <c r="G67" s="251">
        <v>32104.41</v>
      </c>
      <c r="H67" s="259">
        <f t="shared" si="0"/>
        <v>159413.79</v>
      </c>
      <c r="I67" s="1" t="s">
        <v>577</v>
      </c>
    </row>
    <row r="68" spans="1:9" ht="12.75" customHeight="1">
      <c r="A68" s="136" t="s">
        <v>149</v>
      </c>
      <c r="B68" s="1" t="s">
        <v>150</v>
      </c>
      <c r="C68" s="246">
        <v>-0.13000000000010914</v>
      </c>
      <c r="D68" s="246">
        <v>0</v>
      </c>
      <c r="E68" s="246">
        <v>-42098.85</v>
      </c>
      <c r="F68" s="246">
        <v>0</v>
      </c>
      <c r="G68" s="246">
        <v>0</v>
      </c>
      <c r="H68" s="259">
        <f t="shared" si="0"/>
        <v>-42098.979999999996</v>
      </c>
    </row>
    <row r="69" spans="1:9" ht="12.75" customHeight="1">
      <c r="A69" s="136" t="s">
        <v>151</v>
      </c>
      <c r="B69" s="1" t="s">
        <v>152</v>
      </c>
      <c r="C69" s="246">
        <v>-0.30000000000001137</v>
      </c>
      <c r="D69" s="246">
        <v>0</v>
      </c>
      <c r="E69" s="246">
        <v>0</v>
      </c>
      <c r="F69" s="246">
        <v>0</v>
      </c>
      <c r="G69" s="246">
        <v>0</v>
      </c>
      <c r="H69" s="114">
        <f t="shared" ref="H69:H132" si="1">SUM(C69:G69)</f>
        <v>-0.30000000000001137</v>
      </c>
    </row>
    <row r="70" spans="1:9" ht="12.75" customHeight="1">
      <c r="A70" s="136" t="s">
        <v>155</v>
      </c>
      <c r="B70" s="1" t="s">
        <v>156</v>
      </c>
      <c r="C70" s="246">
        <v>-205406.86</v>
      </c>
      <c r="D70" s="246">
        <v>79630.240000000005</v>
      </c>
      <c r="E70" s="246">
        <v>-126704.07</v>
      </c>
      <c r="F70" s="246">
        <v>125173.56</v>
      </c>
      <c r="G70" s="246">
        <v>-127137.14</v>
      </c>
      <c r="H70" s="259">
        <f t="shared" si="1"/>
        <v>-254444.27000000002</v>
      </c>
    </row>
    <row r="71" spans="1:9" ht="12.75" customHeight="1">
      <c r="A71" s="136" t="s">
        <v>157</v>
      </c>
      <c r="B71" s="1" t="s">
        <v>158</v>
      </c>
      <c r="C71" s="246">
        <v>0</v>
      </c>
      <c r="D71" s="246">
        <v>0</v>
      </c>
      <c r="E71" s="246">
        <v>0</v>
      </c>
      <c r="F71" s="246">
        <v>0</v>
      </c>
      <c r="G71" s="246">
        <v>0</v>
      </c>
      <c r="H71" s="114">
        <f t="shared" si="1"/>
        <v>0</v>
      </c>
    </row>
    <row r="72" spans="1:9" ht="12.75" customHeight="1">
      <c r="A72" s="136" t="s">
        <v>159</v>
      </c>
      <c r="B72" s="1" t="s">
        <v>494</v>
      </c>
      <c r="C72" s="246">
        <v>0</v>
      </c>
      <c r="D72" s="246">
        <v>20000</v>
      </c>
      <c r="E72" s="246">
        <v>10000</v>
      </c>
      <c r="G72" s="246">
        <v>0</v>
      </c>
      <c r="H72" s="259">
        <f t="shared" si="1"/>
        <v>30000</v>
      </c>
    </row>
    <row r="73" spans="1:9" ht="12.75" customHeight="1">
      <c r="A73" s="136" t="s">
        <v>161</v>
      </c>
      <c r="B73" s="1" t="s">
        <v>162</v>
      </c>
      <c r="C73" s="246">
        <v>0</v>
      </c>
      <c r="D73" s="246">
        <v>0</v>
      </c>
      <c r="G73" s="246">
        <v>0</v>
      </c>
      <c r="H73" s="114">
        <f t="shared" si="1"/>
        <v>0</v>
      </c>
    </row>
    <row r="74" spans="1:9" ht="12.75" customHeight="1">
      <c r="A74" s="136" t="s">
        <v>163</v>
      </c>
      <c r="B74" s="1" t="s">
        <v>164</v>
      </c>
      <c r="C74" s="246">
        <v>0</v>
      </c>
      <c r="D74" s="246">
        <v>0</v>
      </c>
      <c r="G74" s="246">
        <v>0</v>
      </c>
      <c r="H74" s="114">
        <f t="shared" si="1"/>
        <v>0</v>
      </c>
    </row>
    <row r="75" spans="1:9" ht="12.75" customHeight="1">
      <c r="A75" s="136">
        <v>2040100</v>
      </c>
      <c r="B75" s="1" t="s">
        <v>578</v>
      </c>
      <c r="C75" s="246">
        <v>0</v>
      </c>
      <c r="D75" s="246">
        <v>0</v>
      </c>
      <c r="E75" s="246">
        <v>0</v>
      </c>
      <c r="F75" s="246">
        <v>0</v>
      </c>
      <c r="G75" s="246">
        <v>-41878.65</v>
      </c>
      <c r="H75" s="259">
        <f t="shared" si="1"/>
        <v>-41878.65</v>
      </c>
    </row>
    <row r="76" spans="1:9" ht="12.75" customHeight="1">
      <c r="A76" s="1" t="s">
        <v>369</v>
      </c>
      <c r="H76" s="114">
        <f t="shared" si="1"/>
        <v>0</v>
      </c>
    </row>
    <row r="77" spans="1:9" ht="12.75" customHeight="1">
      <c r="H77" s="114">
        <f t="shared" si="1"/>
        <v>0</v>
      </c>
    </row>
    <row r="78" spans="1:9" ht="12.75" customHeight="1">
      <c r="H78" s="114">
        <f t="shared" si="1"/>
        <v>0</v>
      </c>
    </row>
    <row r="79" spans="1:9" ht="12.75" customHeight="1">
      <c r="A79" s="138" t="s">
        <v>370</v>
      </c>
      <c r="H79" s="114">
        <f t="shared" si="1"/>
        <v>0</v>
      </c>
    </row>
    <row r="80" spans="1:9" ht="12.75" customHeight="1">
      <c r="A80" s="136" t="s">
        <v>174</v>
      </c>
      <c r="B80" s="1" t="s">
        <v>175</v>
      </c>
      <c r="D80" s="246">
        <v>-2944242.41</v>
      </c>
      <c r="E80" s="246">
        <v>-2950963.19</v>
      </c>
      <c r="F80" s="246">
        <v>-2959140.94</v>
      </c>
      <c r="G80" s="246">
        <v>-2984947.9</v>
      </c>
      <c r="H80" s="259">
        <f t="shared" si="1"/>
        <v>-11839294.439999999</v>
      </c>
    </row>
    <row r="81" spans="1:10" ht="12.75" customHeight="1">
      <c r="A81" s="136" t="s">
        <v>176</v>
      </c>
      <c r="B81" s="1" t="s">
        <v>177</v>
      </c>
      <c r="D81" s="246">
        <v>55228.45</v>
      </c>
      <c r="E81" s="246">
        <v>59011.37</v>
      </c>
      <c r="F81" s="246">
        <v>55162.54</v>
      </c>
      <c r="G81" s="246">
        <v>56558</v>
      </c>
      <c r="H81" s="259">
        <f t="shared" si="1"/>
        <v>225960.36000000002</v>
      </c>
    </row>
    <row r="82" spans="1:10" ht="12.75" customHeight="1">
      <c r="A82" s="1" t="s">
        <v>381</v>
      </c>
      <c r="D82" s="246">
        <f>SUM(D80:D81)</f>
        <v>-2889013.96</v>
      </c>
      <c r="E82" s="246">
        <f>E80+E81</f>
        <v>-2891951.82</v>
      </c>
      <c r="F82" s="246">
        <f>F80+F81</f>
        <v>-2903978.4</v>
      </c>
      <c r="G82" s="246">
        <f>G80+G81</f>
        <v>-2928389.9</v>
      </c>
      <c r="H82" s="259">
        <f t="shared" si="1"/>
        <v>-11613334.08</v>
      </c>
      <c r="J82" s="141">
        <f>G82+'Management Cijfers - Q2 2025'!R25</f>
        <v>0</v>
      </c>
    </row>
    <row r="83" spans="1:10" ht="12.75" customHeight="1">
      <c r="H83" s="114">
        <f t="shared" si="1"/>
        <v>0</v>
      </c>
    </row>
    <row r="84" spans="1:10" ht="12.75" customHeight="1">
      <c r="A84" s="136">
        <v>8400400</v>
      </c>
      <c r="B84" s="1" t="s">
        <v>515</v>
      </c>
      <c r="H84" s="114">
        <f t="shared" si="1"/>
        <v>0</v>
      </c>
    </row>
    <row r="85" spans="1:10" ht="12.75" customHeight="1">
      <c r="A85" s="136" t="s">
        <v>182</v>
      </c>
      <c r="B85" s="1" t="s">
        <v>183</v>
      </c>
      <c r="D85" s="246">
        <v>-350659.51</v>
      </c>
      <c r="E85" s="246">
        <v>-165044.01999999999</v>
      </c>
      <c r="F85" s="246">
        <v>-165745.84</v>
      </c>
      <c r="G85" s="246">
        <v>-166072.95000000001</v>
      </c>
      <c r="H85" s="259">
        <f t="shared" si="1"/>
        <v>-847522.32000000007</v>
      </c>
    </row>
    <row r="86" spans="1:10" ht="12.75" customHeight="1">
      <c r="A86" s="136" t="s">
        <v>184</v>
      </c>
      <c r="B86" s="1" t="s">
        <v>185</v>
      </c>
      <c r="D86" s="246">
        <v>7008.0439999999999</v>
      </c>
      <c r="E86" s="246">
        <v>3789.4</v>
      </c>
      <c r="F86" s="246">
        <v>9522.0300000000007</v>
      </c>
      <c r="G86" s="246">
        <v>9644.39</v>
      </c>
      <c r="H86" s="259">
        <f t="shared" si="1"/>
        <v>29963.864000000001</v>
      </c>
    </row>
    <row r="87" spans="1:10" ht="12.75" customHeight="1">
      <c r="A87" s="136" t="s">
        <v>186</v>
      </c>
      <c r="B87" s="1" t="s">
        <v>187</v>
      </c>
      <c r="D87" s="246">
        <v>239859.03</v>
      </c>
      <c r="E87" s="246">
        <v>220949.51</v>
      </c>
      <c r="F87" s="175">
        <v>353718.65</v>
      </c>
      <c r="G87" s="246">
        <v>267954.63</v>
      </c>
      <c r="H87" s="259">
        <f t="shared" si="1"/>
        <v>1082481.82</v>
      </c>
    </row>
    <row r="88" spans="1:10" ht="12.75" customHeight="1">
      <c r="A88" s="1" t="s">
        <v>382</v>
      </c>
      <c r="D88" s="246">
        <f>SUM(D84:D87)</f>
        <v>-103792.43600000002</v>
      </c>
      <c r="E88" s="246">
        <f>SUM(E84:E87)</f>
        <v>59694.890000000014</v>
      </c>
      <c r="F88" s="246">
        <f>SUM(F84:F87)</f>
        <v>197494.84000000003</v>
      </c>
      <c r="G88" s="246">
        <f>SUM(G85:G87)</f>
        <v>111526.07</v>
      </c>
      <c r="H88" s="260">
        <f t="shared" si="1"/>
        <v>264923.36400000006</v>
      </c>
      <c r="J88" s="141">
        <f>G88+'Management Cijfers - Q2 2025'!R30</f>
        <v>100000</v>
      </c>
    </row>
    <row r="89" spans="1:10" ht="12.75" customHeight="1">
      <c r="H89" s="114">
        <f t="shared" si="1"/>
        <v>0</v>
      </c>
    </row>
    <row r="90" spans="1:10" ht="12.75" customHeight="1">
      <c r="A90" s="136" t="s">
        <v>198</v>
      </c>
      <c r="B90" s="1" t="s">
        <v>199</v>
      </c>
      <c r="D90" s="246">
        <v>124885.89</v>
      </c>
      <c r="E90" s="246">
        <v>125402.18</v>
      </c>
      <c r="F90" s="246">
        <v>126034.62</v>
      </c>
      <c r="G90" s="246">
        <v>126358.08</v>
      </c>
      <c r="H90" s="114">
        <f t="shared" si="1"/>
        <v>502680.77</v>
      </c>
    </row>
    <row r="91" spans="1:10" ht="12.75" customHeight="1">
      <c r="A91" s="1" t="s">
        <v>408</v>
      </c>
      <c r="D91" s="246">
        <f>SUM(D90)</f>
        <v>124885.89</v>
      </c>
      <c r="E91" s="246">
        <f>SUM(E90)</f>
        <v>125402.18</v>
      </c>
      <c r="F91" s="246">
        <f>SUM(F90)</f>
        <v>126034.62</v>
      </c>
      <c r="G91" s="246">
        <f>G90</f>
        <v>126358.08</v>
      </c>
      <c r="H91" s="114">
        <f t="shared" si="1"/>
        <v>502680.77</v>
      </c>
      <c r="J91" s="114">
        <f>G91+'Management Cijfers - Q2 2025'!R46</f>
        <v>0</v>
      </c>
    </row>
    <row r="92" spans="1:10" ht="12.75" customHeight="1">
      <c r="H92" s="114">
        <f t="shared" si="1"/>
        <v>0</v>
      </c>
    </row>
    <row r="93" spans="1:10" ht="12.75" customHeight="1">
      <c r="A93" s="136" t="s">
        <v>204</v>
      </c>
      <c r="B93" s="1" t="s">
        <v>205</v>
      </c>
      <c r="D93" s="246">
        <v>695326</v>
      </c>
      <c r="E93" s="246">
        <v>707759</v>
      </c>
      <c r="F93" s="246">
        <v>707631</v>
      </c>
      <c r="G93" s="246">
        <v>705538</v>
      </c>
      <c r="H93" s="259">
        <f t="shared" si="1"/>
        <v>2816254</v>
      </c>
      <c r="J93" s="114">
        <f>G93+'Management Cijfers - Q2 2025'!R56</f>
        <v>-616</v>
      </c>
    </row>
    <row r="94" spans="1:10" ht="12.75" customHeight="1">
      <c r="A94" s="136" t="s">
        <v>206</v>
      </c>
      <c r="B94" s="1" t="s">
        <v>207</v>
      </c>
      <c r="D94" s="246">
        <v>-544596</v>
      </c>
      <c r="E94" s="246">
        <v>-181985</v>
      </c>
      <c r="F94" s="246">
        <v>-114663</v>
      </c>
      <c r="G94" s="246">
        <v>-315876</v>
      </c>
      <c r="H94" s="259">
        <f t="shared" si="1"/>
        <v>-1157120</v>
      </c>
      <c r="J94" s="114">
        <f>G94+'Management Cijfers - Q2 2025'!R53</f>
        <v>0</v>
      </c>
    </row>
    <row r="95" spans="1:10" ht="12.75" customHeight="1">
      <c r="A95" s="1" t="s">
        <v>384</v>
      </c>
      <c r="D95" s="246">
        <f>SUM(D93:D94)</f>
        <v>150730</v>
      </c>
      <c r="E95" s="246">
        <f>SUM(E93:E94)</f>
        <v>525774</v>
      </c>
      <c r="F95" s="246">
        <f>SUM(F93:F94)</f>
        <v>592968</v>
      </c>
      <c r="G95" s="246">
        <f>SUM(G93:G94)</f>
        <v>389662</v>
      </c>
      <c r="H95" s="114">
        <f t="shared" si="1"/>
        <v>1659134</v>
      </c>
    </row>
    <row r="96" spans="1:10" ht="12.75" customHeight="1">
      <c r="H96" s="114">
        <f t="shared" si="1"/>
        <v>0</v>
      </c>
    </row>
    <row r="97" spans="1:10" ht="12.75" customHeight="1">
      <c r="A97" s="136" t="s">
        <v>210</v>
      </c>
      <c r="B97" s="1" t="s">
        <v>211</v>
      </c>
      <c r="D97" s="246">
        <v>205277.39</v>
      </c>
      <c r="E97" s="246">
        <v>324266.13</v>
      </c>
      <c r="F97" s="246">
        <v>183914.03</v>
      </c>
      <c r="G97" s="246">
        <f>253143.14-J97</f>
        <v>180973.26</v>
      </c>
      <c r="H97" s="259">
        <f t="shared" si="1"/>
        <v>894430.81</v>
      </c>
      <c r="J97" s="256">
        <v>72169.88</v>
      </c>
    </row>
    <row r="98" spans="1:10" ht="12.75" customHeight="1">
      <c r="A98" s="136" t="s">
        <v>212</v>
      </c>
      <c r="B98" s="1" t="s">
        <v>213</v>
      </c>
      <c r="D98" s="246">
        <v>119943.23</v>
      </c>
      <c r="E98" s="246">
        <v>119943.23</v>
      </c>
      <c r="F98" s="246">
        <v>0</v>
      </c>
      <c r="G98" s="246">
        <v>-6167</v>
      </c>
      <c r="H98" s="259">
        <f t="shared" si="1"/>
        <v>233719.46</v>
      </c>
    </row>
    <row r="99" spans="1:10" ht="12.75" customHeight="1">
      <c r="A99" s="136" t="s">
        <v>214</v>
      </c>
      <c r="B99" s="1" t="s">
        <v>215</v>
      </c>
      <c r="D99" s="246">
        <v>70988.5</v>
      </c>
      <c r="E99" s="246">
        <v>57028.11</v>
      </c>
      <c r="F99" s="251">
        <v>85118.19</v>
      </c>
      <c r="G99" s="251">
        <v>80511.73</v>
      </c>
      <c r="H99" s="259">
        <f t="shared" si="1"/>
        <v>293646.52999999997</v>
      </c>
      <c r="I99" s="1" t="s">
        <v>577</v>
      </c>
    </row>
    <row r="100" spans="1:10" ht="12.75" customHeight="1">
      <c r="A100" s="136" t="s">
        <v>216</v>
      </c>
      <c r="B100" s="1" t="s">
        <v>217</v>
      </c>
      <c r="D100" s="246">
        <v>135095.91</v>
      </c>
      <c r="E100" s="246">
        <v>109128.17</v>
      </c>
      <c r="F100" s="246">
        <v>146200.38</v>
      </c>
      <c r="G100" s="246">
        <v>179862.97</v>
      </c>
      <c r="H100" s="259">
        <f t="shared" si="1"/>
        <v>570287.43000000005</v>
      </c>
    </row>
    <row r="101" spans="1:10" ht="12.75" customHeight="1">
      <c r="A101" s="136" t="s">
        <v>218</v>
      </c>
      <c r="B101" s="1" t="s">
        <v>219</v>
      </c>
      <c r="D101" s="246">
        <v>26095.63</v>
      </c>
      <c r="E101" s="246">
        <v>20670.54</v>
      </c>
      <c r="F101" s="246">
        <v>95071.45</v>
      </c>
      <c r="G101" s="246">
        <v>13692.19</v>
      </c>
      <c r="H101" s="259">
        <f t="shared" si="1"/>
        <v>155529.81</v>
      </c>
    </row>
    <row r="102" spans="1:10" ht="12.75" customHeight="1">
      <c r="A102" s="136" t="s">
        <v>220</v>
      </c>
      <c r="B102" s="1" t="s">
        <v>221</v>
      </c>
      <c r="D102" s="246">
        <v>28638.46</v>
      </c>
      <c r="E102" s="246">
        <v>15453.02</v>
      </c>
      <c r="F102" s="246">
        <v>8625.43</v>
      </c>
      <c r="G102" s="246">
        <v>39880.400000000001</v>
      </c>
      <c r="H102" s="259">
        <f t="shared" si="1"/>
        <v>92597.31</v>
      </c>
    </row>
    <row r="103" spans="1:10" ht="12.75" customHeight="1">
      <c r="A103" s="136" t="s">
        <v>385</v>
      </c>
      <c r="B103" s="1" t="s">
        <v>386</v>
      </c>
      <c r="D103" s="246">
        <v>0</v>
      </c>
      <c r="E103" s="246">
        <v>0</v>
      </c>
      <c r="F103" s="246">
        <v>0</v>
      </c>
      <c r="G103" s="246">
        <v>-76.66</v>
      </c>
      <c r="H103" s="259">
        <f t="shared" si="1"/>
        <v>-76.66</v>
      </c>
    </row>
    <row r="104" spans="1:10" ht="12.75" customHeight="1">
      <c r="A104" s="136" t="s">
        <v>431</v>
      </c>
      <c r="B104" s="1" t="s">
        <v>412</v>
      </c>
      <c r="D104" s="246">
        <v>0</v>
      </c>
      <c r="E104" s="246">
        <v>0</v>
      </c>
      <c r="F104" s="246">
        <v>0</v>
      </c>
      <c r="G104" s="246">
        <v>0</v>
      </c>
      <c r="H104" s="114">
        <f t="shared" si="1"/>
        <v>0</v>
      </c>
    </row>
    <row r="105" spans="1:10" ht="12.75" customHeight="1">
      <c r="A105" s="1" t="s">
        <v>387</v>
      </c>
      <c r="D105" s="246">
        <f>SUM(D97:D104)</f>
        <v>586039.12</v>
      </c>
      <c r="E105" s="246">
        <f>SUM(E97:E104)</f>
        <v>646489.20000000007</v>
      </c>
      <c r="F105" s="246">
        <f>SUM(F97:F104)</f>
        <v>518929.48</v>
      </c>
      <c r="G105" s="246">
        <f>SUM(G97:G104)</f>
        <v>488676.89</v>
      </c>
      <c r="H105" s="114">
        <f t="shared" si="1"/>
        <v>2240134.69</v>
      </c>
      <c r="J105" s="141">
        <f>G105+G110+G113+G127</f>
        <v>740968.86</v>
      </c>
    </row>
    <row r="106" spans="1:10" ht="12.75" customHeight="1">
      <c r="H106" s="114">
        <f t="shared" si="1"/>
        <v>0</v>
      </c>
      <c r="J106" s="1">
        <f>'Management Cijfers - Q2 2025'!R44+'Management Cijfers - Q2 2025'!R47</f>
        <v>-743058.88</v>
      </c>
    </row>
    <row r="107" spans="1:10" ht="12.75" customHeight="1">
      <c r="A107" s="136" t="s">
        <v>432</v>
      </c>
      <c r="B107" s="1" t="s">
        <v>433</v>
      </c>
      <c r="D107" s="246">
        <v>0</v>
      </c>
      <c r="E107" s="246">
        <v>0</v>
      </c>
      <c r="H107" s="114">
        <f t="shared" si="1"/>
        <v>0</v>
      </c>
      <c r="J107" s="141">
        <f>J105+J106</f>
        <v>-2090.0200000000186</v>
      </c>
    </row>
    <row r="108" spans="1:10" ht="12.75" customHeight="1">
      <c r="A108" s="136" t="s">
        <v>434</v>
      </c>
      <c r="B108" s="1" t="s">
        <v>413</v>
      </c>
      <c r="D108" s="246">
        <v>0</v>
      </c>
      <c r="E108" s="246">
        <v>-15003.05</v>
      </c>
      <c r="G108" s="246">
        <v>0</v>
      </c>
      <c r="H108" s="114">
        <f t="shared" si="1"/>
        <v>-15003.05</v>
      </c>
    </row>
    <row r="109" spans="1:10" ht="12.75" customHeight="1">
      <c r="A109" s="136" t="s">
        <v>226</v>
      </c>
      <c r="B109" s="1" t="s">
        <v>227</v>
      </c>
      <c r="D109" s="246">
        <v>765.92</v>
      </c>
      <c r="E109" s="246">
        <v>-156.08000000000001</v>
      </c>
      <c r="F109" s="246">
        <v>1823.94</v>
      </c>
      <c r="G109" s="246">
        <v>-4832.51</v>
      </c>
      <c r="H109" s="114">
        <f t="shared" si="1"/>
        <v>-2398.7300000000005</v>
      </c>
    </row>
    <row r="110" spans="1:10" ht="12.75" customHeight="1">
      <c r="A110" s="1" t="s">
        <v>388</v>
      </c>
      <c r="D110" s="246">
        <f>SUM(D107:D109)</f>
        <v>765.92</v>
      </c>
      <c r="E110" s="246">
        <f>SUM(E107:E109)</f>
        <v>-15159.13</v>
      </c>
      <c r="F110" s="246">
        <f>SUM(F107:F109)</f>
        <v>1823.94</v>
      </c>
      <c r="G110" s="246">
        <f>SUM(G108:G109)</f>
        <v>-4832.51</v>
      </c>
      <c r="H110" s="259">
        <f t="shared" si="1"/>
        <v>-17401.78</v>
      </c>
    </row>
    <row r="111" spans="1:10" ht="12.75" customHeight="1">
      <c r="H111" s="114">
        <f t="shared" si="1"/>
        <v>0</v>
      </c>
    </row>
    <row r="112" spans="1:10" ht="12.75" customHeight="1">
      <c r="A112" s="136" t="s">
        <v>230</v>
      </c>
      <c r="B112" s="1" t="s">
        <v>231</v>
      </c>
      <c r="D112" s="246">
        <v>600</v>
      </c>
      <c r="E112" s="246">
        <v>0</v>
      </c>
      <c r="F112" s="246">
        <v>0</v>
      </c>
      <c r="G112" s="246">
        <v>300</v>
      </c>
      <c r="H112" s="114">
        <f t="shared" si="1"/>
        <v>900</v>
      </c>
    </row>
    <row r="113" spans="1:8" ht="12.75" customHeight="1">
      <c r="A113" s="1" t="s">
        <v>389</v>
      </c>
      <c r="D113" s="246">
        <f>SUM(D112)</f>
        <v>600</v>
      </c>
      <c r="E113" s="246">
        <v>0</v>
      </c>
      <c r="F113" s="246">
        <v>0</v>
      </c>
      <c r="G113" s="246">
        <f>SUM(G112)</f>
        <v>300</v>
      </c>
      <c r="H113" s="259">
        <f t="shared" si="1"/>
        <v>900</v>
      </c>
    </row>
    <row r="114" spans="1:8" ht="12.75" customHeight="1">
      <c r="H114" s="114">
        <f t="shared" si="1"/>
        <v>0</v>
      </c>
    </row>
    <row r="115" spans="1:8" ht="12.75" customHeight="1">
      <c r="A115" s="136" t="s">
        <v>435</v>
      </c>
      <c r="B115" s="1" t="s">
        <v>414</v>
      </c>
      <c r="D115" s="246">
        <v>0</v>
      </c>
      <c r="E115" s="246">
        <v>0</v>
      </c>
      <c r="F115" s="246">
        <v>0</v>
      </c>
      <c r="G115" s="246">
        <v>0</v>
      </c>
      <c r="H115" s="114">
        <f t="shared" si="1"/>
        <v>0</v>
      </c>
    </row>
    <row r="116" spans="1:8" ht="12.75" customHeight="1">
      <c r="A116" s="136" t="s">
        <v>234</v>
      </c>
      <c r="B116" s="1" t="s">
        <v>235</v>
      </c>
      <c r="D116" s="246">
        <v>29220.560000000001</v>
      </c>
      <c r="E116" s="246">
        <v>27618.03</v>
      </c>
      <c r="F116" s="246">
        <v>29190.65</v>
      </c>
      <c r="G116" s="246">
        <v>44010.87</v>
      </c>
      <c r="H116" s="259">
        <f t="shared" si="1"/>
        <v>130040.10999999999</v>
      </c>
    </row>
    <row r="117" spans="1:8" ht="12.75" customHeight="1">
      <c r="A117" s="136" t="s">
        <v>236</v>
      </c>
      <c r="B117" s="1" t="s">
        <v>237</v>
      </c>
      <c r="D117" s="246">
        <v>1815</v>
      </c>
      <c r="E117" s="246">
        <v>1815</v>
      </c>
      <c r="F117" s="246">
        <v>1500</v>
      </c>
      <c r="G117" s="246">
        <v>1500</v>
      </c>
      <c r="H117" s="259">
        <f t="shared" si="1"/>
        <v>6630</v>
      </c>
    </row>
    <row r="118" spans="1:8" ht="12.75" customHeight="1">
      <c r="A118" s="136" t="s">
        <v>238</v>
      </c>
      <c r="B118" s="1" t="s">
        <v>239</v>
      </c>
      <c r="D118" s="246">
        <v>25189.79</v>
      </c>
      <c r="E118" s="246">
        <v>48042.38</v>
      </c>
      <c r="F118" s="246">
        <v>5734.87</v>
      </c>
      <c r="G118" s="246">
        <v>52124.26</v>
      </c>
      <c r="H118" s="259">
        <f t="shared" si="1"/>
        <v>131091.29999999999</v>
      </c>
    </row>
    <row r="119" spans="1:8" ht="12.75" customHeight="1">
      <c r="A119" s="136" t="s">
        <v>240</v>
      </c>
      <c r="B119" s="1" t="s">
        <v>241</v>
      </c>
      <c r="D119" s="246">
        <v>1210</v>
      </c>
      <c r="E119" s="246">
        <v>1210</v>
      </c>
      <c r="F119" s="246">
        <v>1331</v>
      </c>
      <c r="G119" s="246">
        <v>1397.65</v>
      </c>
      <c r="H119" s="259">
        <f t="shared" si="1"/>
        <v>5148.6499999999996</v>
      </c>
    </row>
    <row r="120" spans="1:8" ht="12.75" customHeight="1">
      <c r="A120" s="136" t="s">
        <v>242</v>
      </c>
      <c r="B120" s="1" t="s">
        <v>243</v>
      </c>
      <c r="D120" s="246">
        <v>51142.69</v>
      </c>
      <c r="E120" s="246">
        <v>61678.68</v>
      </c>
      <c r="F120" s="246">
        <v>0</v>
      </c>
      <c r="G120" s="246">
        <v>0</v>
      </c>
      <c r="H120" s="259">
        <f t="shared" si="1"/>
        <v>112821.37</v>
      </c>
    </row>
    <row r="121" spans="1:8" ht="12.75" customHeight="1">
      <c r="A121" s="136">
        <v>4310800</v>
      </c>
      <c r="B121" s="1" t="s">
        <v>562</v>
      </c>
      <c r="D121" s="246">
        <v>0</v>
      </c>
      <c r="E121" s="246">
        <v>0</v>
      </c>
      <c r="F121" s="246">
        <v>39350.699999999997</v>
      </c>
      <c r="G121" s="246">
        <v>42090.02</v>
      </c>
      <c r="H121" s="259">
        <f t="shared" si="1"/>
        <v>81440.72</v>
      </c>
    </row>
    <row r="122" spans="1:8" ht="12.75" customHeight="1">
      <c r="A122" s="136" t="s">
        <v>244</v>
      </c>
      <c r="B122" s="1" t="s">
        <v>245</v>
      </c>
      <c r="D122" s="246">
        <v>36615.64</v>
      </c>
      <c r="E122" s="246">
        <v>87957.23</v>
      </c>
      <c r="F122" s="246">
        <v>23990.48</v>
      </c>
      <c r="G122" s="246">
        <v>21205</v>
      </c>
      <c r="H122" s="259">
        <f t="shared" si="1"/>
        <v>169768.35</v>
      </c>
    </row>
    <row r="123" spans="1:8" ht="12.75" customHeight="1">
      <c r="A123" s="136" t="s">
        <v>246</v>
      </c>
      <c r="B123" s="1" t="s">
        <v>247</v>
      </c>
      <c r="D123" s="246">
        <v>24200</v>
      </c>
      <c r="E123" s="246">
        <v>856680</v>
      </c>
      <c r="F123" s="246">
        <v>11000</v>
      </c>
      <c r="G123" s="246">
        <v>13200</v>
      </c>
      <c r="H123" s="259">
        <f t="shared" si="1"/>
        <v>905080</v>
      </c>
    </row>
    <row r="124" spans="1:8" ht="12" customHeight="1">
      <c r="A124" s="136" t="s">
        <v>248</v>
      </c>
      <c r="B124" s="1" t="s">
        <v>249</v>
      </c>
      <c r="D124" s="246">
        <v>3190.89</v>
      </c>
      <c r="E124" s="246">
        <v>259667.54</v>
      </c>
      <c r="F124" s="246">
        <v>33232.36</v>
      </c>
      <c r="G124" s="246">
        <v>73312.47</v>
      </c>
      <c r="H124" s="259">
        <f t="shared" si="1"/>
        <v>369403.26</v>
      </c>
    </row>
    <row r="125" spans="1:8" ht="12.75" customHeight="1">
      <c r="A125" s="136" t="s">
        <v>436</v>
      </c>
      <c r="B125" s="1" t="s">
        <v>437</v>
      </c>
      <c r="D125" s="246">
        <v>20000</v>
      </c>
      <c r="E125" s="246">
        <v>0</v>
      </c>
      <c r="F125" s="246">
        <v>0</v>
      </c>
      <c r="G125" s="246">
        <v>0</v>
      </c>
      <c r="H125" s="259">
        <f t="shared" si="1"/>
        <v>20000</v>
      </c>
    </row>
    <row r="126" spans="1:8" ht="12.75" customHeight="1">
      <c r="A126" s="136" t="s">
        <v>250</v>
      </c>
      <c r="B126" s="1" t="s">
        <v>251</v>
      </c>
      <c r="D126" s="246">
        <v>1920.61</v>
      </c>
      <c r="E126" s="246">
        <v>-9967.81</v>
      </c>
      <c r="F126" s="246">
        <v>1908.15</v>
      </c>
      <c r="G126" s="246">
        <v>7984.21</v>
      </c>
      <c r="H126" s="259">
        <f t="shared" si="1"/>
        <v>1845.1600000000008</v>
      </c>
    </row>
    <row r="127" spans="1:8" ht="12.75" customHeight="1">
      <c r="A127" s="1" t="s">
        <v>391</v>
      </c>
      <c r="D127" s="246">
        <f>SUM(D115:D126)</f>
        <v>194505.18</v>
      </c>
      <c r="E127" s="246">
        <f>SUM(E115:E126)</f>
        <v>1334701.05</v>
      </c>
      <c r="F127" s="246">
        <f>SUM(F115:F126)</f>
        <v>147238.21</v>
      </c>
      <c r="G127" s="246">
        <f>SUM(G115:G126)</f>
        <v>256824.47999999998</v>
      </c>
      <c r="H127" s="114">
        <f t="shared" si="1"/>
        <v>1933268.92</v>
      </c>
    </row>
    <row r="128" spans="1:8" ht="12.75" customHeight="1">
      <c r="H128" s="114">
        <f t="shared" si="1"/>
        <v>0</v>
      </c>
    </row>
    <row r="129" spans="1:10" ht="12.75" customHeight="1">
      <c r="A129" s="136">
        <v>4620200</v>
      </c>
      <c r="B129" s="1" t="s">
        <v>563</v>
      </c>
      <c r="D129" s="246">
        <v>0</v>
      </c>
      <c r="E129" s="246">
        <v>0.12</v>
      </c>
      <c r="F129" s="246">
        <v>29.09</v>
      </c>
      <c r="G129" s="246">
        <v>58.18</v>
      </c>
      <c r="H129" s="259">
        <f t="shared" si="1"/>
        <v>87.39</v>
      </c>
    </row>
    <row r="130" spans="1:10" ht="12.75" customHeight="1">
      <c r="A130" s="136" t="s">
        <v>260</v>
      </c>
      <c r="B130" s="1" t="s">
        <v>261</v>
      </c>
      <c r="D130" s="246">
        <v>402764.5</v>
      </c>
      <c r="E130" s="246">
        <v>1046415.29</v>
      </c>
      <c r="F130" s="246">
        <v>1389702.3</v>
      </c>
      <c r="G130" s="246">
        <v>1669531.4</v>
      </c>
      <c r="H130" s="259">
        <f t="shared" si="1"/>
        <v>4508413.49</v>
      </c>
    </row>
    <row r="131" spans="1:10" ht="12.75" customHeight="1">
      <c r="A131" s="136">
        <v>4611000</v>
      </c>
      <c r="B131" s="1" t="s">
        <v>477</v>
      </c>
      <c r="D131" s="246">
        <v>0</v>
      </c>
      <c r="E131" s="246">
        <v>-28672</v>
      </c>
      <c r="F131" s="246">
        <v>0</v>
      </c>
      <c r="G131" s="246">
        <v>0</v>
      </c>
      <c r="H131" s="259">
        <f t="shared" si="1"/>
        <v>-28672</v>
      </c>
    </row>
    <row r="132" spans="1:10" ht="12.75" customHeight="1">
      <c r="A132" s="136">
        <v>4630000</v>
      </c>
      <c r="B132" s="1" t="s">
        <v>265</v>
      </c>
      <c r="D132" s="246">
        <v>0</v>
      </c>
      <c r="E132" s="246">
        <v>0</v>
      </c>
      <c r="G132" s="246">
        <v>0</v>
      </c>
      <c r="H132" s="114">
        <f t="shared" si="1"/>
        <v>0</v>
      </c>
    </row>
    <row r="133" spans="1:10" ht="12.75" customHeight="1">
      <c r="A133" s="136">
        <v>4663000</v>
      </c>
      <c r="B133" s="1" t="s">
        <v>564</v>
      </c>
      <c r="D133" s="246">
        <v>0</v>
      </c>
      <c r="E133" s="246">
        <v>-288865</v>
      </c>
      <c r="F133" s="246">
        <v>-380384.59</v>
      </c>
      <c r="G133" s="246">
        <v>-456978.46</v>
      </c>
      <c r="H133" s="259">
        <f t="shared" ref="H133:H143" si="2">SUM(C133:G133)</f>
        <v>-1126228.05</v>
      </c>
    </row>
    <row r="134" spans="1:10" ht="12.75" customHeight="1">
      <c r="A134" s="136" t="s">
        <v>266</v>
      </c>
      <c r="B134" s="1" t="s">
        <v>267</v>
      </c>
      <c r="D134" s="246">
        <v>100805.57</v>
      </c>
      <c r="E134" s="246">
        <v>39866.69</v>
      </c>
      <c r="F134" s="246">
        <v>-208809.65</v>
      </c>
      <c r="G134" s="246">
        <v>9994.1299999999992</v>
      </c>
      <c r="H134" s="259">
        <f t="shared" si="2"/>
        <v>-58143.259999999987</v>
      </c>
    </row>
    <row r="135" spans="1:10" ht="12.75" customHeight="1">
      <c r="A135" s="136">
        <v>4642000</v>
      </c>
      <c r="B135" s="1" t="s">
        <v>462</v>
      </c>
      <c r="D135" s="246">
        <v>0</v>
      </c>
      <c r="E135" s="246">
        <v>0</v>
      </c>
      <c r="F135" s="246">
        <v>0</v>
      </c>
      <c r="G135" s="246">
        <v>0</v>
      </c>
      <c r="H135" s="114">
        <f t="shared" si="2"/>
        <v>0</v>
      </c>
    </row>
    <row r="136" spans="1:10" ht="12.75" customHeight="1">
      <c r="A136" s="136" t="s">
        <v>393</v>
      </c>
      <c r="D136" s="246">
        <f>SUM(D130:D135)</f>
        <v>503570.07</v>
      </c>
      <c r="E136" s="246">
        <f>SUM(E129:E135)</f>
        <v>768745.10000000009</v>
      </c>
      <c r="F136" s="246">
        <f>SUM(F129:F135)</f>
        <v>800537.15</v>
      </c>
      <c r="G136" s="246">
        <f>SUM(G129:G135)</f>
        <v>1222605.2499999998</v>
      </c>
      <c r="H136" s="114">
        <f t="shared" si="2"/>
        <v>3295457.5700000003</v>
      </c>
      <c r="J136" s="141">
        <f>G136+'Management Cijfers - Q2 2025'!R60+'Management Cijfers - Q2 2025'!R64+'Management Cijfers - Q2 2025'!R65</f>
        <v>110649.98999999993</v>
      </c>
    </row>
    <row r="137" spans="1:10" ht="12.75" customHeight="1">
      <c r="H137" s="114">
        <f t="shared" si="2"/>
        <v>0</v>
      </c>
    </row>
    <row r="138" spans="1:10" ht="12.75" customHeight="1">
      <c r="A138" s="136">
        <v>9500000</v>
      </c>
      <c r="B138" s="1" t="s">
        <v>456</v>
      </c>
      <c r="D138" s="246">
        <v>0</v>
      </c>
      <c r="E138" s="246">
        <v>1877813</v>
      </c>
      <c r="F138" s="246">
        <v>0</v>
      </c>
      <c r="G138" s="246">
        <v>0</v>
      </c>
      <c r="H138" s="114">
        <f t="shared" si="2"/>
        <v>1877813</v>
      </c>
    </row>
    <row r="139" spans="1:10" ht="12.75" customHeight="1">
      <c r="A139" s="136" t="s">
        <v>272</v>
      </c>
      <c r="B139" s="1" t="s">
        <v>273</v>
      </c>
      <c r="D139" s="246">
        <v>-165568</v>
      </c>
      <c r="E139" s="246">
        <v>-285289</v>
      </c>
      <c r="F139" s="246">
        <v>-181734</v>
      </c>
      <c r="G139" s="246">
        <v>-172942</v>
      </c>
      <c r="H139" s="114">
        <f t="shared" si="2"/>
        <v>-805533</v>
      </c>
      <c r="J139" s="141">
        <f>G139+'Management Cijfers - Q2 2025'!R67</f>
        <v>0</v>
      </c>
    </row>
    <row r="140" spans="1:10" ht="12.75" customHeight="1">
      <c r="A140" s="136">
        <v>9500100</v>
      </c>
      <c r="B140" s="1" t="s">
        <v>438</v>
      </c>
      <c r="D140" s="246">
        <v>0</v>
      </c>
      <c r="E140" s="246">
        <v>0</v>
      </c>
      <c r="G140" s="246">
        <v>0</v>
      </c>
      <c r="H140" s="114">
        <f t="shared" si="2"/>
        <v>0</v>
      </c>
    </row>
    <row r="141" spans="1:10" ht="12.75" customHeight="1">
      <c r="A141" s="136" t="s">
        <v>439</v>
      </c>
      <c r="C141" s="175"/>
      <c r="D141" s="175">
        <f>SUM(D138:D140)</f>
        <v>-165568</v>
      </c>
      <c r="E141" s="175">
        <f>SUM(E138:E140)</f>
        <v>1592524</v>
      </c>
      <c r="F141" s="175">
        <f>SUM(F138:F140)</f>
        <v>-181734</v>
      </c>
      <c r="G141" s="175">
        <f>SUM(G138:G140)</f>
        <v>-172942</v>
      </c>
      <c r="H141" s="259">
        <f t="shared" si="2"/>
        <v>1072280</v>
      </c>
    </row>
    <row r="142" spans="1:10" ht="12.75" customHeight="1">
      <c r="H142" s="114">
        <f t="shared" si="2"/>
        <v>0</v>
      </c>
    </row>
    <row r="143" spans="1:10" ht="12.75" customHeight="1">
      <c r="A143" s="1" t="s">
        <v>440</v>
      </c>
      <c r="D143" s="246">
        <f>D82+D88+D91+D95+D105+D110+D113+D127+D136+D141</f>
        <v>-1597278.216</v>
      </c>
      <c r="E143" s="246">
        <f>E82+E88+E91+E95+E105+E110+E113+E127+E136+E141</f>
        <v>2146219.4700000007</v>
      </c>
      <c r="F143" s="246">
        <f>F82+F88+F91+F95+F105+F110+F113+F127+F136+F141</f>
        <v>-700686.16</v>
      </c>
      <c r="G143" s="246">
        <f>G82+G88+G91+G95+G105+G110+G113+G127+G136+G141</f>
        <v>-510211.64000000013</v>
      </c>
      <c r="H143" s="114">
        <f t="shared" si="2"/>
        <v>-661956.54599999951</v>
      </c>
    </row>
    <row r="145" spans="1:8" ht="12.75" customHeight="1">
      <c r="C145" s="252"/>
      <c r="D145" s="252">
        <f>SUM(D4:D76)+D143</f>
        <v>3.9999999571591616E-3</v>
      </c>
      <c r="E145" s="252">
        <f>SUM(E4:E76)+E143</f>
        <v>-2.0000011194497347E-2</v>
      </c>
      <c r="F145" s="252">
        <f>SUM(F4:F76)+F143</f>
        <v>-9.9999999976716936E-2</v>
      </c>
      <c r="G145" s="252">
        <f>SUM(G4:G76)+G143</f>
        <v>0.46999999997206032</v>
      </c>
      <c r="H145" s="252">
        <f>SUM(H4:H76)+H143</f>
        <v>0.35399999585933983</v>
      </c>
    </row>
    <row r="147" spans="1:8" ht="12.75" customHeight="1">
      <c r="A147" s="136" t="s">
        <v>579</v>
      </c>
      <c r="E147" s="261">
        <f>36883.33*3</f>
        <v>110649.99</v>
      </c>
      <c r="F147" s="261">
        <f>36883.33*3</f>
        <v>110649.99</v>
      </c>
      <c r="G147" s="261">
        <f>36883.33*3</f>
        <v>110649.99</v>
      </c>
    </row>
    <row r="148" spans="1:8" ht="12.75" customHeight="1">
      <c r="A148" s="136" t="s">
        <v>580</v>
      </c>
      <c r="D148" s="246">
        <f>D134</f>
        <v>100805.57</v>
      </c>
      <c r="E148" s="246">
        <v>-70783.300000000017</v>
      </c>
      <c r="F148" s="246">
        <v>-319459.64</v>
      </c>
      <c r="G148" s="246">
        <v>-100655.86</v>
      </c>
    </row>
    <row r="150" spans="1:8" ht="12.75" customHeight="1">
      <c r="A150" s="136" t="s">
        <v>581</v>
      </c>
      <c r="D150" s="246">
        <f>D130</f>
        <v>402764.5</v>
      </c>
      <c r="E150" s="246">
        <f>E130</f>
        <v>1046415.29</v>
      </c>
      <c r="F150" s="246">
        <f>F130</f>
        <v>1389702.3</v>
      </c>
      <c r="G150" s="246">
        <f>G130</f>
        <v>1669531.4</v>
      </c>
      <c r="H150" s="114">
        <f>SUM(D150:G150)</f>
        <v>4508413.49</v>
      </c>
    </row>
    <row r="151" spans="1:8" ht="12.75" customHeight="1">
      <c r="A151" s="136" t="s">
        <v>582</v>
      </c>
      <c r="D151" s="246">
        <f>D148</f>
        <v>100805.57</v>
      </c>
      <c r="E151" s="246">
        <f>E148</f>
        <v>-70783.300000000017</v>
      </c>
      <c r="F151" s="246">
        <f>F148</f>
        <v>-319459.64</v>
      </c>
      <c r="G151" s="246">
        <f>G148</f>
        <v>-100655.86</v>
      </c>
      <c r="H151" s="114">
        <f>SUM(D151:G151)</f>
        <v>-390093.23</v>
      </c>
    </row>
    <row r="152" spans="1:8" ht="12.75" customHeight="1">
      <c r="A152" s="136" t="s">
        <v>583</v>
      </c>
      <c r="D152" s="246">
        <f>D147</f>
        <v>0</v>
      </c>
      <c r="E152" s="246">
        <f>E147</f>
        <v>110649.99</v>
      </c>
      <c r="F152" s="246">
        <f>F147</f>
        <v>110649.99</v>
      </c>
      <c r="G152" s="246">
        <f>G147</f>
        <v>110649.99</v>
      </c>
      <c r="H152" s="114">
        <f>SUM(D152:G152)</f>
        <v>331949.97000000003</v>
      </c>
    </row>
    <row r="153" spans="1:8" ht="12.75" customHeight="1">
      <c r="A153" s="136" t="s">
        <v>584</v>
      </c>
      <c r="E153" s="246">
        <f>E131+E133</f>
        <v>-317537</v>
      </c>
      <c r="F153" s="246">
        <f>F131+F133</f>
        <v>-380384.59</v>
      </c>
      <c r="G153" s="246">
        <f>G131+G133</f>
        <v>-456978.46</v>
      </c>
      <c r="H153" s="114">
        <f>SUM(D153:G153)</f>
        <v>-1154900.05</v>
      </c>
    </row>
    <row r="154" spans="1:8" ht="12.75" customHeight="1">
      <c r="D154" s="246">
        <f>SUM(D150:D153)</f>
        <v>503570.07</v>
      </c>
      <c r="E154" s="246">
        <f>SUM(E150:E153)</f>
        <v>768744.98</v>
      </c>
      <c r="F154" s="246">
        <f>SUM(F150:F153)</f>
        <v>800508.06</v>
      </c>
      <c r="G154" s="246">
        <f>SUM(G150:G153)</f>
        <v>1222547.0699999998</v>
      </c>
      <c r="H154" s="114">
        <f>SUM(D154:G154)</f>
        <v>3295370.1799999997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39A5-C57E-43E4-8F4C-4891B552700D}">
  <dimension ref="A1:O156"/>
  <sheetViews>
    <sheetView topLeftCell="A106" zoomScaleNormal="100" workbookViewId="0">
      <pane xSplit="2" topLeftCell="C1" activePane="topRight" state="frozen"/>
      <selection pane="topRight" activeCell="A141" sqref="A141:XFD141"/>
    </sheetView>
  </sheetViews>
  <sheetFormatPr defaultRowHeight="12.75" customHeight="1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7" width="22.44140625" style="246" customWidth="1"/>
    <col min="8" max="8" width="19.44140625" style="114" bestFit="1" customWidth="1"/>
    <col min="9" max="9" width="9.109375" style="1"/>
    <col min="10" max="10" width="11.33203125" style="1" bestFit="1" customWidth="1"/>
    <col min="11" max="11" width="9.109375" style="1"/>
    <col min="12" max="12" width="10.88671875" style="1" bestFit="1" customWidth="1"/>
    <col min="13" max="13" width="16.5546875" style="1" bestFit="1" customWidth="1"/>
    <col min="14" max="14" width="33.44140625" style="1" customWidth="1"/>
    <col min="15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9.109375" style="1"/>
    <col min="266" max="266" width="11.33203125" style="1" bestFit="1" customWidth="1"/>
    <col min="267" max="267" width="9.109375" style="1"/>
    <col min="268" max="268" width="10.88671875" style="1" bestFit="1" customWidth="1"/>
    <col min="269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9.109375" style="1"/>
    <col min="522" max="522" width="11.33203125" style="1" bestFit="1" customWidth="1"/>
    <col min="523" max="523" width="9.109375" style="1"/>
    <col min="524" max="524" width="10.88671875" style="1" bestFit="1" customWidth="1"/>
    <col min="525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9.109375" style="1"/>
    <col min="778" max="778" width="11.33203125" style="1" bestFit="1" customWidth="1"/>
    <col min="779" max="779" width="9.109375" style="1"/>
    <col min="780" max="780" width="10.88671875" style="1" bestFit="1" customWidth="1"/>
    <col min="781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9.109375" style="1"/>
    <col min="1034" max="1034" width="11.33203125" style="1" bestFit="1" customWidth="1"/>
    <col min="1035" max="1035" width="9.109375" style="1"/>
    <col min="1036" max="1036" width="10.88671875" style="1" bestFit="1" customWidth="1"/>
    <col min="1037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9.109375" style="1"/>
    <col min="1290" max="1290" width="11.33203125" style="1" bestFit="1" customWidth="1"/>
    <col min="1291" max="1291" width="9.109375" style="1"/>
    <col min="1292" max="1292" width="10.88671875" style="1" bestFit="1" customWidth="1"/>
    <col min="1293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9.109375" style="1"/>
    <col min="1546" max="1546" width="11.33203125" style="1" bestFit="1" customWidth="1"/>
    <col min="1547" max="1547" width="9.109375" style="1"/>
    <col min="1548" max="1548" width="10.88671875" style="1" bestFit="1" customWidth="1"/>
    <col min="1549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9.109375" style="1"/>
    <col min="1802" max="1802" width="11.33203125" style="1" bestFit="1" customWidth="1"/>
    <col min="1803" max="1803" width="9.109375" style="1"/>
    <col min="1804" max="1804" width="10.88671875" style="1" bestFit="1" customWidth="1"/>
    <col min="1805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9.109375" style="1"/>
    <col min="2058" max="2058" width="11.33203125" style="1" bestFit="1" customWidth="1"/>
    <col min="2059" max="2059" width="9.109375" style="1"/>
    <col min="2060" max="2060" width="10.88671875" style="1" bestFit="1" customWidth="1"/>
    <col min="2061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9.109375" style="1"/>
    <col min="2314" max="2314" width="11.33203125" style="1" bestFit="1" customWidth="1"/>
    <col min="2315" max="2315" width="9.109375" style="1"/>
    <col min="2316" max="2316" width="10.88671875" style="1" bestFit="1" customWidth="1"/>
    <col min="2317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9.109375" style="1"/>
    <col min="2570" max="2570" width="11.33203125" style="1" bestFit="1" customWidth="1"/>
    <col min="2571" max="2571" width="9.109375" style="1"/>
    <col min="2572" max="2572" width="10.88671875" style="1" bestFit="1" customWidth="1"/>
    <col min="2573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9.109375" style="1"/>
    <col min="2826" max="2826" width="11.33203125" style="1" bestFit="1" customWidth="1"/>
    <col min="2827" max="2827" width="9.109375" style="1"/>
    <col min="2828" max="2828" width="10.88671875" style="1" bestFit="1" customWidth="1"/>
    <col min="2829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9.109375" style="1"/>
    <col min="3082" max="3082" width="11.33203125" style="1" bestFit="1" customWidth="1"/>
    <col min="3083" max="3083" width="9.109375" style="1"/>
    <col min="3084" max="3084" width="10.88671875" style="1" bestFit="1" customWidth="1"/>
    <col min="3085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9.109375" style="1"/>
    <col min="3338" max="3338" width="11.33203125" style="1" bestFit="1" customWidth="1"/>
    <col min="3339" max="3339" width="9.109375" style="1"/>
    <col min="3340" max="3340" width="10.88671875" style="1" bestFit="1" customWidth="1"/>
    <col min="3341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9.109375" style="1"/>
    <col min="3594" max="3594" width="11.33203125" style="1" bestFit="1" customWidth="1"/>
    <col min="3595" max="3595" width="9.109375" style="1"/>
    <col min="3596" max="3596" width="10.88671875" style="1" bestFit="1" customWidth="1"/>
    <col min="3597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9.109375" style="1"/>
    <col min="3850" max="3850" width="11.33203125" style="1" bestFit="1" customWidth="1"/>
    <col min="3851" max="3851" width="9.109375" style="1"/>
    <col min="3852" max="3852" width="10.88671875" style="1" bestFit="1" customWidth="1"/>
    <col min="3853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9.109375" style="1"/>
    <col min="4106" max="4106" width="11.33203125" style="1" bestFit="1" customWidth="1"/>
    <col min="4107" max="4107" width="9.109375" style="1"/>
    <col min="4108" max="4108" width="10.88671875" style="1" bestFit="1" customWidth="1"/>
    <col min="4109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9.109375" style="1"/>
    <col min="4362" max="4362" width="11.33203125" style="1" bestFit="1" customWidth="1"/>
    <col min="4363" max="4363" width="9.109375" style="1"/>
    <col min="4364" max="4364" width="10.88671875" style="1" bestFit="1" customWidth="1"/>
    <col min="4365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9.109375" style="1"/>
    <col min="4618" max="4618" width="11.33203125" style="1" bestFit="1" customWidth="1"/>
    <col min="4619" max="4619" width="9.109375" style="1"/>
    <col min="4620" max="4620" width="10.88671875" style="1" bestFit="1" customWidth="1"/>
    <col min="4621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9.109375" style="1"/>
    <col min="4874" max="4874" width="11.33203125" style="1" bestFit="1" customWidth="1"/>
    <col min="4875" max="4875" width="9.109375" style="1"/>
    <col min="4876" max="4876" width="10.88671875" style="1" bestFit="1" customWidth="1"/>
    <col min="4877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9.109375" style="1"/>
    <col min="5130" max="5130" width="11.33203125" style="1" bestFit="1" customWidth="1"/>
    <col min="5131" max="5131" width="9.109375" style="1"/>
    <col min="5132" max="5132" width="10.88671875" style="1" bestFit="1" customWidth="1"/>
    <col min="5133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9.109375" style="1"/>
    <col min="5386" max="5386" width="11.33203125" style="1" bestFit="1" customWidth="1"/>
    <col min="5387" max="5387" width="9.109375" style="1"/>
    <col min="5388" max="5388" width="10.88671875" style="1" bestFit="1" customWidth="1"/>
    <col min="5389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9.109375" style="1"/>
    <col min="5642" max="5642" width="11.33203125" style="1" bestFit="1" customWidth="1"/>
    <col min="5643" max="5643" width="9.109375" style="1"/>
    <col min="5644" max="5644" width="10.88671875" style="1" bestFit="1" customWidth="1"/>
    <col min="5645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9.109375" style="1"/>
    <col min="5898" max="5898" width="11.33203125" style="1" bestFit="1" customWidth="1"/>
    <col min="5899" max="5899" width="9.109375" style="1"/>
    <col min="5900" max="5900" width="10.88671875" style="1" bestFit="1" customWidth="1"/>
    <col min="5901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9.109375" style="1"/>
    <col min="6154" max="6154" width="11.33203125" style="1" bestFit="1" customWidth="1"/>
    <col min="6155" max="6155" width="9.109375" style="1"/>
    <col min="6156" max="6156" width="10.88671875" style="1" bestFit="1" customWidth="1"/>
    <col min="6157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9.109375" style="1"/>
    <col min="6410" max="6410" width="11.33203125" style="1" bestFit="1" customWidth="1"/>
    <col min="6411" max="6411" width="9.109375" style="1"/>
    <col min="6412" max="6412" width="10.88671875" style="1" bestFit="1" customWidth="1"/>
    <col min="6413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9.109375" style="1"/>
    <col min="6666" max="6666" width="11.33203125" style="1" bestFit="1" customWidth="1"/>
    <col min="6667" max="6667" width="9.109375" style="1"/>
    <col min="6668" max="6668" width="10.88671875" style="1" bestFit="1" customWidth="1"/>
    <col min="6669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9.109375" style="1"/>
    <col min="6922" max="6922" width="11.33203125" style="1" bestFit="1" customWidth="1"/>
    <col min="6923" max="6923" width="9.109375" style="1"/>
    <col min="6924" max="6924" width="10.88671875" style="1" bestFit="1" customWidth="1"/>
    <col min="6925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9.109375" style="1"/>
    <col min="7178" max="7178" width="11.33203125" style="1" bestFit="1" customWidth="1"/>
    <col min="7179" max="7179" width="9.109375" style="1"/>
    <col min="7180" max="7180" width="10.88671875" style="1" bestFit="1" customWidth="1"/>
    <col min="7181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9.109375" style="1"/>
    <col min="7434" max="7434" width="11.33203125" style="1" bestFit="1" customWidth="1"/>
    <col min="7435" max="7435" width="9.109375" style="1"/>
    <col min="7436" max="7436" width="10.88671875" style="1" bestFit="1" customWidth="1"/>
    <col min="7437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9.109375" style="1"/>
    <col min="7690" max="7690" width="11.33203125" style="1" bestFit="1" customWidth="1"/>
    <col min="7691" max="7691" width="9.109375" style="1"/>
    <col min="7692" max="7692" width="10.88671875" style="1" bestFit="1" customWidth="1"/>
    <col min="7693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9.109375" style="1"/>
    <col min="7946" max="7946" width="11.33203125" style="1" bestFit="1" customWidth="1"/>
    <col min="7947" max="7947" width="9.109375" style="1"/>
    <col min="7948" max="7948" width="10.88671875" style="1" bestFit="1" customWidth="1"/>
    <col min="7949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9.109375" style="1"/>
    <col min="8202" max="8202" width="11.33203125" style="1" bestFit="1" customWidth="1"/>
    <col min="8203" max="8203" width="9.109375" style="1"/>
    <col min="8204" max="8204" width="10.88671875" style="1" bestFit="1" customWidth="1"/>
    <col min="8205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9.109375" style="1"/>
    <col min="8458" max="8458" width="11.33203125" style="1" bestFit="1" customWidth="1"/>
    <col min="8459" max="8459" width="9.109375" style="1"/>
    <col min="8460" max="8460" width="10.88671875" style="1" bestFit="1" customWidth="1"/>
    <col min="8461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9.109375" style="1"/>
    <col min="8714" max="8714" width="11.33203125" style="1" bestFit="1" customWidth="1"/>
    <col min="8715" max="8715" width="9.109375" style="1"/>
    <col min="8716" max="8716" width="10.88671875" style="1" bestFit="1" customWidth="1"/>
    <col min="8717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9.109375" style="1"/>
    <col min="8970" max="8970" width="11.33203125" style="1" bestFit="1" customWidth="1"/>
    <col min="8971" max="8971" width="9.109375" style="1"/>
    <col min="8972" max="8972" width="10.88671875" style="1" bestFit="1" customWidth="1"/>
    <col min="8973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9.109375" style="1"/>
    <col min="9226" max="9226" width="11.33203125" style="1" bestFit="1" customWidth="1"/>
    <col min="9227" max="9227" width="9.109375" style="1"/>
    <col min="9228" max="9228" width="10.88671875" style="1" bestFit="1" customWidth="1"/>
    <col min="9229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9.109375" style="1"/>
    <col min="9482" max="9482" width="11.33203125" style="1" bestFit="1" customWidth="1"/>
    <col min="9483" max="9483" width="9.109375" style="1"/>
    <col min="9484" max="9484" width="10.88671875" style="1" bestFit="1" customWidth="1"/>
    <col min="9485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9.109375" style="1"/>
    <col min="9738" max="9738" width="11.33203125" style="1" bestFit="1" customWidth="1"/>
    <col min="9739" max="9739" width="9.109375" style="1"/>
    <col min="9740" max="9740" width="10.88671875" style="1" bestFit="1" customWidth="1"/>
    <col min="9741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9.109375" style="1"/>
    <col min="9994" max="9994" width="11.33203125" style="1" bestFit="1" customWidth="1"/>
    <col min="9995" max="9995" width="9.109375" style="1"/>
    <col min="9996" max="9996" width="10.88671875" style="1" bestFit="1" customWidth="1"/>
    <col min="9997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9.109375" style="1"/>
    <col min="10250" max="10250" width="11.33203125" style="1" bestFit="1" customWidth="1"/>
    <col min="10251" max="10251" width="9.109375" style="1"/>
    <col min="10252" max="10252" width="10.88671875" style="1" bestFit="1" customWidth="1"/>
    <col min="10253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9.109375" style="1"/>
    <col min="10506" max="10506" width="11.33203125" style="1" bestFit="1" customWidth="1"/>
    <col min="10507" max="10507" width="9.109375" style="1"/>
    <col min="10508" max="10508" width="10.88671875" style="1" bestFit="1" customWidth="1"/>
    <col min="10509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9.109375" style="1"/>
    <col min="10762" max="10762" width="11.33203125" style="1" bestFit="1" customWidth="1"/>
    <col min="10763" max="10763" width="9.109375" style="1"/>
    <col min="10764" max="10764" width="10.88671875" style="1" bestFit="1" customWidth="1"/>
    <col min="10765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9.109375" style="1"/>
    <col min="11018" max="11018" width="11.33203125" style="1" bestFit="1" customWidth="1"/>
    <col min="11019" max="11019" width="9.109375" style="1"/>
    <col min="11020" max="11020" width="10.88671875" style="1" bestFit="1" customWidth="1"/>
    <col min="11021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9.109375" style="1"/>
    <col min="11274" max="11274" width="11.33203125" style="1" bestFit="1" customWidth="1"/>
    <col min="11275" max="11275" width="9.109375" style="1"/>
    <col min="11276" max="11276" width="10.88671875" style="1" bestFit="1" customWidth="1"/>
    <col min="11277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9.109375" style="1"/>
    <col min="11530" max="11530" width="11.33203125" style="1" bestFit="1" customWidth="1"/>
    <col min="11531" max="11531" width="9.109375" style="1"/>
    <col min="11532" max="11532" width="10.88671875" style="1" bestFit="1" customWidth="1"/>
    <col min="11533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9.109375" style="1"/>
    <col min="11786" max="11786" width="11.33203125" style="1" bestFit="1" customWidth="1"/>
    <col min="11787" max="11787" width="9.109375" style="1"/>
    <col min="11788" max="11788" width="10.88671875" style="1" bestFit="1" customWidth="1"/>
    <col min="11789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9.109375" style="1"/>
    <col min="12042" max="12042" width="11.33203125" style="1" bestFit="1" customWidth="1"/>
    <col min="12043" max="12043" width="9.109375" style="1"/>
    <col min="12044" max="12044" width="10.88671875" style="1" bestFit="1" customWidth="1"/>
    <col min="12045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9.109375" style="1"/>
    <col min="12298" max="12298" width="11.33203125" style="1" bestFit="1" customWidth="1"/>
    <col min="12299" max="12299" width="9.109375" style="1"/>
    <col min="12300" max="12300" width="10.88671875" style="1" bestFit="1" customWidth="1"/>
    <col min="12301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9.109375" style="1"/>
    <col min="12554" max="12554" width="11.33203125" style="1" bestFit="1" customWidth="1"/>
    <col min="12555" max="12555" width="9.109375" style="1"/>
    <col min="12556" max="12556" width="10.88671875" style="1" bestFit="1" customWidth="1"/>
    <col min="12557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9.109375" style="1"/>
    <col min="12810" max="12810" width="11.33203125" style="1" bestFit="1" customWidth="1"/>
    <col min="12811" max="12811" width="9.109375" style="1"/>
    <col min="12812" max="12812" width="10.88671875" style="1" bestFit="1" customWidth="1"/>
    <col min="12813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9.109375" style="1"/>
    <col min="13066" max="13066" width="11.33203125" style="1" bestFit="1" customWidth="1"/>
    <col min="13067" max="13067" width="9.109375" style="1"/>
    <col min="13068" max="13068" width="10.88671875" style="1" bestFit="1" customWidth="1"/>
    <col min="13069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9.109375" style="1"/>
    <col min="13322" max="13322" width="11.33203125" style="1" bestFit="1" customWidth="1"/>
    <col min="13323" max="13323" width="9.109375" style="1"/>
    <col min="13324" max="13324" width="10.88671875" style="1" bestFit="1" customWidth="1"/>
    <col min="13325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9.109375" style="1"/>
    <col min="13578" max="13578" width="11.33203125" style="1" bestFit="1" customWidth="1"/>
    <col min="13579" max="13579" width="9.109375" style="1"/>
    <col min="13580" max="13580" width="10.88671875" style="1" bestFit="1" customWidth="1"/>
    <col min="13581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9.109375" style="1"/>
    <col min="13834" max="13834" width="11.33203125" style="1" bestFit="1" customWidth="1"/>
    <col min="13835" max="13835" width="9.109375" style="1"/>
    <col min="13836" max="13836" width="10.88671875" style="1" bestFit="1" customWidth="1"/>
    <col min="13837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9.109375" style="1"/>
    <col min="14090" max="14090" width="11.33203125" style="1" bestFit="1" customWidth="1"/>
    <col min="14091" max="14091" width="9.109375" style="1"/>
    <col min="14092" max="14092" width="10.88671875" style="1" bestFit="1" customWidth="1"/>
    <col min="14093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9.109375" style="1"/>
    <col min="14346" max="14346" width="11.33203125" style="1" bestFit="1" customWidth="1"/>
    <col min="14347" max="14347" width="9.109375" style="1"/>
    <col min="14348" max="14348" width="10.88671875" style="1" bestFit="1" customWidth="1"/>
    <col min="14349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9.109375" style="1"/>
    <col min="14602" max="14602" width="11.33203125" style="1" bestFit="1" customWidth="1"/>
    <col min="14603" max="14603" width="9.109375" style="1"/>
    <col min="14604" max="14604" width="10.88671875" style="1" bestFit="1" customWidth="1"/>
    <col min="14605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9.109375" style="1"/>
    <col min="14858" max="14858" width="11.33203125" style="1" bestFit="1" customWidth="1"/>
    <col min="14859" max="14859" width="9.109375" style="1"/>
    <col min="14860" max="14860" width="10.88671875" style="1" bestFit="1" customWidth="1"/>
    <col min="14861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9.109375" style="1"/>
    <col min="15114" max="15114" width="11.33203125" style="1" bestFit="1" customWidth="1"/>
    <col min="15115" max="15115" width="9.109375" style="1"/>
    <col min="15116" max="15116" width="10.88671875" style="1" bestFit="1" customWidth="1"/>
    <col min="15117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9.109375" style="1"/>
    <col min="15370" max="15370" width="11.33203125" style="1" bestFit="1" customWidth="1"/>
    <col min="15371" max="15371" width="9.109375" style="1"/>
    <col min="15372" max="15372" width="10.88671875" style="1" bestFit="1" customWidth="1"/>
    <col min="15373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9.109375" style="1"/>
    <col min="15626" max="15626" width="11.33203125" style="1" bestFit="1" customWidth="1"/>
    <col min="15627" max="15627" width="9.109375" style="1"/>
    <col min="15628" max="15628" width="10.88671875" style="1" bestFit="1" customWidth="1"/>
    <col min="15629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9.109375" style="1"/>
    <col min="15882" max="15882" width="11.33203125" style="1" bestFit="1" customWidth="1"/>
    <col min="15883" max="15883" width="9.109375" style="1"/>
    <col min="15884" max="15884" width="10.88671875" style="1" bestFit="1" customWidth="1"/>
    <col min="15885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9.109375" style="1"/>
    <col min="16138" max="16138" width="11.33203125" style="1" bestFit="1" customWidth="1"/>
    <col min="16139" max="16139" width="9.109375" style="1"/>
    <col min="16140" max="16140" width="10.88671875" style="1" bestFit="1" customWidth="1"/>
    <col min="16141" max="16384" width="9.109375" style="1"/>
  </cols>
  <sheetData>
    <row r="1" spans="1:15" ht="12.75" customHeight="1">
      <c r="C1" s="175" t="s">
        <v>588</v>
      </c>
      <c r="D1" s="175" t="s">
        <v>533</v>
      </c>
      <c r="E1" s="175" t="s">
        <v>555</v>
      </c>
      <c r="F1" s="175" t="s">
        <v>574</v>
      </c>
      <c r="G1" s="175" t="s">
        <v>589</v>
      </c>
      <c r="H1" s="114" t="s">
        <v>590</v>
      </c>
    </row>
    <row r="3" spans="1:15" ht="12.75" customHeight="1">
      <c r="A3" s="138" t="s">
        <v>16</v>
      </c>
    </row>
    <row r="4" spans="1:15" ht="12.75" customHeight="1">
      <c r="A4" s="136">
        <v>1600000</v>
      </c>
      <c r="B4" s="1" t="s">
        <v>22</v>
      </c>
      <c r="C4" s="246">
        <v>124359755.18000001</v>
      </c>
      <c r="D4" s="246">
        <v>222347.9</v>
      </c>
      <c r="E4" s="246">
        <v>369860.81</v>
      </c>
      <c r="F4" s="246">
        <v>276736.19</v>
      </c>
      <c r="G4" s="246">
        <v>763364.31</v>
      </c>
      <c r="H4" s="263">
        <f>SUM(C4:G4)</f>
        <v>125992064.39000002</v>
      </c>
      <c r="I4" s="1" t="s">
        <v>591</v>
      </c>
      <c r="J4" s="246"/>
      <c r="L4" s="141"/>
    </row>
    <row r="5" spans="1:15" ht="12.75" customHeight="1">
      <c r="A5" s="136" t="s">
        <v>23</v>
      </c>
      <c r="B5" s="1" t="s">
        <v>24</v>
      </c>
      <c r="C5" s="246">
        <v>-15781249</v>
      </c>
      <c r="D5" s="246">
        <v>-707759</v>
      </c>
      <c r="E5" s="246">
        <v>-707631</v>
      </c>
      <c r="F5" s="246">
        <v>-706154</v>
      </c>
      <c r="G5" s="246">
        <v>-722958</v>
      </c>
      <c r="H5" s="263">
        <f>SUM(C5:G5)</f>
        <v>-18625751</v>
      </c>
      <c r="I5" s="1" t="s">
        <v>592</v>
      </c>
      <c r="J5" s="246"/>
      <c r="L5" s="141"/>
    </row>
    <row r="6" spans="1:15" ht="12.75" customHeight="1">
      <c r="A6" s="136" t="s">
        <v>25</v>
      </c>
      <c r="B6" s="1" t="s">
        <v>26</v>
      </c>
      <c r="C6" s="246">
        <v>-971209</v>
      </c>
      <c r="D6" s="247">
        <v>-108045</v>
      </c>
      <c r="E6" s="247">
        <v>-117551</v>
      </c>
      <c r="F6" s="247">
        <v>-205430</v>
      </c>
      <c r="G6" s="247">
        <v>-677264</v>
      </c>
      <c r="H6" s="263">
        <f>SUM(C6:G6)</f>
        <v>-2079499</v>
      </c>
    </row>
    <row r="7" spans="1:15" ht="12.75" customHeight="1">
      <c r="A7" s="136" t="s">
        <v>427</v>
      </c>
      <c r="B7" s="1" t="s">
        <v>428</v>
      </c>
      <c r="C7" s="246">
        <v>126720</v>
      </c>
      <c r="D7" s="246">
        <v>15030</v>
      </c>
      <c r="E7" s="246">
        <v>17214</v>
      </c>
      <c r="F7" s="246">
        <v>31299</v>
      </c>
      <c r="G7" s="246">
        <v>106809</v>
      </c>
      <c r="H7" s="263">
        <f>SUM(C7:G7)</f>
        <v>297072</v>
      </c>
    </row>
    <row r="8" spans="1:15" ht="12.75" customHeight="1">
      <c r="A8" s="1" t="s">
        <v>351</v>
      </c>
    </row>
    <row r="10" spans="1:15" ht="12.75" customHeight="1">
      <c r="A10" s="136">
        <v>1790000</v>
      </c>
      <c r="B10" s="1" t="s">
        <v>558</v>
      </c>
      <c r="C10" s="246">
        <v>0</v>
      </c>
      <c r="D10" s="246">
        <v>2102350.0099999998</v>
      </c>
      <c r="E10" s="246">
        <v>-110649.99</v>
      </c>
      <c r="F10" s="246">
        <v>-110649.99</v>
      </c>
      <c r="G10" s="246">
        <v>-110649.99</v>
      </c>
      <c r="H10" s="263">
        <f>SUM(C10:G10)</f>
        <v>1770400.0399999998</v>
      </c>
    </row>
    <row r="11" spans="1:15" ht="12.75" customHeight="1">
      <c r="A11" s="136" t="s">
        <v>35</v>
      </c>
      <c r="B11" s="1" t="s">
        <v>36</v>
      </c>
      <c r="C11" s="246">
        <v>4787168</v>
      </c>
      <c r="D11" s="248">
        <v>294918</v>
      </c>
      <c r="E11" s="249">
        <v>181734</v>
      </c>
      <c r="F11" s="248">
        <v>172942</v>
      </c>
      <c r="G11" s="248">
        <f>-30079+176240</f>
        <v>146161</v>
      </c>
      <c r="H11" s="263">
        <f>SUM(C11:G11)</f>
        <v>5582923</v>
      </c>
    </row>
    <row r="12" spans="1:15" ht="12.75" customHeight="1">
      <c r="A12" s="136">
        <v>1760000</v>
      </c>
      <c r="B12" s="1" t="s">
        <v>535</v>
      </c>
      <c r="C12" s="246">
        <v>0</v>
      </c>
      <c r="D12" s="246">
        <v>38320325</v>
      </c>
      <c r="E12" s="246">
        <v>0</v>
      </c>
      <c r="F12" s="246">
        <v>0</v>
      </c>
      <c r="H12" s="263">
        <f>SUM(C12:G12)</f>
        <v>38320325</v>
      </c>
    </row>
    <row r="13" spans="1:15" ht="12.75" customHeight="1">
      <c r="A13" s="136">
        <v>1760300</v>
      </c>
      <c r="B13" s="1" t="s">
        <v>559</v>
      </c>
      <c r="C13" s="246">
        <v>0</v>
      </c>
      <c r="D13" s="246">
        <v>-95800.81</v>
      </c>
      <c r="E13" s="246">
        <v>-137679.46</v>
      </c>
      <c r="F13" s="246">
        <v>-53922.16</v>
      </c>
      <c r="G13" s="246">
        <v>-95800.81</v>
      </c>
      <c r="H13" s="263">
        <f>SUM(C13:G13)</f>
        <v>-383203.24</v>
      </c>
    </row>
    <row r="14" spans="1:15" ht="12.75" customHeight="1">
      <c r="A14" s="1" t="s">
        <v>352</v>
      </c>
    </row>
    <row r="15" spans="1:15" ht="12.75" customHeight="1">
      <c r="N15" s="1" t="s">
        <v>597</v>
      </c>
      <c r="O15" s="1" t="s">
        <v>598</v>
      </c>
    </row>
    <row r="16" spans="1:15" ht="12.75" customHeight="1">
      <c r="A16" s="136" t="s">
        <v>41</v>
      </c>
      <c r="B16" s="1" t="s">
        <v>42</v>
      </c>
      <c r="C16" s="246">
        <v>1286218.25</v>
      </c>
      <c r="D16" s="248">
        <v>-780026.62</v>
      </c>
      <c r="E16" s="249">
        <v>523319.01</v>
      </c>
      <c r="F16" s="250">
        <v>540690</v>
      </c>
      <c r="G16" s="248">
        <v>568866.17000000004</v>
      </c>
      <c r="H16" s="263">
        <f>SUM(C16:G16)</f>
        <v>2139066.81</v>
      </c>
      <c r="I16" s="1" t="s">
        <v>593</v>
      </c>
      <c r="N16" s="1">
        <v>100000</v>
      </c>
      <c r="O16" s="1">
        <v>180000</v>
      </c>
    </row>
    <row r="17" spans="1:8" ht="12.75" customHeight="1">
      <c r="A17" s="136" t="s">
        <v>43</v>
      </c>
      <c r="B17" s="1" t="s">
        <v>44</v>
      </c>
      <c r="C17" s="246">
        <v>-91881.58</v>
      </c>
      <c r="D17" s="246">
        <v>15003.05</v>
      </c>
      <c r="E17" s="246">
        <f>O16</f>
        <v>180000</v>
      </c>
      <c r="F17" s="246">
        <f>N16</f>
        <v>100000</v>
      </c>
      <c r="H17" s="263">
        <f>SUM(C17:G17)</f>
        <v>203121.47</v>
      </c>
    </row>
    <row r="18" spans="1:8" ht="12.75" customHeight="1">
      <c r="A18" s="1" t="s">
        <v>353</v>
      </c>
    </row>
    <row r="20" spans="1:8" ht="12.75" customHeight="1">
      <c r="A20" s="136">
        <v>2640000</v>
      </c>
      <c r="B20" s="1" t="s">
        <v>48</v>
      </c>
      <c r="C20" s="246">
        <v>1811072.2199999997</v>
      </c>
      <c r="D20" s="246">
        <f>-2503386-1</f>
        <v>-2503387</v>
      </c>
      <c r="E20" s="246">
        <v>-6167</v>
      </c>
      <c r="F20" s="246">
        <v>592347</v>
      </c>
      <c r="G20" s="246">
        <v>379578</v>
      </c>
      <c r="H20" s="263">
        <f>SUM(C20:G20)</f>
        <v>273443.21999999974</v>
      </c>
    </row>
    <row r="21" spans="1:8" ht="12.75" customHeight="1">
      <c r="A21" s="1" t="s">
        <v>357</v>
      </c>
    </row>
    <row r="22" spans="1:8" ht="12.75" customHeight="1">
      <c r="G22" s="114"/>
    </row>
    <row r="23" spans="1:8" ht="12.75" customHeight="1">
      <c r="A23" s="136" t="s">
        <v>594</v>
      </c>
      <c r="B23" s="1" t="s">
        <v>595</v>
      </c>
      <c r="F23" s="246">
        <v>-41878.65</v>
      </c>
      <c r="G23" s="246">
        <v>41878.65</v>
      </c>
      <c r="H23" s="263">
        <f>SUM(C23:G23)</f>
        <v>0</v>
      </c>
    </row>
    <row r="24" spans="1:8" ht="12.75" customHeight="1">
      <c r="A24" s="136">
        <v>2040200</v>
      </c>
      <c r="B24" s="1" t="s">
        <v>447</v>
      </c>
      <c r="C24" s="246">
        <v>5000</v>
      </c>
      <c r="D24" s="246">
        <v>0</v>
      </c>
      <c r="E24" s="246">
        <v>0</v>
      </c>
      <c r="H24" s="263">
        <f>SUM(C24:G24)</f>
        <v>5000</v>
      </c>
    </row>
    <row r="25" spans="1:8" ht="12.75" customHeight="1">
      <c r="A25" s="136">
        <v>2040500</v>
      </c>
      <c r="B25" s="1" t="s">
        <v>490</v>
      </c>
      <c r="C25" s="246">
        <v>29220.539999999997</v>
      </c>
      <c r="D25" s="246">
        <v>-29220.560000000001</v>
      </c>
      <c r="E25" s="246">
        <v>86298.880000000005</v>
      </c>
      <c r="F25" s="246">
        <v>-28766.29</v>
      </c>
      <c r="G25" s="246">
        <v>-28766.3</v>
      </c>
      <c r="H25" s="114">
        <f>SUM(C25:G25)</f>
        <v>28766.27</v>
      </c>
    </row>
    <row r="26" spans="1:8" ht="12.75" customHeight="1">
      <c r="A26" s="136" t="s">
        <v>53</v>
      </c>
      <c r="B26" s="1" t="s">
        <v>54</v>
      </c>
      <c r="C26" s="246">
        <v>-4.9999999999954525E-2</v>
      </c>
      <c r="D26" s="246">
        <v>0</v>
      </c>
      <c r="E26" s="246">
        <v>0</v>
      </c>
      <c r="F26" s="246">
        <v>0</v>
      </c>
      <c r="H26" s="263">
        <f>SUM(C26:G26)</f>
        <v>-4.9999999999954525E-2</v>
      </c>
    </row>
    <row r="27" spans="1:8" ht="12.75" customHeight="1">
      <c r="A27" s="136" t="s">
        <v>55</v>
      </c>
      <c r="B27" s="1" t="s">
        <v>56</v>
      </c>
      <c r="C27" s="246">
        <v>133609.03999999998</v>
      </c>
      <c r="D27" s="246">
        <v>-133609.04</v>
      </c>
      <c r="E27" s="246">
        <v>0</v>
      </c>
      <c r="F27" s="246">
        <v>0</v>
      </c>
      <c r="H27" s="114">
        <f>SUM(C27:G27)</f>
        <v>-2.9103830456733704E-11</v>
      </c>
    </row>
    <row r="28" spans="1:8" ht="12.75" customHeight="1">
      <c r="A28" s="1" t="s">
        <v>407</v>
      </c>
    </row>
    <row r="30" spans="1:8" ht="12.75" customHeight="1">
      <c r="A30" s="136" t="s">
        <v>61</v>
      </c>
      <c r="B30" s="1" t="s">
        <v>62</v>
      </c>
      <c r="H30" s="263">
        <f t="shared" ref="H30:H38" si="0">SUM(C30:G30)</f>
        <v>0</v>
      </c>
    </row>
    <row r="31" spans="1:8" ht="12.75" customHeight="1">
      <c r="A31" s="136">
        <v>2300001</v>
      </c>
      <c r="B31" s="1" t="s">
        <v>596</v>
      </c>
      <c r="C31" s="246">
        <v>-1094.5999999999999</v>
      </c>
      <c r="D31" s="246">
        <v>1095.07</v>
      </c>
      <c r="E31" s="246">
        <v>1948.2</v>
      </c>
      <c r="F31" s="246">
        <v>1958.46</v>
      </c>
      <c r="G31" s="246">
        <v>-4860.88</v>
      </c>
      <c r="H31" s="263">
        <f>SUM(C31:G31)</f>
        <v>-953.75</v>
      </c>
    </row>
    <row r="32" spans="1:8" ht="12.75" customHeight="1">
      <c r="A32" s="136" t="s">
        <v>65</v>
      </c>
      <c r="B32" s="1" t="s">
        <v>66</v>
      </c>
      <c r="C32" s="246">
        <v>276380.51</v>
      </c>
      <c r="D32" s="249">
        <v>261185.75</v>
      </c>
      <c r="E32" s="249">
        <v>-537566.26</v>
      </c>
      <c r="F32" s="249">
        <v>128000</v>
      </c>
      <c r="G32" s="249">
        <v>-128000</v>
      </c>
      <c r="H32" s="263">
        <f t="shared" si="0"/>
        <v>0</v>
      </c>
    </row>
    <row r="33" spans="1:13" ht="12.75" customHeight="1">
      <c r="A33" s="136" t="s">
        <v>67</v>
      </c>
      <c r="B33" s="1" t="s">
        <v>68</v>
      </c>
      <c r="C33" s="246">
        <v>-597340.32999999996</v>
      </c>
      <c r="D33" s="249">
        <v>502142.01</v>
      </c>
      <c r="E33" s="249">
        <v>96845.81</v>
      </c>
      <c r="F33" s="249">
        <v>-43252.62</v>
      </c>
      <c r="G33" s="249">
        <v>43840.28</v>
      </c>
      <c r="H33" s="263">
        <f t="shared" si="0"/>
        <v>2235.1500000000451</v>
      </c>
    </row>
    <row r="34" spans="1:13" ht="12.75" customHeight="1">
      <c r="A34" s="136" t="s">
        <v>69</v>
      </c>
      <c r="B34" s="1" t="s">
        <v>70</v>
      </c>
      <c r="C34" s="246">
        <v>191.12999999999738</v>
      </c>
      <c r="D34" s="249">
        <v>-12.05</v>
      </c>
      <c r="E34" s="249">
        <v>0</v>
      </c>
      <c r="F34" s="249">
        <v>0</v>
      </c>
      <c r="G34" s="249">
        <v>-105.66</v>
      </c>
      <c r="H34" s="263">
        <f t="shared" si="0"/>
        <v>73.419999999997373</v>
      </c>
    </row>
    <row r="35" spans="1:13" ht="12.75" customHeight="1">
      <c r="A35" s="136" t="s">
        <v>71</v>
      </c>
      <c r="B35" s="1" t="s">
        <v>72</v>
      </c>
      <c r="C35" s="246">
        <v>182761.96</v>
      </c>
      <c r="D35" s="249">
        <v>-53607.74</v>
      </c>
      <c r="E35" s="249">
        <v>-109016.02</v>
      </c>
      <c r="F35" s="249">
        <v>-13039.08</v>
      </c>
      <c r="G35" s="249">
        <v>-5557.22</v>
      </c>
      <c r="H35" s="263">
        <f t="shared" si="0"/>
        <v>1541.8999999999969</v>
      </c>
    </row>
    <row r="36" spans="1:13" ht="12.75" customHeight="1">
      <c r="A36" s="136" t="s">
        <v>73</v>
      </c>
      <c r="B36" s="1" t="s">
        <v>74</v>
      </c>
      <c r="C36" s="246">
        <v>1420393.03</v>
      </c>
      <c r="D36" s="249">
        <v>-1298518.42</v>
      </c>
      <c r="E36" s="249">
        <v>273260.99</v>
      </c>
      <c r="F36" s="249">
        <v>-45193.38</v>
      </c>
      <c r="G36" s="249">
        <v>-137878.31</v>
      </c>
      <c r="H36" s="263">
        <f t="shared" si="0"/>
        <v>212063.91000000009</v>
      </c>
    </row>
    <row r="37" spans="1:13" ht="12.75" customHeight="1">
      <c r="A37" s="136" t="s">
        <v>75</v>
      </c>
      <c r="B37" s="1" t="s">
        <v>76</v>
      </c>
      <c r="C37" s="246">
        <v>102715.99</v>
      </c>
      <c r="D37" s="249">
        <v>-5460.63</v>
      </c>
      <c r="E37" s="249">
        <v>-85043.32</v>
      </c>
      <c r="F37" s="249">
        <v>-9996.6299999999992</v>
      </c>
      <c r="G37" s="249">
        <v>13146.59</v>
      </c>
      <c r="H37" s="263">
        <f t="shared" si="0"/>
        <v>15361.999999999995</v>
      </c>
    </row>
    <row r="38" spans="1:13" ht="12.75" customHeight="1">
      <c r="A38" s="136">
        <v>2400206</v>
      </c>
      <c r="B38" s="1" t="s">
        <v>560</v>
      </c>
      <c r="C38" s="246">
        <v>0</v>
      </c>
      <c r="D38" s="249">
        <v>-11.39</v>
      </c>
      <c r="E38" s="249">
        <v>-5.65</v>
      </c>
      <c r="F38" s="249">
        <v>0</v>
      </c>
      <c r="G38" s="249"/>
      <c r="H38" s="263">
        <f t="shared" si="0"/>
        <v>-17.04</v>
      </c>
    </row>
    <row r="39" spans="1:13" ht="12.75" customHeight="1">
      <c r="A39" s="1" t="s">
        <v>358</v>
      </c>
    </row>
    <row r="41" spans="1:13" ht="12.75" customHeight="1">
      <c r="A41" s="136">
        <v>1000002</v>
      </c>
      <c r="B41" s="1" t="s">
        <v>429</v>
      </c>
      <c r="C41" s="246">
        <v>-1</v>
      </c>
      <c r="D41" s="246">
        <v>0</v>
      </c>
      <c r="E41" s="246">
        <v>0</v>
      </c>
      <c r="F41" s="246">
        <v>0</v>
      </c>
      <c r="H41" s="263">
        <f>SUM(C41:G41)</f>
        <v>-1</v>
      </c>
    </row>
    <row r="42" spans="1:13" ht="12.75" customHeight="1">
      <c r="A42" s="136">
        <v>1100000</v>
      </c>
      <c r="B42" s="1" t="s">
        <v>430</v>
      </c>
      <c r="C42" s="246">
        <v>-18931219.48</v>
      </c>
      <c r="D42" s="246">
        <v>0</v>
      </c>
      <c r="E42" s="246">
        <v>0</v>
      </c>
      <c r="F42" s="246">
        <v>0</v>
      </c>
      <c r="H42" s="263">
        <f>SUM(C42:G42)</f>
        <v>-18931219.48</v>
      </c>
    </row>
    <row r="43" spans="1:13" ht="12.75" customHeight="1">
      <c r="A43" s="136">
        <v>1160000</v>
      </c>
      <c r="B43" s="1" t="s">
        <v>94</v>
      </c>
      <c r="C43" s="246">
        <v>5460952.0499999998</v>
      </c>
      <c r="D43" s="246">
        <v>0</v>
      </c>
      <c r="E43" s="246">
        <v>0</v>
      </c>
      <c r="F43" s="246">
        <v>0</v>
      </c>
      <c r="H43" s="263">
        <f>SUM(C43:G43)</f>
        <v>5460952.0499999998</v>
      </c>
    </row>
    <row r="44" spans="1:13" ht="12.75" customHeight="1">
      <c r="A44" s="136" t="s">
        <v>95</v>
      </c>
      <c r="B44" s="1" t="s">
        <v>96</v>
      </c>
      <c r="D44" s="246">
        <v>0</v>
      </c>
      <c r="E44" s="246">
        <v>0</v>
      </c>
      <c r="F44" s="246">
        <v>0</v>
      </c>
      <c r="H44" s="114">
        <f>SUM(C44:G44)</f>
        <v>0</v>
      </c>
    </row>
    <row r="45" spans="1:13" ht="12.75" customHeight="1">
      <c r="A45" s="1" t="s">
        <v>359</v>
      </c>
    </row>
    <row r="47" spans="1:13" ht="12.75" customHeight="1">
      <c r="A47" s="136">
        <v>1930001</v>
      </c>
      <c r="B47" s="1" t="s">
        <v>104</v>
      </c>
      <c r="C47" s="246">
        <v>-130000000</v>
      </c>
      <c r="D47" s="246">
        <v>-38320325</v>
      </c>
      <c r="E47" s="246">
        <v>0</v>
      </c>
      <c r="H47" s="263">
        <f>SUM(C47:G47)</f>
        <v>-168320325</v>
      </c>
    </row>
    <row r="48" spans="1:13" ht="12.75" customHeight="1">
      <c r="A48" s="136" t="s">
        <v>107</v>
      </c>
      <c r="B48" s="1" t="s">
        <v>108</v>
      </c>
      <c r="C48" s="246">
        <v>28921508.810000002</v>
      </c>
      <c r="D48" s="248">
        <v>-251183.98</v>
      </c>
      <c r="E48" s="249">
        <v>1040566.26</v>
      </c>
      <c r="F48" s="248">
        <v>531000</v>
      </c>
      <c r="G48" s="248">
        <v>1446000</v>
      </c>
      <c r="H48" s="263">
        <f>SUM(C48:G48)</f>
        <v>31687891.090000004</v>
      </c>
      <c r="M48" s="265">
        <v>100191109.27</v>
      </c>
    </row>
    <row r="49" spans="1:13" ht="12.75" customHeight="1">
      <c r="A49" s="136">
        <v>1930200</v>
      </c>
      <c r="B49" s="1" t="s">
        <v>561</v>
      </c>
      <c r="C49" s="246">
        <v>0</v>
      </c>
      <c r="D49" s="248">
        <v>552312.06000000006</v>
      </c>
      <c r="E49" s="249">
        <v>-29069.07</v>
      </c>
      <c r="F49" s="248">
        <v>-29069.06</v>
      </c>
      <c r="G49" s="248">
        <v>-29069.05</v>
      </c>
      <c r="H49" s="263">
        <f>SUM(C49:G49)</f>
        <v>465104.88000000006</v>
      </c>
      <c r="M49" s="265">
        <v>37398565.920000002</v>
      </c>
    </row>
    <row r="50" spans="1:13" ht="12.75" customHeight="1">
      <c r="A50" s="1" t="s">
        <v>362</v>
      </c>
    </row>
    <row r="52" spans="1:13" ht="12.75" customHeight="1">
      <c r="A52" s="136" t="s">
        <v>121</v>
      </c>
      <c r="B52" s="1" t="s">
        <v>122</v>
      </c>
      <c r="C52" s="246">
        <v>-577278.97</v>
      </c>
      <c r="D52" s="246">
        <v>221244.37</v>
      </c>
      <c r="E52" s="175">
        <v>-339462.09</v>
      </c>
      <c r="F52" s="246">
        <v>459980.87</v>
      </c>
      <c r="G52" s="246">
        <v>-129687.64</v>
      </c>
      <c r="H52" s="263">
        <f>SUM(C52:G52)</f>
        <v>-365203.45999999996</v>
      </c>
    </row>
    <row r="53" spans="1:13" ht="12.75" customHeight="1">
      <c r="A53" s="136" t="s">
        <v>123</v>
      </c>
      <c r="B53" s="1" t="s">
        <v>124</v>
      </c>
      <c r="C53" s="246">
        <v>-36300</v>
      </c>
      <c r="D53" s="246">
        <v>-856680</v>
      </c>
      <c r="E53" s="246">
        <v>-12500</v>
      </c>
      <c r="F53" s="246">
        <v>-13200</v>
      </c>
      <c r="G53" s="246">
        <v>-1500</v>
      </c>
      <c r="H53" s="263">
        <f>SUM(C53:G53)</f>
        <v>-920180</v>
      </c>
    </row>
    <row r="54" spans="1:13" ht="12.75" customHeight="1">
      <c r="A54" s="1" t="s">
        <v>363</v>
      </c>
    </row>
    <row r="56" spans="1:13" ht="12.75" customHeight="1">
      <c r="A56" s="136" t="s">
        <v>129</v>
      </c>
      <c r="B56" s="1" t="s">
        <v>130</v>
      </c>
      <c r="C56" s="246">
        <v>-4728.4699999999993</v>
      </c>
      <c r="D56" s="246">
        <v>-997.53</v>
      </c>
      <c r="E56" s="246">
        <v>757.23</v>
      </c>
      <c r="F56" s="246">
        <v>168.17</v>
      </c>
      <c r="G56" s="246">
        <v>-445.4</v>
      </c>
      <c r="H56" s="263">
        <f>SUM(C56:G56)</f>
        <v>-5245.9999999999982</v>
      </c>
    </row>
    <row r="57" spans="1:13" ht="12.75" customHeight="1">
      <c r="A57" s="136" t="s">
        <v>133</v>
      </c>
      <c r="B57" s="1" t="s">
        <v>134</v>
      </c>
      <c r="C57" s="246">
        <v>0</v>
      </c>
      <c r="D57" s="246">
        <v>0</v>
      </c>
      <c r="H57" s="263">
        <f>SUM(C57:G57)</f>
        <v>0</v>
      </c>
    </row>
    <row r="58" spans="1:13" ht="12.75" customHeight="1">
      <c r="A58" s="136" t="s">
        <v>137</v>
      </c>
      <c r="B58" s="1" t="s">
        <v>138</v>
      </c>
      <c r="C58" s="246">
        <v>0</v>
      </c>
      <c r="D58" s="246">
        <v>0</v>
      </c>
      <c r="H58" s="114">
        <f>SUM(C58:G58)</f>
        <v>0</v>
      </c>
    </row>
    <row r="59" spans="1:13" ht="12.75" customHeight="1">
      <c r="A59" s="1" t="s">
        <v>366</v>
      </c>
    </row>
    <row r="61" spans="1:13" ht="12.75" customHeight="1">
      <c r="A61" s="136">
        <v>2620000</v>
      </c>
      <c r="B61" s="1" t="s">
        <v>542</v>
      </c>
      <c r="C61" s="246">
        <v>0</v>
      </c>
      <c r="D61" s="246">
        <v>-100000</v>
      </c>
      <c r="E61" s="246">
        <v>100000</v>
      </c>
      <c r="F61" s="246">
        <v>0</v>
      </c>
      <c r="G61" s="246">
        <v>-200000</v>
      </c>
      <c r="H61" s="263">
        <f>SUM(C61:G61)</f>
        <v>-200000</v>
      </c>
    </row>
    <row r="62" spans="1:13" ht="12.75" customHeight="1">
      <c r="A62" s="136" t="s">
        <v>543</v>
      </c>
    </row>
    <row r="64" spans="1:13" ht="12.75" customHeight="1">
      <c r="A64" s="136">
        <v>2740100</v>
      </c>
      <c r="B64" s="1" t="s">
        <v>492</v>
      </c>
      <c r="C64" s="246">
        <v>-1013361.8</v>
      </c>
      <c r="D64" s="246">
        <v>876536.84</v>
      </c>
      <c r="E64" s="246">
        <v>-19436.43</v>
      </c>
      <c r="F64" s="251">
        <f>-809308+1</f>
        <v>-809307</v>
      </c>
      <c r="G64" s="246">
        <v>801.61</v>
      </c>
      <c r="H64" s="263">
        <f t="shared" ref="H64:H77" si="1">SUM(C64:G64)</f>
        <v>-964766.78000000014</v>
      </c>
      <c r="I64" s="1" t="s">
        <v>593</v>
      </c>
    </row>
    <row r="65" spans="1:8" ht="12.75" customHeight="1">
      <c r="A65" s="136" t="s">
        <v>141</v>
      </c>
      <c r="B65" s="1" t="s">
        <v>142</v>
      </c>
      <c r="C65" s="246">
        <v>-843323.22000000009</v>
      </c>
      <c r="D65" s="246">
        <v>-29141.32</v>
      </c>
      <c r="E65" s="246">
        <v>-34705.35</v>
      </c>
      <c r="F65" s="246">
        <v>-20233.89</v>
      </c>
      <c r="G65" s="246">
        <v>-8275.86</v>
      </c>
      <c r="H65" s="263">
        <f t="shared" si="1"/>
        <v>-935679.64</v>
      </c>
    </row>
    <row r="66" spans="1:8" ht="12.75" customHeight="1">
      <c r="A66" s="136">
        <v>2740500</v>
      </c>
      <c r="B66" s="1" t="s">
        <v>144</v>
      </c>
      <c r="C66" s="246">
        <v>-22500</v>
      </c>
      <c r="D66" s="246">
        <v>-22500</v>
      </c>
      <c r="E66" s="246">
        <v>400.95</v>
      </c>
      <c r="F66" s="246">
        <v>-400.49</v>
      </c>
      <c r="H66" s="263">
        <f t="shared" si="1"/>
        <v>-44999.54</v>
      </c>
    </row>
    <row r="67" spans="1:8" ht="12.75" customHeight="1">
      <c r="A67" s="136" t="s">
        <v>145</v>
      </c>
      <c r="B67" s="1" t="s">
        <v>146</v>
      </c>
      <c r="C67" s="246">
        <v>0</v>
      </c>
      <c r="D67" s="246">
        <v>0</v>
      </c>
      <c r="E67" s="246">
        <v>0</v>
      </c>
      <c r="F67" s="246">
        <v>0</v>
      </c>
      <c r="H67" s="263">
        <f t="shared" si="1"/>
        <v>0</v>
      </c>
    </row>
    <row r="68" spans="1:8" ht="12.75" customHeight="1">
      <c r="A68" s="136" t="s">
        <v>367</v>
      </c>
      <c r="B68" s="1" t="s">
        <v>368</v>
      </c>
      <c r="C68" s="246">
        <v>0</v>
      </c>
      <c r="D68" s="246">
        <v>0</v>
      </c>
      <c r="E68" s="246">
        <v>0</v>
      </c>
      <c r="F68" s="246">
        <v>0</v>
      </c>
      <c r="H68" s="114">
        <f t="shared" si="1"/>
        <v>0</v>
      </c>
    </row>
    <row r="69" spans="1:8" ht="12.75" customHeight="1">
      <c r="A69" s="136" t="s">
        <v>147</v>
      </c>
      <c r="B69" s="1" t="s">
        <v>148</v>
      </c>
      <c r="C69" s="246">
        <v>73597.840000000011</v>
      </c>
      <c r="D69" s="246">
        <v>-76077.460000000006</v>
      </c>
      <c r="E69" s="246">
        <v>129789</v>
      </c>
      <c r="F69" s="246">
        <v>32104.41</v>
      </c>
      <c r="G69" s="246">
        <v>-80946.720000000001</v>
      </c>
      <c r="H69" s="263">
        <f t="shared" si="1"/>
        <v>78467.070000000007</v>
      </c>
    </row>
    <row r="70" spans="1:8" ht="12.75" customHeight="1">
      <c r="A70" s="136" t="s">
        <v>149</v>
      </c>
      <c r="B70" s="1" t="s">
        <v>150</v>
      </c>
      <c r="C70" s="246">
        <v>-0.13000000000010914</v>
      </c>
      <c r="D70" s="246">
        <v>-42098.85</v>
      </c>
      <c r="E70" s="246">
        <v>0</v>
      </c>
      <c r="F70" s="246">
        <v>0</v>
      </c>
      <c r="H70" s="263">
        <f t="shared" si="1"/>
        <v>-42098.979999999996</v>
      </c>
    </row>
    <row r="71" spans="1:8" ht="12.75" customHeight="1">
      <c r="A71" s="136" t="s">
        <v>151</v>
      </c>
      <c r="B71" s="1" t="s">
        <v>152</v>
      </c>
      <c r="C71" s="246">
        <v>-0.30000000000001137</v>
      </c>
      <c r="D71" s="246">
        <v>0</v>
      </c>
      <c r="E71" s="246">
        <v>0</v>
      </c>
      <c r="F71" s="246">
        <v>0</v>
      </c>
      <c r="H71" s="114">
        <f t="shared" si="1"/>
        <v>-0.30000000000001137</v>
      </c>
    </row>
    <row r="72" spans="1:8" ht="12.75" customHeight="1">
      <c r="A72" s="136" t="s">
        <v>155</v>
      </c>
      <c r="B72" s="1" t="s">
        <v>156</v>
      </c>
      <c r="C72" s="246">
        <v>-125776.61999999998</v>
      </c>
      <c r="D72" s="246">
        <v>-126704.07</v>
      </c>
      <c r="E72" s="246">
        <v>125173.56</v>
      </c>
      <c r="F72" s="246">
        <v>-127137.14</v>
      </c>
      <c r="G72" s="246">
        <v>-130845.14</v>
      </c>
      <c r="H72" s="263">
        <f t="shared" si="1"/>
        <v>-385289.41000000003</v>
      </c>
    </row>
    <row r="73" spans="1:8" ht="12.75" customHeight="1">
      <c r="A73" s="136" t="s">
        <v>157</v>
      </c>
      <c r="B73" s="1" t="s">
        <v>158</v>
      </c>
      <c r="C73" s="246">
        <v>0</v>
      </c>
      <c r="D73" s="246">
        <v>0</v>
      </c>
      <c r="E73" s="246">
        <v>0</v>
      </c>
      <c r="F73" s="246">
        <v>0</v>
      </c>
      <c r="H73" s="114">
        <f t="shared" si="1"/>
        <v>0</v>
      </c>
    </row>
    <row r="74" spans="1:8" ht="12.75" customHeight="1">
      <c r="A74" s="136" t="s">
        <v>159</v>
      </c>
      <c r="B74" s="1" t="s">
        <v>494</v>
      </c>
      <c r="C74" s="246">
        <v>20000</v>
      </c>
      <c r="D74" s="246">
        <v>10000</v>
      </c>
      <c r="F74" s="246">
        <v>40000</v>
      </c>
      <c r="G74" s="246">
        <v>-40000</v>
      </c>
      <c r="H74" s="263">
        <f t="shared" si="1"/>
        <v>30000</v>
      </c>
    </row>
    <row r="75" spans="1:8" ht="12.75" customHeight="1">
      <c r="A75" s="136" t="s">
        <v>161</v>
      </c>
      <c r="B75" s="1" t="s">
        <v>162</v>
      </c>
      <c r="C75" s="246">
        <v>0</v>
      </c>
      <c r="F75" s="246">
        <v>0</v>
      </c>
      <c r="H75" s="114">
        <f t="shared" si="1"/>
        <v>0</v>
      </c>
    </row>
    <row r="76" spans="1:8" ht="12.75" customHeight="1">
      <c r="A76" s="136" t="s">
        <v>163</v>
      </c>
      <c r="B76" s="1" t="s">
        <v>164</v>
      </c>
      <c r="C76" s="246">
        <v>0</v>
      </c>
      <c r="F76" s="246">
        <v>0</v>
      </c>
      <c r="H76" s="114">
        <f t="shared" si="1"/>
        <v>0</v>
      </c>
    </row>
    <row r="77" spans="1:8" ht="12.75" customHeight="1">
      <c r="A77" s="136">
        <v>2040100</v>
      </c>
      <c r="B77" s="1" t="s">
        <v>578</v>
      </c>
      <c r="C77" s="246">
        <v>0</v>
      </c>
      <c r="D77" s="246">
        <v>0</v>
      </c>
      <c r="E77" s="246">
        <v>0</v>
      </c>
      <c r="F77" s="246">
        <f>-41878.65+41878.65</f>
        <v>0</v>
      </c>
      <c r="H77" s="263">
        <f t="shared" si="1"/>
        <v>0</v>
      </c>
    </row>
    <row r="78" spans="1:8" ht="12.75" customHeight="1">
      <c r="A78" s="1" t="s">
        <v>369</v>
      </c>
    </row>
    <row r="81" spans="1:12" ht="12.75" customHeight="1">
      <c r="A81" s="138" t="s">
        <v>370</v>
      </c>
    </row>
    <row r="82" spans="1:12" ht="12.75" customHeight="1">
      <c r="A82" s="136" t="s">
        <v>174</v>
      </c>
      <c r="B82" s="1" t="s">
        <v>175</v>
      </c>
      <c r="D82" s="246">
        <v>-2950963.19</v>
      </c>
      <c r="E82" s="246">
        <v>-2959140.94</v>
      </c>
      <c r="F82" s="246">
        <v>-2984947.9</v>
      </c>
      <c r="G82" s="246">
        <v>-3069840.08</v>
      </c>
      <c r="H82" s="114">
        <f>SUM(C82:G82)</f>
        <v>-11964892.109999999</v>
      </c>
    </row>
    <row r="83" spans="1:12" ht="12.75" customHeight="1">
      <c r="A83" s="136" t="s">
        <v>176</v>
      </c>
      <c r="B83" s="1" t="s">
        <v>177</v>
      </c>
      <c r="D83" s="246">
        <v>59011.37</v>
      </c>
      <c r="E83" s="246">
        <v>55162.54</v>
      </c>
      <c r="F83" s="246">
        <v>56558</v>
      </c>
      <c r="G83" s="246">
        <v>66841.789999999994</v>
      </c>
      <c r="H83" s="114">
        <f>SUM(C83:G83)</f>
        <v>237573.7</v>
      </c>
    </row>
    <row r="84" spans="1:12" ht="12.75" customHeight="1">
      <c r="A84" s="1" t="s">
        <v>381</v>
      </c>
      <c r="D84" s="246">
        <f>D82+D83</f>
        <v>-2891951.82</v>
      </c>
      <c r="E84" s="246">
        <f>E82+E83</f>
        <v>-2903978.4</v>
      </c>
      <c r="F84" s="246">
        <f>F82+F83</f>
        <v>-2928389.9</v>
      </c>
      <c r="G84" s="246">
        <f>G82+G83</f>
        <v>-3002998.29</v>
      </c>
      <c r="H84" s="114">
        <f>SUM(C84:G84)</f>
        <v>-11727318.41</v>
      </c>
    </row>
    <row r="86" spans="1:12" ht="12.75" customHeight="1">
      <c r="A86" s="136">
        <v>8400400</v>
      </c>
      <c r="B86" s="1" t="s">
        <v>515</v>
      </c>
      <c r="H86" s="114">
        <f>SUM(C86:G86)</f>
        <v>0</v>
      </c>
    </row>
    <row r="87" spans="1:12" ht="12.75" customHeight="1">
      <c r="A87" s="136" t="s">
        <v>182</v>
      </c>
      <c r="B87" s="1" t="s">
        <v>183</v>
      </c>
      <c r="D87" s="246">
        <v>-165044.01999999999</v>
      </c>
      <c r="E87" s="246">
        <v>-165745.84</v>
      </c>
      <c r="F87" s="246">
        <v>-166072.95000000001</v>
      </c>
      <c r="G87" s="246">
        <v>-165720.32000000001</v>
      </c>
      <c r="H87" s="114">
        <f>SUM(C87:G87)</f>
        <v>-662583.13</v>
      </c>
    </row>
    <row r="88" spans="1:12" ht="12.75" customHeight="1">
      <c r="A88" s="136" t="s">
        <v>184</v>
      </c>
      <c r="B88" s="1" t="s">
        <v>185</v>
      </c>
      <c r="D88" s="246">
        <v>3789.4</v>
      </c>
      <c r="E88" s="246">
        <v>9522.0300000000007</v>
      </c>
      <c r="F88" s="246">
        <v>9644.39</v>
      </c>
      <c r="G88" s="246">
        <v>8306.41</v>
      </c>
      <c r="H88" s="114">
        <f t="shared" ref="H88:H115" si="2">SUM(C88:G88)</f>
        <v>31262.23</v>
      </c>
    </row>
    <row r="89" spans="1:12" ht="12.75" customHeight="1">
      <c r="A89" s="136">
        <v>8400800</v>
      </c>
      <c r="B89" s="1" t="s">
        <v>187</v>
      </c>
      <c r="D89" s="246">
        <v>220949.51</v>
      </c>
      <c r="E89" s="175">
        <f>353718.65-O16</f>
        <v>173718.65000000002</v>
      </c>
      <c r="F89" s="246">
        <f>267954.63-N16</f>
        <v>167954.63</v>
      </c>
      <c r="G89" s="246">
        <v>235052.43</v>
      </c>
      <c r="H89" s="114">
        <f t="shared" si="2"/>
        <v>797675.22</v>
      </c>
    </row>
    <row r="90" spans="1:12" ht="12.75" customHeight="1">
      <c r="A90" s="1" t="s">
        <v>382</v>
      </c>
      <c r="D90" s="246">
        <f>SUM(D86:D89)</f>
        <v>59694.890000000014</v>
      </c>
      <c r="E90" s="246">
        <f>SUM(E86:E89)</f>
        <v>17494.840000000026</v>
      </c>
      <c r="F90" s="246">
        <f>SUM(F87:F89)</f>
        <v>11526.070000000007</v>
      </c>
      <c r="G90" s="246">
        <f>SUM(G87:G89)</f>
        <v>77638.51999999999</v>
      </c>
      <c r="H90" s="114">
        <f t="shared" si="2"/>
        <v>166354.32000000004</v>
      </c>
    </row>
    <row r="92" spans="1:12" ht="12.75" customHeight="1">
      <c r="A92" s="136" t="s">
        <v>198</v>
      </c>
      <c r="B92" s="1" t="s">
        <v>199</v>
      </c>
      <c r="D92" s="246">
        <v>125402.18</v>
      </c>
      <c r="E92" s="246">
        <v>126034.62</v>
      </c>
      <c r="F92" s="246">
        <v>126358.08</v>
      </c>
      <c r="G92" s="246">
        <v>130076.16</v>
      </c>
      <c r="H92" s="114">
        <f t="shared" si="2"/>
        <v>507871.04000000004</v>
      </c>
    </row>
    <row r="93" spans="1:12" ht="12.75" customHeight="1">
      <c r="A93" s="1" t="s">
        <v>408</v>
      </c>
      <c r="D93" s="246">
        <f>SUM(D92)</f>
        <v>125402.18</v>
      </c>
      <c r="E93" s="246">
        <f>SUM(E92)</f>
        <v>126034.62</v>
      </c>
      <c r="F93" s="246">
        <f>F92</f>
        <v>126358.08</v>
      </c>
      <c r="G93" s="246">
        <f>G92</f>
        <v>130076.16</v>
      </c>
      <c r="H93" s="114">
        <f t="shared" si="2"/>
        <v>507871.04000000004</v>
      </c>
      <c r="J93" s="262"/>
    </row>
    <row r="95" spans="1:12" ht="12.75" customHeight="1">
      <c r="A95" s="136" t="s">
        <v>204</v>
      </c>
      <c r="B95" s="1" t="s">
        <v>205</v>
      </c>
      <c r="D95" s="246">
        <v>707759</v>
      </c>
      <c r="E95" s="246">
        <v>707631</v>
      </c>
      <c r="F95" s="246">
        <v>706154</v>
      </c>
      <c r="G95" s="246">
        <v>722958</v>
      </c>
      <c r="H95" s="114">
        <f t="shared" si="2"/>
        <v>2844502</v>
      </c>
      <c r="J95" s="246"/>
      <c r="L95" s="141"/>
    </row>
    <row r="96" spans="1:12" ht="12.75" customHeight="1">
      <c r="A96" s="136" t="s">
        <v>206</v>
      </c>
      <c r="B96" s="1" t="s">
        <v>207</v>
      </c>
      <c r="D96" s="246">
        <v>-181985</v>
      </c>
      <c r="E96" s="246">
        <v>-114663</v>
      </c>
      <c r="F96" s="246">
        <v>-315876</v>
      </c>
      <c r="G96" s="246">
        <v>-724209</v>
      </c>
      <c r="H96" s="114">
        <f t="shared" si="2"/>
        <v>-1336733</v>
      </c>
    </row>
    <row r="97" spans="1:12" ht="12.75" customHeight="1">
      <c r="A97" s="1" t="s">
        <v>384</v>
      </c>
      <c r="D97" s="246">
        <f>SUM(D95:D96)</f>
        <v>525774</v>
      </c>
      <c r="E97" s="246">
        <f>SUM(E95:E96)</f>
        <v>592968</v>
      </c>
      <c r="F97" s="246">
        <f>SUM(F95:F96)</f>
        <v>390278</v>
      </c>
      <c r="G97" s="246">
        <f>SUM(G95:G96)</f>
        <v>-1251</v>
      </c>
      <c r="H97" s="114">
        <f t="shared" si="2"/>
        <v>1507769</v>
      </c>
    </row>
    <row r="99" spans="1:12" ht="12.75" customHeight="1">
      <c r="A99" s="136" t="s">
        <v>210</v>
      </c>
      <c r="B99" s="1" t="s">
        <v>211</v>
      </c>
      <c r="D99" s="246">
        <v>324266.13</v>
      </c>
      <c r="E99" s="246">
        <v>183914.03</v>
      </c>
      <c r="F99" s="246">
        <v>180973.26</v>
      </c>
      <c r="G99" s="246">
        <v>244924.96</v>
      </c>
      <c r="H99" s="114">
        <f t="shared" si="2"/>
        <v>934078.38</v>
      </c>
      <c r="J99" s="246"/>
      <c r="L99" s="141"/>
    </row>
    <row r="100" spans="1:12" ht="12.75" customHeight="1">
      <c r="A100" s="136" t="s">
        <v>212</v>
      </c>
      <c r="B100" s="1" t="s">
        <v>213</v>
      </c>
      <c r="D100" s="246">
        <v>119943.23</v>
      </c>
      <c r="E100" s="246">
        <v>0</v>
      </c>
      <c r="F100" s="246">
        <v>-6167</v>
      </c>
      <c r="H100" s="114">
        <f t="shared" si="2"/>
        <v>113776.23</v>
      </c>
    </row>
    <row r="101" spans="1:12" ht="12.75" customHeight="1">
      <c r="A101" s="136" t="s">
        <v>214</v>
      </c>
      <c r="B101" s="1" t="s">
        <v>215</v>
      </c>
      <c r="D101" s="246">
        <v>57028.11</v>
      </c>
      <c r="E101" s="246">
        <v>85118.19</v>
      </c>
      <c r="F101" s="246">
        <v>80511.73</v>
      </c>
      <c r="G101" s="246">
        <v>85689.26</v>
      </c>
      <c r="H101" s="114">
        <f t="shared" si="2"/>
        <v>308347.28999999998</v>
      </c>
    </row>
    <row r="102" spans="1:12" ht="12.75" customHeight="1">
      <c r="A102" s="136" t="s">
        <v>216</v>
      </c>
      <c r="B102" s="1" t="s">
        <v>217</v>
      </c>
      <c r="D102" s="246">
        <v>109128.17</v>
      </c>
      <c r="E102" s="246">
        <v>146200.38</v>
      </c>
      <c r="F102" s="246">
        <v>179862.97</v>
      </c>
      <c r="G102" s="246">
        <v>187223.72</v>
      </c>
      <c r="H102" s="114">
        <f t="shared" si="2"/>
        <v>622415.24</v>
      </c>
      <c r="L102" s="141"/>
    </row>
    <row r="103" spans="1:12" ht="12.75" customHeight="1">
      <c r="A103" s="136" t="s">
        <v>218</v>
      </c>
      <c r="B103" s="1" t="s">
        <v>219</v>
      </c>
      <c r="D103" s="246">
        <v>20670.54</v>
      </c>
      <c r="E103" s="246">
        <v>95071.45</v>
      </c>
      <c r="F103" s="246">
        <v>13692.19</v>
      </c>
      <c r="G103" s="246">
        <v>450.4</v>
      </c>
      <c r="H103" s="114">
        <f t="shared" si="2"/>
        <v>129884.57999999999</v>
      </c>
    </row>
    <row r="104" spans="1:12" ht="12.75" customHeight="1">
      <c r="A104" s="136" t="s">
        <v>220</v>
      </c>
      <c r="B104" s="1" t="s">
        <v>221</v>
      </c>
      <c r="D104" s="246">
        <v>15453.02</v>
      </c>
      <c r="E104" s="246">
        <v>8625.43</v>
      </c>
      <c r="F104" s="246">
        <v>39880.400000000001</v>
      </c>
      <c r="G104" s="246">
        <v>44191.93</v>
      </c>
      <c r="H104" s="114">
        <f t="shared" si="2"/>
        <v>108150.78</v>
      </c>
      <c r="L104" s="141"/>
    </row>
    <row r="105" spans="1:12" ht="12.75" customHeight="1">
      <c r="A105" s="136" t="s">
        <v>385</v>
      </c>
      <c r="B105" s="1" t="s">
        <v>386</v>
      </c>
      <c r="D105" s="246">
        <v>0</v>
      </c>
      <c r="E105" s="246">
        <v>0</v>
      </c>
      <c r="F105" s="246">
        <v>-76.66</v>
      </c>
      <c r="G105" s="246">
        <v>-126.11</v>
      </c>
      <c r="H105" s="114">
        <f t="shared" si="2"/>
        <v>-202.76999999999998</v>
      </c>
    </row>
    <row r="106" spans="1:12" ht="12.75" customHeight="1">
      <c r="A106" s="136" t="s">
        <v>431</v>
      </c>
      <c r="B106" s="1" t="s">
        <v>412</v>
      </c>
      <c r="D106" s="246">
        <v>0</v>
      </c>
      <c r="E106" s="246">
        <v>0</v>
      </c>
      <c r="F106" s="246">
        <v>0</v>
      </c>
      <c r="H106" s="114">
        <f t="shared" si="2"/>
        <v>0</v>
      </c>
    </row>
    <row r="107" spans="1:12" ht="12.75" customHeight="1">
      <c r="A107" s="1" t="s">
        <v>387</v>
      </c>
      <c r="D107" s="246">
        <f>SUM(D99:D106)</f>
        <v>646489.20000000007</v>
      </c>
      <c r="E107" s="246">
        <f>SUM(E99:E106)</f>
        <v>518929.48</v>
      </c>
      <c r="F107" s="246">
        <f>SUM(F99:F106)</f>
        <v>488676.89</v>
      </c>
      <c r="G107" s="246">
        <f>SUM(G99:G106)</f>
        <v>562354.16</v>
      </c>
      <c r="H107" s="114">
        <f t="shared" si="2"/>
        <v>2216449.7300000004</v>
      </c>
    </row>
    <row r="109" spans="1:12" ht="12.75" customHeight="1">
      <c r="A109" s="136" t="s">
        <v>432</v>
      </c>
      <c r="B109" s="1" t="s">
        <v>433</v>
      </c>
      <c r="D109" s="246">
        <v>0</v>
      </c>
      <c r="H109" s="114">
        <f t="shared" si="2"/>
        <v>0</v>
      </c>
    </row>
    <row r="110" spans="1:12" ht="12.75" customHeight="1">
      <c r="A110" s="136" t="s">
        <v>434</v>
      </c>
      <c r="B110" s="1" t="s">
        <v>413</v>
      </c>
      <c r="D110" s="246">
        <v>-15003.05</v>
      </c>
      <c r="F110" s="246">
        <v>0</v>
      </c>
      <c r="H110" s="114">
        <f t="shared" si="2"/>
        <v>-15003.05</v>
      </c>
    </row>
    <row r="111" spans="1:12" ht="12.75" customHeight="1">
      <c r="A111" s="136" t="s">
        <v>226</v>
      </c>
      <c r="B111" s="1" t="s">
        <v>227</v>
      </c>
      <c r="D111" s="246">
        <v>-156.08000000000001</v>
      </c>
      <c r="E111" s="246">
        <v>1823.94</v>
      </c>
      <c r="F111" s="246">
        <v>-4832.51</v>
      </c>
      <c r="G111" s="246">
        <v>1767.89</v>
      </c>
      <c r="H111" s="114">
        <f t="shared" si="2"/>
        <v>-1396.76</v>
      </c>
    </row>
    <row r="112" spans="1:12" ht="12.75" customHeight="1">
      <c r="A112" s="1" t="s">
        <v>388</v>
      </c>
      <c r="D112" s="246">
        <f>SUM(D109:D111)</f>
        <v>-15159.13</v>
      </c>
      <c r="E112" s="246">
        <f>SUM(E109:E111)</f>
        <v>1823.94</v>
      </c>
      <c r="F112" s="246">
        <f>SUM(F110:F111)</f>
        <v>-4832.51</v>
      </c>
      <c r="G112" s="246">
        <f>SUM(G110:G111)</f>
        <v>1767.89</v>
      </c>
      <c r="H112" s="114">
        <f t="shared" si="2"/>
        <v>-16399.809999999998</v>
      </c>
    </row>
    <row r="113" spans="1:8" ht="12.75" customHeight="1">
      <c r="H113" s="114">
        <f>SUM(C113:F113)</f>
        <v>0</v>
      </c>
    </row>
    <row r="114" spans="1:8" ht="12.75" customHeight="1">
      <c r="A114" s="136" t="s">
        <v>230</v>
      </c>
      <c r="B114" s="1" t="s">
        <v>231</v>
      </c>
      <c r="D114" s="246">
        <v>0</v>
      </c>
      <c r="E114" s="246">
        <v>0</v>
      </c>
      <c r="F114" s="246">
        <v>300</v>
      </c>
      <c r="G114" s="246">
        <v>0</v>
      </c>
      <c r="H114" s="114">
        <f t="shared" si="2"/>
        <v>300</v>
      </c>
    </row>
    <row r="115" spans="1:8" ht="12.75" customHeight="1">
      <c r="A115" s="1" t="s">
        <v>389</v>
      </c>
      <c r="D115" s="246">
        <v>0</v>
      </c>
      <c r="E115" s="246">
        <v>0</v>
      </c>
      <c r="F115" s="246">
        <f>SUM(F114)</f>
        <v>300</v>
      </c>
      <c r="G115" s="246">
        <f>SUM(G114)</f>
        <v>0</v>
      </c>
      <c r="H115" s="114">
        <f t="shared" si="2"/>
        <v>300</v>
      </c>
    </row>
    <row r="117" spans="1:8" ht="12.75" customHeight="1">
      <c r="A117" s="136" t="s">
        <v>435</v>
      </c>
      <c r="B117" s="1" t="s">
        <v>414</v>
      </c>
      <c r="D117" s="246">
        <v>0</v>
      </c>
      <c r="E117" s="246">
        <v>0</v>
      </c>
      <c r="F117" s="246">
        <v>0</v>
      </c>
      <c r="G117" s="246">
        <v>0</v>
      </c>
      <c r="H117" s="114">
        <f>SUM(C117:G117)</f>
        <v>0</v>
      </c>
    </row>
    <row r="118" spans="1:8" ht="12.75" customHeight="1">
      <c r="A118" s="136" t="s">
        <v>234</v>
      </c>
      <c r="B118" s="1" t="s">
        <v>235</v>
      </c>
      <c r="D118" s="246">
        <v>27618.03</v>
      </c>
      <c r="E118" s="246">
        <v>29190.65</v>
      </c>
      <c r="F118" s="246">
        <v>44010.87</v>
      </c>
      <c r="G118" s="246">
        <v>28766.3</v>
      </c>
      <c r="H118" s="114">
        <f t="shared" ref="H118:H129" si="3">SUM(C118:G118)</f>
        <v>129585.85</v>
      </c>
    </row>
    <row r="119" spans="1:8" ht="12.75" customHeight="1">
      <c r="A119" s="136" t="s">
        <v>236</v>
      </c>
      <c r="B119" s="1" t="s">
        <v>237</v>
      </c>
      <c r="D119" s="246">
        <v>1815</v>
      </c>
      <c r="E119" s="246">
        <v>1500</v>
      </c>
      <c r="F119" s="246">
        <v>1500</v>
      </c>
      <c r="G119" s="246">
        <v>1500</v>
      </c>
      <c r="H119" s="114">
        <f t="shared" si="3"/>
        <v>6315</v>
      </c>
    </row>
    <row r="120" spans="1:8" ht="12.75" customHeight="1">
      <c r="A120" s="136" t="s">
        <v>238</v>
      </c>
      <c r="B120" s="1" t="s">
        <v>239</v>
      </c>
      <c r="D120" s="246">
        <v>48042.38</v>
      </c>
      <c r="E120" s="246">
        <v>5734.87</v>
      </c>
      <c r="F120" s="246">
        <v>52124.26</v>
      </c>
      <c r="G120" s="246">
        <v>3122.8</v>
      </c>
      <c r="H120" s="114">
        <f t="shared" si="3"/>
        <v>109024.31000000001</v>
      </c>
    </row>
    <row r="121" spans="1:8" ht="12.75" customHeight="1">
      <c r="A121" s="136" t="s">
        <v>240</v>
      </c>
      <c r="B121" s="1" t="s">
        <v>241</v>
      </c>
      <c r="D121" s="246">
        <v>1210</v>
      </c>
      <c r="E121" s="246">
        <v>1331</v>
      </c>
      <c r="F121" s="246">
        <v>1397.65</v>
      </c>
      <c r="G121" s="246">
        <v>3993</v>
      </c>
      <c r="H121" s="114">
        <f t="shared" si="3"/>
        <v>7931.65</v>
      </c>
    </row>
    <row r="122" spans="1:8" ht="12.75" customHeight="1">
      <c r="A122" s="136" t="s">
        <v>242</v>
      </c>
      <c r="B122" s="1" t="s">
        <v>243</v>
      </c>
      <c r="D122" s="246">
        <v>61678.68</v>
      </c>
      <c r="E122" s="246">
        <v>0</v>
      </c>
      <c r="F122" s="246">
        <v>0</v>
      </c>
      <c r="G122" s="246">
        <v>0</v>
      </c>
      <c r="H122" s="114">
        <f t="shared" si="3"/>
        <v>61678.68</v>
      </c>
    </row>
    <row r="123" spans="1:8" ht="12.75" customHeight="1">
      <c r="A123" s="136">
        <v>4310800</v>
      </c>
      <c r="B123" s="1" t="s">
        <v>562</v>
      </c>
      <c r="D123" s="246">
        <v>0</v>
      </c>
      <c r="E123" s="246">
        <v>39350.699999999997</v>
      </c>
      <c r="F123" s="246">
        <v>42090.02</v>
      </c>
      <c r="G123" s="246">
        <v>56784.23</v>
      </c>
      <c r="H123" s="114">
        <f t="shared" si="3"/>
        <v>138224.95000000001</v>
      </c>
    </row>
    <row r="124" spans="1:8" ht="12.75" customHeight="1">
      <c r="A124" s="136" t="s">
        <v>244</v>
      </c>
      <c r="B124" s="1" t="s">
        <v>245</v>
      </c>
      <c r="D124" s="246">
        <v>87957.23</v>
      </c>
      <c r="E124" s="246">
        <v>23990.48</v>
      </c>
      <c r="F124" s="246">
        <v>21205</v>
      </c>
      <c r="G124" s="246">
        <v>12854.12</v>
      </c>
      <c r="H124" s="114">
        <f t="shared" si="3"/>
        <v>146006.82999999999</v>
      </c>
    </row>
    <row r="125" spans="1:8" ht="12.75" customHeight="1">
      <c r="A125" s="136" t="s">
        <v>246</v>
      </c>
      <c r="B125" s="1" t="s">
        <v>247</v>
      </c>
      <c r="D125" s="264">
        <v>856680</v>
      </c>
      <c r="E125" s="246">
        <v>11000</v>
      </c>
      <c r="F125" s="246">
        <v>13200</v>
      </c>
      <c r="G125" s="246">
        <v>8800</v>
      </c>
      <c r="H125" s="114">
        <f t="shared" si="3"/>
        <v>889680</v>
      </c>
    </row>
    <row r="126" spans="1:8" ht="12" customHeight="1">
      <c r="A126" s="136" t="s">
        <v>248</v>
      </c>
      <c r="B126" s="1" t="s">
        <v>249</v>
      </c>
      <c r="D126" s="246">
        <v>259667.54</v>
      </c>
      <c r="E126" s="246">
        <v>33232.36</v>
      </c>
      <c r="F126" s="175">
        <f>73312.47-40000</f>
        <v>33312.47</v>
      </c>
      <c r="G126" s="246">
        <v>33277.08</v>
      </c>
      <c r="H126" s="114">
        <f t="shared" si="3"/>
        <v>359489.45</v>
      </c>
    </row>
    <row r="127" spans="1:8" ht="12.75" customHeight="1">
      <c r="A127" s="136" t="s">
        <v>436</v>
      </c>
      <c r="B127" s="1" t="s">
        <v>437</v>
      </c>
      <c r="D127" s="246">
        <v>0</v>
      </c>
      <c r="E127" s="246">
        <v>0</v>
      </c>
      <c r="F127" s="246">
        <v>0</v>
      </c>
      <c r="G127" s="246">
        <v>40000</v>
      </c>
      <c r="H127" s="114">
        <f t="shared" si="3"/>
        <v>40000</v>
      </c>
    </row>
    <row r="128" spans="1:8" ht="12.75" customHeight="1">
      <c r="A128" s="136" t="s">
        <v>250</v>
      </c>
      <c r="B128" s="1" t="s">
        <v>251</v>
      </c>
      <c r="D128" s="246">
        <v>-9967.81</v>
      </c>
      <c r="E128" s="246">
        <v>1908.15</v>
      </c>
      <c r="F128" s="246">
        <v>7984.21</v>
      </c>
      <c r="G128" s="246">
        <v>591.54</v>
      </c>
      <c r="H128" s="114">
        <f t="shared" si="3"/>
        <v>516.09000000000015</v>
      </c>
    </row>
    <row r="129" spans="1:8" ht="12.75" customHeight="1">
      <c r="A129" s="1" t="s">
        <v>391</v>
      </c>
      <c r="D129" s="246">
        <f>SUM(D117:D128)</f>
        <v>1334701.05</v>
      </c>
      <c r="E129" s="246">
        <f>SUM(E117:E128)</f>
        <v>147238.21</v>
      </c>
      <c r="F129" s="246">
        <f>SUM(F117:F128)</f>
        <v>216824.47999999998</v>
      </c>
      <c r="G129" s="246">
        <f>SUM(G117:G128)</f>
        <v>189689.07</v>
      </c>
      <c r="H129" s="114">
        <f t="shared" si="3"/>
        <v>1888452.81</v>
      </c>
    </row>
    <row r="130" spans="1:8" ht="12.75" customHeight="1">
      <c r="H130" s="114">
        <f>SUM(C130:F130)</f>
        <v>0</v>
      </c>
    </row>
    <row r="131" spans="1:8" ht="12.75" customHeight="1">
      <c r="A131" s="136">
        <v>4620200</v>
      </c>
      <c r="B131" s="1" t="s">
        <v>563</v>
      </c>
      <c r="D131" s="246">
        <v>0.12</v>
      </c>
      <c r="E131" s="246">
        <v>29.09</v>
      </c>
      <c r="F131" s="246">
        <v>58.18</v>
      </c>
      <c r="G131" s="246">
        <v>0</v>
      </c>
      <c r="H131" s="114">
        <f>SUM(C131:G131)</f>
        <v>87.39</v>
      </c>
    </row>
    <row r="132" spans="1:8" ht="12.75" customHeight="1">
      <c r="A132" s="136" t="s">
        <v>260</v>
      </c>
      <c r="B132" s="1" t="s">
        <v>261</v>
      </c>
      <c r="D132" s="246">
        <v>1046415.29</v>
      </c>
      <c r="E132" s="246">
        <v>1389702.3</v>
      </c>
      <c r="F132" s="246">
        <v>1669531.4</v>
      </c>
      <c r="G132" s="246">
        <v>1865023.71</v>
      </c>
      <c r="H132" s="114">
        <f t="shared" ref="H132:H142" si="4">SUM(C132:G132)</f>
        <v>5970672.6999999993</v>
      </c>
    </row>
    <row r="133" spans="1:8" ht="12.75" customHeight="1">
      <c r="A133" s="136">
        <v>4611000</v>
      </c>
      <c r="B133" s="1" t="s">
        <v>477</v>
      </c>
      <c r="D133" s="246">
        <v>-28672</v>
      </c>
      <c r="E133" s="246">
        <v>0</v>
      </c>
      <c r="F133" s="246">
        <v>0</v>
      </c>
      <c r="H133" s="114">
        <f t="shared" si="4"/>
        <v>-28672</v>
      </c>
    </row>
    <row r="134" spans="1:8" ht="12.75" customHeight="1">
      <c r="A134" s="136">
        <v>4630000</v>
      </c>
      <c r="B134" s="1" t="s">
        <v>265</v>
      </c>
      <c r="D134" s="246">
        <v>0</v>
      </c>
      <c r="F134" s="246">
        <v>0</v>
      </c>
      <c r="H134" s="114">
        <f t="shared" si="4"/>
        <v>0</v>
      </c>
    </row>
    <row r="135" spans="1:8" ht="12.75" customHeight="1">
      <c r="A135" s="136">
        <v>4663000</v>
      </c>
      <c r="B135" s="1" t="s">
        <v>564</v>
      </c>
      <c r="D135" s="246">
        <v>-288865</v>
      </c>
      <c r="E135" s="246">
        <v>-380384.59</v>
      </c>
      <c r="F135" s="246">
        <v>-456978.46</v>
      </c>
      <c r="G135" s="246">
        <v>-510488</v>
      </c>
      <c r="H135" s="114">
        <f t="shared" si="4"/>
        <v>-1636716.05</v>
      </c>
    </row>
    <row r="136" spans="1:8" ht="12.75" customHeight="1">
      <c r="A136" s="136" t="s">
        <v>266</v>
      </c>
      <c r="B136" s="1" t="s">
        <v>267</v>
      </c>
      <c r="D136" s="246">
        <v>39866.69</v>
      </c>
      <c r="E136" s="246">
        <v>-208809.65</v>
      </c>
      <c r="F136" s="246">
        <v>9994.1299999999992</v>
      </c>
      <c r="G136" s="246">
        <v>-143485.89000000001</v>
      </c>
      <c r="H136" s="114">
        <f t="shared" si="4"/>
        <v>-302434.71999999997</v>
      </c>
    </row>
    <row r="137" spans="1:8" ht="12.75" customHeight="1">
      <c r="A137" s="136">
        <v>4642000</v>
      </c>
      <c r="B137" s="1" t="s">
        <v>462</v>
      </c>
      <c r="D137" s="246">
        <v>0</v>
      </c>
      <c r="E137" s="246">
        <v>0</v>
      </c>
      <c r="F137" s="246">
        <v>0</v>
      </c>
      <c r="G137" s="246">
        <v>0</v>
      </c>
      <c r="H137" s="114">
        <f t="shared" si="4"/>
        <v>0</v>
      </c>
    </row>
    <row r="138" spans="1:8" ht="12.75" customHeight="1">
      <c r="A138" s="136" t="s">
        <v>393</v>
      </c>
      <c r="D138" s="246">
        <f>SUM(D131:D137)</f>
        <v>768745.10000000009</v>
      </c>
      <c r="E138" s="246">
        <f>SUM(E131:E137)</f>
        <v>800537.15</v>
      </c>
      <c r="F138" s="246">
        <f>SUM(F131:F137)</f>
        <v>1222605.2499999998</v>
      </c>
      <c r="G138" s="246">
        <f>SUM(G131:G137)</f>
        <v>1211049.8199999998</v>
      </c>
      <c r="H138" s="114">
        <f t="shared" si="4"/>
        <v>4002937.32</v>
      </c>
    </row>
    <row r="139" spans="1:8" ht="12.75" customHeight="1">
      <c r="H139" s="114">
        <f>SUM(C139:F139)</f>
        <v>0</v>
      </c>
    </row>
    <row r="140" spans="1:8" ht="12.75" customHeight="1">
      <c r="A140" s="136">
        <v>9500000</v>
      </c>
      <c r="B140" s="1" t="s">
        <v>456</v>
      </c>
      <c r="D140" s="246">
        <v>1887899</v>
      </c>
      <c r="E140" s="246">
        <v>0</v>
      </c>
      <c r="F140" s="246">
        <v>0</v>
      </c>
      <c r="H140" s="114">
        <f t="shared" si="4"/>
        <v>1887899</v>
      </c>
    </row>
    <row r="141" spans="1:8" ht="12.75" customHeight="1">
      <c r="A141" s="136" t="s">
        <v>272</v>
      </c>
      <c r="B141" s="1" t="s">
        <v>273</v>
      </c>
      <c r="D141" s="246">
        <v>-294918</v>
      </c>
      <c r="E141" s="246">
        <v>-181734</v>
      </c>
      <c r="F141" s="246">
        <v>-172942</v>
      </c>
      <c r="G141" s="175">
        <v>-146161</v>
      </c>
      <c r="H141" s="114">
        <f t="shared" si="4"/>
        <v>-795755</v>
      </c>
    </row>
    <row r="142" spans="1:8" ht="12.75" customHeight="1">
      <c r="A142" s="136">
        <v>9500100</v>
      </c>
      <c r="B142" s="1" t="s">
        <v>438</v>
      </c>
      <c r="D142" s="246">
        <v>0</v>
      </c>
      <c r="F142" s="246">
        <v>0</v>
      </c>
      <c r="H142" s="114">
        <f t="shared" si="4"/>
        <v>0</v>
      </c>
    </row>
    <row r="143" spans="1:8" ht="12.75" customHeight="1">
      <c r="A143" s="136" t="s">
        <v>439</v>
      </c>
      <c r="C143" s="175"/>
      <c r="D143" s="175">
        <f>SUM(D140:D142)</f>
        <v>1592981</v>
      </c>
      <c r="E143" s="175">
        <f>SUM(E140:E142)</f>
        <v>-181734</v>
      </c>
      <c r="F143" s="175">
        <f>SUM(F140:F142)</f>
        <v>-172942</v>
      </c>
      <c r="G143" s="175">
        <f>SUM(G140:G142)</f>
        <v>-146161</v>
      </c>
      <c r="H143" s="114">
        <f>SUM(C143:G143)</f>
        <v>1092144</v>
      </c>
    </row>
    <row r="144" spans="1:8" ht="12.75" customHeight="1">
      <c r="H144" s="114">
        <f>SUM(C144:F144)</f>
        <v>0</v>
      </c>
    </row>
    <row r="145" spans="1:8" ht="12.75" customHeight="1">
      <c r="A145" s="1" t="s">
        <v>440</v>
      </c>
      <c r="D145" s="246">
        <f>D84+D90+D93+D97+D107+D112+D115+D129+D138+D143</f>
        <v>2146676.4700000007</v>
      </c>
      <c r="E145" s="246">
        <f>E84+E90+E93+E97+E107+E112+E115+E129+E138+E143</f>
        <v>-880686.16</v>
      </c>
      <c r="F145" s="246">
        <f>F84+F90+F93+F97+F107+F112+F115+F129+F138+F143</f>
        <v>-649595.64000000013</v>
      </c>
      <c r="G145" s="246">
        <f>G84+G90+G93+G97+G107+G112+G115+G129+G138+G143</f>
        <v>-977834.66999999969</v>
      </c>
      <c r="H145" s="114">
        <f>SUM(C145:G145)</f>
        <v>-361439.9999999993</v>
      </c>
    </row>
    <row r="147" spans="1:8" ht="12.75" customHeight="1">
      <c r="C147" s="252"/>
      <c r="D147" s="252">
        <f>SUM(D4:D78)+D145</f>
        <v>5.999998701736331E-2</v>
      </c>
      <c r="E147" s="252">
        <f>SUM(E4:E78)+E145</f>
        <v>-9.9999999976716936E-2</v>
      </c>
      <c r="F147" s="252">
        <f>SUM(F4:F78)+F145</f>
        <v>7.9999999492429197E-2</v>
      </c>
      <c r="G147" s="252">
        <f>SUM(G4:G78)+G145</f>
        <v>-3.9999999455176294E-2</v>
      </c>
      <c r="H147" s="252">
        <f>SUM(H4:H78)+H145</f>
        <v>2.6426278054714203E-8</v>
      </c>
    </row>
    <row r="149" spans="1:8" ht="12.75" customHeight="1">
      <c r="A149" s="136" t="s">
        <v>579</v>
      </c>
      <c r="D149" s="261">
        <f>36883.33*3</f>
        <v>110649.99</v>
      </c>
      <c r="E149" s="261">
        <f>36883.33*3</f>
        <v>110649.99</v>
      </c>
      <c r="F149" s="261">
        <f>36883.33*3</f>
        <v>110649.99</v>
      </c>
      <c r="G149" s="261">
        <f>36883.33*3</f>
        <v>110649.99</v>
      </c>
    </row>
    <row r="150" spans="1:8" ht="12.75" customHeight="1">
      <c r="A150" s="136" t="s">
        <v>580</v>
      </c>
      <c r="D150" s="246">
        <v>-70783.300000000017</v>
      </c>
      <c r="E150" s="246">
        <v>-319459.64</v>
      </c>
      <c r="F150" s="246">
        <v>-100655.86</v>
      </c>
      <c r="G150" s="246">
        <v>-254135.88</v>
      </c>
    </row>
    <row r="152" spans="1:8" ht="12.75" customHeight="1">
      <c r="A152" s="136" t="s">
        <v>581</v>
      </c>
      <c r="D152" s="246">
        <f>D132</f>
        <v>1046415.29</v>
      </c>
      <c r="E152" s="246">
        <f>E132</f>
        <v>1389702.3</v>
      </c>
      <c r="F152" s="246">
        <f>F132</f>
        <v>1669531.4</v>
      </c>
      <c r="G152" s="246">
        <f>G132</f>
        <v>1865023.71</v>
      </c>
      <c r="H152" s="114">
        <f>SUM(D152:G152)</f>
        <v>5970672.6999999993</v>
      </c>
    </row>
    <row r="153" spans="1:8" ht="12.75" customHeight="1">
      <c r="A153" s="136" t="s">
        <v>582</v>
      </c>
      <c r="D153" s="246">
        <f>D150</f>
        <v>-70783.300000000017</v>
      </c>
      <c r="E153" s="246">
        <f>E150</f>
        <v>-319459.64</v>
      </c>
      <c r="F153" s="246">
        <f>F150</f>
        <v>-100655.86</v>
      </c>
      <c r="G153" s="246">
        <f>G150</f>
        <v>-254135.88</v>
      </c>
      <c r="H153" s="114">
        <f>SUM(D153:G153)</f>
        <v>-745034.68</v>
      </c>
    </row>
    <row r="154" spans="1:8" ht="12.75" customHeight="1">
      <c r="A154" s="136" t="s">
        <v>583</v>
      </c>
      <c r="D154" s="246">
        <f>D149</f>
        <v>110649.99</v>
      </c>
      <c r="E154" s="246">
        <f>E149</f>
        <v>110649.99</v>
      </c>
      <c r="F154" s="246">
        <f>F149</f>
        <v>110649.99</v>
      </c>
      <c r="G154" s="246">
        <f>G149</f>
        <v>110649.99</v>
      </c>
      <c r="H154" s="114">
        <f>SUM(D154:G154)</f>
        <v>442599.96</v>
      </c>
    </row>
    <row r="155" spans="1:8" ht="12.75" customHeight="1">
      <c r="A155" s="136" t="s">
        <v>584</v>
      </c>
      <c r="E155" s="246">
        <f>E133+E135</f>
        <v>-380384.59</v>
      </c>
      <c r="F155" s="246">
        <f>F133+F135</f>
        <v>-456978.46</v>
      </c>
      <c r="G155" s="246">
        <f>G133+G135</f>
        <v>-510488</v>
      </c>
      <c r="H155" s="114">
        <f>SUM(D155:G155)</f>
        <v>-1347851.05</v>
      </c>
    </row>
    <row r="156" spans="1:8" ht="12.75" customHeight="1">
      <c r="D156" s="246">
        <f>SUM(D152:D155)</f>
        <v>1086281.98</v>
      </c>
      <c r="E156" s="246">
        <f>SUM(E152:E155)</f>
        <v>800508.06</v>
      </c>
      <c r="F156" s="246">
        <f>SUM(F152:F155)</f>
        <v>1222547.0699999998</v>
      </c>
      <c r="G156" s="246">
        <f>SUM(G152:G155)</f>
        <v>1211049.82</v>
      </c>
      <c r="H156" s="114">
        <f>SUM(D156:G156)</f>
        <v>4320386.93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6"/>
  <sheetViews>
    <sheetView topLeftCell="A97" workbookViewId="0">
      <selection activeCell="A153" sqref="A153:XFD153"/>
    </sheetView>
  </sheetViews>
  <sheetFormatPr defaultRowHeight="13.2"/>
  <cols>
    <col min="1" max="1" width="21.109375" style="136" bestFit="1" customWidth="1"/>
    <col min="2" max="2" width="70" style="1" bestFit="1" customWidth="1"/>
    <col min="3" max="3" width="24.5546875" style="246" bestFit="1" customWidth="1"/>
    <col min="4" max="7" width="22.44140625" style="246" customWidth="1"/>
    <col min="8" max="8" width="19.44140625" style="114" bestFit="1" customWidth="1"/>
    <col min="9" max="9" width="9.109375" style="1"/>
    <col min="10" max="10" width="11.33203125" style="1" bestFit="1" customWidth="1"/>
    <col min="11" max="11" width="9.109375" style="1"/>
    <col min="12" max="12" width="10.88671875" style="1" bestFit="1" customWidth="1"/>
    <col min="13" max="13" width="16.5546875" style="1" bestFit="1" customWidth="1"/>
    <col min="14" max="14" width="33.44140625" style="1" customWidth="1"/>
    <col min="15" max="256" width="9.109375" style="1"/>
    <col min="257" max="257" width="21.109375" style="1" bestFit="1" customWidth="1"/>
    <col min="258" max="258" width="70" style="1" bestFit="1" customWidth="1"/>
    <col min="259" max="259" width="24.5546875" style="1" bestFit="1" customWidth="1"/>
    <col min="260" max="263" width="22.44140625" style="1" customWidth="1"/>
    <col min="264" max="264" width="19.44140625" style="1" bestFit="1" customWidth="1"/>
    <col min="265" max="265" width="9.109375" style="1"/>
    <col min="266" max="266" width="11.33203125" style="1" bestFit="1" customWidth="1"/>
    <col min="267" max="267" width="9.109375" style="1"/>
    <col min="268" max="268" width="10.88671875" style="1" bestFit="1" customWidth="1"/>
    <col min="269" max="512" width="9.109375" style="1"/>
    <col min="513" max="513" width="21.109375" style="1" bestFit="1" customWidth="1"/>
    <col min="514" max="514" width="70" style="1" bestFit="1" customWidth="1"/>
    <col min="515" max="515" width="24.5546875" style="1" bestFit="1" customWidth="1"/>
    <col min="516" max="519" width="22.44140625" style="1" customWidth="1"/>
    <col min="520" max="520" width="19.44140625" style="1" bestFit="1" customWidth="1"/>
    <col min="521" max="521" width="9.109375" style="1"/>
    <col min="522" max="522" width="11.33203125" style="1" bestFit="1" customWidth="1"/>
    <col min="523" max="523" width="9.109375" style="1"/>
    <col min="524" max="524" width="10.88671875" style="1" bestFit="1" customWidth="1"/>
    <col min="525" max="768" width="9.109375" style="1"/>
    <col min="769" max="769" width="21.109375" style="1" bestFit="1" customWidth="1"/>
    <col min="770" max="770" width="70" style="1" bestFit="1" customWidth="1"/>
    <col min="771" max="771" width="24.5546875" style="1" bestFit="1" customWidth="1"/>
    <col min="772" max="775" width="22.44140625" style="1" customWidth="1"/>
    <col min="776" max="776" width="19.44140625" style="1" bestFit="1" customWidth="1"/>
    <col min="777" max="777" width="9.109375" style="1"/>
    <col min="778" max="778" width="11.33203125" style="1" bestFit="1" customWidth="1"/>
    <col min="779" max="779" width="9.109375" style="1"/>
    <col min="780" max="780" width="10.88671875" style="1" bestFit="1" customWidth="1"/>
    <col min="781" max="1024" width="9.109375" style="1"/>
    <col min="1025" max="1025" width="21.109375" style="1" bestFit="1" customWidth="1"/>
    <col min="1026" max="1026" width="70" style="1" bestFit="1" customWidth="1"/>
    <col min="1027" max="1027" width="24.5546875" style="1" bestFit="1" customWidth="1"/>
    <col min="1028" max="1031" width="22.44140625" style="1" customWidth="1"/>
    <col min="1032" max="1032" width="19.44140625" style="1" bestFit="1" customWidth="1"/>
    <col min="1033" max="1033" width="9.109375" style="1"/>
    <col min="1034" max="1034" width="11.33203125" style="1" bestFit="1" customWidth="1"/>
    <col min="1035" max="1035" width="9.109375" style="1"/>
    <col min="1036" max="1036" width="10.88671875" style="1" bestFit="1" customWidth="1"/>
    <col min="1037" max="1280" width="9.109375" style="1"/>
    <col min="1281" max="1281" width="21.109375" style="1" bestFit="1" customWidth="1"/>
    <col min="1282" max="1282" width="70" style="1" bestFit="1" customWidth="1"/>
    <col min="1283" max="1283" width="24.5546875" style="1" bestFit="1" customWidth="1"/>
    <col min="1284" max="1287" width="22.44140625" style="1" customWidth="1"/>
    <col min="1288" max="1288" width="19.44140625" style="1" bestFit="1" customWidth="1"/>
    <col min="1289" max="1289" width="9.109375" style="1"/>
    <col min="1290" max="1290" width="11.33203125" style="1" bestFit="1" customWidth="1"/>
    <col min="1291" max="1291" width="9.109375" style="1"/>
    <col min="1292" max="1292" width="10.88671875" style="1" bestFit="1" customWidth="1"/>
    <col min="1293" max="1536" width="9.109375" style="1"/>
    <col min="1537" max="1537" width="21.109375" style="1" bestFit="1" customWidth="1"/>
    <col min="1538" max="1538" width="70" style="1" bestFit="1" customWidth="1"/>
    <col min="1539" max="1539" width="24.5546875" style="1" bestFit="1" customWidth="1"/>
    <col min="1540" max="1543" width="22.44140625" style="1" customWidth="1"/>
    <col min="1544" max="1544" width="19.44140625" style="1" bestFit="1" customWidth="1"/>
    <col min="1545" max="1545" width="9.109375" style="1"/>
    <col min="1546" max="1546" width="11.33203125" style="1" bestFit="1" customWidth="1"/>
    <col min="1547" max="1547" width="9.109375" style="1"/>
    <col min="1548" max="1548" width="10.88671875" style="1" bestFit="1" customWidth="1"/>
    <col min="1549" max="1792" width="9.109375" style="1"/>
    <col min="1793" max="1793" width="21.109375" style="1" bestFit="1" customWidth="1"/>
    <col min="1794" max="1794" width="70" style="1" bestFit="1" customWidth="1"/>
    <col min="1795" max="1795" width="24.5546875" style="1" bestFit="1" customWidth="1"/>
    <col min="1796" max="1799" width="22.44140625" style="1" customWidth="1"/>
    <col min="1800" max="1800" width="19.44140625" style="1" bestFit="1" customWidth="1"/>
    <col min="1801" max="1801" width="9.109375" style="1"/>
    <col min="1802" max="1802" width="11.33203125" style="1" bestFit="1" customWidth="1"/>
    <col min="1803" max="1803" width="9.109375" style="1"/>
    <col min="1804" max="1804" width="10.88671875" style="1" bestFit="1" customWidth="1"/>
    <col min="1805" max="2048" width="9.109375" style="1"/>
    <col min="2049" max="2049" width="21.109375" style="1" bestFit="1" customWidth="1"/>
    <col min="2050" max="2050" width="70" style="1" bestFit="1" customWidth="1"/>
    <col min="2051" max="2051" width="24.5546875" style="1" bestFit="1" customWidth="1"/>
    <col min="2052" max="2055" width="22.44140625" style="1" customWidth="1"/>
    <col min="2056" max="2056" width="19.44140625" style="1" bestFit="1" customWidth="1"/>
    <col min="2057" max="2057" width="9.109375" style="1"/>
    <col min="2058" max="2058" width="11.33203125" style="1" bestFit="1" customWidth="1"/>
    <col min="2059" max="2059" width="9.109375" style="1"/>
    <col min="2060" max="2060" width="10.88671875" style="1" bestFit="1" customWidth="1"/>
    <col min="2061" max="2304" width="9.109375" style="1"/>
    <col min="2305" max="2305" width="21.109375" style="1" bestFit="1" customWidth="1"/>
    <col min="2306" max="2306" width="70" style="1" bestFit="1" customWidth="1"/>
    <col min="2307" max="2307" width="24.5546875" style="1" bestFit="1" customWidth="1"/>
    <col min="2308" max="2311" width="22.44140625" style="1" customWidth="1"/>
    <col min="2312" max="2312" width="19.44140625" style="1" bestFit="1" customWidth="1"/>
    <col min="2313" max="2313" width="9.109375" style="1"/>
    <col min="2314" max="2314" width="11.33203125" style="1" bestFit="1" customWidth="1"/>
    <col min="2315" max="2315" width="9.109375" style="1"/>
    <col min="2316" max="2316" width="10.88671875" style="1" bestFit="1" customWidth="1"/>
    <col min="2317" max="2560" width="9.109375" style="1"/>
    <col min="2561" max="2561" width="21.109375" style="1" bestFit="1" customWidth="1"/>
    <col min="2562" max="2562" width="70" style="1" bestFit="1" customWidth="1"/>
    <col min="2563" max="2563" width="24.5546875" style="1" bestFit="1" customWidth="1"/>
    <col min="2564" max="2567" width="22.44140625" style="1" customWidth="1"/>
    <col min="2568" max="2568" width="19.44140625" style="1" bestFit="1" customWidth="1"/>
    <col min="2569" max="2569" width="9.109375" style="1"/>
    <col min="2570" max="2570" width="11.33203125" style="1" bestFit="1" customWidth="1"/>
    <col min="2571" max="2571" width="9.109375" style="1"/>
    <col min="2572" max="2572" width="10.88671875" style="1" bestFit="1" customWidth="1"/>
    <col min="2573" max="2816" width="9.109375" style="1"/>
    <col min="2817" max="2817" width="21.109375" style="1" bestFit="1" customWidth="1"/>
    <col min="2818" max="2818" width="70" style="1" bestFit="1" customWidth="1"/>
    <col min="2819" max="2819" width="24.5546875" style="1" bestFit="1" customWidth="1"/>
    <col min="2820" max="2823" width="22.44140625" style="1" customWidth="1"/>
    <col min="2824" max="2824" width="19.44140625" style="1" bestFit="1" customWidth="1"/>
    <col min="2825" max="2825" width="9.109375" style="1"/>
    <col min="2826" max="2826" width="11.33203125" style="1" bestFit="1" customWidth="1"/>
    <col min="2827" max="2827" width="9.109375" style="1"/>
    <col min="2828" max="2828" width="10.88671875" style="1" bestFit="1" customWidth="1"/>
    <col min="2829" max="3072" width="9.109375" style="1"/>
    <col min="3073" max="3073" width="21.109375" style="1" bestFit="1" customWidth="1"/>
    <col min="3074" max="3074" width="70" style="1" bestFit="1" customWidth="1"/>
    <col min="3075" max="3075" width="24.5546875" style="1" bestFit="1" customWidth="1"/>
    <col min="3076" max="3079" width="22.44140625" style="1" customWidth="1"/>
    <col min="3080" max="3080" width="19.44140625" style="1" bestFit="1" customWidth="1"/>
    <col min="3081" max="3081" width="9.109375" style="1"/>
    <col min="3082" max="3082" width="11.33203125" style="1" bestFit="1" customWidth="1"/>
    <col min="3083" max="3083" width="9.109375" style="1"/>
    <col min="3084" max="3084" width="10.88671875" style="1" bestFit="1" customWidth="1"/>
    <col min="3085" max="3328" width="9.109375" style="1"/>
    <col min="3329" max="3329" width="21.109375" style="1" bestFit="1" customWidth="1"/>
    <col min="3330" max="3330" width="70" style="1" bestFit="1" customWidth="1"/>
    <col min="3331" max="3331" width="24.5546875" style="1" bestFit="1" customWidth="1"/>
    <col min="3332" max="3335" width="22.44140625" style="1" customWidth="1"/>
    <col min="3336" max="3336" width="19.44140625" style="1" bestFit="1" customWidth="1"/>
    <col min="3337" max="3337" width="9.109375" style="1"/>
    <col min="3338" max="3338" width="11.33203125" style="1" bestFit="1" customWidth="1"/>
    <col min="3339" max="3339" width="9.109375" style="1"/>
    <col min="3340" max="3340" width="10.88671875" style="1" bestFit="1" customWidth="1"/>
    <col min="3341" max="3584" width="9.109375" style="1"/>
    <col min="3585" max="3585" width="21.109375" style="1" bestFit="1" customWidth="1"/>
    <col min="3586" max="3586" width="70" style="1" bestFit="1" customWidth="1"/>
    <col min="3587" max="3587" width="24.5546875" style="1" bestFit="1" customWidth="1"/>
    <col min="3588" max="3591" width="22.44140625" style="1" customWidth="1"/>
    <col min="3592" max="3592" width="19.44140625" style="1" bestFit="1" customWidth="1"/>
    <col min="3593" max="3593" width="9.109375" style="1"/>
    <col min="3594" max="3594" width="11.33203125" style="1" bestFit="1" customWidth="1"/>
    <col min="3595" max="3595" width="9.109375" style="1"/>
    <col min="3596" max="3596" width="10.88671875" style="1" bestFit="1" customWidth="1"/>
    <col min="3597" max="3840" width="9.109375" style="1"/>
    <col min="3841" max="3841" width="21.109375" style="1" bestFit="1" customWidth="1"/>
    <col min="3842" max="3842" width="70" style="1" bestFit="1" customWidth="1"/>
    <col min="3843" max="3843" width="24.5546875" style="1" bestFit="1" customWidth="1"/>
    <col min="3844" max="3847" width="22.44140625" style="1" customWidth="1"/>
    <col min="3848" max="3848" width="19.44140625" style="1" bestFit="1" customWidth="1"/>
    <col min="3849" max="3849" width="9.109375" style="1"/>
    <col min="3850" max="3850" width="11.33203125" style="1" bestFit="1" customWidth="1"/>
    <col min="3851" max="3851" width="9.109375" style="1"/>
    <col min="3852" max="3852" width="10.88671875" style="1" bestFit="1" customWidth="1"/>
    <col min="3853" max="4096" width="9.109375" style="1"/>
    <col min="4097" max="4097" width="21.109375" style="1" bestFit="1" customWidth="1"/>
    <col min="4098" max="4098" width="70" style="1" bestFit="1" customWidth="1"/>
    <col min="4099" max="4099" width="24.5546875" style="1" bestFit="1" customWidth="1"/>
    <col min="4100" max="4103" width="22.44140625" style="1" customWidth="1"/>
    <col min="4104" max="4104" width="19.44140625" style="1" bestFit="1" customWidth="1"/>
    <col min="4105" max="4105" width="9.109375" style="1"/>
    <col min="4106" max="4106" width="11.33203125" style="1" bestFit="1" customWidth="1"/>
    <col min="4107" max="4107" width="9.109375" style="1"/>
    <col min="4108" max="4108" width="10.88671875" style="1" bestFit="1" customWidth="1"/>
    <col min="4109" max="4352" width="9.109375" style="1"/>
    <col min="4353" max="4353" width="21.109375" style="1" bestFit="1" customWidth="1"/>
    <col min="4354" max="4354" width="70" style="1" bestFit="1" customWidth="1"/>
    <col min="4355" max="4355" width="24.5546875" style="1" bestFit="1" customWidth="1"/>
    <col min="4356" max="4359" width="22.44140625" style="1" customWidth="1"/>
    <col min="4360" max="4360" width="19.44140625" style="1" bestFit="1" customWidth="1"/>
    <col min="4361" max="4361" width="9.109375" style="1"/>
    <col min="4362" max="4362" width="11.33203125" style="1" bestFit="1" customWidth="1"/>
    <col min="4363" max="4363" width="9.109375" style="1"/>
    <col min="4364" max="4364" width="10.88671875" style="1" bestFit="1" customWidth="1"/>
    <col min="4365" max="4608" width="9.109375" style="1"/>
    <col min="4609" max="4609" width="21.109375" style="1" bestFit="1" customWidth="1"/>
    <col min="4610" max="4610" width="70" style="1" bestFit="1" customWidth="1"/>
    <col min="4611" max="4611" width="24.5546875" style="1" bestFit="1" customWidth="1"/>
    <col min="4612" max="4615" width="22.44140625" style="1" customWidth="1"/>
    <col min="4616" max="4616" width="19.44140625" style="1" bestFit="1" customWidth="1"/>
    <col min="4617" max="4617" width="9.109375" style="1"/>
    <col min="4618" max="4618" width="11.33203125" style="1" bestFit="1" customWidth="1"/>
    <col min="4619" max="4619" width="9.109375" style="1"/>
    <col min="4620" max="4620" width="10.88671875" style="1" bestFit="1" customWidth="1"/>
    <col min="4621" max="4864" width="9.109375" style="1"/>
    <col min="4865" max="4865" width="21.109375" style="1" bestFit="1" customWidth="1"/>
    <col min="4866" max="4866" width="70" style="1" bestFit="1" customWidth="1"/>
    <col min="4867" max="4867" width="24.5546875" style="1" bestFit="1" customWidth="1"/>
    <col min="4868" max="4871" width="22.44140625" style="1" customWidth="1"/>
    <col min="4872" max="4872" width="19.44140625" style="1" bestFit="1" customWidth="1"/>
    <col min="4873" max="4873" width="9.109375" style="1"/>
    <col min="4874" max="4874" width="11.33203125" style="1" bestFit="1" customWidth="1"/>
    <col min="4875" max="4875" width="9.109375" style="1"/>
    <col min="4876" max="4876" width="10.88671875" style="1" bestFit="1" customWidth="1"/>
    <col min="4877" max="5120" width="9.109375" style="1"/>
    <col min="5121" max="5121" width="21.109375" style="1" bestFit="1" customWidth="1"/>
    <col min="5122" max="5122" width="70" style="1" bestFit="1" customWidth="1"/>
    <col min="5123" max="5123" width="24.5546875" style="1" bestFit="1" customWidth="1"/>
    <col min="5124" max="5127" width="22.44140625" style="1" customWidth="1"/>
    <col min="5128" max="5128" width="19.44140625" style="1" bestFit="1" customWidth="1"/>
    <col min="5129" max="5129" width="9.109375" style="1"/>
    <col min="5130" max="5130" width="11.33203125" style="1" bestFit="1" customWidth="1"/>
    <col min="5131" max="5131" width="9.109375" style="1"/>
    <col min="5132" max="5132" width="10.88671875" style="1" bestFit="1" customWidth="1"/>
    <col min="5133" max="5376" width="9.109375" style="1"/>
    <col min="5377" max="5377" width="21.109375" style="1" bestFit="1" customWidth="1"/>
    <col min="5378" max="5378" width="70" style="1" bestFit="1" customWidth="1"/>
    <col min="5379" max="5379" width="24.5546875" style="1" bestFit="1" customWidth="1"/>
    <col min="5380" max="5383" width="22.44140625" style="1" customWidth="1"/>
    <col min="5384" max="5384" width="19.44140625" style="1" bestFit="1" customWidth="1"/>
    <col min="5385" max="5385" width="9.109375" style="1"/>
    <col min="5386" max="5386" width="11.33203125" style="1" bestFit="1" customWidth="1"/>
    <col min="5387" max="5387" width="9.109375" style="1"/>
    <col min="5388" max="5388" width="10.88671875" style="1" bestFit="1" customWidth="1"/>
    <col min="5389" max="5632" width="9.109375" style="1"/>
    <col min="5633" max="5633" width="21.109375" style="1" bestFit="1" customWidth="1"/>
    <col min="5634" max="5634" width="70" style="1" bestFit="1" customWidth="1"/>
    <col min="5635" max="5635" width="24.5546875" style="1" bestFit="1" customWidth="1"/>
    <col min="5636" max="5639" width="22.44140625" style="1" customWidth="1"/>
    <col min="5640" max="5640" width="19.44140625" style="1" bestFit="1" customWidth="1"/>
    <col min="5641" max="5641" width="9.109375" style="1"/>
    <col min="5642" max="5642" width="11.33203125" style="1" bestFit="1" customWidth="1"/>
    <col min="5643" max="5643" width="9.109375" style="1"/>
    <col min="5644" max="5644" width="10.88671875" style="1" bestFit="1" customWidth="1"/>
    <col min="5645" max="5888" width="9.109375" style="1"/>
    <col min="5889" max="5889" width="21.109375" style="1" bestFit="1" customWidth="1"/>
    <col min="5890" max="5890" width="70" style="1" bestFit="1" customWidth="1"/>
    <col min="5891" max="5891" width="24.5546875" style="1" bestFit="1" customWidth="1"/>
    <col min="5892" max="5895" width="22.44140625" style="1" customWidth="1"/>
    <col min="5896" max="5896" width="19.44140625" style="1" bestFit="1" customWidth="1"/>
    <col min="5897" max="5897" width="9.109375" style="1"/>
    <col min="5898" max="5898" width="11.33203125" style="1" bestFit="1" customWidth="1"/>
    <col min="5899" max="5899" width="9.109375" style="1"/>
    <col min="5900" max="5900" width="10.88671875" style="1" bestFit="1" customWidth="1"/>
    <col min="5901" max="6144" width="9.109375" style="1"/>
    <col min="6145" max="6145" width="21.109375" style="1" bestFit="1" customWidth="1"/>
    <col min="6146" max="6146" width="70" style="1" bestFit="1" customWidth="1"/>
    <col min="6147" max="6147" width="24.5546875" style="1" bestFit="1" customWidth="1"/>
    <col min="6148" max="6151" width="22.44140625" style="1" customWidth="1"/>
    <col min="6152" max="6152" width="19.44140625" style="1" bestFit="1" customWidth="1"/>
    <col min="6153" max="6153" width="9.109375" style="1"/>
    <col min="6154" max="6154" width="11.33203125" style="1" bestFit="1" customWidth="1"/>
    <col min="6155" max="6155" width="9.109375" style="1"/>
    <col min="6156" max="6156" width="10.88671875" style="1" bestFit="1" customWidth="1"/>
    <col min="6157" max="6400" width="9.109375" style="1"/>
    <col min="6401" max="6401" width="21.109375" style="1" bestFit="1" customWidth="1"/>
    <col min="6402" max="6402" width="70" style="1" bestFit="1" customWidth="1"/>
    <col min="6403" max="6403" width="24.5546875" style="1" bestFit="1" customWidth="1"/>
    <col min="6404" max="6407" width="22.44140625" style="1" customWidth="1"/>
    <col min="6408" max="6408" width="19.44140625" style="1" bestFit="1" customWidth="1"/>
    <col min="6409" max="6409" width="9.109375" style="1"/>
    <col min="6410" max="6410" width="11.33203125" style="1" bestFit="1" customWidth="1"/>
    <col min="6411" max="6411" width="9.109375" style="1"/>
    <col min="6412" max="6412" width="10.88671875" style="1" bestFit="1" customWidth="1"/>
    <col min="6413" max="6656" width="9.109375" style="1"/>
    <col min="6657" max="6657" width="21.109375" style="1" bestFit="1" customWidth="1"/>
    <col min="6658" max="6658" width="70" style="1" bestFit="1" customWidth="1"/>
    <col min="6659" max="6659" width="24.5546875" style="1" bestFit="1" customWidth="1"/>
    <col min="6660" max="6663" width="22.44140625" style="1" customWidth="1"/>
    <col min="6664" max="6664" width="19.44140625" style="1" bestFit="1" customWidth="1"/>
    <col min="6665" max="6665" width="9.109375" style="1"/>
    <col min="6666" max="6666" width="11.33203125" style="1" bestFit="1" customWidth="1"/>
    <col min="6667" max="6667" width="9.109375" style="1"/>
    <col min="6668" max="6668" width="10.88671875" style="1" bestFit="1" customWidth="1"/>
    <col min="6669" max="6912" width="9.109375" style="1"/>
    <col min="6913" max="6913" width="21.109375" style="1" bestFit="1" customWidth="1"/>
    <col min="6914" max="6914" width="70" style="1" bestFit="1" customWidth="1"/>
    <col min="6915" max="6915" width="24.5546875" style="1" bestFit="1" customWidth="1"/>
    <col min="6916" max="6919" width="22.44140625" style="1" customWidth="1"/>
    <col min="6920" max="6920" width="19.44140625" style="1" bestFit="1" customWidth="1"/>
    <col min="6921" max="6921" width="9.109375" style="1"/>
    <col min="6922" max="6922" width="11.33203125" style="1" bestFit="1" customWidth="1"/>
    <col min="6923" max="6923" width="9.109375" style="1"/>
    <col min="6924" max="6924" width="10.88671875" style="1" bestFit="1" customWidth="1"/>
    <col min="6925" max="7168" width="9.109375" style="1"/>
    <col min="7169" max="7169" width="21.109375" style="1" bestFit="1" customWidth="1"/>
    <col min="7170" max="7170" width="70" style="1" bestFit="1" customWidth="1"/>
    <col min="7171" max="7171" width="24.5546875" style="1" bestFit="1" customWidth="1"/>
    <col min="7172" max="7175" width="22.44140625" style="1" customWidth="1"/>
    <col min="7176" max="7176" width="19.44140625" style="1" bestFit="1" customWidth="1"/>
    <col min="7177" max="7177" width="9.109375" style="1"/>
    <col min="7178" max="7178" width="11.33203125" style="1" bestFit="1" customWidth="1"/>
    <col min="7179" max="7179" width="9.109375" style="1"/>
    <col min="7180" max="7180" width="10.88671875" style="1" bestFit="1" customWidth="1"/>
    <col min="7181" max="7424" width="9.109375" style="1"/>
    <col min="7425" max="7425" width="21.109375" style="1" bestFit="1" customWidth="1"/>
    <col min="7426" max="7426" width="70" style="1" bestFit="1" customWidth="1"/>
    <col min="7427" max="7427" width="24.5546875" style="1" bestFit="1" customWidth="1"/>
    <col min="7428" max="7431" width="22.44140625" style="1" customWidth="1"/>
    <col min="7432" max="7432" width="19.44140625" style="1" bestFit="1" customWidth="1"/>
    <col min="7433" max="7433" width="9.109375" style="1"/>
    <col min="7434" max="7434" width="11.33203125" style="1" bestFit="1" customWidth="1"/>
    <col min="7435" max="7435" width="9.109375" style="1"/>
    <col min="7436" max="7436" width="10.88671875" style="1" bestFit="1" customWidth="1"/>
    <col min="7437" max="7680" width="9.109375" style="1"/>
    <col min="7681" max="7681" width="21.109375" style="1" bestFit="1" customWidth="1"/>
    <col min="7682" max="7682" width="70" style="1" bestFit="1" customWidth="1"/>
    <col min="7683" max="7683" width="24.5546875" style="1" bestFit="1" customWidth="1"/>
    <col min="7684" max="7687" width="22.44140625" style="1" customWidth="1"/>
    <col min="7688" max="7688" width="19.44140625" style="1" bestFit="1" customWidth="1"/>
    <col min="7689" max="7689" width="9.109375" style="1"/>
    <col min="7690" max="7690" width="11.33203125" style="1" bestFit="1" customWidth="1"/>
    <col min="7691" max="7691" width="9.109375" style="1"/>
    <col min="7692" max="7692" width="10.88671875" style="1" bestFit="1" customWidth="1"/>
    <col min="7693" max="7936" width="9.109375" style="1"/>
    <col min="7937" max="7937" width="21.109375" style="1" bestFit="1" customWidth="1"/>
    <col min="7938" max="7938" width="70" style="1" bestFit="1" customWidth="1"/>
    <col min="7939" max="7939" width="24.5546875" style="1" bestFit="1" customWidth="1"/>
    <col min="7940" max="7943" width="22.44140625" style="1" customWidth="1"/>
    <col min="7944" max="7944" width="19.44140625" style="1" bestFit="1" customWidth="1"/>
    <col min="7945" max="7945" width="9.109375" style="1"/>
    <col min="7946" max="7946" width="11.33203125" style="1" bestFit="1" customWidth="1"/>
    <col min="7947" max="7947" width="9.109375" style="1"/>
    <col min="7948" max="7948" width="10.88671875" style="1" bestFit="1" customWidth="1"/>
    <col min="7949" max="8192" width="9.109375" style="1"/>
    <col min="8193" max="8193" width="21.109375" style="1" bestFit="1" customWidth="1"/>
    <col min="8194" max="8194" width="70" style="1" bestFit="1" customWidth="1"/>
    <col min="8195" max="8195" width="24.5546875" style="1" bestFit="1" customWidth="1"/>
    <col min="8196" max="8199" width="22.44140625" style="1" customWidth="1"/>
    <col min="8200" max="8200" width="19.44140625" style="1" bestFit="1" customWidth="1"/>
    <col min="8201" max="8201" width="9.109375" style="1"/>
    <col min="8202" max="8202" width="11.33203125" style="1" bestFit="1" customWidth="1"/>
    <col min="8203" max="8203" width="9.109375" style="1"/>
    <col min="8204" max="8204" width="10.88671875" style="1" bestFit="1" customWidth="1"/>
    <col min="8205" max="8448" width="9.109375" style="1"/>
    <col min="8449" max="8449" width="21.109375" style="1" bestFit="1" customWidth="1"/>
    <col min="8450" max="8450" width="70" style="1" bestFit="1" customWidth="1"/>
    <col min="8451" max="8451" width="24.5546875" style="1" bestFit="1" customWidth="1"/>
    <col min="8452" max="8455" width="22.44140625" style="1" customWidth="1"/>
    <col min="8456" max="8456" width="19.44140625" style="1" bestFit="1" customWidth="1"/>
    <col min="8457" max="8457" width="9.109375" style="1"/>
    <col min="8458" max="8458" width="11.33203125" style="1" bestFit="1" customWidth="1"/>
    <col min="8459" max="8459" width="9.109375" style="1"/>
    <col min="8460" max="8460" width="10.88671875" style="1" bestFit="1" customWidth="1"/>
    <col min="8461" max="8704" width="9.109375" style="1"/>
    <col min="8705" max="8705" width="21.109375" style="1" bestFit="1" customWidth="1"/>
    <col min="8706" max="8706" width="70" style="1" bestFit="1" customWidth="1"/>
    <col min="8707" max="8707" width="24.5546875" style="1" bestFit="1" customWidth="1"/>
    <col min="8708" max="8711" width="22.44140625" style="1" customWidth="1"/>
    <col min="8712" max="8712" width="19.44140625" style="1" bestFit="1" customWidth="1"/>
    <col min="8713" max="8713" width="9.109375" style="1"/>
    <col min="8714" max="8714" width="11.33203125" style="1" bestFit="1" customWidth="1"/>
    <col min="8715" max="8715" width="9.109375" style="1"/>
    <col min="8716" max="8716" width="10.88671875" style="1" bestFit="1" customWidth="1"/>
    <col min="8717" max="8960" width="9.109375" style="1"/>
    <col min="8961" max="8961" width="21.109375" style="1" bestFit="1" customWidth="1"/>
    <col min="8962" max="8962" width="70" style="1" bestFit="1" customWidth="1"/>
    <col min="8963" max="8963" width="24.5546875" style="1" bestFit="1" customWidth="1"/>
    <col min="8964" max="8967" width="22.44140625" style="1" customWidth="1"/>
    <col min="8968" max="8968" width="19.44140625" style="1" bestFit="1" customWidth="1"/>
    <col min="8969" max="8969" width="9.109375" style="1"/>
    <col min="8970" max="8970" width="11.33203125" style="1" bestFit="1" customWidth="1"/>
    <col min="8971" max="8971" width="9.109375" style="1"/>
    <col min="8972" max="8972" width="10.88671875" style="1" bestFit="1" customWidth="1"/>
    <col min="8973" max="9216" width="9.109375" style="1"/>
    <col min="9217" max="9217" width="21.109375" style="1" bestFit="1" customWidth="1"/>
    <col min="9218" max="9218" width="70" style="1" bestFit="1" customWidth="1"/>
    <col min="9219" max="9219" width="24.5546875" style="1" bestFit="1" customWidth="1"/>
    <col min="9220" max="9223" width="22.44140625" style="1" customWidth="1"/>
    <col min="9224" max="9224" width="19.44140625" style="1" bestFit="1" customWidth="1"/>
    <col min="9225" max="9225" width="9.109375" style="1"/>
    <col min="9226" max="9226" width="11.33203125" style="1" bestFit="1" customWidth="1"/>
    <col min="9227" max="9227" width="9.109375" style="1"/>
    <col min="9228" max="9228" width="10.88671875" style="1" bestFit="1" customWidth="1"/>
    <col min="9229" max="9472" width="9.109375" style="1"/>
    <col min="9473" max="9473" width="21.109375" style="1" bestFit="1" customWidth="1"/>
    <col min="9474" max="9474" width="70" style="1" bestFit="1" customWidth="1"/>
    <col min="9475" max="9475" width="24.5546875" style="1" bestFit="1" customWidth="1"/>
    <col min="9476" max="9479" width="22.44140625" style="1" customWidth="1"/>
    <col min="9480" max="9480" width="19.44140625" style="1" bestFit="1" customWidth="1"/>
    <col min="9481" max="9481" width="9.109375" style="1"/>
    <col min="9482" max="9482" width="11.33203125" style="1" bestFit="1" customWidth="1"/>
    <col min="9483" max="9483" width="9.109375" style="1"/>
    <col min="9484" max="9484" width="10.88671875" style="1" bestFit="1" customWidth="1"/>
    <col min="9485" max="9728" width="9.109375" style="1"/>
    <col min="9729" max="9729" width="21.109375" style="1" bestFit="1" customWidth="1"/>
    <col min="9730" max="9730" width="70" style="1" bestFit="1" customWidth="1"/>
    <col min="9731" max="9731" width="24.5546875" style="1" bestFit="1" customWidth="1"/>
    <col min="9732" max="9735" width="22.44140625" style="1" customWidth="1"/>
    <col min="9736" max="9736" width="19.44140625" style="1" bestFit="1" customWidth="1"/>
    <col min="9737" max="9737" width="9.109375" style="1"/>
    <col min="9738" max="9738" width="11.33203125" style="1" bestFit="1" customWidth="1"/>
    <col min="9739" max="9739" width="9.109375" style="1"/>
    <col min="9740" max="9740" width="10.88671875" style="1" bestFit="1" customWidth="1"/>
    <col min="9741" max="9984" width="9.109375" style="1"/>
    <col min="9985" max="9985" width="21.109375" style="1" bestFit="1" customWidth="1"/>
    <col min="9986" max="9986" width="70" style="1" bestFit="1" customWidth="1"/>
    <col min="9987" max="9987" width="24.5546875" style="1" bestFit="1" customWidth="1"/>
    <col min="9988" max="9991" width="22.44140625" style="1" customWidth="1"/>
    <col min="9992" max="9992" width="19.44140625" style="1" bestFit="1" customWidth="1"/>
    <col min="9993" max="9993" width="9.109375" style="1"/>
    <col min="9994" max="9994" width="11.33203125" style="1" bestFit="1" customWidth="1"/>
    <col min="9995" max="9995" width="9.109375" style="1"/>
    <col min="9996" max="9996" width="10.88671875" style="1" bestFit="1" customWidth="1"/>
    <col min="9997" max="10240" width="9.109375" style="1"/>
    <col min="10241" max="10241" width="21.109375" style="1" bestFit="1" customWidth="1"/>
    <col min="10242" max="10242" width="70" style="1" bestFit="1" customWidth="1"/>
    <col min="10243" max="10243" width="24.5546875" style="1" bestFit="1" customWidth="1"/>
    <col min="10244" max="10247" width="22.44140625" style="1" customWidth="1"/>
    <col min="10248" max="10248" width="19.44140625" style="1" bestFit="1" customWidth="1"/>
    <col min="10249" max="10249" width="9.109375" style="1"/>
    <col min="10250" max="10250" width="11.33203125" style="1" bestFit="1" customWidth="1"/>
    <col min="10251" max="10251" width="9.109375" style="1"/>
    <col min="10252" max="10252" width="10.88671875" style="1" bestFit="1" customWidth="1"/>
    <col min="10253" max="10496" width="9.109375" style="1"/>
    <col min="10497" max="10497" width="21.109375" style="1" bestFit="1" customWidth="1"/>
    <col min="10498" max="10498" width="70" style="1" bestFit="1" customWidth="1"/>
    <col min="10499" max="10499" width="24.5546875" style="1" bestFit="1" customWidth="1"/>
    <col min="10500" max="10503" width="22.44140625" style="1" customWidth="1"/>
    <col min="10504" max="10504" width="19.44140625" style="1" bestFit="1" customWidth="1"/>
    <col min="10505" max="10505" width="9.109375" style="1"/>
    <col min="10506" max="10506" width="11.33203125" style="1" bestFit="1" customWidth="1"/>
    <col min="10507" max="10507" width="9.109375" style="1"/>
    <col min="10508" max="10508" width="10.88671875" style="1" bestFit="1" customWidth="1"/>
    <col min="10509" max="10752" width="9.109375" style="1"/>
    <col min="10753" max="10753" width="21.109375" style="1" bestFit="1" customWidth="1"/>
    <col min="10754" max="10754" width="70" style="1" bestFit="1" customWidth="1"/>
    <col min="10755" max="10755" width="24.5546875" style="1" bestFit="1" customWidth="1"/>
    <col min="10756" max="10759" width="22.44140625" style="1" customWidth="1"/>
    <col min="10760" max="10760" width="19.44140625" style="1" bestFit="1" customWidth="1"/>
    <col min="10761" max="10761" width="9.109375" style="1"/>
    <col min="10762" max="10762" width="11.33203125" style="1" bestFit="1" customWidth="1"/>
    <col min="10763" max="10763" width="9.109375" style="1"/>
    <col min="10764" max="10764" width="10.88671875" style="1" bestFit="1" customWidth="1"/>
    <col min="10765" max="11008" width="9.109375" style="1"/>
    <col min="11009" max="11009" width="21.109375" style="1" bestFit="1" customWidth="1"/>
    <col min="11010" max="11010" width="70" style="1" bestFit="1" customWidth="1"/>
    <col min="11011" max="11011" width="24.5546875" style="1" bestFit="1" customWidth="1"/>
    <col min="11012" max="11015" width="22.44140625" style="1" customWidth="1"/>
    <col min="11016" max="11016" width="19.44140625" style="1" bestFit="1" customWidth="1"/>
    <col min="11017" max="11017" width="9.109375" style="1"/>
    <col min="11018" max="11018" width="11.33203125" style="1" bestFit="1" customWidth="1"/>
    <col min="11019" max="11019" width="9.109375" style="1"/>
    <col min="11020" max="11020" width="10.88671875" style="1" bestFit="1" customWidth="1"/>
    <col min="11021" max="11264" width="9.109375" style="1"/>
    <col min="11265" max="11265" width="21.109375" style="1" bestFit="1" customWidth="1"/>
    <col min="11266" max="11266" width="70" style="1" bestFit="1" customWidth="1"/>
    <col min="11267" max="11267" width="24.5546875" style="1" bestFit="1" customWidth="1"/>
    <col min="11268" max="11271" width="22.44140625" style="1" customWidth="1"/>
    <col min="11272" max="11272" width="19.44140625" style="1" bestFit="1" customWidth="1"/>
    <col min="11273" max="11273" width="9.109375" style="1"/>
    <col min="11274" max="11274" width="11.33203125" style="1" bestFit="1" customWidth="1"/>
    <col min="11275" max="11275" width="9.109375" style="1"/>
    <col min="11276" max="11276" width="10.88671875" style="1" bestFit="1" customWidth="1"/>
    <col min="11277" max="11520" width="9.109375" style="1"/>
    <col min="11521" max="11521" width="21.109375" style="1" bestFit="1" customWidth="1"/>
    <col min="11522" max="11522" width="70" style="1" bestFit="1" customWidth="1"/>
    <col min="11523" max="11523" width="24.5546875" style="1" bestFit="1" customWidth="1"/>
    <col min="11524" max="11527" width="22.44140625" style="1" customWidth="1"/>
    <col min="11528" max="11528" width="19.44140625" style="1" bestFit="1" customWidth="1"/>
    <col min="11529" max="11529" width="9.109375" style="1"/>
    <col min="11530" max="11530" width="11.33203125" style="1" bestFit="1" customWidth="1"/>
    <col min="11531" max="11531" width="9.109375" style="1"/>
    <col min="11532" max="11532" width="10.88671875" style="1" bestFit="1" customWidth="1"/>
    <col min="11533" max="11776" width="9.109375" style="1"/>
    <col min="11777" max="11777" width="21.109375" style="1" bestFit="1" customWidth="1"/>
    <col min="11778" max="11778" width="70" style="1" bestFit="1" customWidth="1"/>
    <col min="11779" max="11779" width="24.5546875" style="1" bestFit="1" customWidth="1"/>
    <col min="11780" max="11783" width="22.44140625" style="1" customWidth="1"/>
    <col min="11784" max="11784" width="19.44140625" style="1" bestFit="1" customWidth="1"/>
    <col min="11785" max="11785" width="9.109375" style="1"/>
    <col min="11786" max="11786" width="11.33203125" style="1" bestFit="1" customWidth="1"/>
    <col min="11787" max="11787" width="9.109375" style="1"/>
    <col min="11788" max="11788" width="10.88671875" style="1" bestFit="1" customWidth="1"/>
    <col min="11789" max="12032" width="9.109375" style="1"/>
    <col min="12033" max="12033" width="21.109375" style="1" bestFit="1" customWidth="1"/>
    <col min="12034" max="12034" width="70" style="1" bestFit="1" customWidth="1"/>
    <col min="12035" max="12035" width="24.5546875" style="1" bestFit="1" customWidth="1"/>
    <col min="12036" max="12039" width="22.44140625" style="1" customWidth="1"/>
    <col min="12040" max="12040" width="19.44140625" style="1" bestFit="1" customWidth="1"/>
    <col min="12041" max="12041" width="9.109375" style="1"/>
    <col min="12042" max="12042" width="11.33203125" style="1" bestFit="1" customWidth="1"/>
    <col min="12043" max="12043" width="9.109375" style="1"/>
    <col min="12044" max="12044" width="10.88671875" style="1" bestFit="1" customWidth="1"/>
    <col min="12045" max="12288" width="9.109375" style="1"/>
    <col min="12289" max="12289" width="21.109375" style="1" bestFit="1" customWidth="1"/>
    <col min="12290" max="12290" width="70" style="1" bestFit="1" customWidth="1"/>
    <col min="12291" max="12291" width="24.5546875" style="1" bestFit="1" customWidth="1"/>
    <col min="12292" max="12295" width="22.44140625" style="1" customWidth="1"/>
    <col min="12296" max="12296" width="19.44140625" style="1" bestFit="1" customWidth="1"/>
    <col min="12297" max="12297" width="9.109375" style="1"/>
    <col min="12298" max="12298" width="11.33203125" style="1" bestFit="1" customWidth="1"/>
    <col min="12299" max="12299" width="9.109375" style="1"/>
    <col min="12300" max="12300" width="10.88671875" style="1" bestFit="1" customWidth="1"/>
    <col min="12301" max="12544" width="9.109375" style="1"/>
    <col min="12545" max="12545" width="21.109375" style="1" bestFit="1" customWidth="1"/>
    <col min="12546" max="12546" width="70" style="1" bestFit="1" customWidth="1"/>
    <col min="12547" max="12547" width="24.5546875" style="1" bestFit="1" customWidth="1"/>
    <col min="12548" max="12551" width="22.44140625" style="1" customWidth="1"/>
    <col min="12552" max="12552" width="19.44140625" style="1" bestFit="1" customWidth="1"/>
    <col min="12553" max="12553" width="9.109375" style="1"/>
    <col min="12554" max="12554" width="11.33203125" style="1" bestFit="1" customWidth="1"/>
    <col min="12555" max="12555" width="9.109375" style="1"/>
    <col min="12556" max="12556" width="10.88671875" style="1" bestFit="1" customWidth="1"/>
    <col min="12557" max="12800" width="9.109375" style="1"/>
    <col min="12801" max="12801" width="21.109375" style="1" bestFit="1" customWidth="1"/>
    <col min="12802" max="12802" width="70" style="1" bestFit="1" customWidth="1"/>
    <col min="12803" max="12803" width="24.5546875" style="1" bestFit="1" customWidth="1"/>
    <col min="12804" max="12807" width="22.44140625" style="1" customWidth="1"/>
    <col min="12808" max="12808" width="19.44140625" style="1" bestFit="1" customWidth="1"/>
    <col min="12809" max="12809" width="9.109375" style="1"/>
    <col min="12810" max="12810" width="11.33203125" style="1" bestFit="1" customWidth="1"/>
    <col min="12811" max="12811" width="9.109375" style="1"/>
    <col min="12812" max="12812" width="10.88671875" style="1" bestFit="1" customWidth="1"/>
    <col min="12813" max="13056" width="9.109375" style="1"/>
    <col min="13057" max="13057" width="21.109375" style="1" bestFit="1" customWidth="1"/>
    <col min="13058" max="13058" width="70" style="1" bestFit="1" customWidth="1"/>
    <col min="13059" max="13059" width="24.5546875" style="1" bestFit="1" customWidth="1"/>
    <col min="13060" max="13063" width="22.44140625" style="1" customWidth="1"/>
    <col min="13064" max="13064" width="19.44140625" style="1" bestFit="1" customWidth="1"/>
    <col min="13065" max="13065" width="9.109375" style="1"/>
    <col min="13066" max="13066" width="11.33203125" style="1" bestFit="1" customWidth="1"/>
    <col min="13067" max="13067" width="9.109375" style="1"/>
    <col min="13068" max="13068" width="10.88671875" style="1" bestFit="1" customWidth="1"/>
    <col min="13069" max="13312" width="9.109375" style="1"/>
    <col min="13313" max="13313" width="21.109375" style="1" bestFit="1" customWidth="1"/>
    <col min="13314" max="13314" width="70" style="1" bestFit="1" customWidth="1"/>
    <col min="13315" max="13315" width="24.5546875" style="1" bestFit="1" customWidth="1"/>
    <col min="13316" max="13319" width="22.44140625" style="1" customWidth="1"/>
    <col min="13320" max="13320" width="19.44140625" style="1" bestFit="1" customWidth="1"/>
    <col min="13321" max="13321" width="9.109375" style="1"/>
    <col min="13322" max="13322" width="11.33203125" style="1" bestFit="1" customWidth="1"/>
    <col min="13323" max="13323" width="9.109375" style="1"/>
    <col min="13324" max="13324" width="10.88671875" style="1" bestFit="1" customWidth="1"/>
    <col min="13325" max="13568" width="9.109375" style="1"/>
    <col min="13569" max="13569" width="21.109375" style="1" bestFit="1" customWidth="1"/>
    <col min="13570" max="13570" width="70" style="1" bestFit="1" customWidth="1"/>
    <col min="13571" max="13571" width="24.5546875" style="1" bestFit="1" customWidth="1"/>
    <col min="13572" max="13575" width="22.44140625" style="1" customWidth="1"/>
    <col min="13576" max="13576" width="19.44140625" style="1" bestFit="1" customWidth="1"/>
    <col min="13577" max="13577" width="9.109375" style="1"/>
    <col min="13578" max="13578" width="11.33203125" style="1" bestFit="1" customWidth="1"/>
    <col min="13579" max="13579" width="9.109375" style="1"/>
    <col min="13580" max="13580" width="10.88671875" style="1" bestFit="1" customWidth="1"/>
    <col min="13581" max="13824" width="9.109375" style="1"/>
    <col min="13825" max="13825" width="21.109375" style="1" bestFit="1" customWidth="1"/>
    <col min="13826" max="13826" width="70" style="1" bestFit="1" customWidth="1"/>
    <col min="13827" max="13827" width="24.5546875" style="1" bestFit="1" customWidth="1"/>
    <col min="13828" max="13831" width="22.44140625" style="1" customWidth="1"/>
    <col min="13832" max="13832" width="19.44140625" style="1" bestFit="1" customWidth="1"/>
    <col min="13833" max="13833" width="9.109375" style="1"/>
    <col min="13834" max="13834" width="11.33203125" style="1" bestFit="1" customWidth="1"/>
    <col min="13835" max="13835" width="9.109375" style="1"/>
    <col min="13836" max="13836" width="10.88671875" style="1" bestFit="1" customWidth="1"/>
    <col min="13837" max="14080" width="9.109375" style="1"/>
    <col min="14081" max="14081" width="21.109375" style="1" bestFit="1" customWidth="1"/>
    <col min="14082" max="14082" width="70" style="1" bestFit="1" customWidth="1"/>
    <col min="14083" max="14083" width="24.5546875" style="1" bestFit="1" customWidth="1"/>
    <col min="14084" max="14087" width="22.44140625" style="1" customWidth="1"/>
    <col min="14088" max="14088" width="19.44140625" style="1" bestFit="1" customWidth="1"/>
    <col min="14089" max="14089" width="9.109375" style="1"/>
    <col min="14090" max="14090" width="11.33203125" style="1" bestFit="1" customWidth="1"/>
    <col min="14091" max="14091" width="9.109375" style="1"/>
    <col min="14092" max="14092" width="10.88671875" style="1" bestFit="1" customWidth="1"/>
    <col min="14093" max="14336" width="9.109375" style="1"/>
    <col min="14337" max="14337" width="21.109375" style="1" bestFit="1" customWidth="1"/>
    <col min="14338" max="14338" width="70" style="1" bestFit="1" customWidth="1"/>
    <col min="14339" max="14339" width="24.5546875" style="1" bestFit="1" customWidth="1"/>
    <col min="14340" max="14343" width="22.44140625" style="1" customWidth="1"/>
    <col min="14344" max="14344" width="19.44140625" style="1" bestFit="1" customWidth="1"/>
    <col min="14345" max="14345" width="9.109375" style="1"/>
    <col min="14346" max="14346" width="11.33203125" style="1" bestFit="1" customWidth="1"/>
    <col min="14347" max="14347" width="9.109375" style="1"/>
    <col min="14348" max="14348" width="10.88671875" style="1" bestFit="1" customWidth="1"/>
    <col min="14349" max="14592" width="9.109375" style="1"/>
    <col min="14593" max="14593" width="21.109375" style="1" bestFit="1" customWidth="1"/>
    <col min="14594" max="14594" width="70" style="1" bestFit="1" customWidth="1"/>
    <col min="14595" max="14595" width="24.5546875" style="1" bestFit="1" customWidth="1"/>
    <col min="14596" max="14599" width="22.44140625" style="1" customWidth="1"/>
    <col min="14600" max="14600" width="19.44140625" style="1" bestFit="1" customWidth="1"/>
    <col min="14601" max="14601" width="9.109375" style="1"/>
    <col min="14602" max="14602" width="11.33203125" style="1" bestFit="1" customWidth="1"/>
    <col min="14603" max="14603" width="9.109375" style="1"/>
    <col min="14604" max="14604" width="10.88671875" style="1" bestFit="1" customWidth="1"/>
    <col min="14605" max="14848" width="9.109375" style="1"/>
    <col min="14849" max="14849" width="21.109375" style="1" bestFit="1" customWidth="1"/>
    <col min="14850" max="14850" width="70" style="1" bestFit="1" customWidth="1"/>
    <col min="14851" max="14851" width="24.5546875" style="1" bestFit="1" customWidth="1"/>
    <col min="14852" max="14855" width="22.44140625" style="1" customWidth="1"/>
    <col min="14856" max="14856" width="19.44140625" style="1" bestFit="1" customWidth="1"/>
    <col min="14857" max="14857" width="9.109375" style="1"/>
    <col min="14858" max="14858" width="11.33203125" style="1" bestFit="1" customWidth="1"/>
    <col min="14859" max="14859" width="9.109375" style="1"/>
    <col min="14860" max="14860" width="10.88671875" style="1" bestFit="1" customWidth="1"/>
    <col min="14861" max="15104" width="9.109375" style="1"/>
    <col min="15105" max="15105" width="21.109375" style="1" bestFit="1" customWidth="1"/>
    <col min="15106" max="15106" width="70" style="1" bestFit="1" customWidth="1"/>
    <col min="15107" max="15107" width="24.5546875" style="1" bestFit="1" customWidth="1"/>
    <col min="15108" max="15111" width="22.44140625" style="1" customWidth="1"/>
    <col min="15112" max="15112" width="19.44140625" style="1" bestFit="1" customWidth="1"/>
    <col min="15113" max="15113" width="9.109375" style="1"/>
    <col min="15114" max="15114" width="11.33203125" style="1" bestFit="1" customWidth="1"/>
    <col min="15115" max="15115" width="9.109375" style="1"/>
    <col min="15116" max="15116" width="10.88671875" style="1" bestFit="1" customWidth="1"/>
    <col min="15117" max="15360" width="9.109375" style="1"/>
    <col min="15361" max="15361" width="21.109375" style="1" bestFit="1" customWidth="1"/>
    <col min="15362" max="15362" width="70" style="1" bestFit="1" customWidth="1"/>
    <col min="15363" max="15363" width="24.5546875" style="1" bestFit="1" customWidth="1"/>
    <col min="15364" max="15367" width="22.44140625" style="1" customWidth="1"/>
    <col min="15368" max="15368" width="19.44140625" style="1" bestFit="1" customWidth="1"/>
    <col min="15369" max="15369" width="9.109375" style="1"/>
    <col min="15370" max="15370" width="11.33203125" style="1" bestFit="1" customWidth="1"/>
    <col min="15371" max="15371" width="9.109375" style="1"/>
    <col min="15372" max="15372" width="10.88671875" style="1" bestFit="1" customWidth="1"/>
    <col min="15373" max="15616" width="9.109375" style="1"/>
    <col min="15617" max="15617" width="21.109375" style="1" bestFit="1" customWidth="1"/>
    <col min="15618" max="15618" width="70" style="1" bestFit="1" customWidth="1"/>
    <col min="15619" max="15619" width="24.5546875" style="1" bestFit="1" customWidth="1"/>
    <col min="15620" max="15623" width="22.44140625" style="1" customWidth="1"/>
    <col min="15624" max="15624" width="19.44140625" style="1" bestFit="1" customWidth="1"/>
    <col min="15625" max="15625" width="9.109375" style="1"/>
    <col min="15626" max="15626" width="11.33203125" style="1" bestFit="1" customWidth="1"/>
    <col min="15627" max="15627" width="9.109375" style="1"/>
    <col min="15628" max="15628" width="10.88671875" style="1" bestFit="1" customWidth="1"/>
    <col min="15629" max="15872" width="9.109375" style="1"/>
    <col min="15873" max="15873" width="21.109375" style="1" bestFit="1" customWidth="1"/>
    <col min="15874" max="15874" width="70" style="1" bestFit="1" customWidth="1"/>
    <col min="15875" max="15875" width="24.5546875" style="1" bestFit="1" customWidth="1"/>
    <col min="15876" max="15879" width="22.44140625" style="1" customWidth="1"/>
    <col min="15880" max="15880" width="19.44140625" style="1" bestFit="1" customWidth="1"/>
    <col min="15881" max="15881" width="9.109375" style="1"/>
    <col min="15882" max="15882" width="11.33203125" style="1" bestFit="1" customWidth="1"/>
    <col min="15883" max="15883" width="9.109375" style="1"/>
    <col min="15884" max="15884" width="10.88671875" style="1" bestFit="1" customWidth="1"/>
    <col min="15885" max="16128" width="9.109375" style="1"/>
    <col min="16129" max="16129" width="21.109375" style="1" bestFit="1" customWidth="1"/>
    <col min="16130" max="16130" width="70" style="1" bestFit="1" customWidth="1"/>
    <col min="16131" max="16131" width="24.5546875" style="1" bestFit="1" customWidth="1"/>
    <col min="16132" max="16135" width="22.44140625" style="1" customWidth="1"/>
    <col min="16136" max="16136" width="19.44140625" style="1" bestFit="1" customWidth="1"/>
    <col min="16137" max="16137" width="9.109375" style="1"/>
    <col min="16138" max="16138" width="11.33203125" style="1" bestFit="1" customWidth="1"/>
    <col min="16139" max="16139" width="9.109375" style="1"/>
    <col min="16140" max="16140" width="10.88671875" style="1" bestFit="1" customWidth="1"/>
    <col min="16141" max="16384" width="9.109375" style="1"/>
  </cols>
  <sheetData>
    <row r="1" spans="1:12" ht="12.75" customHeight="1">
      <c r="C1" s="175" t="s">
        <v>600</v>
      </c>
      <c r="D1" s="175" t="s">
        <v>555</v>
      </c>
      <c r="E1" s="175" t="s">
        <v>574</v>
      </c>
      <c r="F1" s="175" t="s">
        <v>589</v>
      </c>
      <c r="G1" s="175" t="s">
        <v>601</v>
      </c>
      <c r="H1" s="114" t="s">
        <v>602</v>
      </c>
    </row>
    <row r="3" spans="1:12" ht="12.75" customHeight="1">
      <c r="A3" s="138" t="s">
        <v>16</v>
      </c>
    </row>
    <row r="4" spans="1:12" ht="12.75" customHeight="1">
      <c r="A4" s="136">
        <v>1600000</v>
      </c>
      <c r="B4" s="1" t="s">
        <v>22</v>
      </c>
      <c r="C4" s="246">
        <v>124631913.08</v>
      </c>
      <c r="D4" s="246">
        <v>369860.81</v>
      </c>
      <c r="E4" s="246">
        <v>276736.19</v>
      </c>
      <c r="F4" s="246">
        <v>763364.31</v>
      </c>
      <c r="G4" s="246">
        <v>784367.59000000008</v>
      </c>
      <c r="H4" s="263">
        <f>SUM(C4:G4)</f>
        <v>126826241.98</v>
      </c>
      <c r="J4" s="246"/>
      <c r="L4" s="141"/>
    </row>
    <row r="5" spans="1:12" ht="12.75" customHeight="1">
      <c r="A5" s="136" t="s">
        <v>23</v>
      </c>
      <c r="B5" s="1" t="s">
        <v>24</v>
      </c>
      <c r="C5" s="246">
        <v>-17476322</v>
      </c>
      <c r="D5" s="246">
        <v>-707631</v>
      </c>
      <c r="E5" s="246">
        <v>-706154</v>
      </c>
      <c r="F5" s="246">
        <v>-722958</v>
      </c>
      <c r="G5" s="246">
        <v>-747378</v>
      </c>
      <c r="H5" s="263">
        <f>SUM(C5:G5)</f>
        <v>-20360443</v>
      </c>
      <c r="J5" s="246"/>
      <c r="L5" s="141"/>
    </row>
    <row r="6" spans="1:12" ht="12.75" customHeight="1">
      <c r="A6" s="136" t="s">
        <v>25</v>
      </c>
      <c r="B6" s="1" t="s">
        <v>26</v>
      </c>
      <c r="D6" s="247">
        <v>-117551</v>
      </c>
      <c r="E6" s="247">
        <v>-205430</v>
      </c>
      <c r="F6" s="247">
        <v>-677264</v>
      </c>
      <c r="G6" s="247">
        <v>-890320</v>
      </c>
      <c r="H6" s="263">
        <f>SUM(C6:G6)</f>
        <v>-1890565</v>
      </c>
    </row>
    <row r="7" spans="1:12" ht="12.75" customHeight="1">
      <c r="A7" s="136" t="s">
        <v>427</v>
      </c>
      <c r="B7" s="1" t="s">
        <v>428</v>
      </c>
      <c r="D7" s="246">
        <v>17214</v>
      </c>
      <c r="E7" s="246">
        <v>31299</v>
      </c>
      <c r="F7" s="246">
        <v>106809</v>
      </c>
      <c r="G7" s="246">
        <v>141605</v>
      </c>
      <c r="H7" s="263">
        <f>SUM(C7:G7)</f>
        <v>296927</v>
      </c>
    </row>
    <row r="8" spans="1:12" ht="12.75" customHeight="1">
      <c r="A8" s="1" t="s">
        <v>351</v>
      </c>
    </row>
    <row r="10" spans="1:12" ht="12.75" customHeight="1">
      <c r="A10" s="136">
        <v>1790000</v>
      </c>
      <c r="B10" s="1" t="s">
        <v>558</v>
      </c>
      <c r="C10" s="246">
        <v>2102350.0099999998</v>
      </c>
      <c r="D10" s="246">
        <v>-110649.99</v>
      </c>
      <c r="E10" s="246">
        <v>-110649.99</v>
      </c>
      <c r="F10" s="246">
        <v>-110649.99</v>
      </c>
      <c r="G10" s="246">
        <v>-110649.99</v>
      </c>
      <c r="H10" s="263">
        <f>SUM(C10:G10)</f>
        <v>1659750.0499999998</v>
      </c>
    </row>
    <row r="11" spans="1:12" ht="12.75" customHeight="1">
      <c r="A11" s="136" t="s">
        <v>35</v>
      </c>
      <c r="B11" s="1" t="s">
        <v>36</v>
      </c>
      <c r="C11" s="246">
        <v>5082086</v>
      </c>
      <c r="D11" s="248">
        <v>181734</v>
      </c>
      <c r="E11" s="249">
        <v>172942</v>
      </c>
      <c r="F11" s="248">
        <v>146161</v>
      </c>
      <c r="G11" s="248">
        <v>153491</v>
      </c>
      <c r="H11" s="263">
        <f>SUM(C11:G11)</f>
        <v>5736414</v>
      </c>
    </row>
    <row r="12" spans="1:12" ht="12.75" customHeight="1">
      <c r="A12" s="136">
        <v>1760000</v>
      </c>
      <c r="B12" s="1" t="s">
        <v>535</v>
      </c>
      <c r="C12" s="246">
        <v>38320325</v>
      </c>
      <c r="D12" s="246">
        <v>0</v>
      </c>
      <c r="E12" s="246">
        <v>0</v>
      </c>
      <c r="H12" s="263">
        <f>SUM(C12:G12)</f>
        <v>38320325</v>
      </c>
    </row>
    <row r="13" spans="1:12" ht="12.75" customHeight="1">
      <c r="A13" s="136">
        <v>1760300</v>
      </c>
      <c r="B13" s="1" t="s">
        <v>559</v>
      </c>
      <c r="C13" s="246">
        <v>-95800.81</v>
      </c>
      <c r="D13" s="246">
        <v>-137679.46</v>
      </c>
      <c r="E13" s="246">
        <v>-53922.16</v>
      </c>
      <c r="F13" s="246">
        <v>-95800.81</v>
      </c>
      <c r="G13" s="246">
        <v>-95800.81</v>
      </c>
      <c r="H13" s="263">
        <f>SUM(C13:G13)</f>
        <v>-479004.05</v>
      </c>
    </row>
    <row r="14" spans="1:12" ht="12.75" customHeight="1">
      <c r="A14" s="1" t="s">
        <v>352</v>
      </c>
    </row>
    <row r="15" spans="1:12" ht="12.75" customHeight="1"/>
    <row r="16" spans="1:12" ht="12.75" customHeight="1">
      <c r="A16" s="136" t="s">
        <v>41</v>
      </c>
      <c r="B16" s="1" t="s">
        <v>42</v>
      </c>
      <c r="C16" s="246">
        <v>506191.63</v>
      </c>
      <c r="D16" s="248">
        <v>523319.01</v>
      </c>
      <c r="E16" s="249">
        <v>540691.29999999993</v>
      </c>
      <c r="F16" s="250">
        <v>568866.17000000004</v>
      </c>
      <c r="G16" s="248">
        <v>641465.53999999992</v>
      </c>
      <c r="H16" s="263">
        <f>SUM(C16:G16)</f>
        <v>2780533.65</v>
      </c>
    </row>
    <row r="17" spans="1:8" ht="12.75" customHeight="1">
      <c r="A17" s="136" t="s">
        <v>43</v>
      </c>
      <c r="B17" s="1" t="s">
        <v>44</v>
      </c>
      <c r="C17" s="246">
        <v>-76878.53</v>
      </c>
      <c r="D17" s="246">
        <v>0</v>
      </c>
      <c r="E17" s="246">
        <v>0</v>
      </c>
      <c r="F17" s="246">
        <v>0</v>
      </c>
      <c r="G17" s="246">
        <v>0</v>
      </c>
      <c r="H17" s="263">
        <f>SUM(C17:G17)</f>
        <v>-76878.53</v>
      </c>
    </row>
    <row r="18" spans="1:8" ht="12.75" customHeight="1">
      <c r="A18" s="1" t="s">
        <v>353</v>
      </c>
    </row>
    <row r="20" spans="1:8" ht="12.75" customHeight="1">
      <c r="A20" s="136">
        <v>2640000</v>
      </c>
      <c r="B20" s="1" t="s">
        <v>48</v>
      </c>
      <c r="C20" s="246">
        <v>-692314.86</v>
      </c>
      <c r="D20" s="246">
        <v>-6167</v>
      </c>
      <c r="E20" s="246">
        <v>592347</v>
      </c>
      <c r="F20" s="246">
        <v>379578</v>
      </c>
      <c r="G20" s="246">
        <v>952774</v>
      </c>
      <c r="H20" s="263">
        <f>SUM(C20:G20)</f>
        <v>1226217.1400000001</v>
      </c>
    </row>
    <row r="21" spans="1:8" ht="12.75" customHeight="1">
      <c r="A21" s="1" t="s">
        <v>357</v>
      </c>
    </row>
    <row r="22" spans="1:8" ht="12.75" customHeight="1">
      <c r="G22" s="114"/>
    </row>
    <row r="23" spans="1:8" ht="12.75" customHeight="1">
      <c r="A23" s="136" t="s">
        <v>594</v>
      </c>
      <c r="B23" s="1" t="s">
        <v>595</v>
      </c>
      <c r="D23" s="246">
        <v>0</v>
      </c>
      <c r="E23" s="246">
        <v>-41878.65</v>
      </c>
      <c r="F23" s="246">
        <v>41878.65</v>
      </c>
      <c r="G23" s="246">
        <v>0</v>
      </c>
      <c r="H23" s="263">
        <f>SUM(C23:G23)</f>
        <v>0</v>
      </c>
    </row>
    <row r="24" spans="1:8" ht="12.75" customHeight="1">
      <c r="A24" s="136">
        <v>2040200</v>
      </c>
      <c r="B24" s="1" t="s">
        <v>447</v>
      </c>
      <c r="C24" s="246">
        <v>5000</v>
      </c>
      <c r="D24" s="246">
        <v>0</v>
      </c>
      <c r="E24" s="246">
        <v>0</v>
      </c>
      <c r="F24" s="246">
        <v>0</v>
      </c>
      <c r="G24" s="246">
        <v>0</v>
      </c>
      <c r="H24" s="263">
        <f>SUM(C24:G24)</f>
        <v>5000</v>
      </c>
    </row>
    <row r="25" spans="1:8" ht="12.75" customHeight="1">
      <c r="A25" s="136">
        <v>2040500</v>
      </c>
      <c r="B25" s="1" t="s">
        <v>490</v>
      </c>
      <c r="D25" s="246">
        <v>86298.880000000005</v>
      </c>
      <c r="E25" s="246">
        <v>-28766.29</v>
      </c>
      <c r="F25" s="246">
        <v>-28766.3</v>
      </c>
      <c r="G25" s="246">
        <v>-28766.29</v>
      </c>
      <c r="H25" s="263">
        <f>SUM(C25:G25)</f>
        <v>0</v>
      </c>
    </row>
    <row r="26" spans="1:8" ht="12.75" customHeight="1">
      <c r="A26" s="136" t="s">
        <v>53</v>
      </c>
      <c r="B26" s="1" t="s">
        <v>54</v>
      </c>
      <c r="D26" s="246">
        <v>0</v>
      </c>
      <c r="E26" s="246">
        <v>0</v>
      </c>
      <c r="H26" s="263">
        <f>SUM(C26:G26)</f>
        <v>0</v>
      </c>
    </row>
    <row r="27" spans="1:8" ht="12.75" customHeight="1">
      <c r="A27" s="136" t="s">
        <v>55</v>
      </c>
      <c r="B27" s="1" t="s">
        <v>56</v>
      </c>
      <c r="D27" s="246">
        <v>0</v>
      </c>
      <c r="E27" s="246">
        <v>0</v>
      </c>
      <c r="H27" s="263">
        <f>SUM(C27:G27)</f>
        <v>0</v>
      </c>
    </row>
    <row r="28" spans="1:8" ht="12.75" customHeight="1">
      <c r="A28" s="1" t="s">
        <v>407</v>
      </c>
    </row>
    <row r="30" spans="1:8" ht="12.75" customHeight="1">
      <c r="A30" s="136" t="s">
        <v>61</v>
      </c>
      <c r="B30" s="1" t="s">
        <v>62</v>
      </c>
      <c r="C30" s="246">
        <v>0.48</v>
      </c>
      <c r="D30" s="246">
        <v>0</v>
      </c>
      <c r="E30" s="246">
        <v>0</v>
      </c>
      <c r="F30" s="246">
        <v>0</v>
      </c>
      <c r="G30" s="246">
        <v>0</v>
      </c>
      <c r="H30" s="263">
        <f t="shared" ref="H30:H38" si="0">SUM(C30:G30)</f>
        <v>0.48</v>
      </c>
    </row>
    <row r="31" spans="1:8" ht="12.75" customHeight="1">
      <c r="A31" s="136">
        <v>2300001</v>
      </c>
      <c r="B31" s="1" t="s">
        <v>596</v>
      </c>
      <c r="D31" s="246">
        <v>1948.2</v>
      </c>
      <c r="E31" s="246">
        <v>1958.4599999999991</v>
      </c>
      <c r="F31" s="246">
        <v>-4860.88</v>
      </c>
      <c r="G31" s="246">
        <v>-1134.0699999999997</v>
      </c>
      <c r="H31" s="263">
        <f t="shared" si="0"/>
        <v>-2088.2900000000009</v>
      </c>
    </row>
    <row r="32" spans="1:8" ht="12.75" customHeight="1">
      <c r="A32" s="136" t="s">
        <v>65</v>
      </c>
      <c r="B32" s="1" t="s">
        <v>66</v>
      </c>
      <c r="C32" s="246">
        <v>537566.26</v>
      </c>
      <c r="D32" s="249">
        <v>-537566.26</v>
      </c>
      <c r="E32" s="249">
        <v>128000</v>
      </c>
      <c r="F32" s="249">
        <v>-128000</v>
      </c>
      <c r="G32" s="249">
        <v>0</v>
      </c>
      <c r="H32" s="263">
        <f t="shared" si="0"/>
        <v>0</v>
      </c>
    </row>
    <row r="33" spans="1:13" ht="12.75" customHeight="1">
      <c r="A33" s="136" t="s">
        <v>67</v>
      </c>
      <c r="B33" s="1" t="s">
        <v>68</v>
      </c>
      <c r="C33" s="246">
        <v>-95198.32</v>
      </c>
      <c r="D33" s="249">
        <v>96845.91</v>
      </c>
      <c r="E33" s="249">
        <v>-43252.62</v>
      </c>
      <c r="F33" s="249">
        <v>43840.28</v>
      </c>
      <c r="G33" s="249">
        <v>2206.9300000000003</v>
      </c>
      <c r="H33" s="263">
        <f t="shared" si="0"/>
        <v>4442.179999999993</v>
      </c>
    </row>
    <row r="34" spans="1:13" ht="12.75" customHeight="1">
      <c r="A34" s="136" t="s">
        <v>69</v>
      </c>
      <c r="B34" s="1" t="s">
        <v>70</v>
      </c>
      <c r="C34" s="246">
        <v>179.08</v>
      </c>
      <c r="D34" s="249">
        <v>0</v>
      </c>
      <c r="E34" s="249">
        <v>0</v>
      </c>
      <c r="F34" s="249">
        <v>-105.66</v>
      </c>
      <c r="G34" s="249">
        <v>0</v>
      </c>
      <c r="H34" s="263">
        <f t="shared" si="0"/>
        <v>73.420000000000016</v>
      </c>
    </row>
    <row r="35" spans="1:13" ht="12.75" customHeight="1">
      <c r="A35" s="136" t="s">
        <v>71</v>
      </c>
      <c r="B35" s="1" t="s">
        <v>72</v>
      </c>
      <c r="C35" s="246">
        <v>129154.22</v>
      </c>
      <c r="D35" s="249">
        <v>-109016.01999999999</v>
      </c>
      <c r="E35" s="249">
        <v>-13039.080000000002</v>
      </c>
      <c r="F35" s="249">
        <v>-5557.2199999999993</v>
      </c>
      <c r="G35" s="249">
        <v>-826.01</v>
      </c>
      <c r="H35" s="263">
        <f t="shared" si="0"/>
        <v>715.89000000001056</v>
      </c>
    </row>
    <row r="36" spans="1:13" ht="12.75" customHeight="1">
      <c r="A36" s="136" t="s">
        <v>73</v>
      </c>
      <c r="B36" s="1" t="s">
        <v>74</v>
      </c>
      <c r="C36" s="246">
        <v>121874.61</v>
      </c>
      <c r="D36" s="249">
        <v>273260.98999999987</v>
      </c>
      <c r="E36" s="249">
        <v>-45193.380000000005</v>
      </c>
      <c r="F36" s="249">
        <v>-137878.31</v>
      </c>
      <c r="G36" s="249">
        <v>-145583.26999999999</v>
      </c>
      <c r="H36" s="263">
        <f t="shared" si="0"/>
        <v>66480.639999999868</v>
      </c>
    </row>
    <row r="37" spans="1:13" ht="12.75" customHeight="1">
      <c r="A37" s="136" t="s">
        <v>75</v>
      </c>
      <c r="B37" s="1" t="s">
        <v>76</v>
      </c>
      <c r="C37" s="246">
        <v>97255.360000000001</v>
      </c>
      <c r="D37" s="249">
        <v>-85043.319999999992</v>
      </c>
      <c r="E37" s="249">
        <v>-9996.6299999999974</v>
      </c>
      <c r="F37" s="249">
        <v>13146.589999999997</v>
      </c>
      <c r="G37" s="249">
        <v>-6180.97</v>
      </c>
      <c r="H37" s="263">
        <f t="shared" si="0"/>
        <v>9181.0300000000061</v>
      </c>
    </row>
    <row r="38" spans="1:13" ht="12.75" customHeight="1">
      <c r="A38" s="136">
        <v>2400206</v>
      </c>
      <c r="B38" s="1" t="s">
        <v>560</v>
      </c>
      <c r="C38" s="246">
        <v>-11.39</v>
      </c>
      <c r="D38" s="249">
        <v>-5.65</v>
      </c>
      <c r="E38" s="249">
        <v>0</v>
      </c>
      <c r="F38" s="249">
        <v>0</v>
      </c>
      <c r="G38" s="249">
        <v>5661</v>
      </c>
      <c r="H38" s="263">
        <f t="shared" si="0"/>
        <v>5643.96</v>
      </c>
    </row>
    <row r="39" spans="1:13" ht="12.75" customHeight="1">
      <c r="A39" s="1" t="s">
        <v>358</v>
      </c>
    </row>
    <row r="41" spans="1:13" ht="12.75" customHeight="1">
      <c r="A41" s="136">
        <v>1000002</v>
      </c>
      <c r="B41" s="1" t="s">
        <v>429</v>
      </c>
      <c r="C41" s="246">
        <v>-1</v>
      </c>
      <c r="D41" s="246">
        <v>0</v>
      </c>
      <c r="E41" s="246">
        <v>0</v>
      </c>
      <c r="F41" s="246">
        <v>0</v>
      </c>
      <c r="G41" s="246">
        <v>0</v>
      </c>
      <c r="H41" s="263">
        <f>SUM(C41:G41)</f>
        <v>-1</v>
      </c>
    </row>
    <row r="42" spans="1:13" ht="12.75" customHeight="1">
      <c r="A42" s="136">
        <v>1100000</v>
      </c>
      <c r="B42" s="1" t="s">
        <v>430</v>
      </c>
      <c r="C42" s="246">
        <v>-18931219.48</v>
      </c>
      <c r="D42" s="246">
        <v>0</v>
      </c>
      <c r="E42" s="246">
        <v>0</v>
      </c>
      <c r="F42" s="246">
        <v>0</v>
      </c>
      <c r="G42" s="246">
        <v>0</v>
      </c>
      <c r="H42" s="263">
        <f>SUM(C42:G42)</f>
        <v>-18931219.48</v>
      </c>
    </row>
    <row r="43" spans="1:13" ht="12.75" customHeight="1">
      <c r="A43" s="136">
        <v>1160000</v>
      </c>
      <c r="B43" s="1" t="s">
        <v>94</v>
      </c>
      <c r="C43" s="246">
        <v>7605148.6600000001</v>
      </c>
      <c r="D43" s="246">
        <v>0</v>
      </c>
      <c r="E43" s="246">
        <v>0</v>
      </c>
      <c r="F43" s="246">
        <v>0</v>
      </c>
      <c r="G43" s="246">
        <v>0</v>
      </c>
      <c r="H43" s="263">
        <f>SUM(C43:G43)</f>
        <v>7605148.6600000001</v>
      </c>
    </row>
    <row r="44" spans="1:13" ht="12.75" customHeight="1">
      <c r="A44" s="136" t="s">
        <v>95</v>
      </c>
      <c r="B44" s="1" t="s">
        <v>96</v>
      </c>
      <c r="D44" s="246">
        <v>0</v>
      </c>
      <c r="E44" s="246">
        <v>0</v>
      </c>
      <c r="H44" s="263">
        <f>SUM(C44:G44)</f>
        <v>0</v>
      </c>
    </row>
    <row r="45" spans="1:13" ht="12.75" customHeight="1">
      <c r="A45" s="1" t="s">
        <v>359</v>
      </c>
    </row>
    <row r="47" spans="1:13" ht="12.75" customHeight="1">
      <c r="A47" s="136">
        <v>1930001</v>
      </c>
      <c r="B47" s="1" t="s">
        <v>104</v>
      </c>
      <c r="C47" s="246">
        <v>-168320325</v>
      </c>
      <c r="D47" s="246">
        <v>0</v>
      </c>
      <c r="E47" s="246">
        <v>0</v>
      </c>
      <c r="F47" s="246">
        <v>0</v>
      </c>
      <c r="G47" s="246">
        <v>0</v>
      </c>
      <c r="H47" s="263">
        <f>SUM(C47:G47)</f>
        <v>-168320325</v>
      </c>
    </row>
    <row r="48" spans="1:13" ht="12.75" customHeight="1">
      <c r="A48" s="136" t="s">
        <v>107</v>
      </c>
      <c r="B48" s="1" t="s">
        <v>108</v>
      </c>
      <c r="C48" s="246">
        <v>28670324.809999999</v>
      </c>
      <c r="D48" s="248">
        <v>1040566.26</v>
      </c>
      <c r="E48" s="249">
        <v>531000</v>
      </c>
      <c r="F48" s="248">
        <v>1446000</v>
      </c>
      <c r="G48" s="248">
        <v>865339</v>
      </c>
      <c r="H48" s="263">
        <f>SUM(C48:G48)</f>
        <v>32553230.07</v>
      </c>
      <c r="M48" s="265"/>
    </row>
    <row r="49" spans="1:13" ht="12.75" customHeight="1">
      <c r="A49" s="136">
        <v>1930200</v>
      </c>
      <c r="B49" s="1" t="s">
        <v>561</v>
      </c>
      <c r="C49" s="246">
        <v>552312.06000000006</v>
      </c>
      <c r="D49" s="248">
        <v>-29069.07</v>
      </c>
      <c r="E49" s="249">
        <v>-29069.060000000005</v>
      </c>
      <c r="F49" s="248">
        <v>-29069.050000000003</v>
      </c>
      <c r="G49" s="248">
        <v>-29069.060000000005</v>
      </c>
      <c r="H49" s="263">
        <f>SUM(C49:G49)</f>
        <v>436035.82000000007</v>
      </c>
      <c r="M49" s="265"/>
    </row>
    <row r="50" spans="1:13" ht="12.75" customHeight="1">
      <c r="A50" s="1" t="s">
        <v>362</v>
      </c>
    </row>
    <row r="52" spans="1:13" ht="12.75" customHeight="1">
      <c r="A52" s="136" t="s">
        <v>121</v>
      </c>
      <c r="B52" s="1" t="s">
        <v>122</v>
      </c>
      <c r="C52" s="246">
        <v>-356034.6</v>
      </c>
      <c r="D52" s="246">
        <v>-339462.09</v>
      </c>
      <c r="E52" s="175">
        <v>459980.87</v>
      </c>
      <c r="F52" s="246">
        <v>-134611.64000000001</v>
      </c>
      <c r="G52" s="246">
        <v>-65993.450000000012</v>
      </c>
      <c r="H52" s="263">
        <f>SUM(C52:G52)</f>
        <v>-436120.91</v>
      </c>
      <c r="I52" s="1" t="s">
        <v>603</v>
      </c>
    </row>
    <row r="53" spans="1:13" ht="12.75" customHeight="1">
      <c r="A53" s="136" t="s">
        <v>123</v>
      </c>
      <c r="B53" s="1" t="s">
        <v>124</v>
      </c>
      <c r="C53" s="246">
        <v>-892980</v>
      </c>
      <c r="D53" s="246">
        <v>-12500</v>
      </c>
      <c r="E53" s="246">
        <v>-13200</v>
      </c>
      <c r="F53" s="246">
        <v>-1500</v>
      </c>
      <c r="G53" s="246">
        <v>-12500</v>
      </c>
      <c r="H53" s="263">
        <f>SUM(C53:G53)</f>
        <v>-932680</v>
      </c>
    </row>
    <row r="54" spans="1:13" ht="12.75" customHeight="1">
      <c r="A54" s="1" t="s">
        <v>363</v>
      </c>
    </row>
    <row r="56" spans="1:13" ht="12.75" customHeight="1">
      <c r="A56" s="136" t="s">
        <v>129</v>
      </c>
      <c r="B56" s="1" t="s">
        <v>130</v>
      </c>
      <c r="C56" s="246">
        <v>-5726</v>
      </c>
      <c r="D56" s="246">
        <v>757.22999999999934</v>
      </c>
      <c r="E56" s="246">
        <v>168.17000000000007</v>
      </c>
      <c r="F56" s="246">
        <v>-445.40000000000009</v>
      </c>
      <c r="G56" s="246">
        <v>-961.85999999999967</v>
      </c>
      <c r="H56" s="263">
        <f>SUM(C56:G56)</f>
        <v>-6207.86</v>
      </c>
    </row>
    <row r="57" spans="1:13" ht="12.75" customHeight="1">
      <c r="A57" s="136" t="s">
        <v>133</v>
      </c>
      <c r="B57" s="1" t="s">
        <v>134</v>
      </c>
      <c r="H57" s="114">
        <f>SUM(C57:G57)</f>
        <v>0</v>
      </c>
    </row>
    <row r="58" spans="1:13" ht="12.75" customHeight="1">
      <c r="A58" s="136" t="s">
        <v>137</v>
      </c>
      <c r="B58" s="1" t="s">
        <v>138</v>
      </c>
      <c r="H58" s="114">
        <f>SUM(C58:G58)</f>
        <v>0</v>
      </c>
    </row>
    <row r="59" spans="1:13" ht="12.75" customHeight="1">
      <c r="A59" s="1" t="s">
        <v>366</v>
      </c>
    </row>
    <row r="61" spans="1:13">
      <c r="A61" s="136">
        <v>2620000</v>
      </c>
      <c r="B61" s="1" t="s">
        <v>542</v>
      </c>
      <c r="C61" s="246">
        <v>-100000</v>
      </c>
      <c r="D61" s="246">
        <v>100000</v>
      </c>
      <c r="E61" s="246">
        <v>0</v>
      </c>
      <c r="F61" s="246">
        <v>-200000</v>
      </c>
      <c r="G61" s="246">
        <v>-200000</v>
      </c>
      <c r="H61" s="263">
        <f>SUM(C61:G61)</f>
        <v>-400000</v>
      </c>
    </row>
    <row r="62" spans="1:13" ht="12.75" customHeight="1">
      <c r="A62" s="136" t="s">
        <v>543</v>
      </c>
      <c r="F62" s="251"/>
    </row>
    <row r="63" spans="1:13" ht="12.75" customHeight="1"/>
    <row r="64" spans="1:13" ht="12.75" customHeight="1">
      <c r="A64" s="136">
        <v>2740100</v>
      </c>
      <c r="B64" s="1" t="s">
        <v>492</v>
      </c>
      <c r="C64" s="246">
        <v>-136824.95999999999</v>
      </c>
      <c r="D64" s="246">
        <v>-19436.43</v>
      </c>
      <c r="E64" s="246">
        <v>-809307.91</v>
      </c>
      <c r="F64" s="246">
        <v>801.61000000000058</v>
      </c>
      <c r="G64" s="246">
        <v>1175.8699999999953</v>
      </c>
      <c r="H64" s="263">
        <f t="shared" ref="H64:H77" si="1">SUM(C64:G64)</f>
        <v>-963591.82000000007</v>
      </c>
    </row>
    <row r="65" spans="1:8" ht="12.75" customHeight="1">
      <c r="A65" s="136" t="s">
        <v>141</v>
      </c>
      <c r="B65" s="1" t="s">
        <v>142</v>
      </c>
      <c r="C65" s="246">
        <v>-872464.54</v>
      </c>
      <c r="D65" s="246">
        <v>-34705.35</v>
      </c>
      <c r="E65" s="246">
        <v>-20233.89</v>
      </c>
      <c r="F65" s="246">
        <v>-8275.86</v>
      </c>
      <c r="G65" s="246">
        <v>-30315.360000000001</v>
      </c>
      <c r="H65" s="263">
        <f t="shared" si="1"/>
        <v>-965995</v>
      </c>
    </row>
    <row r="66" spans="1:8" ht="12.75" customHeight="1">
      <c r="A66" s="136">
        <v>2740500</v>
      </c>
      <c r="B66" s="1" t="s">
        <v>144</v>
      </c>
      <c r="C66" s="246">
        <v>-45000</v>
      </c>
      <c r="D66" s="246">
        <v>400.95</v>
      </c>
      <c r="E66" s="246">
        <v>-400.95</v>
      </c>
      <c r="F66" s="246">
        <v>0</v>
      </c>
      <c r="G66" s="246">
        <v>0</v>
      </c>
      <c r="H66" s="263">
        <f t="shared" si="1"/>
        <v>-45000</v>
      </c>
    </row>
    <row r="67" spans="1:8" ht="12.75" customHeight="1">
      <c r="A67" s="136" t="s">
        <v>145</v>
      </c>
      <c r="B67" s="1" t="s">
        <v>146</v>
      </c>
      <c r="D67" s="246">
        <v>0</v>
      </c>
      <c r="E67" s="246">
        <v>0</v>
      </c>
      <c r="H67" s="263">
        <f t="shared" si="1"/>
        <v>0</v>
      </c>
    </row>
    <row r="68" spans="1:8" ht="12.75" customHeight="1">
      <c r="A68" s="136" t="s">
        <v>367</v>
      </c>
      <c r="B68" s="1" t="s">
        <v>368</v>
      </c>
      <c r="D68" s="246">
        <v>0</v>
      </c>
      <c r="E68" s="246">
        <v>0</v>
      </c>
      <c r="H68" s="263">
        <f t="shared" si="1"/>
        <v>0</v>
      </c>
    </row>
    <row r="69" spans="1:8" ht="12.75" customHeight="1">
      <c r="A69" s="136" t="s">
        <v>147</v>
      </c>
      <c r="B69" s="1" t="s">
        <v>148</v>
      </c>
      <c r="D69" s="246">
        <v>129788.99999999999</v>
      </c>
      <c r="E69" s="246">
        <v>32104.409999999989</v>
      </c>
      <c r="F69" s="246">
        <v>-80946.720000000001</v>
      </c>
      <c r="G69" s="246">
        <v>-80946.69</v>
      </c>
      <c r="H69" s="263">
        <f t="shared" si="1"/>
        <v>0</v>
      </c>
    </row>
    <row r="70" spans="1:8" ht="12.75" customHeight="1">
      <c r="A70" s="136" t="s">
        <v>149</v>
      </c>
      <c r="B70" s="1" t="s">
        <v>150</v>
      </c>
      <c r="C70" s="246">
        <v>-42098.85</v>
      </c>
      <c r="D70" s="246">
        <v>0</v>
      </c>
      <c r="E70" s="246">
        <v>0</v>
      </c>
      <c r="F70" s="246">
        <v>0</v>
      </c>
      <c r="G70" s="246">
        <v>0</v>
      </c>
      <c r="H70" s="263">
        <f t="shared" si="1"/>
        <v>-42098.85</v>
      </c>
    </row>
    <row r="71" spans="1:8" ht="12.75" customHeight="1">
      <c r="A71" s="136" t="s">
        <v>151</v>
      </c>
      <c r="B71" s="1" t="s">
        <v>152</v>
      </c>
      <c r="D71" s="246">
        <v>0</v>
      </c>
      <c r="E71" s="246">
        <v>0</v>
      </c>
      <c r="F71" s="246">
        <v>0</v>
      </c>
      <c r="G71" s="246">
        <v>0</v>
      </c>
      <c r="H71" s="263">
        <f t="shared" si="1"/>
        <v>0</v>
      </c>
    </row>
    <row r="72" spans="1:8" ht="12.75" customHeight="1">
      <c r="A72" s="136" t="s">
        <v>155</v>
      </c>
      <c r="B72" s="1" t="s">
        <v>156</v>
      </c>
      <c r="C72" s="246">
        <v>-252480.92</v>
      </c>
      <c r="D72" s="246">
        <v>125173.56000000001</v>
      </c>
      <c r="E72" s="246">
        <v>-127137.14</v>
      </c>
      <c r="F72" s="246">
        <v>-130845.14</v>
      </c>
      <c r="G72" s="246">
        <v>297866.29000000004</v>
      </c>
      <c r="H72" s="263">
        <f t="shared" si="1"/>
        <v>-87423.349999999977</v>
      </c>
    </row>
    <row r="73" spans="1:8" ht="12.75" customHeight="1">
      <c r="A73" s="136" t="s">
        <v>157</v>
      </c>
      <c r="B73" s="1" t="s">
        <v>158</v>
      </c>
      <c r="D73" s="246">
        <v>0</v>
      </c>
      <c r="E73" s="246">
        <v>0</v>
      </c>
      <c r="H73" s="114">
        <f t="shared" si="1"/>
        <v>0</v>
      </c>
    </row>
    <row r="74" spans="1:8" ht="12.75" customHeight="1">
      <c r="A74" s="136" t="s">
        <v>159</v>
      </c>
      <c r="B74" s="1" t="s">
        <v>494</v>
      </c>
      <c r="C74" s="246">
        <v>30000</v>
      </c>
      <c r="D74" s="246">
        <v>0</v>
      </c>
      <c r="E74" s="246">
        <v>40000</v>
      </c>
      <c r="F74" s="246">
        <v>-40000</v>
      </c>
      <c r="G74" s="246">
        <v>0</v>
      </c>
      <c r="H74" s="263">
        <f t="shared" si="1"/>
        <v>30000</v>
      </c>
    </row>
    <row r="75" spans="1:8" ht="12.75" customHeight="1">
      <c r="A75" s="136" t="s">
        <v>161</v>
      </c>
      <c r="B75" s="1" t="s">
        <v>162</v>
      </c>
      <c r="E75" s="246">
        <v>0</v>
      </c>
      <c r="H75" s="114">
        <f t="shared" si="1"/>
        <v>0</v>
      </c>
    </row>
    <row r="76" spans="1:8" ht="12.75" customHeight="1">
      <c r="A76" s="1" t="s">
        <v>163</v>
      </c>
      <c r="B76" s="1" t="s">
        <v>164</v>
      </c>
      <c r="E76" s="246">
        <v>0</v>
      </c>
      <c r="H76" s="114">
        <f t="shared" si="1"/>
        <v>0</v>
      </c>
    </row>
    <row r="77" spans="1:8">
      <c r="A77" s="136">
        <v>2040100</v>
      </c>
      <c r="B77" s="1" t="s">
        <v>578</v>
      </c>
      <c r="D77" s="246">
        <v>0</v>
      </c>
      <c r="E77" s="246">
        <f>-41878.65+41878.65</f>
        <v>0</v>
      </c>
      <c r="H77" s="114">
        <f t="shared" si="1"/>
        <v>0</v>
      </c>
    </row>
    <row r="78" spans="1:8">
      <c r="A78" s="136" t="s">
        <v>369</v>
      </c>
    </row>
    <row r="79" spans="1:8" ht="12.75" customHeight="1">
      <c r="A79" s="138"/>
    </row>
    <row r="80" spans="1:8" ht="12.75" customHeight="1"/>
    <row r="81" spans="1:12" ht="12.75" customHeight="1">
      <c r="A81" s="136" t="s">
        <v>370</v>
      </c>
    </row>
    <row r="82" spans="1:12" ht="12.75" customHeight="1">
      <c r="A82" s="1" t="s">
        <v>174</v>
      </c>
      <c r="B82" s="1" t="s">
        <v>175</v>
      </c>
      <c r="D82" s="246">
        <v>-2959140.94</v>
      </c>
      <c r="E82" s="246">
        <v>-2984947.88</v>
      </c>
      <c r="F82" s="246">
        <v>-3069840.08</v>
      </c>
      <c r="G82" s="246">
        <v>-3070216.69</v>
      </c>
      <c r="H82" s="114">
        <f>SUM(C82:G82)</f>
        <v>-12084145.59</v>
      </c>
    </row>
    <row r="83" spans="1:12">
      <c r="A83" s="136" t="s">
        <v>176</v>
      </c>
      <c r="B83" s="1" t="s">
        <v>177</v>
      </c>
      <c r="D83" s="246">
        <v>55162.54</v>
      </c>
      <c r="E83" s="246">
        <v>56558</v>
      </c>
      <c r="F83" s="246">
        <v>66841.790000000008</v>
      </c>
      <c r="G83" s="246">
        <v>59363.37999999999</v>
      </c>
      <c r="H83" s="114">
        <f>SUM(C83:G83)</f>
        <v>237925.71000000002</v>
      </c>
    </row>
    <row r="84" spans="1:12" ht="12.75" customHeight="1">
      <c r="A84" s="136" t="s">
        <v>381</v>
      </c>
      <c r="D84" s="246">
        <f>D82+D83</f>
        <v>-2903978.4</v>
      </c>
      <c r="E84" s="246">
        <f>E82+E83</f>
        <v>-2928389.88</v>
      </c>
      <c r="F84" s="246">
        <f>F82+F83</f>
        <v>-3002998.29</v>
      </c>
      <c r="G84" s="246">
        <f>G82+G83</f>
        <v>-3010853.31</v>
      </c>
      <c r="H84" s="263">
        <f>SUM(C84:G84)</f>
        <v>-11846219.880000001</v>
      </c>
    </row>
    <row r="85" spans="1:12" ht="12.75" customHeight="1"/>
    <row r="86" spans="1:12" ht="12.75" customHeight="1">
      <c r="A86" s="136">
        <v>8400400</v>
      </c>
      <c r="B86" s="1" t="s">
        <v>515</v>
      </c>
      <c r="H86" s="114">
        <f>SUM(C86:F86)</f>
        <v>0</v>
      </c>
    </row>
    <row r="87" spans="1:12" ht="12.75" customHeight="1">
      <c r="A87" s="136" t="s">
        <v>182</v>
      </c>
      <c r="B87" s="1" t="s">
        <v>183</v>
      </c>
      <c r="D87" s="246">
        <v>-165745.84</v>
      </c>
      <c r="E87" s="175">
        <v>-166072.95000000001</v>
      </c>
      <c r="F87" s="246">
        <v>-165720.32000000001</v>
      </c>
      <c r="G87" s="246">
        <f>-158681.53-I87</f>
        <v>-613441.53</v>
      </c>
      <c r="H87" s="263">
        <f>SUM(C87:G87)</f>
        <v>-1110980.6400000001</v>
      </c>
      <c r="I87" s="1">
        <f>534760-80000</f>
        <v>454760</v>
      </c>
    </row>
    <row r="88" spans="1:12" ht="12.75" customHeight="1">
      <c r="A88" s="1" t="s">
        <v>184</v>
      </c>
      <c r="B88" s="1" t="s">
        <v>185</v>
      </c>
      <c r="D88" s="246">
        <v>9522.0299999999988</v>
      </c>
      <c r="E88" s="246">
        <v>9644.39</v>
      </c>
      <c r="F88" s="246">
        <v>8306.41</v>
      </c>
      <c r="G88" s="246">
        <v>7851.73</v>
      </c>
      <c r="H88" s="263">
        <f>SUM(C88:G88)</f>
        <v>35324.559999999998</v>
      </c>
    </row>
    <row r="89" spans="1:12">
      <c r="A89" s="136" t="s">
        <v>186</v>
      </c>
      <c r="B89" s="1" t="s">
        <v>187</v>
      </c>
      <c r="D89" s="246">
        <v>353718.65</v>
      </c>
      <c r="E89" s="246">
        <v>267954.63</v>
      </c>
      <c r="F89" s="246">
        <v>235052.43</v>
      </c>
      <c r="G89" s="246">
        <v>298930.42</v>
      </c>
      <c r="H89" s="263">
        <f>SUM(C89:G89)</f>
        <v>1155656.1299999999</v>
      </c>
    </row>
    <row r="90" spans="1:12" ht="12.75" customHeight="1">
      <c r="A90" s="136" t="s">
        <v>382</v>
      </c>
      <c r="D90" s="246">
        <f>SUM(D86:D89)</f>
        <v>197494.84000000003</v>
      </c>
      <c r="E90" s="246">
        <f>SUM(E87:E89)</f>
        <v>111526.07</v>
      </c>
      <c r="F90" s="246">
        <f>SUM(F87:F89)</f>
        <v>77638.51999999999</v>
      </c>
      <c r="G90" s="246">
        <f>SUM(G87:G89)</f>
        <v>-306659.38000000006</v>
      </c>
      <c r="H90" s="114">
        <f>SUM(C90:G90)</f>
        <v>80000.049999999988</v>
      </c>
    </row>
    <row r="91" spans="1:12" ht="12.75" customHeight="1">
      <c r="A91" s="1"/>
      <c r="J91" s="262"/>
    </row>
    <row r="92" spans="1:12">
      <c r="A92" s="136" t="s">
        <v>198</v>
      </c>
      <c r="B92" s="1" t="s">
        <v>199</v>
      </c>
      <c r="D92" s="246">
        <v>126034.62</v>
      </c>
      <c r="E92" s="246">
        <v>126358.08000000002</v>
      </c>
      <c r="F92" s="246">
        <v>130076.16</v>
      </c>
      <c r="G92" s="246">
        <v>129917.19</v>
      </c>
      <c r="H92" s="263">
        <f>SUM(C92:G92)</f>
        <v>512386.05</v>
      </c>
    </row>
    <row r="93" spans="1:12" ht="12.75" customHeight="1">
      <c r="A93" s="136" t="s">
        <v>408</v>
      </c>
      <c r="D93" s="246">
        <f>SUM(D92)</f>
        <v>126034.62</v>
      </c>
      <c r="E93" s="246">
        <f>E92</f>
        <v>126358.08000000002</v>
      </c>
      <c r="F93" s="246">
        <f>F92</f>
        <v>130076.16</v>
      </c>
      <c r="G93" s="246">
        <f>G92</f>
        <v>129917.19</v>
      </c>
      <c r="H93" s="114">
        <f>SUM(C93:G93)</f>
        <v>512386.05</v>
      </c>
      <c r="J93" s="246"/>
      <c r="L93" s="141"/>
    </row>
    <row r="94" spans="1:12" ht="12.75" customHeight="1"/>
    <row r="95" spans="1:12" ht="12.75" customHeight="1">
      <c r="A95" s="1" t="s">
        <v>204</v>
      </c>
      <c r="B95" s="1" t="s">
        <v>205</v>
      </c>
      <c r="D95" s="246">
        <v>707631</v>
      </c>
      <c r="E95" s="246">
        <v>706154</v>
      </c>
      <c r="F95" s="246">
        <v>722958</v>
      </c>
      <c r="G95" s="246">
        <v>747378</v>
      </c>
      <c r="H95" s="263">
        <f>SUM(C95:G95)</f>
        <v>2884121</v>
      </c>
    </row>
    <row r="96" spans="1:12">
      <c r="A96" s="136" t="s">
        <v>206</v>
      </c>
      <c r="B96" s="1" t="s">
        <v>207</v>
      </c>
      <c r="D96" s="246">
        <v>-114663</v>
      </c>
      <c r="E96" s="246">
        <v>-315876</v>
      </c>
      <c r="F96" s="246">
        <v>-724209</v>
      </c>
      <c r="G96" s="246">
        <v>-1422615</v>
      </c>
      <c r="H96" s="263">
        <f>SUM(C96:G96)</f>
        <v>-2577363</v>
      </c>
    </row>
    <row r="97" spans="1:12" ht="12.75" customHeight="1">
      <c r="A97" s="136" t="s">
        <v>384</v>
      </c>
      <c r="D97" s="246">
        <f>SUM(D95:D96)</f>
        <v>592968</v>
      </c>
      <c r="E97" s="246">
        <f>SUM(E95:E96)</f>
        <v>390278</v>
      </c>
      <c r="F97" s="246">
        <f>SUM(F95:F96)</f>
        <v>-1251</v>
      </c>
      <c r="G97" s="246">
        <f>SUM(G95:G96)</f>
        <v>-675237</v>
      </c>
      <c r="H97" s="114">
        <f>SUM(C97:G97)</f>
        <v>306758</v>
      </c>
      <c r="J97" s="246"/>
      <c r="L97" s="141"/>
    </row>
    <row r="98" spans="1:12" ht="12.75" customHeight="1"/>
    <row r="99" spans="1:12" ht="12.75" customHeight="1">
      <c r="A99" s="136" t="s">
        <v>210</v>
      </c>
      <c r="B99" s="1" t="s">
        <v>211</v>
      </c>
      <c r="D99" s="246">
        <v>183914.03</v>
      </c>
      <c r="E99" s="246">
        <v>180973.26</v>
      </c>
      <c r="F99" s="246">
        <v>244924.96000000002</v>
      </c>
      <c r="G99" s="246">
        <v>423015.44000000006</v>
      </c>
      <c r="H99" s="263">
        <f t="shared" ref="H99:H107" si="2">SUM(C99:G99)</f>
        <v>1032827.6900000001</v>
      </c>
    </row>
    <row r="100" spans="1:12" ht="12.75" customHeight="1">
      <c r="A100" s="136" t="s">
        <v>212</v>
      </c>
      <c r="B100" s="1" t="s">
        <v>213</v>
      </c>
      <c r="D100" s="246">
        <v>0</v>
      </c>
      <c r="E100" s="246">
        <v>-6167</v>
      </c>
      <c r="F100" s="246">
        <v>0</v>
      </c>
      <c r="G100" s="246">
        <v>0</v>
      </c>
      <c r="H100" s="263">
        <f t="shared" si="2"/>
        <v>-6167</v>
      </c>
      <c r="L100" s="141"/>
    </row>
    <row r="101" spans="1:12" ht="12.75" customHeight="1">
      <c r="A101" s="136" t="s">
        <v>214</v>
      </c>
      <c r="B101" s="1" t="s">
        <v>215</v>
      </c>
      <c r="D101" s="246">
        <v>85118.19</v>
      </c>
      <c r="E101" s="246">
        <v>80511.73000000001</v>
      </c>
      <c r="F101" s="246">
        <v>85689.26</v>
      </c>
      <c r="G101" s="246">
        <v>81195.069999999992</v>
      </c>
      <c r="H101" s="263">
        <f t="shared" si="2"/>
        <v>332514.25</v>
      </c>
    </row>
    <row r="102" spans="1:12" ht="12.75" customHeight="1">
      <c r="A102" s="136" t="s">
        <v>216</v>
      </c>
      <c r="B102" s="1" t="s">
        <v>217</v>
      </c>
      <c r="D102" s="246">
        <v>146200.38</v>
      </c>
      <c r="E102" s="246">
        <v>179862.97</v>
      </c>
      <c r="F102" s="246">
        <v>187223.72</v>
      </c>
      <c r="G102" s="246">
        <v>160678.75999999998</v>
      </c>
      <c r="H102" s="263">
        <f t="shared" si="2"/>
        <v>673965.83</v>
      </c>
      <c r="L102" s="141"/>
    </row>
    <row r="103" spans="1:12" ht="12.75" customHeight="1">
      <c r="A103" s="136" t="s">
        <v>218</v>
      </c>
      <c r="B103" s="1" t="s">
        <v>219</v>
      </c>
      <c r="D103" s="246">
        <v>95071.45</v>
      </c>
      <c r="E103" s="246">
        <v>13692.19</v>
      </c>
      <c r="F103" s="246">
        <v>450.4</v>
      </c>
      <c r="H103" s="263">
        <f t="shared" si="2"/>
        <v>109214.04</v>
      </c>
    </row>
    <row r="104" spans="1:12" ht="12.75" customHeight="1">
      <c r="A104" s="136" t="s">
        <v>220</v>
      </c>
      <c r="B104" s="1" t="s">
        <v>221</v>
      </c>
      <c r="D104" s="246">
        <v>8625.43</v>
      </c>
      <c r="E104" s="246">
        <v>39880.400000000001</v>
      </c>
      <c r="F104" s="246">
        <v>44191.93</v>
      </c>
      <c r="G104" s="246">
        <v>3224.63</v>
      </c>
      <c r="H104" s="263">
        <f t="shared" si="2"/>
        <v>95922.390000000014</v>
      </c>
    </row>
    <row r="105" spans="1:12" ht="12.75" customHeight="1">
      <c r="A105" s="1" t="s">
        <v>385</v>
      </c>
      <c r="B105" s="1" t="s">
        <v>386</v>
      </c>
      <c r="D105" s="246">
        <v>0</v>
      </c>
      <c r="E105" s="246">
        <v>-76.66</v>
      </c>
      <c r="F105" s="246">
        <v>-126.11</v>
      </c>
      <c r="H105" s="263">
        <f t="shared" si="2"/>
        <v>-202.76999999999998</v>
      </c>
    </row>
    <row r="106" spans="1:12">
      <c r="A106" s="136" t="s">
        <v>431</v>
      </c>
      <c r="B106" s="1" t="s">
        <v>412</v>
      </c>
      <c r="D106" s="246">
        <v>0</v>
      </c>
      <c r="E106" s="246">
        <v>0</v>
      </c>
      <c r="H106" s="114">
        <f t="shared" si="2"/>
        <v>0</v>
      </c>
    </row>
    <row r="107" spans="1:12" ht="12.75" customHeight="1">
      <c r="A107" s="136" t="s">
        <v>387</v>
      </c>
      <c r="D107" s="246">
        <f>SUM(D99:D106)</f>
        <v>518929.48</v>
      </c>
      <c r="E107" s="246">
        <f>SUM(E99:E106)</f>
        <v>488676.89000000007</v>
      </c>
      <c r="F107" s="246">
        <f>SUM(F99:F106)</f>
        <v>562354.16000000015</v>
      </c>
      <c r="G107" s="246">
        <f>SUM(G99:G106)</f>
        <v>668113.9</v>
      </c>
      <c r="H107" s="114">
        <f t="shared" si="2"/>
        <v>2238074.4300000002</v>
      </c>
    </row>
    <row r="108" spans="1:12" ht="12.75" customHeight="1"/>
    <row r="109" spans="1:12" ht="12.75" customHeight="1">
      <c r="A109" s="136" t="s">
        <v>432</v>
      </c>
      <c r="B109" s="1" t="s">
        <v>433</v>
      </c>
      <c r="H109" s="114">
        <f>SUM(C109:G109)</f>
        <v>0</v>
      </c>
    </row>
    <row r="110" spans="1:12" ht="12.75" customHeight="1">
      <c r="A110" s="1" t="s">
        <v>434</v>
      </c>
      <c r="B110" s="1" t="s">
        <v>413</v>
      </c>
      <c r="E110" s="246">
        <v>0</v>
      </c>
      <c r="H110" s="114">
        <f>SUM(C110:G110)</f>
        <v>0</v>
      </c>
    </row>
    <row r="111" spans="1:12" ht="12.75" customHeight="1">
      <c r="A111" s="136" t="s">
        <v>226</v>
      </c>
      <c r="B111" s="1" t="s">
        <v>227</v>
      </c>
      <c r="D111" s="246">
        <v>1823.94</v>
      </c>
      <c r="E111" s="246">
        <v>-4832.51</v>
      </c>
      <c r="F111" s="246">
        <v>1767.8899999999999</v>
      </c>
      <c r="G111" s="246">
        <v>9613.93</v>
      </c>
      <c r="H111" s="114">
        <f>SUM(C111:G111)</f>
        <v>8373.25</v>
      </c>
    </row>
    <row r="112" spans="1:12" ht="12.75" customHeight="1">
      <c r="A112" s="136" t="s">
        <v>388</v>
      </c>
      <c r="D112" s="246">
        <f>SUM(D109:D111)</f>
        <v>1823.94</v>
      </c>
      <c r="E112" s="246">
        <f>SUM(E110:E111)</f>
        <v>-4832.51</v>
      </c>
      <c r="F112" s="246">
        <f>SUM(F110:F111)</f>
        <v>1767.8899999999999</v>
      </c>
      <c r="G112" s="264">
        <f>SUM(G110:G111)</f>
        <v>9613.93</v>
      </c>
      <c r="H112" s="254">
        <f>SUM(C112:G112)</f>
        <v>8373.25</v>
      </c>
    </row>
    <row r="113" spans="1:12" ht="12.75" customHeight="1">
      <c r="A113" s="1"/>
    </row>
    <row r="114" spans="1:12">
      <c r="A114" s="136" t="s">
        <v>604</v>
      </c>
      <c r="B114" s="1" t="s">
        <v>605</v>
      </c>
      <c r="D114" s="246">
        <v>0</v>
      </c>
      <c r="E114" s="246">
        <v>0</v>
      </c>
      <c r="F114" s="246">
        <v>0</v>
      </c>
      <c r="G114" s="246">
        <v>145.19999999999999</v>
      </c>
      <c r="H114" s="114">
        <f>SUM(C114:G114)</f>
        <v>145.19999999999999</v>
      </c>
    </row>
    <row r="115" spans="1:12" ht="12.75" customHeight="1">
      <c r="A115" s="136" t="s">
        <v>230</v>
      </c>
      <c r="B115" s="1" t="s">
        <v>231</v>
      </c>
      <c r="D115" s="246">
        <v>0</v>
      </c>
      <c r="E115" s="246">
        <v>300</v>
      </c>
      <c r="F115" s="246">
        <v>0</v>
      </c>
      <c r="G115" s="264">
        <v>3001.8</v>
      </c>
      <c r="H115" s="254">
        <f>SUM(C115:G115)</f>
        <v>3301.8</v>
      </c>
    </row>
    <row r="116" spans="1:12" ht="12.75" customHeight="1">
      <c r="A116" s="136" t="s">
        <v>389</v>
      </c>
      <c r="D116" s="246">
        <v>0</v>
      </c>
      <c r="E116" s="246">
        <f>SUM(E114:E115)</f>
        <v>300</v>
      </c>
      <c r="F116" s="246">
        <f>SUM(F114:F115)</f>
        <v>0</v>
      </c>
      <c r="G116" s="246">
        <f>SUM(G114:G115)</f>
        <v>3147</v>
      </c>
      <c r="H116" s="114">
        <f>SUM(C116:G116)</f>
        <v>3447</v>
      </c>
    </row>
    <row r="117" spans="1:12" ht="12.75" customHeight="1"/>
    <row r="118" spans="1:12" ht="12.75" customHeight="1">
      <c r="A118" s="136" t="s">
        <v>435</v>
      </c>
      <c r="B118" s="1" t="s">
        <v>414</v>
      </c>
      <c r="D118" s="246">
        <v>0</v>
      </c>
      <c r="E118" s="246">
        <v>0</v>
      </c>
      <c r="F118" s="246">
        <v>0</v>
      </c>
      <c r="H118" s="114">
        <f t="shared" ref="H118:H129" si="3">SUM(C118:G118)</f>
        <v>0</v>
      </c>
    </row>
    <row r="119" spans="1:12" ht="12.75" customHeight="1">
      <c r="A119" s="136" t="s">
        <v>234</v>
      </c>
      <c r="B119" s="1" t="s">
        <v>235</v>
      </c>
      <c r="D119" s="246">
        <v>29190.65</v>
      </c>
      <c r="E119" s="246">
        <v>44010.869999999995</v>
      </c>
      <c r="F119" s="246">
        <v>28766.3</v>
      </c>
      <c r="G119" s="246">
        <v>38354.789999999994</v>
      </c>
      <c r="H119" s="263">
        <f t="shared" si="3"/>
        <v>140322.60999999999</v>
      </c>
    </row>
    <row r="120" spans="1:12" ht="12.75" customHeight="1">
      <c r="A120" s="136" t="s">
        <v>236</v>
      </c>
      <c r="B120" s="1" t="s">
        <v>237</v>
      </c>
      <c r="D120" s="246">
        <v>1500</v>
      </c>
      <c r="E120" s="246">
        <v>1500</v>
      </c>
      <c r="F120" s="246">
        <v>1500</v>
      </c>
      <c r="G120" s="246">
        <v>1500</v>
      </c>
      <c r="H120" s="263">
        <f t="shared" si="3"/>
        <v>6000</v>
      </c>
    </row>
    <row r="121" spans="1:12" ht="12.75" customHeight="1">
      <c r="A121" s="136" t="s">
        <v>238</v>
      </c>
      <c r="B121" s="1" t="s">
        <v>239</v>
      </c>
      <c r="D121" s="246">
        <v>5734.87</v>
      </c>
      <c r="E121" s="246">
        <v>52124.259999999995</v>
      </c>
      <c r="F121" s="246">
        <v>3122.7999999999997</v>
      </c>
      <c r="G121" s="264">
        <v>24818.14</v>
      </c>
      <c r="H121" s="263">
        <f t="shared" si="3"/>
        <v>85800.07</v>
      </c>
    </row>
    <row r="122" spans="1:12" ht="12.75" customHeight="1">
      <c r="A122" s="136" t="s">
        <v>240</v>
      </c>
      <c r="B122" s="1" t="s">
        <v>241</v>
      </c>
      <c r="D122" s="246">
        <v>1331</v>
      </c>
      <c r="E122" s="246">
        <v>1397.65</v>
      </c>
      <c r="F122" s="246">
        <v>3993</v>
      </c>
      <c r="G122" s="246">
        <v>2280.85</v>
      </c>
      <c r="H122" s="254">
        <f t="shared" si="3"/>
        <v>9002.5</v>
      </c>
    </row>
    <row r="123" spans="1:12" ht="12.75" customHeight="1">
      <c r="A123" s="136">
        <v>4310800</v>
      </c>
      <c r="B123" s="1" t="s">
        <v>562</v>
      </c>
      <c r="D123" s="264">
        <v>39350.699999999997</v>
      </c>
      <c r="E123" s="246">
        <v>42090.02</v>
      </c>
      <c r="F123" s="246">
        <v>56784.23</v>
      </c>
      <c r="G123" s="264">
        <v>80380.91</v>
      </c>
      <c r="H123" s="254">
        <f t="shared" si="3"/>
        <v>218605.86000000002</v>
      </c>
    </row>
    <row r="124" spans="1:12" ht="12" customHeight="1">
      <c r="A124" s="136" t="s">
        <v>244</v>
      </c>
      <c r="B124" s="1" t="s">
        <v>245</v>
      </c>
      <c r="D124" s="246">
        <v>23990.48</v>
      </c>
      <c r="E124" s="246">
        <v>21205</v>
      </c>
      <c r="F124" s="175">
        <v>12854.119999999999</v>
      </c>
      <c r="G124" s="264">
        <v>29807.87</v>
      </c>
      <c r="H124" s="254">
        <f t="shared" si="3"/>
        <v>87857.469999999987</v>
      </c>
    </row>
    <row r="125" spans="1:12" ht="12.75" customHeight="1">
      <c r="A125" s="136" t="s">
        <v>246</v>
      </c>
      <c r="B125" s="1" t="s">
        <v>247</v>
      </c>
      <c r="D125" s="246">
        <v>11000</v>
      </c>
      <c r="E125" s="246">
        <v>13200</v>
      </c>
      <c r="F125" s="246">
        <v>8800</v>
      </c>
      <c r="G125" s="246">
        <v>11000</v>
      </c>
      <c r="H125" s="263">
        <f t="shared" si="3"/>
        <v>44000</v>
      </c>
    </row>
    <row r="126" spans="1:12" ht="12.75" customHeight="1">
      <c r="A126" s="136" t="s">
        <v>248</v>
      </c>
      <c r="B126" s="1" t="s">
        <v>249</v>
      </c>
      <c r="D126" s="246">
        <v>33232.36</v>
      </c>
      <c r="E126" s="246">
        <v>33312.47</v>
      </c>
      <c r="F126" s="246">
        <v>33277.08</v>
      </c>
      <c r="G126" s="264">
        <v>94379.49</v>
      </c>
      <c r="H126" s="254">
        <f t="shared" si="3"/>
        <v>194201.40000000002</v>
      </c>
    </row>
    <row r="127" spans="1:12" ht="12.75" customHeight="1">
      <c r="A127" s="1" t="s">
        <v>436</v>
      </c>
      <c r="B127" s="1" t="s">
        <v>437</v>
      </c>
      <c r="D127" s="246">
        <v>0</v>
      </c>
      <c r="E127" s="246">
        <v>0</v>
      </c>
      <c r="F127" s="246">
        <v>40000</v>
      </c>
      <c r="G127" s="246">
        <v>0</v>
      </c>
      <c r="H127" s="263">
        <f t="shared" si="3"/>
        <v>40000</v>
      </c>
    </row>
    <row r="128" spans="1:12" ht="12.75" customHeight="1">
      <c r="A128" s="136" t="s">
        <v>250</v>
      </c>
      <c r="B128" s="1" t="s">
        <v>251</v>
      </c>
      <c r="D128" s="246">
        <v>1908.15</v>
      </c>
      <c r="E128" s="246">
        <v>7984.2099999999991</v>
      </c>
      <c r="F128" s="246">
        <v>5515.5400000000009</v>
      </c>
      <c r="G128" s="264">
        <v>1117.08</v>
      </c>
      <c r="H128" s="254">
        <f t="shared" si="3"/>
        <v>16524.98</v>
      </c>
      <c r="I128" s="1" t="s">
        <v>606</v>
      </c>
      <c r="L128" s="1" t="s">
        <v>607</v>
      </c>
    </row>
    <row r="129" spans="1:8" ht="12.75" customHeight="1">
      <c r="A129" s="136" t="s">
        <v>391</v>
      </c>
      <c r="D129" s="246">
        <f>SUM(D118:D128)</f>
        <v>147238.21</v>
      </c>
      <c r="E129" s="246">
        <f>SUM(E118:E128)</f>
        <v>216824.47999999998</v>
      </c>
      <c r="F129" s="246">
        <f>SUM(F118:F128)</f>
        <v>194613.07</v>
      </c>
      <c r="G129" s="246">
        <f>SUM(G118:G128)</f>
        <v>283639.13</v>
      </c>
      <c r="H129" s="114">
        <f t="shared" si="3"/>
        <v>842314.89</v>
      </c>
    </row>
    <row r="130" spans="1:8" ht="12.75" customHeight="1"/>
    <row r="131" spans="1:8" ht="12.75" customHeight="1">
      <c r="A131" s="136">
        <v>4620200</v>
      </c>
      <c r="B131" s="1" t="s">
        <v>563</v>
      </c>
      <c r="D131" s="246">
        <v>29.09</v>
      </c>
      <c r="E131" s="246">
        <v>58.18</v>
      </c>
      <c r="F131" s="246">
        <v>0</v>
      </c>
      <c r="G131" s="246">
        <v>53.16</v>
      </c>
      <c r="H131" s="263">
        <f t="shared" ref="H131:H138" si="4">SUM(C131:G131)</f>
        <v>140.43</v>
      </c>
    </row>
    <row r="132" spans="1:8" ht="12.75" customHeight="1">
      <c r="A132" s="136" t="s">
        <v>260</v>
      </c>
      <c r="B132" s="1" t="s">
        <v>261</v>
      </c>
      <c r="D132" s="246">
        <v>1389702.3</v>
      </c>
      <c r="E132" s="246">
        <v>1669531.37</v>
      </c>
      <c r="F132" s="246">
        <v>1865023.71</v>
      </c>
      <c r="G132" s="246">
        <v>1976243.93</v>
      </c>
      <c r="H132" s="263">
        <f t="shared" si="4"/>
        <v>6900501.3099999996</v>
      </c>
    </row>
    <row r="133" spans="1:8" ht="12.75" customHeight="1">
      <c r="A133" s="136">
        <v>4611000</v>
      </c>
      <c r="B133" s="1" t="s">
        <v>477</v>
      </c>
      <c r="D133" s="246">
        <v>0</v>
      </c>
      <c r="E133" s="246">
        <v>0</v>
      </c>
      <c r="H133" s="114">
        <f t="shared" si="4"/>
        <v>0</v>
      </c>
    </row>
    <row r="134" spans="1:8" ht="12.75" customHeight="1">
      <c r="A134" s="136">
        <v>4630000</v>
      </c>
      <c r="B134" s="1" t="s">
        <v>265</v>
      </c>
      <c r="E134" s="246">
        <v>0</v>
      </c>
      <c r="H134" s="114">
        <f t="shared" si="4"/>
        <v>0</v>
      </c>
    </row>
    <row r="135" spans="1:8" ht="12.75" customHeight="1">
      <c r="A135" s="136">
        <v>4663000</v>
      </c>
      <c r="B135" s="1" t="s">
        <v>564</v>
      </c>
      <c r="D135" s="246">
        <v>-380384.59</v>
      </c>
      <c r="E135" s="246">
        <v>-456978.46</v>
      </c>
      <c r="F135" s="246">
        <v>-510487.96</v>
      </c>
      <c r="G135" s="246">
        <v>-540930.78</v>
      </c>
      <c r="H135" s="114">
        <f t="shared" si="4"/>
        <v>-1888781.79</v>
      </c>
    </row>
    <row r="136" spans="1:8" ht="12.75" customHeight="1">
      <c r="A136" s="136" t="s">
        <v>266</v>
      </c>
      <c r="B136" s="1" t="s">
        <v>267</v>
      </c>
      <c r="D136" s="246">
        <v>-208809.65</v>
      </c>
      <c r="E136" s="246">
        <v>9994.1300000000047</v>
      </c>
      <c r="F136" s="246">
        <v>-143485.88999999998</v>
      </c>
      <c r="G136" s="246">
        <v>-237843.16</v>
      </c>
      <c r="H136" s="114">
        <f t="shared" si="4"/>
        <v>-580144.56999999995</v>
      </c>
    </row>
    <row r="137" spans="1:8" ht="12.75" customHeight="1">
      <c r="A137" s="136">
        <v>4642000</v>
      </c>
      <c r="B137" s="1" t="s">
        <v>462</v>
      </c>
      <c r="D137" s="246">
        <v>0</v>
      </c>
      <c r="E137" s="246">
        <v>0</v>
      </c>
      <c r="F137" s="246">
        <v>0</v>
      </c>
      <c r="G137" s="246">
        <v>0</v>
      </c>
      <c r="H137" s="114">
        <f t="shared" si="4"/>
        <v>0</v>
      </c>
    </row>
    <row r="138" spans="1:8" ht="12.75" customHeight="1">
      <c r="A138" s="136" t="s">
        <v>393</v>
      </c>
      <c r="D138" s="246">
        <f>SUM(D131:D137)</f>
        <v>800537.15</v>
      </c>
      <c r="E138" s="246">
        <f>SUM(E131:E137)</f>
        <v>1222605.2200000002</v>
      </c>
      <c r="F138" s="246">
        <f>SUM(F131:F137)</f>
        <v>1211049.8600000001</v>
      </c>
      <c r="G138" s="246">
        <f>SUM(G131:G137)</f>
        <v>1197523.1499999999</v>
      </c>
      <c r="H138" s="114">
        <f t="shared" si="4"/>
        <v>4431715.3800000008</v>
      </c>
    </row>
    <row r="139" spans="1:8" ht="12.75" customHeight="1">
      <c r="G139" s="175"/>
    </row>
    <row r="140" spans="1:8" ht="12.75" customHeight="1">
      <c r="A140" s="136">
        <v>9500000</v>
      </c>
      <c r="B140" s="1" t="s">
        <v>456</v>
      </c>
      <c r="D140" s="246">
        <v>0</v>
      </c>
      <c r="E140" s="246">
        <v>0</v>
      </c>
      <c r="H140" s="114">
        <f>SUM(C140:G140)</f>
        <v>0</v>
      </c>
    </row>
    <row r="141" spans="1:8" ht="12.75" customHeight="1">
      <c r="A141" s="136" t="s">
        <v>272</v>
      </c>
      <c r="B141" s="1" t="s">
        <v>273</v>
      </c>
      <c r="C141" s="175"/>
      <c r="D141" s="175">
        <v>-181734</v>
      </c>
      <c r="E141" s="175">
        <v>-172942</v>
      </c>
      <c r="F141" s="175">
        <v>-146161</v>
      </c>
      <c r="G141" s="175">
        <v>-153491</v>
      </c>
      <c r="H141" s="114">
        <f>SUM(C141:G141)</f>
        <v>-654328</v>
      </c>
    </row>
    <row r="142" spans="1:8" ht="12.75" customHeight="1">
      <c r="A142" s="136">
        <v>9500100</v>
      </c>
      <c r="B142" s="1" t="s">
        <v>438</v>
      </c>
      <c r="E142" s="246">
        <v>0</v>
      </c>
      <c r="H142" s="114">
        <f>SUM(C142:G142)</f>
        <v>0</v>
      </c>
    </row>
    <row r="143" spans="1:8" ht="12.75" customHeight="1">
      <c r="A143" s="1" t="s">
        <v>439</v>
      </c>
      <c r="D143" s="246">
        <f>SUM(D140:D142)</f>
        <v>-181734</v>
      </c>
      <c r="E143" s="246">
        <f>SUM(E140:E142)</f>
        <v>-172942</v>
      </c>
      <c r="F143" s="246">
        <f>SUM(F140:F142)</f>
        <v>-146161</v>
      </c>
      <c r="G143" s="246">
        <f>SUM(G140:G142)</f>
        <v>-153491</v>
      </c>
      <c r="H143" s="114">
        <f>SUM(C143:G143)</f>
        <v>-654328</v>
      </c>
    </row>
    <row r="145" spans="1:8" ht="12.75" customHeight="1">
      <c r="A145" s="136" t="s">
        <v>440</v>
      </c>
      <c r="C145" s="252"/>
      <c r="D145" s="252">
        <f>D84+D90+D93+D97+D107+D112+D116+D129+D138+D143</f>
        <v>-700686.16</v>
      </c>
      <c r="E145" s="252">
        <f>E84+E90+E93+E97+E107+E112+E116+E129+E138+E143</f>
        <v>-549595.64999999967</v>
      </c>
      <c r="F145" s="252">
        <f>F84+F90+F93+F97+F107+F112+F116+F129+F138+F143</f>
        <v>-972910.62999999942</v>
      </c>
      <c r="G145" s="252">
        <f>G84+G90+G93+G97+G107+G112+G116+G129+G138+G143</f>
        <v>-1854286.3900000001</v>
      </c>
      <c r="H145" s="252">
        <f>SUM(C145:G145)</f>
        <v>-4077478.8299999991</v>
      </c>
    </row>
    <row r="147" spans="1:8" ht="12.75" customHeight="1">
      <c r="D147" s="261">
        <f>SUM(D4:D78)+D145</f>
        <v>0</v>
      </c>
      <c r="E147" s="261">
        <f>SUM(E4:E78)+E145</f>
        <v>0</v>
      </c>
      <c r="F147" s="261">
        <f>SUM(F4:F78)+F145</f>
        <v>0</v>
      </c>
      <c r="G147" s="261">
        <f>SUM(G4:G78)+G145</f>
        <v>-454760.00000000023</v>
      </c>
      <c r="H147" s="114">
        <f>SUM(C147:G147)</f>
        <v>-454760.00000000023</v>
      </c>
    </row>
    <row r="148" spans="1:8" ht="12.75" customHeight="1"/>
    <row r="149" spans="1:8">
      <c r="A149" s="136" t="s">
        <v>579</v>
      </c>
      <c r="D149" s="261">
        <f>36883.33*3</f>
        <v>110649.99</v>
      </c>
      <c r="E149" s="261">
        <f>36883.33*3</f>
        <v>110649.99</v>
      </c>
      <c r="F149" s="261">
        <f>36883.33*3</f>
        <v>110649.99</v>
      </c>
      <c r="G149" s="261">
        <f>36883.33*3</f>
        <v>110649.99</v>
      </c>
    </row>
    <row r="150" spans="1:8" ht="12.75" customHeight="1">
      <c r="A150" s="136" t="s">
        <v>580</v>
      </c>
      <c r="D150" s="246">
        <v>-319459.64</v>
      </c>
      <c r="E150" s="246">
        <v>-100655.86</v>
      </c>
      <c r="F150" s="246">
        <v>-254135.88</v>
      </c>
      <c r="G150" s="246">
        <v>-348493.15</v>
      </c>
    </row>
    <row r="151" spans="1:8" ht="12.75" customHeight="1"/>
    <row r="152" spans="1:8" ht="12.75" customHeight="1">
      <c r="A152" s="136" t="s">
        <v>581</v>
      </c>
      <c r="D152" s="246">
        <f>D132</f>
        <v>1389702.3</v>
      </c>
      <c r="E152" s="246">
        <f>E132</f>
        <v>1669531.37</v>
      </c>
      <c r="F152" s="246">
        <f>F132</f>
        <v>1865023.71</v>
      </c>
      <c r="G152" s="246">
        <f>G132</f>
        <v>1976243.93</v>
      </c>
      <c r="H152" s="114">
        <f>SUM(D152:G152)</f>
        <v>6900501.3099999996</v>
      </c>
    </row>
    <row r="153" spans="1:8" ht="12.75" customHeight="1">
      <c r="A153" s="136" t="s">
        <v>582</v>
      </c>
      <c r="D153" s="246">
        <f>D150</f>
        <v>-319459.64</v>
      </c>
      <c r="E153" s="246">
        <f>E150</f>
        <v>-100655.86</v>
      </c>
      <c r="F153" s="246">
        <f>F150</f>
        <v>-254135.88</v>
      </c>
      <c r="G153" s="246">
        <f>G150</f>
        <v>-348493.15</v>
      </c>
      <c r="H153" s="263">
        <f>SUM(D153:G153)</f>
        <v>-1022744.53</v>
      </c>
    </row>
    <row r="154" spans="1:8" ht="12.75" customHeight="1">
      <c r="A154" s="136" t="s">
        <v>583</v>
      </c>
      <c r="D154" s="246">
        <f>D149</f>
        <v>110649.99</v>
      </c>
      <c r="E154" s="246">
        <f>E149</f>
        <v>110649.99</v>
      </c>
      <c r="F154" s="246">
        <f>F149</f>
        <v>110649.99</v>
      </c>
      <c r="G154" s="246">
        <f>G149</f>
        <v>110649.99</v>
      </c>
      <c r="H154" s="263">
        <f>SUM(D154:G154)</f>
        <v>442599.96</v>
      </c>
    </row>
    <row r="155" spans="1:8">
      <c r="A155" s="136" t="s">
        <v>584</v>
      </c>
      <c r="D155" s="246">
        <f>D133+D135</f>
        <v>-380384.59</v>
      </c>
      <c r="E155" s="246">
        <f>E133+E135</f>
        <v>-456978.46</v>
      </c>
      <c r="F155" s="246">
        <f>F133+F135</f>
        <v>-510487.96</v>
      </c>
      <c r="G155" s="246">
        <f>G133+G135</f>
        <v>-540930.78</v>
      </c>
      <c r="H155" s="114">
        <f>SUM(D155:G155)</f>
        <v>-1888781.79</v>
      </c>
    </row>
    <row r="156" spans="1:8">
      <c r="D156" s="246">
        <f>SUM(D152:D155)</f>
        <v>800508.06</v>
      </c>
      <c r="E156" s="246">
        <f>SUM(E152:E155)</f>
        <v>1222547.04</v>
      </c>
      <c r="F156" s="246">
        <f>SUM(F152:F155)</f>
        <v>1211049.8600000001</v>
      </c>
      <c r="G156" s="246">
        <f>SUM(G152:G155)</f>
        <v>1197469.9899999998</v>
      </c>
      <c r="H156" s="114">
        <f>SUM(D156:G156)</f>
        <v>4431574.9499999993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8A3E-9ACC-4B7D-B868-1D8B6E9AAA8E}">
  <dimension ref="A1:K135"/>
  <sheetViews>
    <sheetView topLeftCell="A73" zoomScaleNormal="100" workbookViewId="0">
      <selection activeCell="A109" sqref="A109:XFD109"/>
    </sheetView>
  </sheetViews>
  <sheetFormatPr defaultRowHeight="12.75" customHeight="1"/>
  <cols>
    <col min="1" max="1" width="9.109375" style="1"/>
    <col min="2" max="2" width="73" style="1" customWidth="1"/>
    <col min="3" max="3" width="26" style="137" bestFit="1" customWidth="1"/>
    <col min="4" max="7" width="17.5546875" style="137" bestFit="1" customWidth="1"/>
    <col min="8" max="8" width="20.44140625" style="1" bestFit="1" customWidth="1"/>
    <col min="9" max="9" width="10.88671875" style="1" bestFit="1" customWidth="1"/>
    <col min="10" max="257" width="9.109375" style="1"/>
    <col min="258" max="258" width="73" style="1" customWidth="1"/>
    <col min="259" max="259" width="26" style="1" bestFit="1" customWidth="1"/>
    <col min="260" max="263" width="17.5546875" style="1" bestFit="1" customWidth="1"/>
    <col min="264" max="264" width="20.44140625" style="1" bestFit="1" customWidth="1"/>
    <col min="265" max="265" width="10.88671875" style="1" bestFit="1" customWidth="1"/>
    <col min="266" max="513" width="9.109375" style="1"/>
    <col min="514" max="514" width="73" style="1" customWidth="1"/>
    <col min="515" max="515" width="26" style="1" bestFit="1" customWidth="1"/>
    <col min="516" max="519" width="17.5546875" style="1" bestFit="1" customWidth="1"/>
    <col min="520" max="520" width="20.44140625" style="1" bestFit="1" customWidth="1"/>
    <col min="521" max="521" width="10.88671875" style="1" bestFit="1" customWidth="1"/>
    <col min="522" max="769" width="9.109375" style="1"/>
    <col min="770" max="770" width="73" style="1" customWidth="1"/>
    <col min="771" max="771" width="26" style="1" bestFit="1" customWidth="1"/>
    <col min="772" max="775" width="17.5546875" style="1" bestFit="1" customWidth="1"/>
    <col min="776" max="776" width="20.44140625" style="1" bestFit="1" customWidth="1"/>
    <col min="777" max="777" width="10.88671875" style="1" bestFit="1" customWidth="1"/>
    <col min="778" max="1025" width="9.109375" style="1"/>
    <col min="1026" max="1026" width="73" style="1" customWidth="1"/>
    <col min="1027" max="1027" width="26" style="1" bestFit="1" customWidth="1"/>
    <col min="1028" max="1031" width="17.5546875" style="1" bestFit="1" customWidth="1"/>
    <col min="1032" max="1032" width="20.44140625" style="1" bestFit="1" customWidth="1"/>
    <col min="1033" max="1033" width="10.88671875" style="1" bestFit="1" customWidth="1"/>
    <col min="1034" max="1281" width="9.109375" style="1"/>
    <col min="1282" max="1282" width="73" style="1" customWidth="1"/>
    <col min="1283" max="1283" width="26" style="1" bestFit="1" customWidth="1"/>
    <col min="1284" max="1287" width="17.5546875" style="1" bestFit="1" customWidth="1"/>
    <col min="1288" max="1288" width="20.44140625" style="1" bestFit="1" customWidth="1"/>
    <col min="1289" max="1289" width="10.88671875" style="1" bestFit="1" customWidth="1"/>
    <col min="1290" max="1537" width="9.109375" style="1"/>
    <col min="1538" max="1538" width="73" style="1" customWidth="1"/>
    <col min="1539" max="1539" width="26" style="1" bestFit="1" customWidth="1"/>
    <col min="1540" max="1543" width="17.5546875" style="1" bestFit="1" customWidth="1"/>
    <col min="1544" max="1544" width="20.44140625" style="1" bestFit="1" customWidth="1"/>
    <col min="1545" max="1545" width="10.88671875" style="1" bestFit="1" customWidth="1"/>
    <col min="1546" max="1793" width="9.109375" style="1"/>
    <col min="1794" max="1794" width="73" style="1" customWidth="1"/>
    <col min="1795" max="1795" width="26" style="1" bestFit="1" customWidth="1"/>
    <col min="1796" max="1799" width="17.5546875" style="1" bestFit="1" customWidth="1"/>
    <col min="1800" max="1800" width="20.44140625" style="1" bestFit="1" customWidth="1"/>
    <col min="1801" max="1801" width="10.88671875" style="1" bestFit="1" customWidth="1"/>
    <col min="1802" max="2049" width="9.109375" style="1"/>
    <col min="2050" max="2050" width="73" style="1" customWidth="1"/>
    <col min="2051" max="2051" width="26" style="1" bestFit="1" customWidth="1"/>
    <col min="2052" max="2055" width="17.5546875" style="1" bestFit="1" customWidth="1"/>
    <col min="2056" max="2056" width="20.44140625" style="1" bestFit="1" customWidth="1"/>
    <col min="2057" max="2057" width="10.88671875" style="1" bestFit="1" customWidth="1"/>
    <col min="2058" max="2305" width="9.109375" style="1"/>
    <col min="2306" max="2306" width="73" style="1" customWidth="1"/>
    <col min="2307" max="2307" width="26" style="1" bestFit="1" customWidth="1"/>
    <col min="2308" max="2311" width="17.5546875" style="1" bestFit="1" customWidth="1"/>
    <col min="2312" max="2312" width="20.44140625" style="1" bestFit="1" customWidth="1"/>
    <col min="2313" max="2313" width="10.88671875" style="1" bestFit="1" customWidth="1"/>
    <col min="2314" max="2561" width="9.109375" style="1"/>
    <col min="2562" max="2562" width="73" style="1" customWidth="1"/>
    <col min="2563" max="2563" width="26" style="1" bestFit="1" customWidth="1"/>
    <col min="2564" max="2567" width="17.5546875" style="1" bestFit="1" customWidth="1"/>
    <col min="2568" max="2568" width="20.44140625" style="1" bestFit="1" customWidth="1"/>
    <col min="2569" max="2569" width="10.88671875" style="1" bestFit="1" customWidth="1"/>
    <col min="2570" max="2817" width="9.109375" style="1"/>
    <col min="2818" max="2818" width="73" style="1" customWidth="1"/>
    <col min="2819" max="2819" width="26" style="1" bestFit="1" customWidth="1"/>
    <col min="2820" max="2823" width="17.5546875" style="1" bestFit="1" customWidth="1"/>
    <col min="2824" max="2824" width="20.44140625" style="1" bestFit="1" customWidth="1"/>
    <col min="2825" max="2825" width="10.88671875" style="1" bestFit="1" customWidth="1"/>
    <col min="2826" max="3073" width="9.109375" style="1"/>
    <col min="3074" max="3074" width="73" style="1" customWidth="1"/>
    <col min="3075" max="3075" width="26" style="1" bestFit="1" customWidth="1"/>
    <col min="3076" max="3079" width="17.5546875" style="1" bestFit="1" customWidth="1"/>
    <col min="3080" max="3080" width="20.44140625" style="1" bestFit="1" customWidth="1"/>
    <col min="3081" max="3081" width="10.88671875" style="1" bestFit="1" customWidth="1"/>
    <col min="3082" max="3329" width="9.109375" style="1"/>
    <col min="3330" max="3330" width="73" style="1" customWidth="1"/>
    <col min="3331" max="3331" width="26" style="1" bestFit="1" customWidth="1"/>
    <col min="3332" max="3335" width="17.5546875" style="1" bestFit="1" customWidth="1"/>
    <col min="3336" max="3336" width="20.44140625" style="1" bestFit="1" customWidth="1"/>
    <col min="3337" max="3337" width="10.88671875" style="1" bestFit="1" customWidth="1"/>
    <col min="3338" max="3585" width="9.109375" style="1"/>
    <col min="3586" max="3586" width="73" style="1" customWidth="1"/>
    <col min="3587" max="3587" width="26" style="1" bestFit="1" customWidth="1"/>
    <col min="3588" max="3591" width="17.5546875" style="1" bestFit="1" customWidth="1"/>
    <col min="3592" max="3592" width="20.44140625" style="1" bestFit="1" customWidth="1"/>
    <col min="3593" max="3593" width="10.88671875" style="1" bestFit="1" customWidth="1"/>
    <col min="3594" max="3841" width="9.109375" style="1"/>
    <col min="3842" max="3842" width="73" style="1" customWidth="1"/>
    <col min="3843" max="3843" width="26" style="1" bestFit="1" customWidth="1"/>
    <col min="3844" max="3847" width="17.5546875" style="1" bestFit="1" customWidth="1"/>
    <col min="3848" max="3848" width="20.44140625" style="1" bestFit="1" customWidth="1"/>
    <col min="3849" max="3849" width="10.88671875" style="1" bestFit="1" customWidth="1"/>
    <col min="3850" max="4097" width="9.109375" style="1"/>
    <col min="4098" max="4098" width="73" style="1" customWidth="1"/>
    <col min="4099" max="4099" width="26" style="1" bestFit="1" customWidth="1"/>
    <col min="4100" max="4103" width="17.5546875" style="1" bestFit="1" customWidth="1"/>
    <col min="4104" max="4104" width="20.44140625" style="1" bestFit="1" customWidth="1"/>
    <col min="4105" max="4105" width="10.88671875" style="1" bestFit="1" customWidth="1"/>
    <col min="4106" max="4353" width="9.109375" style="1"/>
    <col min="4354" max="4354" width="73" style="1" customWidth="1"/>
    <col min="4355" max="4355" width="26" style="1" bestFit="1" customWidth="1"/>
    <col min="4356" max="4359" width="17.5546875" style="1" bestFit="1" customWidth="1"/>
    <col min="4360" max="4360" width="20.44140625" style="1" bestFit="1" customWidth="1"/>
    <col min="4361" max="4361" width="10.88671875" style="1" bestFit="1" customWidth="1"/>
    <col min="4362" max="4609" width="9.109375" style="1"/>
    <col min="4610" max="4610" width="73" style="1" customWidth="1"/>
    <col min="4611" max="4611" width="26" style="1" bestFit="1" customWidth="1"/>
    <col min="4612" max="4615" width="17.5546875" style="1" bestFit="1" customWidth="1"/>
    <col min="4616" max="4616" width="20.44140625" style="1" bestFit="1" customWidth="1"/>
    <col min="4617" max="4617" width="10.88671875" style="1" bestFit="1" customWidth="1"/>
    <col min="4618" max="4865" width="9.109375" style="1"/>
    <col min="4866" max="4866" width="73" style="1" customWidth="1"/>
    <col min="4867" max="4867" width="26" style="1" bestFit="1" customWidth="1"/>
    <col min="4868" max="4871" width="17.5546875" style="1" bestFit="1" customWidth="1"/>
    <col min="4872" max="4872" width="20.44140625" style="1" bestFit="1" customWidth="1"/>
    <col min="4873" max="4873" width="10.88671875" style="1" bestFit="1" customWidth="1"/>
    <col min="4874" max="5121" width="9.109375" style="1"/>
    <col min="5122" max="5122" width="73" style="1" customWidth="1"/>
    <col min="5123" max="5123" width="26" style="1" bestFit="1" customWidth="1"/>
    <col min="5124" max="5127" width="17.5546875" style="1" bestFit="1" customWidth="1"/>
    <col min="5128" max="5128" width="20.44140625" style="1" bestFit="1" customWidth="1"/>
    <col min="5129" max="5129" width="10.88671875" style="1" bestFit="1" customWidth="1"/>
    <col min="5130" max="5377" width="9.109375" style="1"/>
    <col min="5378" max="5378" width="73" style="1" customWidth="1"/>
    <col min="5379" max="5379" width="26" style="1" bestFit="1" customWidth="1"/>
    <col min="5380" max="5383" width="17.5546875" style="1" bestFit="1" customWidth="1"/>
    <col min="5384" max="5384" width="20.44140625" style="1" bestFit="1" customWidth="1"/>
    <col min="5385" max="5385" width="10.88671875" style="1" bestFit="1" customWidth="1"/>
    <col min="5386" max="5633" width="9.109375" style="1"/>
    <col min="5634" max="5634" width="73" style="1" customWidth="1"/>
    <col min="5635" max="5635" width="26" style="1" bestFit="1" customWidth="1"/>
    <col min="5636" max="5639" width="17.5546875" style="1" bestFit="1" customWidth="1"/>
    <col min="5640" max="5640" width="20.44140625" style="1" bestFit="1" customWidth="1"/>
    <col min="5641" max="5641" width="10.88671875" style="1" bestFit="1" customWidth="1"/>
    <col min="5642" max="5889" width="9.109375" style="1"/>
    <col min="5890" max="5890" width="73" style="1" customWidth="1"/>
    <col min="5891" max="5891" width="26" style="1" bestFit="1" customWidth="1"/>
    <col min="5892" max="5895" width="17.5546875" style="1" bestFit="1" customWidth="1"/>
    <col min="5896" max="5896" width="20.44140625" style="1" bestFit="1" customWidth="1"/>
    <col min="5897" max="5897" width="10.88671875" style="1" bestFit="1" customWidth="1"/>
    <col min="5898" max="6145" width="9.109375" style="1"/>
    <col min="6146" max="6146" width="73" style="1" customWidth="1"/>
    <col min="6147" max="6147" width="26" style="1" bestFit="1" customWidth="1"/>
    <col min="6148" max="6151" width="17.5546875" style="1" bestFit="1" customWidth="1"/>
    <col min="6152" max="6152" width="20.44140625" style="1" bestFit="1" customWidth="1"/>
    <col min="6153" max="6153" width="10.88671875" style="1" bestFit="1" customWidth="1"/>
    <col min="6154" max="6401" width="9.109375" style="1"/>
    <col min="6402" max="6402" width="73" style="1" customWidth="1"/>
    <col min="6403" max="6403" width="26" style="1" bestFit="1" customWidth="1"/>
    <col min="6404" max="6407" width="17.5546875" style="1" bestFit="1" customWidth="1"/>
    <col min="6408" max="6408" width="20.44140625" style="1" bestFit="1" customWidth="1"/>
    <col min="6409" max="6409" width="10.88671875" style="1" bestFit="1" customWidth="1"/>
    <col min="6410" max="6657" width="9.109375" style="1"/>
    <col min="6658" max="6658" width="73" style="1" customWidth="1"/>
    <col min="6659" max="6659" width="26" style="1" bestFit="1" customWidth="1"/>
    <col min="6660" max="6663" width="17.5546875" style="1" bestFit="1" customWidth="1"/>
    <col min="6664" max="6664" width="20.44140625" style="1" bestFit="1" customWidth="1"/>
    <col min="6665" max="6665" width="10.88671875" style="1" bestFit="1" customWidth="1"/>
    <col min="6666" max="6913" width="9.109375" style="1"/>
    <col min="6914" max="6914" width="73" style="1" customWidth="1"/>
    <col min="6915" max="6915" width="26" style="1" bestFit="1" customWidth="1"/>
    <col min="6916" max="6919" width="17.5546875" style="1" bestFit="1" customWidth="1"/>
    <col min="6920" max="6920" width="20.44140625" style="1" bestFit="1" customWidth="1"/>
    <col min="6921" max="6921" width="10.88671875" style="1" bestFit="1" customWidth="1"/>
    <col min="6922" max="7169" width="9.109375" style="1"/>
    <col min="7170" max="7170" width="73" style="1" customWidth="1"/>
    <col min="7171" max="7171" width="26" style="1" bestFit="1" customWidth="1"/>
    <col min="7172" max="7175" width="17.5546875" style="1" bestFit="1" customWidth="1"/>
    <col min="7176" max="7176" width="20.44140625" style="1" bestFit="1" customWidth="1"/>
    <col min="7177" max="7177" width="10.88671875" style="1" bestFit="1" customWidth="1"/>
    <col min="7178" max="7425" width="9.109375" style="1"/>
    <col min="7426" max="7426" width="73" style="1" customWidth="1"/>
    <col min="7427" max="7427" width="26" style="1" bestFit="1" customWidth="1"/>
    <col min="7428" max="7431" width="17.5546875" style="1" bestFit="1" customWidth="1"/>
    <col min="7432" max="7432" width="20.44140625" style="1" bestFit="1" customWidth="1"/>
    <col min="7433" max="7433" width="10.88671875" style="1" bestFit="1" customWidth="1"/>
    <col min="7434" max="7681" width="9.109375" style="1"/>
    <col min="7682" max="7682" width="73" style="1" customWidth="1"/>
    <col min="7683" max="7683" width="26" style="1" bestFit="1" customWidth="1"/>
    <col min="7684" max="7687" width="17.5546875" style="1" bestFit="1" customWidth="1"/>
    <col min="7688" max="7688" width="20.44140625" style="1" bestFit="1" customWidth="1"/>
    <col min="7689" max="7689" width="10.88671875" style="1" bestFit="1" customWidth="1"/>
    <col min="7690" max="7937" width="9.109375" style="1"/>
    <col min="7938" max="7938" width="73" style="1" customWidth="1"/>
    <col min="7939" max="7939" width="26" style="1" bestFit="1" customWidth="1"/>
    <col min="7940" max="7943" width="17.5546875" style="1" bestFit="1" customWidth="1"/>
    <col min="7944" max="7944" width="20.44140625" style="1" bestFit="1" customWidth="1"/>
    <col min="7945" max="7945" width="10.88671875" style="1" bestFit="1" customWidth="1"/>
    <col min="7946" max="8193" width="9.109375" style="1"/>
    <col min="8194" max="8194" width="73" style="1" customWidth="1"/>
    <col min="8195" max="8195" width="26" style="1" bestFit="1" customWidth="1"/>
    <col min="8196" max="8199" width="17.5546875" style="1" bestFit="1" customWidth="1"/>
    <col min="8200" max="8200" width="20.44140625" style="1" bestFit="1" customWidth="1"/>
    <col min="8201" max="8201" width="10.88671875" style="1" bestFit="1" customWidth="1"/>
    <col min="8202" max="8449" width="9.109375" style="1"/>
    <col min="8450" max="8450" width="73" style="1" customWidth="1"/>
    <col min="8451" max="8451" width="26" style="1" bestFit="1" customWidth="1"/>
    <col min="8452" max="8455" width="17.5546875" style="1" bestFit="1" customWidth="1"/>
    <col min="8456" max="8456" width="20.44140625" style="1" bestFit="1" customWidth="1"/>
    <col min="8457" max="8457" width="10.88671875" style="1" bestFit="1" customWidth="1"/>
    <col min="8458" max="8705" width="9.109375" style="1"/>
    <col min="8706" max="8706" width="73" style="1" customWidth="1"/>
    <col min="8707" max="8707" width="26" style="1" bestFit="1" customWidth="1"/>
    <col min="8708" max="8711" width="17.5546875" style="1" bestFit="1" customWidth="1"/>
    <col min="8712" max="8712" width="20.44140625" style="1" bestFit="1" customWidth="1"/>
    <col min="8713" max="8713" width="10.88671875" style="1" bestFit="1" customWidth="1"/>
    <col min="8714" max="8961" width="9.109375" style="1"/>
    <col min="8962" max="8962" width="73" style="1" customWidth="1"/>
    <col min="8963" max="8963" width="26" style="1" bestFit="1" customWidth="1"/>
    <col min="8964" max="8967" width="17.5546875" style="1" bestFit="1" customWidth="1"/>
    <col min="8968" max="8968" width="20.44140625" style="1" bestFit="1" customWidth="1"/>
    <col min="8969" max="8969" width="10.88671875" style="1" bestFit="1" customWidth="1"/>
    <col min="8970" max="9217" width="9.109375" style="1"/>
    <col min="9218" max="9218" width="73" style="1" customWidth="1"/>
    <col min="9219" max="9219" width="26" style="1" bestFit="1" customWidth="1"/>
    <col min="9220" max="9223" width="17.5546875" style="1" bestFit="1" customWidth="1"/>
    <col min="9224" max="9224" width="20.44140625" style="1" bestFit="1" customWidth="1"/>
    <col min="9225" max="9225" width="10.88671875" style="1" bestFit="1" customWidth="1"/>
    <col min="9226" max="9473" width="9.109375" style="1"/>
    <col min="9474" max="9474" width="73" style="1" customWidth="1"/>
    <col min="9475" max="9475" width="26" style="1" bestFit="1" customWidth="1"/>
    <col min="9476" max="9479" width="17.5546875" style="1" bestFit="1" customWidth="1"/>
    <col min="9480" max="9480" width="20.44140625" style="1" bestFit="1" customWidth="1"/>
    <col min="9481" max="9481" width="10.88671875" style="1" bestFit="1" customWidth="1"/>
    <col min="9482" max="9729" width="9.109375" style="1"/>
    <col min="9730" max="9730" width="73" style="1" customWidth="1"/>
    <col min="9731" max="9731" width="26" style="1" bestFit="1" customWidth="1"/>
    <col min="9732" max="9735" width="17.5546875" style="1" bestFit="1" customWidth="1"/>
    <col min="9736" max="9736" width="20.44140625" style="1" bestFit="1" customWidth="1"/>
    <col min="9737" max="9737" width="10.88671875" style="1" bestFit="1" customWidth="1"/>
    <col min="9738" max="9985" width="9.109375" style="1"/>
    <col min="9986" max="9986" width="73" style="1" customWidth="1"/>
    <col min="9987" max="9987" width="26" style="1" bestFit="1" customWidth="1"/>
    <col min="9988" max="9991" width="17.5546875" style="1" bestFit="1" customWidth="1"/>
    <col min="9992" max="9992" width="20.44140625" style="1" bestFit="1" customWidth="1"/>
    <col min="9993" max="9993" width="10.88671875" style="1" bestFit="1" customWidth="1"/>
    <col min="9994" max="10241" width="9.109375" style="1"/>
    <col min="10242" max="10242" width="73" style="1" customWidth="1"/>
    <col min="10243" max="10243" width="26" style="1" bestFit="1" customWidth="1"/>
    <col min="10244" max="10247" width="17.5546875" style="1" bestFit="1" customWidth="1"/>
    <col min="10248" max="10248" width="20.44140625" style="1" bestFit="1" customWidth="1"/>
    <col min="10249" max="10249" width="10.88671875" style="1" bestFit="1" customWidth="1"/>
    <col min="10250" max="10497" width="9.109375" style="1"/>
    <col min="10498" max="10498" width="73" style="1" customWidth="1"/>
    <col min="10499" max="10499" width="26" style="1" bestFit="1" customWidth="1"/>
    <col min="10500" max="10503" width="17.5546875" style="1" bestFit="1" customWidth="1"/>
    <col min="10504" max="10504" width="20.44140625" style="1" bestFit="1" customWidth="1"/>
    <col min="10505" max="10505" width="10.88671875" style="1" bestFit="1" customWidth="1"/>
    <col min="10506" max="10753" width="9.109375" style="1"/>
    <col min="10754" max="10754" width="73" style="1" customWidth="1"/>
    <col min="10755" max="10755" width="26" style="1" bestFit="1" customWidth="1"/>
    <col min="10756" max="10759" width="17.5546875" style="1" bestFit="1" customWidth="1"/>
    <col min="10760" max="10760" width="20.44140625" style="1" bestFit="1" customWidth="1"/>
    <col min="10761" max="10761" width="10.88671875" style="1" bestFit="1" customWidth="1"/>
    <col min="10762" max="11009" width="9.109375" style="1"/>
    <col min="11010" max="11010" width="73" style="1" customWidth="1"/>
    <col min="11011" max="11011" width="26" style="1" bestFit="1" customWidth="1"/>
    <col min="11012" max="11015" width="17.5546875" style="1" bestFit="1" customWidth="1"/>
    <col min="11016" max="11016" width="20.44140625" style="1" bestFit="1" customWidth="1"/>
    <col min="11017" max="11017" width="10.88671875" style="1" bestFit="1" customWidth="1"/>
    <col min="11018" max="11265" width="9.109375" style="1"/>
    <col min="11266" max="11266" width="73" style="1" customWidth="1"/>
    <col min="11267" max="11267" width="26" style="1" bestFit="1" customWidth="1"/>
    <col min="11268" max="11271" width="17.5546875" style="1" bestFit="1" customWidth="1"/>
    <col min="11272" max="11272" width="20.44140625" style="1" bestFit="1" customWidth="1"/>
    <col min="11273" max="11273" width="10.88671875" style="1" bestFit="1" customWidth="1"/>
    <col min="11274" max="11521" width="9.109375" style="1"/>
    <col min="11522" max="11522" width="73" style="1" customWidth="1"/>
    <col min="11523" max="11523" width="26" style="1" bestFit="1" customWidth="1"/>
    <col min="11524" max="11527" width="17.5546875" style="1" bestFit="1" customWidth="1"/>
    <col min="11528" max="11528" width="20.44140625" style="1" bestFit="1" customWidth="1"/>
    <col min="11529" max="11529" width="10.88671875" style="1" bestFit="1" customWidth="1"/>
    <col min="11530" max="11777" width="9.109375" style="1"/>
    <col min="11778" max="11778" width="73" style="1" customWidth="1"/>
    <col min="11779" max="11779" width="26" style="1" bestFit="1" customWidth="1"/>
    <col min="11780" max="11783" width="17.5546875" style="1" bestFit="1" customWidth="1"/>
    <col min="11784" max="11784" width="20.44140625" style="1" bestFit="1" customWidth="1"/>
    <col min="11785" max="11785" width="10.88671875" style="1" bestFit="1" customWidth="1"/>
    <col min="11786" max="12033" width="9.109375" style="1"/>
    <col min="12034" max="12034" width="73" style="1" customWidth="1"/>
    <col min="12035" max="12035" width="26" style="1" bestFit="1" customWidth="1"/>
    <col min="12036" max="12039" width="17.5546875" style="1" bestFit="1" customWidth="1"/>
    <col min="12040" max="12040" width="20.44140625" style="1" bestFit="1" customWidth="1"/>
    <col min="12041" max="12041" width="10.88671875" style="1" bestFit="1" customWidth="1"/>
    <col min="12042" max="12289" width="9.109375" style="1"/>
    <col min="12290" max="12290" width="73" style="1" customWidth="1"/>
    <col min="12291" max="12291" width="26" style="1" bestFit="1" customWidth="1"/>
    <col min="12292" max="12295" width="17.5546875" style="1" bestFit="1" customWidth="1"/>
    <col min="12296" max="12296" width="20.44140625" style="1" bestFit="1" customWidth="1"/>
    <col min="12297" max="12297" width="10.88671875" style="1" bestFit="1" customWidth="1"/>
    <col min="12298" max="12545" width="9.109375" style="1"/>
    <col min="12546" max="12546" width="73" style="1" customWidth="1"/>
    <col min="12547" max="12547" width="26" style="1" bestFit="1" customWidth="1"/>
    <col min="12548" max="12551" width="17.5546875" style="1" bestFit="1" customWidth="1"/>
    <col min="12552" max="12552" width="20.44140625" style="1" bestFit="1" customWidth="1"/>
    <col min="12553" max="12553" width="10.88671875" style="1" bestFit="1" customWidth="1"/>
    <col min="12554" max="12801" width="9.109375" style="1"/>
    <col min="12802" max="12802" width="73" style="1" customWidth="1"/>
    <col min="12803" max="12803" width="26" style="1" bestFit="1" customWidth="1"/>
    <col min="12804" max="12807" width="17.5546875" style="1" bestFit="1" customWidth="1"/>
    <col min="12808" max="12808" width="20.44140625" style="1" bestFit="1" customWidth="1"/>
    <col min="12809" max="12809" width="10.88671875" style="1" bestFit="1" customWidth="1"/>
    <col min="12810" max="13057" width="9.109375" style="1"/>
    <col min="13058" max="13058" width="73" style="1" customWidth="1"/>
    <col min="13059" max="13059" width="26" style="1" bestFit="1" customWidth="1"/>
    <col min="13060" max="13063" width="17.5546875" style="1" bestFit="1" customWidth="1"/>
    <col min="13064" max="13064" width="20.44140625" style="1" bestFit="1" customWidth="1"/>
    <col min="13065" max="13065" width="10.88671875" style="1" bestFit="1" customWidth="1"/>
    <col min="13066" max="13313" width="9.109375" style="1"/>
    <col min="13314" max="13314" width="73" style="1" customWidth="1"/>
    <col min="13315" max="13315" width="26" style="1" bestFit="1" customWidth="1"/>
    <col min="13316" max="13319" width="17.5546875" style="1" bestFit="1" customWidth="1"/>
    <col min="13320" max="13320" width="20.44140625" style="1" bestFit="1" customWidth="1"/>
    <col min="13321" max="13321" width="10.88671875" style="1" bestFit="1" customWidth="1"/>
    <col min="13322" max="13569" width="9.109375" style="1"/>
    <col min="13570" max="13570" width="73" style="1" customWidth="1"/>
    <col min="13571" max="13571" width="26" style="1" bestFit="1" customWidth="1"/>
    <col min="13572" max="13575" width="17.5546875" style="1" bestFit="1" customWidth="1"/>
    <col min="13576" max="13576" width="20.44140625" style="1" bestFit="1" customWidth="1"/>
    <col min="13577" max="13577" width="10.88671875" style="1" bestFit="1" customWidth="1"/>
    <col min="13578" max="13825" width="9.109375" style="1"/>
    <col min="13826" max="13826" width="73" style="1" customWidth="1"/>
    <col min="13827" max="13827" width="26" style="1" bestFit="1" customWidth="1"/>
    <col min="13828" max="13831" width="17.5546875" style="1" bestFit="1" customWidth="1"/>
    <col min="13832" max="13832" width="20.44140625" style="1" bestFit="1" customWidth="1"/>
    <col min="13833" max="13833" width="10.88671875" style="1" bestFit="1" customWidth="1"/>
    <col min="13834" max="14081" width="9.109375" style="1"/>
    <col min="14082" max="14082" width="73" style="1" customWidth="1"/>
    <col min="14083" max="14083" width="26" style="1" bestFit="1" customWidth="1"/>
    <col min="14084" max="14087" width="17.5546875" style="1" bestFit="1" customWidth="1"/>
    <col min="14088" max="14088" width="20.44140625" style="1" bestFit="1" customWidth="1"/>
    <col min="14089" max="14089" width="10.88671875" style="1" bestFit="1" customWidth="1"/>
    <col min="14090" max="14337" width="9.109375" style="1"/>
    <col min="14338" max="14338" width="73" style="1" customWidth="1"/>
    <col min="14339" max="14339" width="26" style="1" bestFit="1" customWidth="1"/>
    <col min="14340" max="14343" width="17.5546875" style="1" bestFit="1" customWidth="1"/>
    <col min="14344" max="14344" width="20.44140625" style="1" bestFit="1" customWidth="1"/>
    <col min="14345" max="14345" width="10.88671875" style="1" bestFit="1" customWidth="1"/>
    <col min="14346" max="14593" width="9.109375" style="1"/>
    <col min="14594" max="14594" width="73" style="1" customWidth="1"/>
    <col min="14595" max="14595" width="26" style="1" bestFit="1" customWidth="1"/>
    <col min="14596" max="14599" width="17.5546875" style="1" bestFit="1" customWidth="1"/>
    <col min="14600" max="14600" width="20.44140625" style="1" bestFit="1" customWidth="1"/>
    <col min="14601" max="14601" width="10.88671875" style="1" bestFit="1" customWidth="1"/>
    <col min="14602" max="14849" width="9.109375" style="1"/>
    <col min="14850" max="14850" width="73" style="1" customWidth="1"/>
    <col min="14851" max="14851" width="26" style="1" bestFit="1" customWidth="1"/>
    <col min="14852" max="14855" width="17.5546875" style="1" bestFit="1" customWidth="1"/>
    <col min="14856" max="14856" width="20.44140625" style="1" bestFit="1" customWidth="1"/>
    <col min="14857" max="14857" width="10.88671875" style="1" bestFit="1" customWidth="1"/>
    <col min="14858" max="15105" width="9.109375" style="1"/>
    <col min="15106" max="15106" width="73" style="1" customWidth="1"/>
    <col min="15107" max="15107" width="26" style="1" bestFit="1" customWidth="1"/>
    <col min="15108" max="15111" width="17.5546875" style="1" bestFit="1" customWidth="1"/>
    <col min="15112" max="15112" width="20.44140625" style="1" bestFit="1" customWidth="1"/>
    <col min="15113" max="15113" width="10.88671875" style="1" bestFit="1" customWidth="1"/>
    <col min="15114" max="15361" width="9.109375" style="1"/>
    <col min="15362" max="15362" width="73" style="1" customWidth="1"/>
    <col min="15363" max="15363" width="26" style="1" bestFit="1" customWidth="1"/>
    <col min="15364" max="15367" width="17.5546875" style="1" bestFit="1" customWidth="1"/>
    <col min="15368" max="15368" width="20.44140625" style="1" bestFit="1" customWidth="1"/>
    <col min="15369" max="15369" width="10.88671875" style="1" bestFit="1" customWidth="1"/>
    <col min="15370" max="15617" width="9.109375" style="1"/>
    <col min="15618" max="15618" width="73" style="1" customWidth="1"/>
    <col min="15619" max="15619" width="26" style="1" bestFit="1" customWidth="1"/>
    <col min="15620" max="15623" width="17.5546875" style="1" bestFit="1" customWidth="1"/>
    <col min="15624" max="15624" width="20.44140625" style="1" bestFit="1" customWidth="1"/>
    <col min="15625" max="15625" width="10.88671875" style="1" bestFit="1" customWidth="1"/>
    <col min="15626" max="15873" width="9.109375" style="1"/>
    <col min="15874" max="15874" width="73" style="1" customWidth="1"/>
    <col min="15875" max="15875" width="26" style="1" bestFit="1" customWidth="1"/>
    <col min="15876" max="15879" width="17.5546875" style="1" bestFit="1" customWidth="1"/>
    <col min="15880" max="15880" width="20.44140625" style="1" bestFit="1" customWidth="1"/>
    <col min="15881" max="15881" width="10.88671875" style="1" bestFit="1" customWidth="1"/>
    <col min="15882" max="16129" width="9.109375" style="1"/>
    <col min="16130" max="16130" width="73" style="1" customWidth="1"/>
    <col min="16131" max="16131" width="26" style="1" bestFit="1" customWidth="1"/>
    <col min="16132" max="16135" width="17.5546875" style="1" bestFit="1" customWidth="1"/>
    <col min="16136" max="16136" width="20.44140625" style="1" bestFit="1" customWidth="1"/>
    <col min="16137" max="16137" width="10.88671875" style="1" bestFit="1" customWidth="1"/>
    <col min="16138" max="16384" width="9.109375" style="1"/>
  </cols>
  <sheetData>
    <row r="1" spans="1:8" ht="12.75" customHeight="1">
      <c r="A1" s="117"/>
      <c r="B1" s="117"/>
      <c r="C1" s="266" t="s">
        <v>609</v>
      </c>
      <c r="D1" s="266" t="s">
        <v>574</v>
      </c>
      <c r="E1" s="266" t="s">
        <v>589</v>
      </c>
      <c r="F1" s="266" t="s">
        <v>601</v>
      </c>
      <c r="G1" s="266" t="s">
        <v>610</v>
      </c>
      <c r="H1" s="266" t="s">
        <v>611</v>
      </c>
    </row>
    <row r="2" spans="1:8" ht="12.75" customHeight="1">
      <c r="A2" s="117"/>
      <c r="B2" s="117"/>
      <c r="H2" s="117"/>
    </row>
    <row r="3" spans="1:8" ht="12.75" customHeight="1">
      <c r="A3" s="118" t="s">
        <v>16</v>
      </c>
      <c r="B3" s="117"/>
      <c r="H3" s="117"/>
    </row>
    <row r="4" spans="1:8" ht="12.75" customHeight="1">
      <c r="A4" s="118"/>
      <c r="B4" s="117"/>
      <c r="H4" s="117"/>
    </row>
    <row r="5" spans="1:8" ht="12.75" customHeight="1">
      <c r="A5" s="118" t="s">
        <v>612</v>
      </c>
      <c r="B5" s="117"/>
      <c r="H5" s="117"/>
    </row>
    <row r="6" spans="1:8" ht="12.75" customHeight="1">
      <c r="A6" s="117" t="s">
        <v>21</v>
      </c>
      <c r="B6" s="117" t="s">
        <v>613</v>
      </c>
      <c r="C6" s="137">
        <v>125001774</v>
      </c>
      <c r="D6" s="137">
        <v>276736</v>
      </c>
      <c r="E6" s="137">
        <v>763364</v>
      </c>
      <c r="F6" s="137">
        <v>822372</v>
      </c>
      <c r="G6" s="137">
        <v>-1419718</v>
      </c>
      <c r="H6" s="160">
        <f>SUM(C6:G6)</f>
        <v>125444528</v>
      </c>
    </row>
    <row r="7" spans="1:8" ht="12.75" customHeight="1">
      <c r="A7" s="117" t="s">
        <v>23</v>
      </c>
      <c r="B7" s="117" t="s">
        <v>614</v>
      </c>
      <c r="C7" s="137">
        <v>-18183953</v>
      </c>
      <c r="D7" s="137">
        <v>-706154</v>
      </c>
      <c r="E7" s="137">
        <v>-722958</v>
      </c>
      <c r="F7" s="137">
        <v>-747378</v>
      </c>
      <c r="G7" s="137">
        <v>-456675</v>
      </c>
      <c r="H7" s="160">
        <f>SUM(C7:G7)</f>
        <v>-20817118</v>
      </c>
    </row>
    <row r="8" spans="1:8" ht="12.75" customHeight="1">
      <c r="A8" s="147" t="s">
        <v>615</v>
      </c>
      <c r="B8" s="147" t="s">
        <v>616</v>
      </c>
      <c r="G8" s="137">
        <v>-722644</v>
      </c>
      <c r="H8" s="160">
        <f>SUM(C8:G8)</f>
        <v>-722644</v>
      </c>
    </row>
    <row r="9" spans="1:8" ht="12.75" customHeight="1">
      <c r="A9" s="117" t="s">
        <v>427</v>
      </c>
      <c r="B9" s="117" t="s">
        <v>428</v>
      </c>
      <c r="C9" s="137">
        <v>17214</v>
      </c>
      <c r="D9" s="137">
        <v>31299</v>
      </c>
      <c r="E9" s="137">
        <v>106809</v>
      </c>
      <c r="F9" s="137">
        <v>141605</v>
      </c>
      <c r="G9" s="137">
        <v>-177274</v>
      </c>
      <c r="H9" s="160">
        <f>SUM(C9:G9)</f>
        <v>119653</v>
      </c>
    </row>
    <row r="10" spans="1:8" ht="12.75" customHeight="1">
      <c r="A10" s="117" t="s">
        <v>25</v>
      </c>
      <c r="B10" s="117" t="s">
        <v>26</v>
      </c>
      <c r="C10" s="137">
        <v>-117551</v>
      </c>
      <c r="D10" s="137">
        <v>-205430</v>
      </c>
      <c r="E10" s="137">
        <v>-677264</v>
      </c>
      <c r="F10" s="137">
        <v>-890320</v>
      </c>
      <c r="G10" s="137">
        <v>1890565</v>
      </c>
      <c r="H10" s="160">
        <f>SUM(C10:G10)</f>
        <v>0</v>
      </c>
    </row>
    <row r="11" spans="1:8" ht="12.75" customHeight="1">
      <c r="A11" s="117"/>
      <c r="B11" s="117"/>
      <c r="H11" s="117"/>
    </row>
    <row r="12" spans="1:8" ht="12.75" customHeight="1">
      <c r="A12" s="268" t="s">
        <v>617</v>
      </c>
      <c r="B12" s="117"/>
      <c r="H12" s="117"/>
    </row>
    <row r="13" spans="1:8" ht="12.75" customHeight="1">
      <c r="A13" s="117" t="s">
        <v>618</v>
      </c>
      <c r="B13" s="117" t="s">
        <v>619</v>
      </c>
      <c r="C13" s="137">
        <v>38320325</v>
      </c>
      <c r="D13" s="137">
        <v>0</v>
      </c>
      <c r="E13" s="137">
        <v>0</v>
      </c>
      <c r="F13" s="137">
        <v>0</v>
      </c>
      <c r="H13" s="160">
        <f>SUM(C13:G13)</f>
        <v>38320325</v>
      </c>
    </row>
    <row r="14" spans="1:8" ht="12.75" customHeight="1">
      <c r="A14" s="117" t="s">
        <v>620</v>
      </c>
      <c r="B14" s="117" t="s">
        <v>621</v>
      </c>
      <c r="C14" s="137">
        <v>-233480</v>
      </c>
      <c r="D14" s="137">
        <v>-53922</v>
      </c>
      <c r="E14" s="137">
        <v>-95800</v>
      </c>
      <c r="F14" s="137">
        <v>-982251</v>
      </c>
      <c r="G14" s="137">
        <v>-236217</v>
      </c>
      <c r="H14" s="160">
        <f>SUM(C14:G14)</f>
        <v>-1601670</v>
      </c>
    </row>
    <row r="15" spans="1:8" ht="12.75" customHeight="1">
      <c r="A15" s="117" t="s">
        <v>622</v>
      </c>
      <c r="B15" s="117" t="s">
        <v>558</v>
      </c>
      <c r="C15" s="137">
        <v>1991701</v>
      </c>
      <c r="D15" s="137">
        <v>-110649</v>
      </c>
      <c r="E15" s="137">
        <v>-110649</v>
      </c>
      <c r="F15" s="137">
        <v>-110649</v>
      </c>
      <c r="G15" s="137">
        <v>-110649</v>
      </c>
      <c r="H15" s="160">
        <f>SUM(C15:G15)</f>
        <v>1549105</v>
      </c>
    </row>
    <row r="16" spans="1:8" ht="12.75" customHeight="1">
      <c r="A16" s="117" t="s">
        <v>35</v>
      </c>
      <c r="B16" s="117" t="s">
        <v>36</v>
      </c>
      <c r="C16" s="137">
        <v>5263820</v>
      </c>
      <c r="D16" s="137">
        <v>172942</v>
      </c>
      <c r="E16" s="137">
        <v>146161</v>
      </c>
      <c r="F16" s="137">
        <v>810982</v>
      </c>
      <c r="G16" s="137">
        <v>160838</v>
      </c>
      <c r="H16" s="160">
        <f>SUM(C16:G16)</f>
        <v>6554743</v>
      </c>
    </row>
    <row r="17" spans="1:8" ht="12.75" customHeight="1">
      <c r="A17" s="117"/>
      <c r="B17" s="117"/>
      <c r="H17" s="117"/>
    </row>
    <row r="18" spans="1:8" ht="12.75" customHeight="1">
      <c r="A18" s="268" t="s">
        <v>38</v>
      </c>
      <c r="B18" s="117"/>
      <c r="H18" s="117"/>
    </row>
    <row r="19" spans="1:8" ht="12.75" customHeight="1">
      <c r="A19" s="117" t="s">
        <v>41</v>
      </c>
      <c r="B19" s="117" t="s">
        <v>42</v>
      </c>
      <c r="C19" s="137">
        <v>1029511</v>
      </c>
      <c r="D19" s="137">
        <v>540691</v>
      </c>
      <c r="E19" s="137">
        <v>568867</v>
      </c>
      <c r="F19" s="137">
        <v>-2015185</v>
      </c>
      <c r="G19" s="137">
        <v>-125</v>
      </c>
      <c r="H19" s="160">
        <f t="shared" ref="H19:H25" si="0">SUM(C19:G19)</f>
        <v>123759</v>
      </c>
    </row>
    <row r="20" spans="1:8" ht="12.75" customHeight="1">
      <c r="A20" s="117" t="s">
        <v>623</v>
      </c>
      <c r="B20" s="117" t="s">
        <v>624</v>
      </c>
      <c r="C20" s="137">
        <v>0</v>
      </c>
      <c r="D20" s="137">
        <v>0</v>
      </c>
      <c r="E20" s="137">
        <v>0</v>
      </c>
      <c r="F20" s="137">
        <v>2656651</v>
      </c>
      <c r="G20" s="137">
        <v>620098</v>
      </c>
      <c r="H20" s="160">
        <f t="shared" si="0"/>
        <v>3276749</v>
      </c>
    </row>
    <row r="21" spans="1:8" ht="12.75" customHeight="1">
      <c r="A21" s="117" t="s">
        <v>43</v>
      </c>
      <c r="B21" s="117" t="s">
        <v>44</v>
      </c>
      <c r="C21" s="137">
        <v>-76879</v>
      </c>
      <c r="D21" s="137">
        <v>0</v>
      </c>
      <c r="E21" s="137">
        <v>0</v>
      </c>
      <c r="F21" s="137">
        <v>68505</v>
      </c>
      <c r="H21" s="160">
        <f t="shared" si="0"/>
        <v>-8374</v>
      </c>
    </row>
    <row r="22" spans="1:8" ht="12.75" customHeight="1">
      <c r="A22" s="117" t="s">
        <v>594</v>
      </c>
      <c r="B22" s="117" t="s">
        <v>595</v>
      </c>
      <c r="C22" s="137">
        <v>0</v>
      </c>
      <c r="D22" s="137">
        <v>-41879</v>
      </c>
      <c r="E22" s="137">
        <v>41879</v>
      </c>
      <c r="F22" s="137">
        <v>0</v>
      </c>
      <c r="H22" s="160">
        <f t="shared" si="0"/>
        <v>0</v>
      </c>
    </row>
    <row r="23" spans="1:8" ht="12.75" customHeight="1">
      <c r="A23" s="117" t="s">
        <v>625</v>
      </c>
      <c r="B23" s="117" t="s">
        <v>626</v>
      </c>
      <c r="C23" s="137">
        <v>5000</v>
      </c>
      <c r="D23" s="137">
        <v>0</v>
      </c>
      <c r="E23" s="137">
        <v>0</v>
      </c>
      <c r="F23" s="137">
        <v>0</v>
      </c>
      <c r="H23" s="160">
        <f t="shared" si="0"/>
        <v>5000</v>
      </c>
    </row>
    <row r="24" spans="1:8" ht="12.75" customHeight="1">
      <c r="A24" s="117" t="s">
        <v>627</v>
      </c>
      <c r="B24" s="117" t="s">
        <v>490</v>
      </c>
      <c r="C24" s="137">
        <v>86298</v>
      </c>
      <c r="D24" s="137">
        <v>-28767</v>
      </c>
      <c r="E24" s="137">
        <v>-28767</v>
      </c>
      <c r="F24" s="137">
        <v>-28767</v>
      </c>
      <c r="G24" s="137">
        <v>85740</v>
      </c>
      <c r="H24" s="160">
        <f t="shared" si="0"/>
        <v>85737</v>
      </c>
    </row>
    <row r="25" spans="1:8" ht="12.75" customHeight="1">
      <c r="A25" s="117">
        <v>2040900</v>
      </c>
      <c r="B25" s="117" t="s">
        <v>56</v>
      </c>
      <c r="C25" s="137">
        <v>0</v>
      </c>
      <c r="D25" s="137">
        <v>0</v>
      </c>
      <c r="E25" s="137">
        <v>0</v>
      </c>
      <c r="F25" s="137">
        <v>0</v>
      </c>
      <c r="G25" s="137">
        <v>357512</v>
      </c>
      <c r="H25" s="160">
        <f t="shared" si="0"/>
        <v>357512</v>
      </c>
    </row>
    <row r="26" spans="1:8" ht="12.75" customHeight="1">
      <c r="A26" s="117"/>
      <c r="B26" s="117"/>
      <c r="H26" s="117"/>
    </row>
    <row r="27" spans="1:8" ht="12.75" customHeight="1">
      <c r="A27" s="268" t="s">
        <v>58</v>
      </c>
      <c r="B27" s="117"/>
      <c r="H27" s="117"/>
    </row>
    <row r="28" spans="1:8" ht="12.75" customHeight="1">
      <c r="A28" s="117" t="s">
        <v>61</v>
      </c>
      <c r="B28" s="117" t="s">
        <v>62</v>
      </c>
      <c r="C28" s="137">
        <v>0</v>
      </c>
      <c r="D28" s="137">
        <v>0</v>
      </c>
      <c r="E28" s="137">
        <v>0</v>
      </c>
      <c r="F28" s="137">
        <v>0</v>
      </c>
      <c r="H28" s="160">
        <f t="shared" ref="H28:H36" si="1">SUM(C28:G28)</f>
        <v>0</v>
      </c>
    </row>
    <row r="29" spans="1:8" ht="12.75" customHeight="1">
      <c r="A29" s="117" t="s">
        <v>628</v>
      </c>
      <c r="B29" s="117" t="s">
        <v>596</v>
      </c>
      <c r="C29" s="137">
        <v>1949</v>
      </c>
      <c r="D29" s="137">
        <v>1958</v>
      </c>
      <c r="E29" s="137">
        <v>-4861</v>
      </c>
      <c r="F29" s="137">
        <v>954</v>
      </c>
      <c r="G29" s="137">
        <v>122</v>
      </c>
      <c r="H29" s="160">
        <f t="shared" si="1"/>
        <v>122</v>
      </c>
    </row>
    <row r="30" spans="1:8" ht="12.75" customHeight="1">
      <c r="A30" s="117" t="s">
        <v>65</v>
      </c>
      <c r="B30" s="117" t="s">
        <v>66</v>
      </c>
      <c r="C30" s="137">
        <v>0</v>
      </c>
      <c r="D30" s="137">
        <v>128000</v>
      </c>
      <c r="E30" s="137">
        <v>-128000</v>
      </c>
      <c r="F30" s="137">
        <v>0</v>
      </c>
      <c r="G30" s="137">
        <v>490000</v>
      </c>
      <c r="H30" s="160">
        <f t="shared" si="1"/>
        <v>490000</v>
      </c>
    </row>
    <row r="31" spans="1:8" ht="12.75" customHeight="1">
      <c r="A31" s="117" t="s">
        <v>67</v>
      </c>
      <c r="B31" s="117" t="s">
        <v>68</v>
      </c>
      <c r="C31" s="137">
        <v>1648</v>
      </c>
      <c r="D31" s="137">
        <v>-43252</v>
      </c>
      <c r="E31" s="137">
        <v>43840</v>
      </c>
      <c r="F31" s="137">
        <v>2207</v>
      </c>
      <c r="G31" s="137">
        <v>51</v>
      </c>
      <c r="H31" s="160">
        <f t="shared" si="1"/>
        <v>4494</v>
      </c>
    </row>
    <row r="32" spans="1:8" ht="12.75" customHeight="1">
      <c r="A32" s="117" t="s">
        <v>69</v>
      </c>
      <c r="B32" s="117" t="s">
        <v>70</v>
      </c>
      <c r="C32" s="137">
        <v>179</v>
      </c>
      <c r="D32" s="137">
        <v>0</v>
      </c>
      <c r="E32" s="137">
        <v>-106</v>
      </c>
      <c r="F32" s="137">
        <v>0</v>
      </c>
      <c r="H32" s="160">
        <f t="shared" si="1"/>
        <v>73</v>
      </c>
    </row>
    <row r="33" spans="1:8" ht="12.75" customHeight="1">
      <c r="A33" s="117" t="s">
        <v>71</v>
      </c>
      <c r="B33" s="117" t="s">
        <v>72</v>
      </c>
      <c r="C33" s="137">
        <v>20139</v>
      </c>
      <c r="D33" s="137">
        <v>-13039</v>
      </c>
      <c r="E33" s="137">
        <v>-5557</v>
      </c>
      <c r="F33" s="137">
        <v>-827</v>
      </c>
      <c r="G33" s="137">
        <v>6673</v>
      </c>
      <c r="H33" s="160">
        <f t="shared" si="1"/>
        <v>7389</v>
      </c>
    </row>
    <row r="34" spans="1:8" ht="12.75" customHeight="1">
      <c r="A34" s="117" t="s">
        <v>73</v>
      </c>
      <c r="B34" s="117" t="s">
        <v>74</v>
      </c>
      <c r="C34" s="137">
        <v>395135</v>
      </c>
      <c r="D34" s="137">
        <v>-45193</v>
      </c>
      <c r="E34" s="137">
        <v>-137878</v>
      </c>
      <c r="F34" s="137">
        <v>-145584</v>
      </c>
      <c r="G34" s="137">
        <v>227168</v>
      </c>
      <c r="H34" s="160">
        <f t="shared" si="1"/>
        <v>293648</v>
      </c>
    </row>
    <row r="35" spans="1:8" ht="12.75" customHeight="1">
      <c r="A35" s="117" t="s">
        <v>75</v>
      </c>
      <c r="B35" s="117" t="s">
        <v>76</v>
      </c>
      <c r="C35" s="137">
        <v>12212</v>
      </c>
      <c r="D35" s="137">
        <v>-9997</v>
      </c>
      <c r="E35" s="137">
        <v>13147</v>
      </c>
      <c r="F35" s="137">
        <v>-6182</v>
      </c>
      <c r="G35" s="137">
        <v>138903</v>
      </c>
      <c r="H35" s="160">
        <f t="shared" si="1"/>
        <v>148083</v>
      </c>
    </row>
    <row r="36" spans="1:8" ht="12.75" customHeight="1">
      <c r="A36" s="117" t="s">
        <v>629</v>
      </c>
      <c r="B36" s="117" t="s">
        <v>560</v>
      </c>
      <c r="C36" s="137">
        <v>-17</v>
      </c>
      <c r="D36" s="137">
        <v>0</v>
      </c>
      <c r="E36" s="137">
        <v>0</v>
      </c>
      <c r="F36" s="137">
        <v>5661</v>
      </c>
      <c r="H36" s="160">
        <f t="shared" si="1"/>
        <v>5644</v>
      </c>
    </row>
    <row r="37" spans="1:8" ht="12.75" customHeight="1">
      <c r="A37" s="117"/>
      <c r="B37" s="117"/>
      <c r="H37" s="117"/>
    </row>
    <row r="38" spans="1:8" ht="12.75" customHeight="1">
      <c r="A38" s="268" t="s">
        <v>630</v>
      </c>
      <c r="B38" s="117"/>
      <c r="H38" s="117"/>
    </row>
    <row r="39" spans="1:8" ht="12.75" customHeight="1">
      <c r="A39" s="117" t="s">
        <v>81</v>
      </c>
      <c r="B39" s="117" t="s">
        <v>82</v>
      </c>
      <c r="C39" s="137">
        <v>-1</v>
      </c>
      <c r="D39" s="137">
        <v>0</v>
      </c>
      <c r="E39" s="137">
        <v>0</v>
      </c>
      <c r="F39" s="137">
        <v>0</v>
      </c>
      <c r="G39" s="137">
        <v>0</v>
      </c>
      <c r="H39" s="160">
        <f>SUM(C39:G39)</f>
        <v>-1</v>
      </c>
    </row>
    <row r="40" spans="1:8" ht="12.75" customHeight="1">
      <c r="A40" s="117" t="s">
        <v>87</v>
      </c>
      <c r="B40" s="117" t="s">
        <v>430</v>
      </c>
      <c r="C40" s="137">
        <v>-18931219</v>
      </c>
      <c r="D40" s="137">
        <v>0</v>
      </c>
      <c r="E40" s="137">
        <v>0</v>
      </c>
      <c r="F40" s="137">
        <v>0</v>
      </c>
      <c r="G40" s="137">
        <v>0</v>
      </c>
      <c r="H40" s="160">
        <f>SUM(C40:G40)</f>
        <v>-18931219</v>
      </c>
    </row>
    <row r="41" spans="1:8" ht="12.75" customHeight="1">
      <c r="A41" s="117" t="s">
        <v>93</v>
      </c>
      <c r="B41" s="117" t="s">
        <v>94</v>
      </c>
      <c r="C41" s="137">
        <f>7605149-742784</f>
        <v>6862365</v>
      </c>
      <c r="D41" s="137">
        <v>0</v>
      </c>
      <c r="E41" s="137">
        <v>0</v>
      </c>
      <c r="F41" s="137">
        <v>0</v>
      </c>
      <c r="G41" s="137">
        <v>0</v>
      </c>
      <c r="H41" s="160">
        <f>SUM(C41:G41)</f>
        <v>6862365</v>
      </c>
    </row>
    <row r="42" spans="1:8" ht="12.75" customHeight="1">
      <c r="A42" s="117"/>
      <c r="B42" s="117"/>
      <c r="H42" s="117"/>
    </row>
    <row r="43" spans="1:8" ht="12.75" customHeight="1">
      <c r="A43" s="268" t="s">
        <v>98</v>
      </c>
      <c r="B43" s="117"/>
      <c r="H43" s="117"/>
    </row>
    <row r="44" spans="1:8" ht="12.75" customHeight="1">
      <c r="A44" s="117" t="s">
        <v>103</v>
      </c>
      <c r="B44" s="117" t="s">
        <v>104</v>
      </c>
      <c r="C44" s="137">
        <v>-168320325</v>
      </c>
      <c r="D44" s="137">
        <v>0</v>
      </c>
      <c r="E44" s="137">
        <v>0</v>
      </c>
      <c r="F44" s="137">
        <v>-755661</v>
      </c>
      <c r="G44" s="137">
        <v>0</v>
      </c>
      <c r="H44" s="160">
        <f>SUM(C44:G44)</f>
        <v>-169075986</v>
      </c>
    </row>
    <row r="45" spans="1:8" ht="12.75" customHeight="1">
      <c r="A45" s="117" t="s">
        <v>107</v>
      </c>
      <c r="B45" s="117" t="s">
        <v>108</v>
      </c>
      <c r="C45" s="137">
        <v>29710891</v>
      </c>
      <c r="D45" s="137">
        <v>531000</v>
      </c>
      <c r="E45" s="137">
        <v>1446000</v>
      </c>
      <c r="F45" s="137">
        <v>1621000</v>
      </c>
      <c r="G45" s="137">
        <v>863000</v>
      </c>
      <c r="H45" s="160">
        <f>SUM(C45:G45)</f>
        <v>34171891</v>
      </c>
    </row>
    <row r="46" spans="1:8" ht="12.75" customHeight="1">
      <c r="A46" s="117" t="s">
        <v>631</v>
      </c>
      <c r="B46" s="117" t="s">
        <v>632</v>
      </c>
      <c r="C46" s="137">
        <v>523242</v>
      </c>
      <c r="D46" s="137">
        <v>-29070</v>
      </c>
      <c r="E46" s="137">
        <v>-29070</v>
      </c>
      <c r="F46" s="137">
        <v>-29070</v>
      </c>
      <c r="G46" s="137">
        <f>-9690-9690-9690</f>
        <v>-29070</v>
      </c>
      <c r="H46" s="160">
        <f>SUM(C46:G46)</f>
        <v>406962</v>
      </c>
    </row>
    <row r="47" spans="1:8" ht="12.75" customHeight="1">
      <c r="A47" s="117"/>
      <c r="B47" s="117"/>
      <c r="H47" s="117"/>
    </row>
    <row r="48" spans="1:8" ht="12.75" customHeight="1">
      <c r="A48" s="268" t="s">
        <v>118</v>
      </c>
      <c r="B48" s="117"/>
      <c r="H48" s="117"/>
    </row>
    <row r="49" spans="1:9" ht="12.75" customHeight="1">
      <c r="A49" s="117" t="s">
        <v>121</v>
      </c>
      <c r="B49" s="117" t="s">
        <v>122</v>
      </c>
      <c r="C49" s="137">
        <v>-695497</v>
      </c>
      <c r="D49" s="137">
        <v>459981</v>
      </c>
      <c r="E49" s="137">
        <v>-134612</v>
      </c>
      <c r="F49" s="137">
        <v>-65993</v>
      </c>
      <c r="G49" s="137">
        <v>-562454</v>
      </c>
      <c r="H49" s="160">
        <f t="shared" ref="H49:H67" si="2">SUM(C49:G49)</f>
        <v>-998575</v>
      </c>
    </row>
    <row r="50" spans="1:9" ht="12.75" customHeight="1">
      <c r="A50" s="117" t="s">
        <v>123</v>
      </c>
      <c r="B50" s="117" t="s">
        <v>124</v>
      </c>
      <c r="C50" s="137">
        <v>-905480</v>
      </c>
      <c r="D50" s="137">
        <v>-13200</v>
      </c>
      <c r="E50" s="137">
        <v>-1500</v>
      </c>
      <c r="F50" s="137">
        <v>-12500</v>
      </c>
      <c r="G50" s="137">
        <v>-14700</v>
      </c>
      <c r="H50" s="160">
        <f t="shared" si="2"/>
        <v>-947380</v>
      </c>
    </row>
    <row r="51" spans="1:9" ht="12.75" customHeight="1">
      <c r="A51" s="117" t="s">
        <v>633</v>
      </c>
      <c r="B51" s="117" t="s">
        <v>634</v>
      </c>
      <c r="C51" s="137">
        <v>0</v>
      </c>
      <c r="D51" s="137">
        <v>0</v>
      </c>
      <c r="E51" s="137">
        <v>-200000</v>
      </c>
      <c r="F51" s="137">
        <v>-201205</v>
      </c>
      <c r="H51" s="160">
        <f t="shared" si="2"/>
        <v>-401205</v>
      </c>
    </row>
    <row r="52" spans="1:9" ht="12.75" customHeight="1">
      <c r="A52" s="117" t="s">
        <v>47</v>
      </c>
      <c r="B52" s="117" t="s">
        <v>48</v>
      </c>
      <c r="C52" s="137">
        <v>-698482</v>
      </c>
      <c r="D52" s="137">
        <v>592347</v>
      </c>
      <c r="E52" s="137">
        <v>379578</v>
      </c>
      <c r="F52" s="137">
        <v>-356711</v>
      </c>
      <c r="G52" s="137">
        <v>464407</v>
      </c>
      <c r="H52" s="160">
        <f t="shared" si="2"/>
        <v>381139</v>
      </c>
    </row>
    <row r="53" spans="1:9" ht="12.75" customHeight="1">
      <c r="A53" s="117" t="s">
        <v>129</v>
      </c>
      <c r="B53" s="117" t="s">
        <v>130</v>
      </c>
      <c r="C53" s="137">
        <v>-4969</v>
      </c>
      <c r="D53" s="137">
        <v>169</v>
      </c>
      <c r="E53" s="137">
        <v>-446</v>
      </c>
      <c r="F53" s="137">
        <v>-961</v>
      </c>
      <c r="G53" s="137">
        <v>-5308</v>
      </c>
      <c r="H53" s="160">
        <f t="shared" si="2"/>
        <v>-11515</v>
      </c>
    </row>
    <row r="54" spans="1:9" ht="12.75" customHeight="1">
      <c r="A54" s="117" t="s">
        <v>635</v>
      </c>
      <c r="B54" s="117" t="s">
        <v>636</v>
      </c>
      <c r="C54" s="137">
        <v>-156261</v>
      </c>
      <c r="D54" s="137">
        <v>-809308</v>
      </c>
      <c r="E54" s="137">
        <v>801</v>
      </c>
      <c r="F54" s="137">
        <v>1176</v>
      </c>
      <c r="G54" s="137">
        <v>-17077</v>
      </c>
      <c r="H54" s="160">
        <f t="shared" si="2"/>
        <v>-980669</v>
      </c>
    </row>
    <row r="55" spans="1:9" ht="12.75" customHeight="1">
      <c r="A55" s="117" t="s">
        <v>141</v>
      </c>
      <c r="B55" s="117" t="s">
        <v>142</v>
      </c>
      <c r="C55" s="137">
        <v>-907171</v>
      </c>
      <c r="D55" s="137">
        <v>-20234</v>
      </c>
      <c r="E55" s="137">
        <v>-8277</v>
      </c>
      <c r="F55" s="137">
        <v>-30315</v>
      </c>
      <c r="G55" s="137">
        <v>8491</v>
      </c>
      <c r="H55" s="160">
        <f t="shared" si="2"/>
        <v>-957506</v>
      </c>
    </row>
    <row r="56" spans="1:9" ht="12.75" customHeight="1">
      <c r="A56" s="117" t="s">
        <v>143</v>
      </c>
      <c r="B56" s="117" t="s">
        <v>144</v>
      </c>
      <c r="C56" s="137">
        <v>-44599</v>
      </c>
      <c r="D56" s="137">
        <v>-401</v>
      </c>
      <c r="E56" s="137">
        <v>0</v>
      </c>
      <c r="F56" s="137">
        <v>0</v>
      </c>
      <c r="H56" s="160">
        <f t="shared" si="2"/>
        <v>-45000</v>
      </c>
    </row>
    <row r="57" spans="1:9" ht="12.75" customHeight="1">
      <c r="A57" s="117" t="s">
        <v>147</v>
      </c>
      <c r="B57" s="117" t="s">
        <v>148</v>
      </c>
      <c r="C57" s="137">
        <v>129789</v>
      </c>
      <c r="D57" s="137">
        <v>32105</v>
      </c>
      <c r="E57" s="137">
        <v>-80946</v>
      </c>
      <c r="F57" s="137">
        <v>-89877</v>
      </c>
      <c r="G57" s="137">
        <v>8930</v>
      </c>
      <c r="H57" s="160">
        <f t="shared" si="2"/>
        <v>1</v>
      </c>
    </row>
    <row r="58" spans="1:9" ht="12.75" customHeight="1">
      <c r="A58" s="117" t="s">
        <v>149</v>
      </c>
      <c r="B58" s="117" t="s">
        <v>637</v>
      </c>
      <c r="C58" s="137">
        <v>0</v>
      </c>
      <c r="D58" s="137">
        <v>0</v>
      </c>
      <c r="E58" s="137">
        <v>0</v>
      </c>
      <c r="F58" s="137">
        <v>0</v>
      </c>
      <c r="H58" s="160">
        <f t="shared" si="2"/>
        <v>0</v>
      </c>
    </row>
    <row r="59" spans="1:9" ht="12.75" customHeight="1">
      <c r="A59" s="117" t="s">
        <v>155</v>
      </c>
      <c r="B59" s="117" t="s">
        <v>156</v>
      </c>
      <c r="C59" s="137">
        <v>-127308</v>
      </c>
      <c r="D59" s="137">
        <v>-127136</v>
      </c>
      <c r="E59" s="137">
        <v>-130845</v>
      </c>
      <c r="F59" s="137">
        <v>341806</v>
      </c>
      <c r="G59" s="137">
        <v>-130818</v>
      </c>
      <c r="H59" s="160">
        <f t="shared" si="2"/>
        <v>-174301</v>
      </c>
    </row>
    <row r="60" spans="1:9" ht="12.75" customHeight="1">
      <c r="A60" s="117" t="s">
        <v>159</v>
      </c>
      <c r="B60" s="117" t="s">
        <v>160</v>
      </c>
      <c r="C60" s="137">
        <v>30000</v>
      </c>
      <c r="D60" s="137">
        <v>40000</v>
      </c>
      <c r="E60" s="137">
        <v>-40000</v>
      </c>
      <c r="F60" s="137">
        <f>-116207+2</f>
        <v>-116205</v>
      </c>
      <c r="G60" s="137">
        <v>116207</v>
      </c>
      <c r="H60" s="160">
        <f t="shared" si="2"/>
        <v>30002</v>
      </c>
    </row>
    <row r="61" spans="1:9" ht="12.75" customHeight="1">
      <c r="A61" s="117" t="s">
        <v>638</v>
      </c>
      <c r="B61" s="117" t="s">
        <v>639</v>
      </c>
      <c r="C61" s="137">
        <v>0</v>
      </c>
      <c r="D61" s="137">
        <v>0</v>
      </c>
      <c r="E61" s="137">
        <v>0</v>
      </c>
      <c r="F61" s="137">
        <v>0</v>
      </c>
      <c r="G61" s="252"/>
      <c r="H61" s="160">
        <f t="shared" si="2"/>
        <v>0</v>
      </c>
      <c r="I61" s="1" t="s">
        <v>640</v>
      </c>
    </row>
    <row r="62" spans="1:9" ht="12.75" customHeight="1">
      <c r="A62" s="117" t="s">
        <v>641</v>
      </c>
      <c r="B62" s="117" t="s">
        <v>642</v>
      </c>
      <c r="C62" s="137">
        <v>0</v>
      </c>
      <c r="D62" s="137">
        <v>0</v>
      </c>
      <c r="E62" s="137">
        <v>0</v>
      </c>
      <c r="F62" s="137">
        <v>0</v>
      </c>
      <c r="H62" s="160">
        <f t="shared" si="2"/>
        <v>0</v>
      </c>
    </row>
    <row r="63" spans="1:9" ht="12.75" customHeight="1">
      <c r="A63" s="117">
        <v>2502020</v>
      </c>
      <c r="B63" s="117" t="s">
        <v>643</v>
      </c>
      <c r="C63" s="137">
        <v>0</v>
      </c>
      <c r="D63" s="137">
        <v>0</v>
      </c>
      <c r="E63" s="137">
        <v>0</v>
      </c>
      <c r="F63" s="137">
        <v>789</v>
      </c>
      <c r="G63" s="137">
        <v>0</v>
      </c>
      <c r="H63" s="160">
        <f t="shared" si="2"/>
        <v>789</v>
      </c>
      <c r="I63" s="114"/>
    </row>
    <row r="64" spans="1:9" ht="12.75" customHeight="1">
      <c r="A64" s="117">
        <v>2502021</v>
      </c>
      <c r="B64" s="117" t="s">
        <v>644</v>
      </c>
      <c r="C64" s="137">
        <v>0</v>
      </c>
      <c r="D64" s="137">
        <v>0</v>
      </c>
      <c r="E64" s="137">
        <v>0</v>
      </c>
      <c r="F64" s="137">
        <v>91489</v>
      </c>
      <c r="G64" s="137">
        <v>-2046</v>
      </c>
      <c r="H64" s="160">
        <f t="shared" si="2"/>
        <v>89443</v>
      </c>
      <c r="I64" s="114"/>
    </row>
    <row r="65" spans="1:9" ht="12.75" customHeight="1">
      <c r="A65" s="117">
        <v>2502022</v>
      </c>
      <c r="B65" s="117" t="s">
        <v>645</v>
      </c>
      <c r="C65" s="137">
        <v>0</v>
      </c>
      <c r="D65" s="137">
        <v>0</v>
      </c>
      <c r="E65" s="137">
        <v>0</v>
      </c>
      <c r="F65" s="137">
        <v>179376</v>
      </c>
      <c r="G65" s="137">
        <v>-27</v>
      </c>
      <c r="H65" s="160">
        <f t="shared" si="2"/>
        <v>179349</v>
      </c>
      <c r="I65" s="114"/>
    </row>
    <row r="66" spans="1:9" ht="12.75" customHeight="1">
      <c r="A66" s="117">
        <v>2502023</v>
      </c>
      <c r="B66" s="117" t="s">
        <v>646</v>
      </c>
      <c r="C66" s="137">
        <v>0</v>
      </c>
      <c r="D66" s="137">
        <v>0</v>
      </c>
      <c r="E66" s="137">
        <v>0</v>
      </c>
      <c r="F66" s="137">
        <f>160650+179864</f>
        <v>340514</v>
      </c>
      <c r="G66" s="137">
        <f>-3822-179864</f>
        <v>-183686</v>
      </c>
      <c r="H66" s="160">
        <f t="shared" si="2"/>
        <v>156828</v>
      </c>
      <c r="I66" s="114"/>
    </row>
    <row r="67" spans="1:9" ht="12.75" customHeight="1">
      <c r="A67" s="147" t="s">
        <v>647</v>
      </c>
      <c r="B67" s="147" t="s">
        <v>648</v>
      </c>
      <c r="C67" s="137">
        <v>0</v>
      </c>
      <c r="D67" s="137">
        <v>0</v>
      </c>
      <c r="E67" s="137">
        <v>0</v>
      </c>
      <c r="F67" s="137">
        <v>0</v>
      </c>
      <c r="G67" s="137">
        <v>-6716</v>
      </c>
      <c r="H67" s="160">
        <f t="shared" si="2"/>
        <v>-6716</v>
      </c>
    </row>
    <row r="68" spans="1:9" ht="12.75" customHeight="1">
      <c r="A68" s="117"/>
      <c r="B68" s="117"/>
      <c r="H68" s="117"/>
    </row>
    <row r="69" spans="1:9" ht="12.75" customHeight="1">
      <c r="A69" s="118" t="s">
        <v>649</v>
      </c>
      <c r="B69" s="117"/>
      <c r="H69" s="117"/>
    </row>
    <row r="70" spans="1:9" ht="12.75" customHeight="1">
      <c r="A70" s="117"/>
      <c r="B70" s="117"/>
      <c r="H70" s="117"/>
    </row>
    <row r="71" spans="1:9" ht="12.75" customHeight="1">
      <c r="A71" s="117" t="s">
        <v>174</v>
      </c>
      <c r="B71" s="117" t="s">
        <v>175</v>
      </c>
      <c r="D71" s="137">
        <v>-2984948</v>
      </c>
      <c r="E71" s="137">
        <v>-3069841</v>
      </c>
      <c r="F71" s="137">
        <v>-3070217</v>
      </c>
      <c r="G71" s="137">
        <v>-3068644</v>
      </c>
      <c r="H71" s="160">
        <f t="shared" ref="H71:H119" si="3">SUM(C71:G71)</f>
        <v>-12193650</v>
      </c>
      <c r="I71" s="114"/>
    </row>
    <row r="72" spans="1:9" ht="12.75" customHeight="1">
      <c r="A72" s="117" t="s">
        <v>176</v>
      </c>
      <c r="B72" s="117" t="s">
        <v>177</v>
      </c>
      <c r="D72" s="137">
        <v>56557</v>
      </c>
      <c r="E72" s="137">
        <v>66842</v>
      </c>
      <c r="F72" s="137">
        <v>59363</v>
      </c>
      <c r="G72" s="137">
        <v>55043</v>
      </c>
      <c r="H72" s="160">
        <f t="shared" si="3"/>
        <v>237805</v>
      </c>
      <c r="I72" s="114"/>
    </row>
    <row r="73" spans="1:9" ht="12.75" customHeight="1">
      <c r="A73" s="117"/>
      <c r="B73" s="117"/>
      <c r="H73" s="160"/>
      <c r="I73" s="114"/>
    </row>
    <row r="74" spans="1:9" ht="12.75" customHeight="1">
      <c r="A74" s="117" t="s">
        <v>182</v>
      </c>
      <c r="B74" s="117" t="s">
        <v>183</v>
      </c>
      <c r="D74" s="137">
        <v>-166073</v>
      </c>
      <c r="E74" s="137">
        <v>-165720</v>
      </c>
      <c r="F74" s="137">
        <v>-158682</v>
      </c>
      <c r="G74" s="137">
        <v>-284</v>
      </c>
      <c r="H74" s="160">
        <f t="shared" si="3"/>
        <v>-490759</v>
      </c>
      <c r="I74" s="114"/>
    </row>
    <row r="75" spans="1:9" ht="12.75" customHeight="1">
      <c r="A75" s="117" t="s">
        <v>184</v>
      </c>
      <c r="B75" s="117" t="s">
        <v>185</v>
      </c>
      <c r="D75" s="137">
        <v>9645</v>
      </c>
      <c r="E75" s="137">
        <v>8306</v>
      </c>
      <c r="F75" s="137">
        <v>6138</v>
      </c>
      <c r="G75" s="137">
        <v>13194</v>
      </c>
      <c r="H75" s="160">
        <f t="shared" si="3"/>
        <v>37283</v>
      </c>
      <c r="I75" s="114"/>
    </row>
    <row r="76" spans="1:9" ht="12.75" customHeight="1">
      <c r="A76" s="117" t="s">
        <v>186</v>
      </c>
      <c r="B76" s="117" t="s">
        <v>187</v>
      </c>
      <c r="D76" s="137">
        <v>267955</v>
      </c>
      <c r="E76" s="137">
        <v>235052</v>
      </c>
      <c r="F76" s="137">
        <f>-122730-179864</f>
        <v>-302594</v>
      </c>
      <c r="G76" s="137">
        <v>-43221</v>
      </c>
      <c r="H76" s="160">
        <f t="shared" si="3"/>
        <v>157192</v>
      </c>
      <c r="I76" s="114"/>
    </row>
    <row r="77" spans="1:9" ht="12.75" customHeight="1">
      <c r="A77" s="117"/>
      <c r="B77" s="117"/>
      <c r="H77" s="160"/>
      <c r="I77" s="114"/>
    </row>
    <row r="78" spans="1:9" ht="12.75" customHeight="1">
      <c r="A78" s="117" t="s">
        <v>198</v>
      </c>
      <c r="B78" s="117" t="s">
        <v>199</v>
      </c>
      <c r="D78" s="137">
        <v>126357</v>
      </c>
      <c r="E78" s="137">
        <v>130077</v>
      </c>
      <c r="F78" s="137">
        <v>129917</v>
      </c>
      <c r="G78" s="137">
        <v>129820</v>
      </c>
      <c r="H78" s="160">
        <f t="shared" si="3"/>
        <v>516171</v>
      </c>
      <c r="I78" s="114"/>
    </row>
    <row r="79" spans="1:9" ht="12.75" customHeight="1">
      <c r="A79" s="117"/>
      <c r="B79" s="117"/>
      <c r="H79" s="160"/>
      <c r="I79" s="114"/>
    </row>
    <row r="80" spans="1:9" ht="12.75" customHeight="1">
      <c r="A80" s="117" t="s">
        <v>204</v>
      </c>
      <c r="B80" s="117" t="s">
        <v>650</v>
      </c>
      <c r="D80" s="137">
        <v>706154</v>
      </c>
      <c r="E80" s="137">
        <v>722958</v>
      </c>
      <c r="F80" s="137">
        <v>747378</v>
      </c>
      <c r="G80" s="137">
        <v>753602</v>
      </c>
      <c r="H80" s="160">
        <f t="shared" si="3"/>
        <v>2930092</v>
      </c>
      <c r="I80" s="114"/>
    </row>
    <row r="81" spans="1:10" ht="12.75" customHeight="1">
      <c r="A81" s="117" t="s">
        <v>206</v>
      </c>
      <c r="B81" s="117" t="s">
        <v>651</v>
      </c>
      <c r="D81" s="137">
        <v>-315876</v>
      </c>
      <c r="E81" s="137">
        <v>-724209</v>
      </c>
      <c r="F81" s="137">
        <v>-1422615</v>
      </c>
      <c r="G81" s="137">
        <v>-990509</v>
      </c>
      <c r="H81" s="160">
        <f t="shared" si="3"/>
        <v>-3453209</v>
      </c>
      <c r="I81" s="114"/>
    </row>
    <row r="82" spans="1:10" ht="12.75" customHeight="1">
      <c r="A82" s="117"/>
      <c r="B82" s="117"/>
      <c r="H82" s="160"/>
      <c r="I82" s="114"/>
    </row>
    <row r="83" spans="1:10" ht="12.75" customHeight="1">
      <c r="A83" s="117" t="s">
        <v>210</v>
      </c>
      <c r="B83" s="117" t="s">
        <v>211</v>
      </c>
      <c r="D83" s="137">
        <v>180974</v>
      </c>
      <c r="E83" s="137">
        <v>244925</v>
      </c>
      <c r="F83" s="137">
        <v>450180</v>
      </c>
      <c r="G83" s="137">
        <v>242739</v>
      </c>
      <c r="H83" s="160">
        <f t="shared" si="3"/>
        <v>1118818</v>
      </c>
      <c r="I83" s="114"/>
    </row>
    <row r="84" spans="1:10" ht="12.75" customHeight="1">
      <c r="A84" s="117" t="s">
        <v>214</v>
      </c>
      <c r="B84" s="117" t="s">
        <v>215</v>
      </c>
      <c r="D84" s="137">
        <v>80511</v>
      </c>
      <c r="E84" s="137">
        <v>85689</v>
      </c>
      <c r="F84" s="137">
        <v>81195</v>
      </c>
      <c r="G84" s="159">
        <v>87160</v>
      </c>
      <c r="H84" s="160">
        <f t="shared" si="3"/>
        <v>334555</v>
      </c>
      <c r="I84" s="114"/>
      <c r="J84" s="114"/>
    </row>
    <row r="85" spans="1:10" ht="12.75" customHeight="1">
      <c r="A85" s="117" t="s">
        <v>216</v>
      </c>
      <c r="B85" s="117" t="s">
        <v>652</v>
      </c>
      <c r="D85" s="137">
        <v>179863</v>
      </c>
      <c r="E85" s="137">
        <v>187224</v>
      </c>
      <c r="F85" s="137">
        <v>165587</v>
      </c>
      <c r="G85" s="137">
        <v>178643</v>
      </c>
      <c r="H85" s="160">
        <f t="shared" si="3"/>
        <v>711317</v>
      </c>
      <c r="I85" s="114"/>
    </row>
    <row r="86" spans="1:10" ht="12.75" customHeight="1">
      <c r="A86" s="117" t="s">
        <v>212</v>
      </c>
      <c r="B86" s="117" t="s">
        <v>213</v>
      </c>
      <c r="D86" s="137">
        <v>-6167</v>
      </c>
      <c r="E86" s="137">
        <v>0</v>
      </c>
      <c r="F86" s="137">
        <v>0</v>
      </c>
      <c r="G86" s="137">
        <v>0</v>
      </c>
      <c r="H86" s="160">
        <f t="shared" si="3"/>
        <v>-6167</v>
      </c>
      <c r="I86" s="114"/>
    </row>
    <row r="87" spans="1:10" ht="12.75" customHeight="1">
      <c r="A87" s="117" t="s">
        <v>218</v>
      </c>
      <c r="B87" s="117" t="s">
        <v>219</v>
      </c>
      <c r="D87" s="137">
        <v>13693</v>
      </c>
      <c r="E87" s="137">
        <v>451</v>
      </c>
      <c r="F87" s="137">
        <v>0</v>
      </c>
      <c r="G87" s="159">
        <v>32010</v>
      </c>
      <c r="H87" s="160">
        <f t="shared" si="3"/>
        <v>46154</v>
      </c>
      <c r="I87" s="114"/>
      <c r="J87" s="114"/>
    </row>
    <row r="88" spans="1:10" ht="12.75" customHeight="1">
      <c r="A88" s="117" t="s">
        <v>220</v>
      </c>
      <c r="B88" s="117" t="s">
        <v>221</v>
      </c>
      <c r="D88" s="137">
        <v>39881</v>
      </c>
      <c r="E88" s="137">
        <v>44192</v>
      </c>
      <c r="F88" s="137">
        <v>3224</v>
      </c>
      <c r="G88" s="137">
        <v>8746</v>
      </c>
      <c r="H88" s="160">
        <f t="shared" si="3"/>
        <v>96043</v>
      </c>
      <c r="I88" s="114"/>
    </row>
    <row r="89" spans="1:10" ht="12.75" customHeight="1">
      <c r="A89" s="117" t="s">
        <v>385</v>
      </c>
      <c r="B89" s="117" t="s">
        <v>386</v>
      </c>
      <c r="D89" s="137">
        <v>-77</v>
      </c>
      <c r="E89" s="137">
        <v>-126</v>
      </c>
      <c r="F89" s="137">
        <v>0</v>
      </c>
      <c r="G89" s="137">
        <v>0</v>
      </c>
      <c r="H89" s="160">
        <f t="shared" si="3"/>
        <v>-203</v>
      </c>
      <c r="I89" s="114"/>
    </row>
    <row r="90" spans="1:10" ht="12.75" customHeight="1">
      <c r="A90" s="117"/>
      <c r="B90" s="117"/>
      <c r="H90" s="160"/>
      <c r="I90" s="114"/>
    </row>
    <row r="91" spans="1:10" ht="12.75" customHeight="1">
      <c r="A91" s="117" t="s">
        <v>434</v>
      </c>
      <c r="B91" s="117" t="s">
        <v>413</v>
      </c>
      <c r="D91" s="137">
        <v>0</v>
      </c>
      <c r="E91" s="137">
        <v>0</v>
      </c>
      <c r="F91" s="137">
        <v>-68505</v>
      </c>
      <c r="G91" s="137">
        <v>23863</v>
      </c>
      <c r="H91" s="160">
        <f t="shared" si="3"/>
        <v>-44642</v>
      </c>
      <c r="I91" s="114"/>
    </row>
    <row r="92" spans="1:10" ht="12.75" customHeight="1">
      <c r="A92" s="117" t="s">
        <v>226</v>
      </c>
      <c r="B92" s="117" t="s">
        <v>227</v>
      </c>
      <c r="D92" s="137">
        <v>-4832</v>
      </c>
      <c r="E92" s="137">
        <v>1767</v>
      </c>
      <c r="F92" s="137">
        <v>9614</v>
      </c>
      <c r="G92" s="137">
        <v>0</v>
      </c>
      <c r="H92" s="160">
        <f t="shared" si="3"/>
        <v>6549</v>
      </c>
      <c r="I92" s="114"/>
    </row>
    <row r="93" spans="1:10" ht="12.75" customHeight="1">
      <c r="A93" s="117"/>
      <c r="B93" s="117"/>
      <c r="H93" s="160"/>
      <c r="I93" s="114"/>
    </row>
    <row r="94" spans="1:10" ht="12.75" customHeight="1">
      <c r="A94" s="117" t="s">
        <v>604</v>
      </c>
      <c r="B94" s="117" t="s">
        <v>605</v>
      </c>
      <c r="D94" s="137">
        <v>0</v>
      </c>
      <c r="E94" s="137">
        <v>0</v>
      </c>
      <c r="F94" s="137">
        <v>145</v>
      </c>
      <c r="G94" s="137">
        <v>0</v>
      </c>
      <c r="H94" s="160">
        <f t="shared" si="3"/>
        <v>145</v>
      </c>
      <c r="I94" s="114"/>
    </row>
    <row r="95" spans="1:10" ht="12.75" customHeight="1">
      <c r="A95" s="117" t="s">
        <v>230</v>
      </c>
      <c r="B95" s="117" t="s">
        <v>231</v>
      </c>
      <c r="D95" s="137">
        <v>300</v>
      </c>
      <c r="E95" s="137">
        <v>0</v>
      </c>
      <c r="F95" s="137">
        <v>3002</v>
      </c>
      <c r="G95" s="137">
        <v>300</v>
      </c>
      <c r="H95" s="160">
        <f t="shared" si="3"/>
        <v>3602</v>
      </c>
      <c r="I95" s="114"/>
    </row>
    <row r="96" spans="1:10" ht="12.75" customHeight="1">
      <c r="A96" s="117"/>
      <c r="B96" s="117"/>
      <c r="H96" s="160"/>
      <c r="I96" s="114"/>
    </row>
    <row r="97" spans="1:11" ht="12.75" customHeight="1">
      <c r="A97" s="117" t="s">
        <v>234</v>
      </c>
      <c r="B97" s="117" t="s">
        <v>235</v>
      </c>
      <c r="D97" s="137">
        <v>44011</v>
      </c>
      <c r="E97" s="137">
        <v>28767</v>
      </c>
      <c r="F97" s="137">
        <v>38355</v>
      </c>
      <c r="G97" s="159">
        <v>28580</v>
      </c>
      <c r="H97" s="160">
        <f t="shared" si="3"/>
        <v>139713</v>
      </c>
      <c r="I97" s="114"/>
      <c r="J97" s="114"/>
    </row>
    <row r="98" spans="1:11" ht="12.75" customHeight="1">
      <c r="A98" s="117" t="s">
        <v>236</v>
      </c>
      <c r="B98" s="117" t="s">
        <v>237</v>
      </c>
      <c r="D98" s="137">
        <v>1500</v>
      </c>
      <c r="E98" s="137">
        <v>1500</v>
      </c>
      <c r="F98" s="137">
        <v>1500</v>
      </c>
      <c r="G98" s="137">
        <v>1500</v>
      </c>
      <c r="H98" s="160">
        <f t="shared" si="3"/>
        <v>6000</v>
      </c>
      <c r="I98" s="114"/>
    </row>
    <row r="99" spans="1:11" ht="12.75" customHeight="1">
      <c r="A99" s="117" t="s">
        <v>238</v>
      </c>
      <c r="B99" s="117" t="s">
        <v>239</v>
      </c>
      <c r="D99" s="137">
        <v>52124</v>
      </c>
      <c r="E99" s="137">
        <v>3123</v>
      </c>
      <c r="F99" s="137">
        <v>24818</v>
      </c>
      <c r="G99" s="137">
        <v>39840</v>
      </c>
      <c r="H99" s="160">
        <f t="shared" si="3"/>
        <v>119905</v>
      </c>
      <c r="I99" s="114"/>
    </row>
    <row r="100" spans="1:11" ht="12.75" customHeight="1">
      <c r="A100" s="117" t="s">
        <v>240</v>
      </c>
      <c r="B100" s="117" t="s">
        <v>241</v>
      </c>
      <c r="D100" s="137">
        <v>1398</v>
      </c>
      <c r="E100" s="137">
        <v>3993</v>
      </c>
      <c r="F100" s="137">
        <v>2281</v>
      </c>
      <c r="G100" s="137">
        <v>1398</v>
      </c>
      <c r="H100" s="160">
        <f t="shared" si="3"/>
        <v>9070</v>
      </c>
      <c r="I100" s="114"/>
    </row>
    <row r="101" spans="1:11" ht="12.75" customHeight="1">
      <c r="A101" s="117" t="s">
        <v>242</v>
      </c>
      <c r="B101" s="117" t="s">
        <v>562</v>
      </c>
      <c r="D101" s="137">
        <v>42090</v>
      </c>
      <c r="E101" s="137">
        <v>56784</v>
      </c>
      <c r="F101" s="137">
        <v>81565</v>
      </c>
      <c r="G101" s="137">
        <v>56181</v>
      </c>
      <c r="H101" s="160">
        <f t="shared" si="3"/>
        <v>236620</v>
      </c>
      <c r="I101" s="114"/>
    </row>
    <row r="102" spans="1:11" ht="12.75" customHeight="1">
      <c r="A102" s="117" t="s">
        <v>244</v>
      </c>
      <c r="B102" s="117" t="s">
        <v>245</v>
      </c>
      <c r="D102" s="137">
        <v>21205</v>
      </c>
      <c r="E102" s="137">
        <v>12854</v>
      </c>
      <c r="F102" s="137">
        <v>30812</v>
      </c>
      <c r="G102" s="137">
        <v>11000</v>
      </c>
      <c r="H102" s="160">
        <f t="shared" si="3"/>
        <v>75871</v>
      </c>
      <c r="I102" s="114"/>
    </row>
    <row r="103" spans="1:11" ht="12.75" customHeight="1">
      <c r="A103" s="117" t="s">
        <v>246</v>
      </c>
      <c r="B103" s="117" t="s">
        <v>247</v>
      </c>
      <c r="D103" s="137">
        <v>13200</v>
      </c>
      <c r="E103" s="137">
        <v>8800</v>
      </c>
      <c r="F103" s="137">
        <v>11000</v>
      </c>
      <c r="G103" s="137">
        <v>13200</v>
      </c>
      <c r="H103" s="160">
        <f t="shared" si="3"/>
        <v>46200</v>
      </c>
      <c r="I103" s="114"/>
    </row>
    <row r="104" spans="1:11" ht="12.75" customHeight="1">
      <c r="A104" s="117" t="s">
        <v>248</v>
      </c>
      <c r="B104" s="117" t="s">
        <v>249</v>
      </c>
      <c r="D104" s="137">
        <v>33313</v>
      </c>
      <c r="E104" s="137">
        <v>33277</v>
      </c>
      <c r="F104" s="137">
        <v>94379</v>
      </c>
      <c r="G104" s="269">
        <f>8388+21752</f>
        <v>30140</v>
      </c>
      <c r="H104" s="160">
        <f t="shared" si="3"/>
        <v>191109</v>
      </c>
      <c r="I104" s="114"/>
    </row>
    <row r="105" spans="1:11" ht="12.75" customHeight="1">
      <c r="A105" s="117" t="s">
        <v>436</v>
      </c>
      <c r="B105" s="117" t="s">
        <v>653</v>
      </c>
      <c r="D105" s="137">
        <v>0</v>
      </c>
      <c r="E105" s="137">
        <v>40000</v>
      </c>
      <c r="F105" s="137">
        <v>0</v>
      </c>
      <c r="G105" s="137">
        <v>0</v>
      </c>
      <c r="H105" s="160">
        <f t="shared" si="3"/>
        <v>40000</v>
      </c>
      <c r="I105" s="114"/>
    </row>
    <row r="106" spans="1:11" ht="12.75" customHeight="1">
      <c r="A106" s="117" t="s">
        <v>250</v>
      </c>
      <c r="B106" s="117" t="s">
        <v>251</v>
      </c>
      <c r="D106" s="137">
        <v>7984</v>
      </c>
      <c r="E106" s="137">
        <v>5515</v>
      </c>
      <c r="F106" s="137">
        <v>-971</v>
      </c>
      <c r="G106" s="137">
        <v>1946</v>
      </c>
      <c r="H106" s="160">
        <f t="shared" si="3"/>
        <v>14474</v>
      </c>
      <c r="I106" s="114"/>
    </row>
    <row r="107" spans="1:11" ht="12.75" customHeight="1">
      <c r="A107" s="117"/>
      <c r="B107" s="117"/>
      <c r="H107" s="160"/>
      <c r="I107" s="114"/>
    </row>
    <row r="108" spans="1:11" ht="12.75" customHeight="1">
      <c r="A108" s="117" t="s">
        <v>654</v>
      </c>
      <c r="B108" s="117" t="s">
        <v>655</v>
      </c>
      <c r="D108" s="137">
        <v>0</v>
      </c>
      <c r="E108" s="137">
        <v>0</v>
      </c>
      <c r="F108" s="137">
        <v>1205</v>
      </c>
      <c r="G108" s="137">
        <v>0</v>
      </c>
      <c r="H108" s="160">
        <f t="shared" si="3"/>
        <v>1205</v>
      </c>
      <c r="I108" s="114"/>
    </row>
    <row r="109" spans="1:11" ht="12.75" customHeight="1">
      <c r="A109" s="117" t="s">
        <v>656</v>
      </c>
      <c r="B109" s="117" t="s">
        <v>477</v>
      </c>
      <c r="D109" s="137">
        <v>0</v>
      </c>
      <c r="E109" s="137">
        <v>0</v>
      </c>
      <c r="F109" s="137">
        <v>3371</v>
      </c>
      <c r="G109" s="137">
        <v>0</v>
      </c>
      <c r="H109" s="160">
        <f t="shared" si="3"/>
        <v>3371</v>
      </c>
      <c r="I109" s="114"/>
    </row>
    <row r="110" spans="1:11" ht="12.75" customHeight="1">
      <c r="A110" s="117" t="s">
        <v>657</v>
      </c>
      <c r="B110" s="117" t="s">
        <v>658</v>
      </c>
      <c r="D110" s="137">
        <v>57</v>
      </c>
      <c r="E110" s="137">
        <v>2</v>
      </c>
      <c r="F110" s="137">
        <v>58</v>
      </c>
      <c r="G110" s="137">
        <v>0</v>
      </c>
      <c r="H110" s="160">
        <f t="shared" si="3"/>
        <v>117</v>
      </c>
      <c r="I110" s="114"/>
    </row>
    <row r="111" spans="1:11" ht="12.75" customHeight="1">
      <c r="A111" s="117" t="s">
        <v>260</v>
      </c>
      <c r="B111" s="117" t="s">
        <v>261</v>
      </c>
      <c r="D111" s="137">
        <v>1669531</v>
      </c>
      <c r="E111" s="137">
        <v>1865024</v>
      </c>
      <c r="F111" s="137">
        <v>1976244</v>
      </c>
      <c r="G111" s="137">
        <v>1936807</v>
      </c>
      <c r="H111" s="160">
        <f t="shared" si="3"/>
        <v>7447606</v>
      </c>
      <c r="I111" s="114"/>
    </row>
    <row r="112" spans="1:11" ht="12.75" customHeight="1">
      <c r="A112" s="117" t="s">
        <v>266</v>
      </c>
      <c r="B112" s="117" t="s">
        <v>267</v>
      </c>
      <c r="D112" s="137">
        <v>9993</v>
      </c>
      <c r="E112" s="137">
        <v>-143487</v>
      </c>
      <c r="F112" s="137">
        <v>-237844</v>
      </c>
      <c r="G112" s="269">
        <v>-199617</v>
      </c>
      <c r="H112" s="160">
        <f t="shared" si="3"/>
        <v>-570955</v>
      </c>
      <c r="I112" s="114"/>
      <c r="K112" s="114"/>
    </row>
    <row r="113" spans="1:9" ht="12.75" customHeight="1">
      <c r="A113" s="117" t="s">
        <v>659</v>
      </c>
      <c r="B113" s="117" t="s">
        <v>660</v>
      </c>
      <c r="D113" s="137">
        <v>0</v>
      </c>
      <c r="E113" s="137">
        <v>0</v>
      </c>
      <c r="F113" s="137">
        <v>0</v>
      </c>
      <c r="G113" s="137">
        <v>-51</v>
      </c>
      <c r="H113" s="160">
        <f t="shared" si="3"/>
        <v>-51</v>
      </c>
      <c r="I113" s="114"/>
    </row>
    <row r="114" spans="1:9" ht="12.75" customHeight="1">
      <c r="A114" s="117" t="s">
        <v>661</v>
      </c>
      <c r="B114" s="117" t="s">
        <v>564</v>
      </c>
      <c r="D114" s="137">
        <v>-456978</v>
      </c>
      <c r="E114" s="137">
        <v>-510488</v>
      </c>
      <c r="F114" s="137">
        <v>-540931</v>
      </c>
      <c r="G114" s="137">
        <v>-524297</v>
      </c>
      <c r="H114" s="160">
        <f t="shared" si="3"/>
        <v>-2032694</v>
      </c>
      <c r="I114" s="114"/>
    </row>
    <row r="115" spans="1:9" ht="12.75" customHeight="1">
      <c r="A115" s="117"/>
      <c r="B115" s="117"/>
      <c r="H115" s="160"/>
      <c r="I115" s="114"/>
    </row>
    <row r="116" spans="1:9" ht="12.75" customHeight="1">
      <c r="A116" s="117" t="s">
        <v>662</v>
      </c>
      <c r="B116" s="117" t="s">
        <v>394</v>
      </c>
      <c r="D116" s="137">
        <v>0</v>
      </c>
      <c r="E116" s="137">
        <v>0</v>
      </c>
      <c r="F116" s="137">
        <v>2192564</v>
      </c>
      <c r="G116" s="137">
        <v>0</v>
      </c>
      <c r="H116" s="160">
        <f t="shared" si="3"/>
        <v>2192564</v>
      </c>
      <c r="I116" s="114"/>
    </row>
    <row r="117" spans="1:9" ht="12.75" customHeight="1">
      <c r="A117" s="117" t="s">
        <v>272</v>
      </c>
      <c r="B117" s="117" t="s">
        <v>273</v>
      </c>
      <c r="D117" s="137">
        <v>-172942</v>
      </c>
      <c r="E117" s="137">
        <v>-146161</v>
      </c>
      <c r="F117" s="137">
        <v>-810982</v>
      </c>
      <c r="G117" s="137">
        <v>-160838</v>
      </c>
      <c r="H117" s="160">
        <f t="shared" si="3"/>
        <v>-1290923</v>
      </c>
      <c r="I117" s="114"/>
    </row>
    <row r="118" spans="1:9" ht="12.75" customHeight="1">
      <c r="A118" s="117"/>
      <c r="B118" s="117"/>
      <c r="H118" s="160"/>
      <c r="I118" s="114"/>
    </row>
    <row r="119" spans="1:9" ht="12.75" customHeight="1">
      <c r="A119" s="117" t="s">
        <v>440</v>
      </c>
      <c r="B119" s="117"/>
      <c r="D119" s="137">
        <f>SUM(D71:D117)</f>
        <v>-549597</v>
      </c>
      <c r="E119" s="137">
        <f>SUM(E71:E117)</f>
        <v>-972910</v>
      </c>
      <c r="F119" s="137">
        <f>SUM(F71:F117)</f>
        <v>-499446</v>
      </c>
      <c r="G119" s="137">
        <f>SUM(G71:G117)</f>
        <v>-1341749</v>
      </c>
      <c r="H119" s="160">
        <f t="shared" si="3"/>
        <v>-3363702</v>
      </c>
      <c r="I119" s="114"/>
    </row>
    <row r="120" spans="1:9" ht="12.75" customHeight="1">
      <c r="A120" s="117"/>
      <c r="B120" s="117"/>
      <c r="H120" s="117"/>
    </row>
    <row r="121" spans="1:9" ht="12.75" customHeight="1">
      <c r="A121" s="117" t="s">
        <v>663</v>
      </c>
      <c r="B121" s="117"/>
      <c r="C121" s="137">
        <f t="shared" ref="C121:H121" si="4">SUM(C5:C117)</f>
        <v>0</v>
      </c>
      <c r="D121" s="137">
        <f t="shared" si="4"/>
        <v>0</v>
      </c>
      <c r="E121" s="137">
        <f t="shared" si="4"/>
        <v>0</v>
      </c>
      <c r="F121" s="137">
        <f t="shared" si="4"/>
        <v>0</v>
      </c>
      <c r="G121" s="137">
        <f>SUM(G5:G117)</f>
        <v>21752</v>
      </c>
      <c r="H121" s="137">
        <f t="shared" si="4"/>
        <v>21752</v>
      </c>
    </row>
    <row r="123" spans="1:9" ht="12.75" customHeight="1">
      <c r="A123" s="136" t="s">
        <v>579</v>
      </c>
      <c r="C123" s="246"/>
      <c r="D123" s="261">
        <f>36883.33*3</f>
        <v>110649.99</v>
      </c>
      <c r="E123" s="261">
        <f>36883.33*3</f>
        <v>110649.99</v>
      </c>
      <c r="F123" s="261">
        <f>36883.33*3</f>
        <v>110649.99</v>
      </c>
      <c r="G123" s="261">
        <f>36883.33*3</f>
        <v>110649.99</v>
      </c>
      <c r="H123" s="114"/>
    </row>
    <row r="124" spans="1:9" ht="12.75" customHeight="1">
      <c r="A124" s="136" t="s">
        <v>580</v>
      </c>
      <c r="C124" s="246"/>
      <c r="D124" s="246">
        <v>-100655.86</v>
      </c>
      <c r="E124" s="246">
        <v>-254135.88</v>
      </c>
      <c r="F124" s="246">
        <v>-348493.15</v>
      </c>
      <c r="G124" s="246">
        <v>-332016.32</v>
      </c>
      <c r="H124" s="114"/>
    </row>
    <row r="125" spans="1:9" ht="12.75" customHeight="1">
      <c r="A125" s="136"/>
      <c r="C125" s="246"/>
      <c r="D125" s="246"/>
      <c r="E125" s="246"/>
      <c r="F125" s="246"/>
      <c r="G125" s="246"/>
      <c r="H125" s="114"/>
    </row>
    <row r="126" spans="1:9" ht="12.75" customHeight="1">
      <c r="A126" s="136" t="s">
        <v>581</v>
      </c>
      <c r="C126" s="246"/>
      <c r="D126" s="246">
        <f>D111</f>
        <v>1669531</v>
      </c>
      <c r="E126" s="246">
        <f>E111</f>
        <v>1865024</v>
      </c>
      <c r="F126" s="246">
        <f>F111+F108+F110</f>
        <v>1977507</v>
      </c>
      <c r="G126" s="246">
        <f>G111+G108+G110</f>
        <v>1936807</v>
      </c>
      <c r="H126" s="246">
        <f>H111+H108+H110</f>
        <v>7448928</v>
      </c>
    </row>
    <row r="127" spans="1:9" ht="12.75" customHeight="1">
      <c r="A127" s="136" t="s">
        <v>582</v>
      </c>
      <c r="C127" s="246"/>
      <c r="D127" s="246">
        <f>D124</f>
        <v>-100655.86</v>
      </c>
      <c r="E127" s="246">
        <f>E124</f>
        <v>-254135.88</v>
      </c>
      <c r="F127" s="246">
        <f>F124</f>
        <v>-348493.15</v>
      </c>
      <c r="G127" s="267">
        <f>G124</f>
        <v>-332016.32</v>
      </c>
      <c r="H127" s="263">
        <f>SUM(D127:G127)</f>
        <v>-1035301.21</v>
      </c>
    </row>
    <row r="128" spans="1:9" ht="12.75" customHeight="1">
      <c r="A128" s="136" t="s">
        <v>583</v>
      </c>
      <c r="C128" s="246"/>
      <c r="D128" s="246">
        <f>D123</f>
        <v>110649.99</v>
      </c>
      <c r="E128" s="246">
        <f>E123</f>
        <v>110649.99</v>
      </c>
      <c r="F128" s="246">
        <f>F123</f>
        <v>110649.99</v>
      </c>
      <c r="G128" s="267">
        <f>G123</f>
        <v>110649.99</v>
      </c>
      <c r="H128" s="263">
        <f>SUM(D128:G128)</f>
        <v>442599.96</v>
      </c>
    </row>
    <row r="129" spans="1:8" ht="12.75" customHeight="1">
      <c r="A129" s="136" t="s">
        <v>584</v>
      </c>
      <c r="C129" s="246"/>
      <c r="D129" s="246">
        <f>D109+D114</f>
        <v>-456978</v>
      </c>
      <c r="E129" s="246">
        <f>E109+E114</f>
        <v>-510488</v>
      </c>
      <c r="F129" s="246">
        <f>F114</f>
        <v>-540931</v>
      </c>
      <c r="G129" s="246">
        <f>G114</f>
        <v>-524297</v>
      </c>
      <c r="H129" s="114">
        <f>SUM(D129:G129)</f>
        <v>-2032694</v>
      </c>
    </row>
    <row r="130" spans="1:8" ht="12.75" customHeight="1">
      <c r="A130" s="136"/>
      <c r="C130" s="246"/>
      <c r="D130" s="246">
        <f>SUM(D126:D129)</f>
        <v>1222547.1299999999</v>
      </c>
      <c r="E130" s="246">
        <f>SUM(E126:E129)</f>
        <v>1211050.1100000001</v>
      </c>
      <c r="F130" s="246">
        <f>SUM(F126:F129)</f>
        <v>1198732.8400000001</v>
      </c>
      <c r="G130" s="246">
        <f>SUM(G126:G129)</f>
        <v>1191143.67</v>
      </c>
      <c r="H130" s="114">
        <f>SUM(D130:G130)</f>
        <v>4823473.75</v>
      </c>
    </row>
    <row r="134" spans="1:8" ht="12.75" customHeight="1">
      <c r="G134" s="137">
        <f>SUM(G127:G128)</f>
        <v>-221366.33000000002</v>
      </c>
    </row>
    <row r="135" spans="1:8" ht="12.75" customHeight="1">
      <c r="G135" s="137">
        <f>G112-G134</f>
        <v>21749.330000000016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93C1-9D93-413A-BC6C-92DD69368F09}">
  <dimension ref="A1:K134"/>
  <sheetViews>
    <sheetView zoomScale="80" zoomScaleNormal="80" workbookViewId="0">
      <selection activeCell="H19" sqref="H19"/>
    </sheetView>
  </sheetViews>
  <sheetFormatPr defaultRowHeight="12.75" customHeight="1"/>
  <cols>
    <col min="1" max="1" width="9.109375" style="1"/>
    <col min="2" max="2" width="70" style="1" bestFit="1" customWidth="1"/>
    <col min="3" max="3" width="26" style="137" bestFit="1" customWidth="1"/>
    <col min="4" max="5" width="17.5546875" style="137" bestFit="1" customWidth="1"/>
    <col min="6" max="6" width="17.5546875" style="159" bestFit="1" customWidth="1"/>
    <col min="7" max="7" width="17.5546875" style="159" customWidth="1"/>
    <col min="8" max="8" width="20.44140625" style="1" bestFit="1" customWidth="1"/>
    <col min="9" max="9" width="36.33203125" style="1" bestFit="1" customWidth="1"/>
    <col min="10" max="11" width="13.5546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2" width="17.5546875" style="1" bestFit="1" customWidth="1"/>
    <col min="263" max="263" width="17.5546875" style="1" customWidth="1"/>
    <col min="264" max="264" width="20.44140625" style="1" bestFit="1" customWidth="1"/>
    <col min="265" max="265" width="36.3320312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8" width="17.5546875" style="1" bestFit="1" customWidth="1"/>
    <col min="519" max="519" width="17.5546875" style="1" customWidth="1"/>
    <col min="520" max="520" width="20.44140625" style="1" bestFit="1" customWidth="1"/>
    <col min="521" max="521" width="36.3320312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4" width="17.5546875" style="1" bestFit="1" customWidth="1"/>
    <col min="775" max="775" width="17.5546875" style="1" customWidth="1"/>
    <col min="776" max="776" width="20.44140625" style="1" bestFit="1" customWidth="1"/>
    <col min="777" max="777" width="36.3320312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30" width="17.5546875" style="1" bestFit="1" customWidth="1"/>
    <col min="1031" max="1031" width="17.5546875" style="1" customWidth="1"/>
    <col min="1032" max="1032" width="20.44140625" style="1" bestFit="1" customWidth="1"/>
    <col min="1033" max="1033" width="36.3320312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6" width="17.5546875" style="1" bestFit="1" customWidth="1"/>
    <col min="1287" max="1287" width="17.5546875" style="1" customWidth="1"/>
    <col min="1288" max="1288" width="20.44140625" style="1" bestFit="1" customWidth="1"/>
    <col min="1289" max="1289" width="36.3320312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2" width="17.5546875" style="1" bestFit="1" customWidth="1"/>
    <col min="1543" max="1543" width="17.5546875" style="1" customWidth="1"/>
    <col min="1544" max="1544" width="20.44140625" style="1" bestFit="1" customWidth="1"/>
    <col min="1545" max="1545" width="36.3320312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8" width="17.5546875" style="1" bestFit="1" customWidth="1"/>
    <col min="1799" max="1799" width="17.5546875" style="1" customWidth="1"/>
    <col min="1800" max="1800" width="20.44140625" style="1" bestFit="1" customWidth="1"/>
    <col min="1801" max="1801" width="36.3320312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4" width="17.5546875" style="1" bestFit="1" customWidth="1"/>
    <col min="2055" max="2055" width="17.5546875" style="1" customWidth="1"/>
    <col min="2056" max="2056" width="20.44140625" style="1" bestFit="1" customWidth="1"/>
    <col min="2057" max="2057" width="36.3320312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10" width="17.5546875" style="1" bestFit="1" customWidth="1"/>
    <col min="2311" max="2311" width="17.5546875" style="1" customWidth="1"/>
    <col min="2312" max="2312" width="20.44140625" style="1" bestFit="1" customWidth="1"/>
    <col min="2313" max="2313" width="36.3320312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6" width="17.5546875" style="1" bestFit="1" customWidth="1"/>
    <col min="2567" max="2567" width="17.5546875" style="1" customWidth="1"/>
    <col min="2568" max="2568" width="20.44140625" style="1" bestFit="1" customWidth="1"/>
    <col min="2569" max="2569" width="36.3320312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2" width="17.5546875" style="1" bestFit="1" customWidth="1"/>
    <col min="2823" max="2823" width="17.5546875" style="1" customWidth="1"/>
    <col min="2824" max="2824" width="20.44140625" style="1" bestFit="1" customWidth="1"/>
    <col min="2825" max="2825" width="36.3320312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8" width="17.5546875" style="1" bestFit="1" customWidth="1"/>
    <col min="3079" max="3079" width="17.5546875" style="1" customWidth="1"/>
    <col min="3080" max="3080" width="20.44140625" style="1" bestFit="1" customWidth="1"/>
    <col min="3081" max="3081" width="36.3320312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4" width="17.5546875" style="1" bestFit="1" customWidth="1"/>
    <col min="3335" max="3335" width="17.5546875" style="1" customWidth="1"/>
    <col min="3336" max="3336" width="20.44140625" style="1" bestFit="1" customWidth="1"/>
    <col min="3337" max="3337" width="36.3320312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90" width="17.5546875" style="1" bestFit="1" customWidth="1"/>
    <col min="3591" max="3591" width="17.5546875" style="1" customWidth="1"/>
    <col min="3592" max="3592" width="20.44140625" style="1" bestFit="1" customWidth="1"/>
    <col min="3593" max="3593" width="36.3320312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6" width="17.5546875" style="1" bestFit="1" customWidth="1"/>
    <col min="3847" max="3847" width="17.5546875" style="1" customWidth="1"/>
    <col min="3848" max="3848" width="20.44140625" style="1" bestFit="1" customWidth="1"/>
    <col min="3849" max="3849" width="36.3320312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2" width="17.5546875" style="1" bestFit="1" customWidth="1"/>
    <col min="4103" max="4103" width="17.5546875" style="1" customWidth="1"/>
    <col min="4104" max="4104" width="20.44140625" style="1" bestFit="1" customWidth="1"/>
    <col min="4105" max="4105" width="36.3320312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8" width="17.5546875" style="1" bestFit="1" customWidth="1"/>
    <col min="4359" max="4359" width="17.5546875" style="1" customWidth="1"/>
    <col min="4360" max="4360" width="20.44140625" style="1" bestFit="1" customWidth="1"/>
    <col min="4361" max="4361" width="36.3320312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4" width="17.5546875" style="1" bestFit="1" customWidth="1"/>
    <col min="4615" max="4615" width="17.5546875" style="1" customWidth="1"/>
    <col min="4616" max="4616" width="20.44140625" style="1" bestFit="1" customWidth="1"/>
    <col min="4617" max="4617" width="36.3320312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70" width="17.5546875" style="1" bestFit="1" customWidth="1"/>
    <col min="4871" max="4871" width="17.5546875" style="1" customWidth="1"/>
    <col min="4872" max="4872" width="20.44140625" style="1" bestFit="1" customWidth="1"/>
    <col min="4873" max="4873" width="36.3320312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6" width="17.5546875" style="1" bestFit="1" customWidth="1"/>
    <col min="5127" max="5127" width="17.5546875" style="1" customWidth="1"/>
    <col min="5128" max="5128" width="20.44140625" style="1" bestFit="1" customWidth="1"/>
    <col min="5129" max="5129" width="36.3320312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2" width="17.5546875" style="1" bestFit="1" customWidth="1"/>
    <col min="5383" max="5383" width="17.5546875" style="1" customWidth="1"/>
    <col min="5384" max="5384" width="20.44140625" style="1" bestFit="1" customWidth="1"/>
    <col min="5385" max="5385" width="36.3320312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8" width="17.5546875" style="1" bestFit="1" customWidth="1"/>
    <col min="5639" max="5639" width="17.5546875" style="1" customWidth="1"/>
    <col min="5640" max="5640" width="20.44140625" style="1" bestFit="1" customWidth="1"/>
    <col min="5641" max="5641" width="36.3320312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4" width="17.5546875" style="1" bestFit="1" customWidth="1"/>
    <col min="5895" max="5895" width="17.5546875" style="1" customWidth="1"/>
    <col min="5896" max="5896" width="20.44140625" style="1" bestFit="1" customWidth="1"/>
    <col min="5897" max="5897" width="36.3320312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50" width="17.5546875" style="1" bestFit="1" customWidth="1"/>
    <col min="6151" max="6151" width="17.5546875" style="1" customWidth="1"/>
    <col min="6152" max="6152" width="20.44140625" style="1" bestFit="1" customWidth="1"/>
    <col min="6153" max="6153" width="36.3320312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6" width="17.5546875" style="1" bestFit="1" customWidth="1"/>
    <col min="6407" max="6407" width="17.5546875" style="1" customWidth="1"/>
    <col min="6408" max="6408" width="20.44140625" style="1" bestFit="1" customWidth="1"/>
    <col min="6409" max="6409" width="36.3320312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2" width="17.5546875" style="1" bestFit="1" customWidth="1"/>
    <col min="6663" max="6663" width="17.5546875" style="1" customWidth="1"/>
    <col min="6664" max="6664" width="20.44140625" style="1" bestFit="1" customWidth="1"/>
    <col min="6665" max="6665" width="36.3320312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8" width="17.5546875" style="1" bestFit="1" customWidth="1"/>
    <col min="6919" max="6919" width="17.5546875" style="1" customWidth="1"/>
    <col min="6920" max="6920" width="20.44140625" style="1" bestFit="1" customWidth="1"/>
    <col min="6921" max="6921" width="36.3320312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4" width="17.5546875" style="1" bestFit="1" customWidth="1"/>
    <col min="7175" max="7175" width="17.5546875" style="1" customWidth="1"/>
    <col min="7176" max="7176" width="20.44140625" style="1" bestFit="1" customWidth="1"/>
    <col min="7177" max="7177" width="36.3320312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30" width="17.5546875" style="1" bestFit="1" customWidth="1"/>
    <col min="7431" max="7431" width="17.5546875" style="1" customWidth="1"/>
    <col min="7432" max="7432" width="20.44140625" style="1" bestFit="1" customWidth="1"/>
    <col min="7433" max="7433" width="36.3320312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6" width="17.5546875" style="1" bestFit="1" customWidth="1"/>
    <col min="7687" max="7687" width="17.5546875" style="1" customWidth="1"/>
    <col min="7688" max="7688" width="20.44140625" style="1" bestFit="1" customWidth="1"/>
    <col min="7689" max="7689" width="36.3320312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2" width="17.5546875" style="1" bestFit="1" customWidth="1"/>
    <col min="7943" max="7943" width="17.5546875" style="1" customWidth="1"/>
    <col min="7944" max="7944" width="20.44140625" style="1" bestFit="1" customWidth="1"/>
    <col min="7945" max="7945" width="36.3320312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8" width="17.5546875" style="1" bestFit="1" customWidth="1"/>
    <col min="8199" max="8199" width="17.5546875" style="1" customWidth="1"/>
    <col min="8200" max="8200" width="20.44140625" style="1" bestFit="1" customWidth="1"/>
    <col min="8201" max="8201" width="36.3320312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4" width="17.5546875" style="1" bestFit="1" customWidth="1"/>
    <col min="8455" max="8455" width="17.5546875" style="1" customWidth="1"/>
    <col min="8456" max="8456" width="20.44140625" style="1" bestFit="1" customWidth="1"/>
    <col min="8457" max="8457" width="36.3320312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10" width="17.5546875" style="1" bestFit="1" customWidth="1"/>
    <col min="8711" max="8711" width="17.5546875" style="1" customWidth="1"/>
    <col min="8712" max="8712" width="20.44140625" style="1" bestFit="1" customWidth="1"/>
    <col min="8713" max="8713" width="36.3320312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6" width="17.5546875" style="1" bestFit="1" customWidth="1"/>
    <col min="8967" max="8967" width="17.5546875" style="1" customWidth="1"/>
    <col min="8968" max="8968" width="20.44140625" style="1" bestFit="1" customWidth="1"/>
    <col min="8969" max="8969" width="36.3320312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2" width="17.5546875" style="1" bestFit="1" customWidth="1"/>
    <col min="9223" max="9223" width="17.5546875" style="1" customWidth="1"/>
    <col min="9224" max="9224" width="20.44140625" style="1" bestFit="1" customWidth="1"/>
    <col min="9225" max="9225" width="36.3320312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8" width="17.5546875" style="1" bestFit="1" customWidth="1"/>
    <col min="9479" max="9479" width="17.5546875" style="1" customWidth="1"/>
    <col min="9480" max="9480" width="20.44140625" style="1" bestFit="1" customWidth="1"/>
    <col min="9481" max="9481" width="36.3320312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4" width="17.5546875" style="1" bestFit="1" customWidth="1"/>
    <col min="9735" max="9735" width="17.5546875" style="1" customWidth="1"/>
    <col min="9736" max="9736" width="20.44140625" style="1" bestFit="1" customWidth="1"/>
    <col min="9737" max="9737" width="36.3320312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90" width="17.5546875" style="1" bestFit="1" customWidth="1"/>
    <col min="9991" max="9991" width="17.5546875" style="1" customWidth="1"/>
    <col min="9992" max="9992" width="20.44140625" style="1" bestFit="1" customWidth="1"/>
    <col min="9993" max="9993" width="36.3320312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6" width="17.5546875" style="1" bestFit="1" customWidth="1"/>
    <col min="10247" max="10247" width="17.5546875" style="1" customWidth="1"/>
    <col min="10248" max="10248" width="20.44140625" style="1" bestFit="1" customWidth="1"/>
    <col min="10249" max="10249" width="36.3320312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2" width="17.5546875" style="1" bestFit="1" customWidth="1"/>
    <col min="10503" max="10503" width="17.5546875" style="1" customWidth="1"/>
    <col min="10504" max="10504" width="20.44140625" style="1" bestFit="1" customWidth="1"/>
    <col min="10505" max="10505" width="36.3320312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8" width="17.5546875" style="1" bestFit="1" customWidth="1"/>
    <col min="10759" max="10759" width="17.5546875" style="1" customWidth="1"/>
    <col min="10760" max="10760" width="20.44140625" style="1" bestFit="1" customWidth="1"/>
    <col min="10761" max="10761" width="36.3320312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4" width="17.5546875" style="1" bestFit="1" customWidth="1"/>
    <col min="11015" max="11015" width="17.5546875" style="1" customWidth="1"/>
    <col min="11016" max="11016" width="20.44140625" style="1" bestFit="1" customWidth="1"/>
    <col min="11017" max="11017" width="36.3320312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70" width="17.5546875" style="1" bestFit="1" customWidth="1"/>
    <col min="11271" max="11271" width="17.5546875" style="1" customWidth="1"/>
    <col min="11272" max="11272" width="20.44140625" style="1" bestFit="1" customWidth="1"/>
    <col min="11273" max="11273" width="36.3320312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6" width="17.5546875" style="1" bestFit="1" customWidth="1"/>
    <col min="11527" max="11527" width="17.5546875" style="1" customWidth="1"/>
    <col min="11528" max="11528" width="20.44140625" style="1" bestFit="1" customWidth="1"/>
    <col min="11529" max="11529" width="36.3320312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2" width="17.5546875" style="1" bestFit="1" customWidth="1"/>
    <col min="11783" max="11783" width="17.5546875" style="1" customWidth="1"/>
    <col min="11784" max="11784" width="20.44140625" style="1" bestFit="1" customWidth="1"/>
    <col min="11785" max="11785" width="36.3320312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8" width="17.5546875" style="1" bestFit="1" customWidth="1"/>
    <col min="12039" max="12039" width="17.5546875" style="1" customWidth="1"/>
    <col min="12040" max="12040" width="20.44140625" style="1" bestFit="1" customWidth="1"/>
    <col min="12041" max="12041" width="36.3320312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4" width="17.5546875" style="1" bestFit="1" customWidth="1"/>
    <col min="12295" max="12295" width="17.5546875" style="1" customWidth="1"/>
    <col min="12296" max="12296" width="20.44140625" style="1" bestFit="1" customWidth="1"/>
    <col min="12297" max="12297" width="36.3320312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50" width="17.5546875" style="1" bestFit="1" customWidth="1"/>
    <col min="12551" max="12551" width="17.5546875" style="1" customWidth="1"/>
    <col min="12552" max="12552" width="20.44140625" style="1" bestFit="1" customWidth="1"/>
    <col min="12553" max="12553" width="36.3320312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6" width="17.5546875" style="1" bestFit="1" customWidth="1"/>
    <col min="12807" max="12807" width="17.5546875" style="1" customWidth="1"/>
    <col min="12808" max="12808" width="20.44140625" style="1" bestFit="1" customWidth="1"/>
    <col min="12809" max="12809" width="36.3320312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2" width="17.5546875" style="1" bestFit="1" customWidth="1"/>
    <col min="13063" max="13063" width="17.5546875" style="1" customWidth="1"/>
    <col min="13064" max="13064" width="20.44140625" style="1" bestFit="1" customWidth="1"/>
    <col min="13065" max="13065" width="36.3320312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8" width="17.5546875" style="1" bestFit="1" customWidth="1"/>
    <col min="13319" max="13319" width="17.5546875" style="1" customWidth="1"/>
    <col min="13320" max="13320" width="20.44140625" style="1" bestFit="1" customWidth="1"/>
    <col min="13321" max="13321" width="36.3320312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4" width="17.5546875" style="1" bestFit="1" customWidth="1"/>
    <col min="13575" max="13575" width="17.5546875" style="1" customWidth="1"/>
    <col min="13576" max="13576" width="20.44140625" style="1" bestFit="1" customWidth="1"/>
    <col min="13577" max="13577" width="36.3320312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30" width="17.5546875" style="1" bestFit="1" customWidth="1"/>
    <col min="13831" max="13831" width="17.5546875" style="1" customWidth="1"/>
    <col min="13832" max="13832" width="20.44140625" style="1" bestFit="1" customWidth="1"/>
    <col min="13833" max="13833" width="36.3320312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6" width="17.5546875" style="1" bestFit="1" customWidth="1"/>
    <col min="14087" max="14087" width="17.5546875" style="1" customWidth="1"/>
    <col min="14088" max="14088" width="20.44140625" style="1" bestFit="1" customWidth="1"/>
    <col min="14089" max="14089" width="36.3320312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2" width="17.5546875" style="1" bestFit="1" customWidth="1"/>
    <col min="14343" max="14343" width="17.5546875" style="1" customWidth="1"/>
    <col min="14344" max="14344" width="20.44140625" style="1" bestFit="1" customWidth="1"/>
    <col min="14345" max="14345" width="36.3320312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8" width="17.5546875" style="1" bestFit="1" customWidth="1"/>
    <col min="14599" max="14599" width="17.5546875" style="1" customWidth="1"/>
    <col min="14600" max="14600" width="20.44140625" style="1" bestFit="1" customWidth="1"/>
    <col min="14601" max="14601" width="36.3320312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4" width="17.5546875" style="1" bestFit="1" customWidth="1"/>
    <col min="14855" max="14855" width="17.5546875" style="1" customWidth="1"/>
    <col min="14856" max="14856" width="20.44140625" style="1" bestFit="1" customWidth="1"/>
    <col min="14857" max="14857" width="36.3320312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10" width="17.5546875" style="1" bestFit="1" customWidth="1"/>
    <col min="15111" max="15111" width="17.5546875" style="1" customWidth="1"/>
    <col min="15112" max="15112" width="20.44140625" style="1" bestFit="1" customWidth="1"/>
    <col min="15113" max="15113" width="36.3320312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6" width="17.5546875" style="1" bestFit="1" customWidth="1"/>
    <col min="15367" max="15367" width="17.5546875" style="1" customWidth="1"/>
    <col min="15368" max="15368" width="20.44140625" style="1" bestFit="1" customWidth="1"/>
    <col min="15369" max="15369" width="36.3320312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2" width="17.5546875" style="1" bestFit="1" customWidth="1"/>
    <col min="15623" max="15623" width="17.5546875" style="1" customWidth="1"/>
    <col min="15624" max="15624" width="20.44140625" style="1" bestFit="1" customWidth="1"/>
    <col min="15625" max="15625" width="36.3320312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8" width="17.5546875" style="1" bestFit="1" customWidth="1"/>
    <col min="15879" max="15879" width="17.5546875" style="1" customWidth="1"/>
    <col min="15880" max="15880" width="20.44140625" style="1" bestFit="1" customWidth="1"/>
    <col min="15881" max="15881" width="36.3320312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4" width="17.5546875" style="1" bestFit="1" customWidth="1"/>
    <col min="16135" max="16135" width="17.5546875" style="1" customWidth="1"/>
    <col min="16136" max="16136" width="20.44140625" style="1" bestFit="1" customWidth="1"/>
    <col min="16137" max="16137" width="36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66" t="s">
        <v>666</v>
      </c>
      <c r="D1" s="266" t="s">
        <v>589</v>
      </c>
      <c r="E1" s="266" t="s">
        <v>601</v>
      </c>
      <c r="F1" s="266" t="s">
        <v>610</v>
      </c>
      <c r="G1" s="266" t="s">
        <v>667</v>
      </c>
      <c r="H1" s="266" t="s">
        <v>668</v>
      </c>
      <c r="I1" s="266" t="s">
        <v>669</v>
      </c>
    </row>
    <row r="3" spans="1:9" ht="12.75" customHeight="1">
      <c r="A3" s="138" t="s">
        <v>16</v>
      </c>
    </row>
    <row r="4" spans="1:9" ht="12.75" customHeight="1">
      <c r="A4" s="138"/>
    </row>
    <row r="5" spans="1:9" ht="12.75" customHeight="1">
      <c r="A5" s="138" t="s">
        <v>612</v>
      </c>
    </row>
    <row r="6" spans="1:9" ht="12.75" customHeight="1">
      <c r="A6" s="1" t="s">
        <v>21</v>
      </c>
      <c r="B6" s="1" t="s">
        <v>613</v>
      </c>
      <c r="C6" s="137">
        <v>125278510.08</v>
      </c>
      <c r="D6" s="137">
        <v>763364.31</v>
      </c>
      <c r="E6" s="137">
        <v>822372.08000000007</v>
      </c>
      <c r="F6" s="159">
        <v>-1419718.1900000002</v>
      </c>
      <c r="G6" s="159">
        <v>257169.47</v>
      </c>
      <c r="H6" s="114">
        <f>SUM(C6:G6)</f>
        <v>125701697.75</v>
      </c>
    </row>
    <row r="7" spans="1:9" ht="12.75" customHeight="1">
      <c r="A7" s="1" t="s">
        <v>23</v>
      </c>
      <c r="B7" s="1" t="s">
        <v>614</v>
      </c>
      <c r="C7" s="137">
        <v>-18890107</v>
      </c>
      <c r="D7" s="137">
        <v>-722958</v>
      </c>
      <c r="E7" s="137">
        <v>-747378</v>
      </c>
      <c r="F7" s="159">
        <v>-456675</v>
      </c>
      <c r="G7" s="159">
        <v>-752120</v>
      </c>
      <c r="H7" s="114">
        <f>SUM(C7:G7)</f>
        <v>-21569238</v>
      </c>
    </row>
    <row r="8" spans="1:9" ht="12.75" customHeight="1">
      <c r="A8" s="147" t="s">
        <v>615</v>
      </c>
      <c r="B8" s="147" t="s">
        <v>616</v>
      </c>
      <c r="F8" s="159">
        <v>-722644</v>
      </c>
      <c r="G8" s="159">
        <v>-621877</v>
      </c>
      <c r="H8" s="114">
        <f>SUM(C8:G8)</f>
        <v>-1344521</v>
      </c>
    </row>
    <row r="9" spans="1:9" ht="12.75" customHeight="1">
      <c r="A9" s="1" t="s">
        <v>427</v>
      </c>
      <c r="B9" s="1" t="s">
        <v>428</v>
      </c>
      <c r="C9" s="137">
        <v>48513</v>
      </c>
      <c r="D9" s="137">
        <v>106809</v>
      </c>
      <c r="E9" s="137">
        <v>141605</v>
      </c>
      <c r="F9" s="159">
        <v>-177274</v>
      </c>
      <c r="G9" s="159">
        <v>107020</v>
      </c>
      <c r="H9" s="114">
        <f>SUM(C9:G9)</f>
        <v>226673</v>
      </c>
    </row>
    <row r="10" spans="1:9" ht="12.75" customHeight="1">
      <c r="A10" s="1" t="s">
        <v>25</v>
      </c>
      <c r="B10" s="1" t="s">
        <v>26</v>
      </c>
      <c r="C10" s="137">
        <v>-322981</v>
      </c>
      <c r="D10" s="137">
        <v>-677264</v>
      </c>
      <c r="E10" s="137">
        <v>-890320</v>
      </c>
      <c r="F10" s="159">
        <v>1890565</v>
      </c>
      <c r="G10" s="159">
        <v>0</v>
      </c>
      <c r="H10" s="114">
        <f>SUM(C10:G10)</f>
        <v>0</v>
      </c>
    </row>
    <row r="12" spans="1:9" ht="12.75" customHeight="1">
      <c r="A12" s="270" t="s">
        <v>617</v>
      </c>
    </row>
    <row r="13" spans="1:9" ht="12.75" customHeight="1">
      <c r="A13" s="1" t="s">
        <v>618</v>
      </c>
      <c r="B13" s="1" t="s">
        <v>619</v>
      </c>
      <c r="C13" s="137">
        <v>38320325</v>
      </c>
      <c r="D13" s="137">
        <v>0</v>
      </c>
      <c r="E13" s="137">
        <v>0</v>
      </c>
      <c r="H13" s="114">
        <f>SUM(C13:G13)</f>
        <v>38320325</v>
      </c>
    </row>
    <row r="14" spans="1:9" ht="12.75" customHeight="1">
      <c r="A14" s="1" t="s">
        <v>620</v>
      </c>
      <c r="B14" s="1" t="s">
        <v>621</v>
      </c>
      <c r="C14" s="137">
        <v>-287402.43</v>
      </c>
      <c r="D14" s="137">
        <v>-95800.81</v>
      </c>
      <c r="E14" s="137">
        <v>-982250.81</v>
      </c>
      <c r="F14" s="159">
        <v>-236217.43</v>
      </c>
      <c r="G14" s="159">
        <v>-503912.27</v>
      </c>
      <c r="H14" s="114">
        <f>SUM(C14:G14)</f>
        <v>-2105583.75</v>
      </c>
    </row>
    <row r="15" spans="1:9" ht="12.75" customHeight="1">
      <c r="A15" s="1" t="s">
        <v>622</v>
      </c>
      <c r="B15" s="1" t="s">
        <v>558</v>
      </c>
      <c r="C15" s="137">
        <v>1881050.0299999993</v>
      </c>
      <c r="D15" s="137">
        <v>-110649.99</v>
      </c>
      <c r="E15" s="137">
        <v>-110649.99</v>
      </c>
      <c r="F15" s="159">
        <v>-110649.99</v>
      </c>
      <c r="G15" s="159">
        <v>-110650</v>
      </c>
      <c r="H15" s="114">
        <f>SUM(C15:G15)</f>
        <v>1438450.0599999994</v>
      </c>
    </row>
    <row r="16" spans="1:9" ht="12.75" customHeight="1">
      <c r="A16" s="1" t="s">
        <v>35</v>
      </c>
      <c r="B16" s="1" t="s">
        <v>36</v>
      </c>
      <c r="C16" s="137">
        <v>5436762</v>
      </c>
      <c r="D16" s="137">
        <v>146161</v>
      </c>
      <c r="E16" s="137">
        <v>797885</v>
      </c>
      <c r="F16" s="159">
        <v>160838</v>
      </c>
      <c r="G16" s="159">
        <v>176734</v>
      </c>
      <c r="H16" s="114">
        <f>SUM(C16:G16)</f>
        <v>6718380</v>
      </c>
    </row>
    <row r="18" spans="1:8" ht="12.75" customHeight="1">
      <c r="A18" s="270" t="s">
        <v>38</v>
      </c>
    </row>
    <row r="19" spans="1:8" ht="12.75" customHeight="1">
      <c r="A19" s="273" t="s">
        <v>41</v>
      </c>
      <c r="B19" s="273" t="s">
        <v>42</v>
      </c>
      <c r="C19" s="156">
        <v>1570201.94</v>
      </c>
      <c r="D19" s="156">
        <v>568866.17000000004</v>
      </c>
      <c r="E19" s="156">
        <v>-2015185.3</v>
      </c>
      <c r="F19" s="272">
        <v>3276624.5700000003</v>
      </c>
      <c r="G19" s="156">
        <v>2530742.7599999998</v>
      </c>
      <c r="H19" s="161">
        <f>SUM(C19:G19)-H20</f>
        <v>733776.29999999981</v>
      </c>
    </row>
    <row r="20" spans="1:8" ht="12.75" customHeight="1">
      <c r="A20" s="273" t="s">
        <v>623</v>
      </c>
      <c r="B20" s="273" t="s">
        <v>624</v>
      </c>
      <c r="C20" s="156">
        <v>0</v>
      </c>
      <c r="D20" s="156">
        <v>0</v>
      </c>
      <c r="E20" s="156">
        <v>2656650.84</v>
      </c>
      <c r="F20" s="137">
        <v>620098</v>
      </c>
      <c r="G20" s="156">
        <f>893859+1026866</f>
        <v>1920725</v>
      </c>
      <c r="H20" s="161">
        <f t="shared" ref="H20:H25" si="0">SUM(C20:G20)</f>
        <v>5197473.84</v>
      </c>
    </row>
    <row r="21" spans="1:8" ht="12.75" customHeight="1">
      <c r="A21" s="1" t="s">
        <v>43</v>
      </c>
      <c r="B21" s="1" t="s">
        <v>44</v>
      </c>
      <c r="C21" s="137">
        <v>-76878.53</v>
      </c>
      <c r="D21" s="137">
        <v>0</v>
      </c>
      <c r="E21" s="137">
        <v>68505.279999999999</v>
      </c>
      <c r="H21" s="114">
        <f t="shared" si="0"/>
        <v>-8373.25</v>
      </c>
    </row>
    <row r="22" spans="1:8" ht="12.75" customHeight="1">
      <c r="A22" s="1" t="s">
        <v>594</v>
      </c>
      <c r="B22" s="1" t="s">
        <v>595</v>
      </c>
      <c r="C22" s="137">
        <v>-41878.65</v>
      </c>
      <c r="D22" s="137">
        <v>41878.65</v>
      </c>
      <c r="E22" s="137">
        <v>0</v>
      </c>
      <c r="H22" s="114">
        <f t="shared" si="0"/>
        <v>0</v>
      </c>
    </row>
    <row r="23" spans="1:8" ht="12.75" customHeight="1">
      <c r="A23" s="1" t="s">
        <v>625</v>
      </c>
      <c r="B23" s="1" t="s">
        <v>626</v>
      </c>
      <c r="C23" s="137">
        <v>5000</v>
      </c>
      <c r="D23" s="137">
        <v>0</v>
      </c>
      <c r="E23" s="137">
        <v>0</v>
      </c>
      <c r="H23" s="114">
        <f t="shared" si="0"/>
        <v>5000</v>
      </c>
    </row>
    <row r="24" spans="1:8" ht="12.75" customHeight="1">
      <c r="A24" s="1" t="s">
        <v>627</v>
      </c>
      <c r="B24" s="1" t="s">
        <v>490</v>
      </c>
      <c r="C24" s="137">
        <v>57532.590000000004</v>
      </c>
      <c r="D24" s="137">
        <v>-28766.3</v>
      </c>
      <c r="E24" s="137">
        <v>-28766.29</v>
      </c>
      <c r="F24" s="159">
        <v>64305</v>
      </c>
      <c r="G24" s="159">
        <v>-21435</v>
      </c>
      <c r="H24" s="114">
        <f t="shared" si="0"/>
        <v>42870</v>
      </c>
    </row>
    <row r="25" spans="1:8" ht="12.75" customHeight="1">
      <c r="A25" s="136">
        <v>2040900</v>
      </c>
      <c r="B25" s="1" t="s">
        <v>56</v>
      </c>
      <c r="F25" s="159">
        <v>268134.02</v>
      </c>
      <c r="G25" s="159">
        <v>-89377.98</v>
      </c>
      <c r="H25" s="114">
        <f t="shared" si="0"/>
        <v>178756.04000000004</v>
      </c>
    </row>
    <row r="27" spans="1:8" ht="12.75" customHeight="1">
      <c r="A27" s="270" t="s">
        <v>58</v>
      </c>
    </row>
    <row r="28" spans="1:8" ht="12.75" customHeight="1">
      <c r="A28" s="1" t="s">
        <v>61</v>
      </c>
      <c r="B28" s="1" t="s">
        <v>62</v>
      </c>
      <c r="C28" s="137">
        <v>0.48</v>
      </c>
      <c r="D28" s="137">
        <v>0</v>
      </c>
      <c r="E28" s="137">
        <v>0</v>
      </c>
      <c r="F28" s="159">
        <v>0</v>
      </c>
      <c r="G28" s="159">
        <v>0</v>
      </c>
      <c r="H28" s="114">
        <f t="shared" ref="H28:H36" si="1">SUM(C28:G28)</f>
        <v>0.48</v>
      </c>
    </row>
    <row r="29" spans="1:8" ht="12.75" customHeight="1">
      <c r="A29" s="1" t="s">
        <v>628</v>
      </c>
      <c r="B29" s="1" t="s">
        <v>596</v>
      </c>
      <c r="C29" s="137">
        <v>3906.6599999999994</v>
      </c>
      <c r="D29" s="137">
        <v>-4860.88</v>
      </c>
      <c r="E29" s="137">
        <v>954.22000000000014</v>
      </c>
      <c r="F29" s="159">
        <v>122.06</v>
      </c>
      <c r="G29" s="159">
        <v>-3547.6499999999996</v>
      </c>
      <c r="H29" s="114">
        <f t="shared" si="1"/>
        <v>-3425.59</v>
      </c>
    </row>
    <row r="30" spans="1:8" ht="12.75" customHeight="1">
      <c r="A30" s="1" t="s">
        <v>65</v>
      </c>
      <c r="B30" s="1" t="s">
        <v>66</v>
      </c>
      <c r="C30" s="137">
        <v>128000</v>
      </c>
      <c r="D30" s="137">
        <v>-128000</v>
      </c>
      <c r="E30" s="137">
        <v>0</v>
      </c>
      <c r="F30" s="159">
        <v>490000</v>
      </c>
      <c r="G30" s="159">
        <v>-490000</v>
      </c>
      <c r="H30" s="114">
        <f t="shared" si="1"/>
        <v>0</v>
      </c>
    </row>
    <row r="31" spans="1:8" ht="12.75" customHeight="1">
      <c r="A31" s="1" t="s">
        <v>67</v>
      </c>
      <c r="B31" s="1" t="s">
        <v>68</v>
      </c>
      <c r="C31" s="137">
        <v>-41605.030000000006</v>
      </c>
      <c r="D31" s="137">
        <v>43840.28</v>
      </c>
      <c r="E31" s="137">
        <v>2206.9300000000003</v>
      </c>
      <c r="F31" s="159">
        <v>51.12</v>
      </c>
      <c r="G31" s="159">
        <v>2948.6499999999996</v>
      </c>
      <c r="H31" s="114">
        <f t="shared" si="1"/>
        <v>7441.9499999999925</v>
      </c>
    </row>
    <row r="32" spans="1:8" ht="12.75" customHeight="1">
      <c r="A32" s="1" t="s">
        <v>69</v>
      </c>
      <c r="B32" s="1" t="s">
        <v>70</v>
      </c>
      <c r="C32" s="137">
        <v>179.08</v>
      </c>
      <c r="D32" s="137">
        <v>-105.66</v>
      </c>
      <c r="E32" s="137">
        <v>0</v>
      </c>
      <c r="F32" s="159">
        <v>0</v>
      </c>
      <c r="G32" s="159">
        <v>-46.3</v>
      </c>
      <c r="H32" s="114">
        <f t="shared" si="1"/>
        <v>27.120000000000019</v>
      </c>
    </row>
    <row r="33" spans="1:8" ht="12.75" customHeight="1">
      <c r="A33" s="1" t="s">
        <v>71</v>
      </c>
      <c r="B33" s="1" t="s">
        <v>72</v>
      </c>
      <c r="C33" s="137">
        <v>7099.1200000000099</v>
      </c>
      <c r="D33" s="137">
        <v>-5557.2199999999993</v>
      </c>
      <c r="E33" s="137">
        <v>-826.01</v>
      </c>
      <c r="F33" s="159">
        <v>6673.4</v>
      </c>
      <c r="G33" s="159">
        <v>-6645.75</v>
      </c>
      <c r="H33" s="114">
        <f t="shared" si="1"/>
        <v>743.54000000000997</v>
      </c>
    </row>
    <row r="34" spans="1:8" ht="12.75" customHeight="1">
      <c r="A34" s="1" t="s">
        <v>73</v>
      </c>
      <c r="B34" s="1" t="s">
        <v>74</v>
      </c>
      <c r="C34" s="137">
        <v>349942.22</v>
      </c>
      <c r="D34" s="137">
        <v>-137878.31</v>
      </c>
      <c r="E34" s="137">
        <v>-145583.26999999999</v>
      </c>
      <c r="F34" s="159">
        <v>227168.53999999998</v>
      </c>
      <c r="G34" s="159">
        <v>-230570.79000000004</v>
      </c>
      <c r="H34" s="114">
        <f t="shared" si="1"/>
        <v>63078.389999999898</v>
      </c>
    </row>
    <row r="35" spans="1:8" ht="12.75" customHeight="1">
      <c r="A35" s="1" t="s">
        <v>75</v>
      </c>
      <c r="B35" s="1" t="s">
        <v>76</v>
      </c>
      <c r="C35" s="137">
        <v>2215.4100000000035</v>
      </c>
      <c r="D35" s="137">
        <v>13146.589999999997</v>
      </c>
      <c r="E35" s="137">
        <v>-6180.97</v>
      </c>
      <c r="F35" s="159">
        <v>138903.18</v>
      </c>
      <c r="G35" s="159">
        <v>-147771.81000000003</v>
      </c>
      <c r="H35" s="114">
        <f t="shared" si="1"/>
        <v>312.39999999996508</v>
      </c>
    </row>
    <row r="36" spans="1:8" ht="12.75" customHeight="1">
      <c r="A36" s="1" t="s">
        <v>629</v>
      </c>
      <c r="B36" s="1" t="s">
        <v>560</v>
      </c>
      <c r="C36" s="137">
        <v>-17.04</v>
      </c>
      <c r="D36" s="137">
        <v>0</v>
      </c>
      <c r="E36" s="137">
        <v>5661</v>
      </c>
      <c r="F36" s="159">
        <v>0</v>
      </c>
      <c r="G36" s="159">
        <v>-5660.09</v>
      </c>
      <c r="H36" s="114">
        <f t="shared" si="1"/>
        <v>-16.130000000000109</v>
      </c>
    </row>
    <row r="38" spans="1:8" ht="12.75" customHeight="1">
      <c r="A38" s="270" t="s">
        <v>630</v>
      </c>
    </row>
    <row r="39" spans="1:8" ht="12.75" customHeight="1">
      <c r="A39" s="1" t="s">
        <v>81</v>
      </c>
      <c r="B39" s="1" t="s">
        <v>82</v>
      </c>
      <c r="C39" s="137">
        <v>-1</v>
      </c>
      <c r="D39" s="137">
        <v>0</v>
      </c>
      <c r="E39" s="137">
        <v>0</v>
      </c>
      <c r="H39" s="114">
        <f>SUM(C39:G39)</f>
        <v>-1</v>
      </c>
    </row>
    <row r="40" spans="1:8" ht="12.75" customHeight="1">
      <c r="A40" s="1" t="s">
        <v>87</v>
      </c>
      <c r="B40" s="1" t="s">
        <v>430</v>
      </c>
      <c r="C40" s="137">
        <v>-18931219.48</v>
      </c>
      <c r="D40" s="137">
        <v>0</v>
      </c>
      <c r="E40" s="137">
        <v>0</v>
      </c>
      <c r="H40" s="114">
        <f>SUM(C40:G40)</f>
        <v>-18931219.48</v>
      </c>
    </row>
    <row r="41" spans="1:8" ht="12.75" customHeight="1">
      <c r="A41" s="1" t="s">
        <v>93</v>
      </c>
      <c r="B41" s="1" t="s">
        <v>94</v>
      </c>
      <c r="C41" s="137">
        <v>6312768</v>
      </c>
      <c r="D41" s="137">
        <v>-972910.62999999942</v>
      </c>
      <c r="E41" s="137">
        <v>-508250.61999999895</v>
      </c>
      <c r="F41" s="159">
        <v>-1031515.8599999998</v>
      </c>
      <c r="G41" s="159">
        <v>-877185.71000000043</v>
      </c>
      <c r="H41" s="114">
        <f>SUM(C41:G41)</f>
        <v>2922905.1800000016</v>
      </c>
    </row>
    <row r="43" spans="1:8" ht="12.75" customHeight="1">
      <c r="A43" s="270" t="s">
        <v>98</v>
      </c>
    </row>
    <row r="44" spans="1:8" ht="12.75" customHeight="1">
      <c r="A44" s="1" t="s">
        <v>103</v>
      </c>
      <c r="B44" s="1" t="s">
        <v>104</v>
      </c>
      <c r="C44" s="137">
        <v>-168320325</v>
      </c>
      <c r="D44" s="137">
        <v>0</v>
      </c>
      <c r="E44" s="137">
        <v>-755661</v>
      </c>
      <c r="F44" s="159">
        <v>0</v>
      </c>
      <c r="G44" s="159">
        <v>-459986.91</v>
      </c>
      <c r="H44" s="114">
        <f>SUM(C44:G44)</f>
        <v>-169535972.91</v>
      </c>
    </row>
    <row r="45" spans="1:8" ht="12.75" customHeight="1">
      <c r="A45" s="1" t="s">
        <v>107</v>
      </c>
      <c r="B45" s="1" t="s">
        <v>108</v>
      </c>
      <c r="C45" s="137">
        <v>30241891.07</v>
      </c>
      <c r="D45" s="137">
        <v>1446000</v>
      </c>
      <c r="E45" s="137">
        <v>1621000</v>
      </c>
      <c r="F45" s="159">
        <v>863000</v>
      </c>
      <c r="G45" s="159">
        <v>1686000</v>
      </c>
      <c r="H45" s="114">
        <f>SUM(C45:G45)</f>
        <v>35857891.07</v>
      </c>
    </row>
    <row r="46" spans="1:8" ht="12.75" customHeight="1">
      <c r="A46" s="1" t="s">
        <v>631</v>
      </c>
      <c r="B46" s="1" t="s">
        <v>632</v>
      </c>
      <c r="C46" s="137">
        <v>494173.93000000017</v>
      </c>
      <c r="D46" s="137">
        <v>-29069.050000000003</v>
      </c>
      <c r="E46" s="137">
        <v>-29069.060000000005</v>
      </c>
      <c r="F46" s="252">
        <v>-29069.050000000003</v>
      </c>
      <c r="G46" s="159">
        <v>-29069.060000000005</v>
      </c>
      <c r="H46" s="114">
        <f>SUM(C46:G46)</f>
        <v>377897.7100000002</v>
      </c>
    </row>
    <row r="48" spans="1:8" ht="12.75" customHeight="1">
      <c r="A48" s="270" t="s">
        <v>118</v>
      </c>
    </row>
    <row r="49" spans="1:9" ht="12.75" customHeight="1">
      <c r="A49" s="1" t="s">
        <v>121</v>
      </c>
      <c r="B49" s="1" t="s">
        <v>122</v>
      </c>
      <c r="C49" s="137">
        <v>-235515.81999999995</v>
      </c>
      <c r="D49" s="137">
        <v>-134611.64000000001</v>
      </c>
      <c r="E49" s="137">
        <v>-65993.450000000012</v>
      </c>
      <c r="F49" s="159">
        <v>-562453.98</v>
      </c>
      <c r="G49" s="159">
        <v>691611.51</v>
      </c>
      <c r="H49" s="114">
        <f t="shared" ref="H49:H68" si="2">SUM(C49:G49)</f>
        <v>-306963.37999999989</v>
      </c>
    </row>
    <row r="50" spans="1:9" ht="12.75" customHeight="1">
      <c r="A50" s="1" t="s">
        <v>123</v>
      </c>
      <c r="B50" s="1" t="s">
        <v>124</v>
      </c>
      <c r="C50" s="137">
        <v>-918680</v>
      </c>
      <c r="D50" s="137">
        <v>-1500</v>
      </c>
      <c r="E50" s="137">
        <v>-12500</v>
      </c>
      <c r="F50" s="159">
        <v>-14700</v>
      </c>
      <c r="G50" s="159">
        <v>14700</v>
      </c>
      <c r="H50" s="114">
        <f t="shared" si="2"/>
        <v>-932680</v>
      </c>
    </row>
    <row r="51" spans="1:9" ht="12.75" customHeight="1">
      <c r="A51" s="1" t="s">
        <v>633</v>
      </c>
      <c r="B51" s="1" t="s">
        <v>634</v>
      </c>
      <c r="C51" s="137">
        <v>0</v>
      </c>
      <c r="D51" s="137">
        <v>-200000</v>
      </c>
      <c r="E51" s="137">
        <v>-201205</v>
      </c>
      <c r="F51" s="159">
        <v>0</v>
      </c>
      <c r="G51" s="159">
        <v>-150000</v>
      </c>
      <c r="H51" s="114">
        <f t="shared" si="2"/>
        <v>-551205</v>
      </c>
    </row>
    <row r="52" spans="1:9" ht="12.75" customHeight="1">
      <c r="A52" s="1" t="s">
        <v>47</v>
      </c>
      <c r="B52" s="1" t="s">
        <v>48</v>
      </c>
      <c r="C52" s="137">
        <v>-106134.85999999999</v>
      </c>
      <c r="D52" s="137">
        <v>379578</v>
      </c>
      <c r="E52" s="137">
        <v>-408776</v>
      </c>
      <c r="F52" s="252">
        <v>458198.62</v>
      </c>
      <c r="G52" s="159">
        <v>12470</v>
      </c>
      <c r="H52" s="114">
        <f t="shared" si="2"/>
        <v>335335.76</v>
      </c>
    </row>
    <row r="53" spans="1:9" ht="12.75" customHeight="1">
      <c r="A53" s="136">
        <v>2650000</v>
      </c>
      <c r="B53" s="1" t="s">
        <v>670</v>
      </c>
      <c r="F53" s="252">
        <v>0</v>
      </c>
      <c r="G53" s="159">
        <v>-500000</v>
      </c>
      <c r="H53" s="114">
        <f t="shared" si="2"/>
        <v>-500000</v>
      </c>
    </row>
    <row r="54" spans="1:9" ht="12.75" customHeight="1">
      <c r="A54" s="1" t="s">
        <v>129</v>
      </c>
      <c r="B54" s="1" t="s">
        <v>130</v>
      </c>
      <c r="C54" s="137">
        <v>-4800.6000000000004</v>
      </c>
      <c r="D54" s="137">
        <v>-445.40000000000009</v>
      </c>
      <c r="E54" s="137">
        <v>-961.85999999999967</v>
      </c>
      <c r="F54" s="252">
        <v>899.77</v>
      </c>
      <c r="G54" s="159">
        <v>2856.3</v>
      </c>
      <c r="H54" s="114">
        <f t="shared" si="2"/>
        <v>-2451.79</v>
      </c>
    </row>
    <row r="55" spans="1:9" ht="12.75" customHeight="1">
      <c r="A55" s="1" t="s">
        <v>635</v>
      </c>
      <c r="B55" s="1" t="s">
        <v>636</v>
      </c>
      <c r="C55" s="137">
        <v>-965569.3</v>
      </c>
      <c r="D55" s="137">
        <v>801.61000000000058</v>
      </c>
      <c r="E55" s="137">
        <v>1175.8699999999953</v>
      </c>
      <c r="F55" s="159">
        <v>-17076.860000000102</v>
      </c>
      <c r="G55" s="159">
        <v>-47340.79999999993</v>
      </c>
      <c r="H55" s="114">
        <f t="shared" si="2"/>
        <v>-1028009.4800000001</v>
      </c>
    </row>
    <row r="56" spans="1:9" ht="12.75" customHeight="1">
      <c r="A56" s="1" t="s">
        <v>141</v>
      </c>
      <c r="B56" s="1" t="s">
        <v>142</v>
      </c>
      <c r="C56" s="137">
        <v>-927403.78</v>
      </c>
      <c r="D56" s="137">
        <v>-8275.86</v>
      </c>
      <c r="E56" s="137">
        <v>-30315.360000000001</v>
      </c>
      <c r="F56" s="159">
        <v>8490.33</v>
      </c>
      <c r="G56" s="159">
        <v>-4796</v>
      </c>
      <c r="H56" s="114">
        <f t="shared" si="2"/>
        <v>-962300.67</v>
      </c>
    </row>
    <row r="57" spans="1:9" ht="12.75" customHeight="1">
      <c r="A57" s="1" t="s">
        <v>143</v>
      </c>
      <c r="B57" s="1" t="s">
        <v>144</v>
      </c>
      <c r="C57" s="137">
        <v>-45000</v>
      </c>
      <c r="D57" s="137">
        <v>0</v>
      </c>
      <c r="E57" s="137">
        <v>0</v>
      </c>
      <c r="H57" s="114">
        <f t="shared" si="2"/>
        <v>-45000</v>
      </c>
    </row>
    <row r="58" spans="1:9" ht="12.75" customHeight="1">
      <c r="A58" s="1" t="s">
        <v>147</v>
      </c>
      <c r="B58" s="1" t="s">
        <v>148</v>
      </c>
      <c r="C58" s="137">
        <v>161893.41</v>
      </c>
      <c r="D58" s="137">
        <v>-80946.720000000001</v>
      </c>
      <c r="E58" s="137">
        <v>-89877.119999999995</v>
      </c>
      <c r="F58" s="159">
        <v>8930.43</v>
      </c>
      <c r="G58" s="159">
        <v>0</v>
      </c>
      <c r="H58" s="114">
        <f t="shared" si="2"/>
        <v>7.2759576141834259E-12</v>
      </c>
    </row>
    <row r="59" spans="1:9" ht="12.75" customHeight="1">
      <c r="A59" s="1" t="s">
        <v>149</v>
      </c>
      <c r="B59" s="1" t="s">
        <v>637</v>
      </c>
      <c r="C59" s="137">
        <v>0</v>
      </c>
      <c r="D59" s="137">
        <v>0</v>
      </c>
      <c r="E59" s="137">
        <v>0</v>
      </c>
      <c r="H59" s="114">
        <f t="shared" si="2"/>
        <v>0</v>
      </c>
    </row>
    <row r="60" spans="1:9" ht="12.75" customHeight="1">
      <c r="A60" s="1" t="s">
        <v>155</v>
      </c>
      <c r="B60" s="1" t="s">
        <v>156</v>
      </c>
      <c r="C60" s="137">
        <v>-254444.5</v>
      </c>
      <c r="D60" s="137">
        <v>-130845.14</v>
      </c>
      <c r="E60" s="137">
        <v>341805.97000000003</v>
      </c>
      <c r="F60" s="159">
        <v>-130817.51</v>
      </c>
      <c r="G60" s="159">
        <v>-87499.930000000008</v>
      </c>
      <c r="H60" s="114">
        <f t="shared" si="2"/>
        <v>-261801.11</v>
      </c>
    </row>
    <row r="61" spans="1:9" ht="12.75" customHeight="1">
      <c r="A61" s="1" t="s">
        <v>159</v>
      </c>
      <c r="B61" s="1" t="s">
        <v>160</v>
      </c>
      <c r="C61" s="137">
        <v>70000</v>
      </c>
      <c r="D61" s="137">
        <v>-40000</v>
      </c>
      <c r="E61" s="137">
        <v>-116206.6</v>
      </c>
      <c r="F61" s="159">
        <v>116206.6</v>
      </c>
      <c r="G61" s="159">
        <v>0</v>
      </c>
      <c r="H61" s="114">
        <f t="shared" si="2"/>
        <v>30000</v>
      </c>
    </row>
    <row r="62" spans="1:9" ht="12.75" customHeight="1">
      <c r="A62" s="1" t="s">
        <v>638</v>
      </c>
      <c r="B62" s="1" t="s">
        <v>639</v>
      </c>
      <c r="C62" s="137">
        <v>0</v>
      </c>
      <c r="D62" s="137">
        <v>0</v>
      </c>
      <c r="E62" s="137">
        <v>0</v>
      </c>
      <c r="F62" s="252"/>
      <c r="G62" s="252"/>
      <c r="H62" s="114">
        <f t="shared" si="2"/>
        <v>0</v>
      </c>
    </row>
    <row r="63" spans="1:9" ht="12.75" customHeight="1">
      <c r="A63" s="136" t="s">
        <v>641</v>
      </c>
      <c r="B63" s="1" t="s">
        <v>642</v>
      </c>
      <c r="C63" s="137">
        <v>0</v>
      </c>
      <c r="D63" s="137">
        <v>0</v>
      </c>
      <c r="E63" s="137">
        <v>0</v>
      </c>
      <c r="F63" s="159">
        <v>0</v>
      </c>
      <c r="G63" s="159">
        <v>0</v>
      </c>
      <c r="H63" s="114">
        <f t="shared" si="2"/>
        <v>0</v>
      </c>
    </row>
    <row r="64" spans="1:9" ht="12.75" customHeight="1">
      <c r="A64" s="136">
        <v>2502020</v>
      </c>
      <c r="B64" s="1" t="s">
        <v>643</v>
      </c>
      <c r="C64" s="137">
        <v>0</v>
      </c>
      <c r="D64" s="137">
        <v>0</v>
      </c>
      <c r="E64" s="137">
        <v>788.66</v>
      </c>
      <c r="F64" s="159">
        <v>-0.34</v>
      </c>
      <c r="G64" s="159">
        <v>0</v>
      </c>
      <c r="H64" s="161">
        <f t="shared" si="2"/>
        <v>788.31999999999994</v>
      </c>
      <c r="I64" s="271" t="s">
        <v>671</v>
      </c>
    </row>
    <row r="65" spans="1:9" ht="12.75" customHeight="1">
      <c r="A65" s="136">
        <v>2502021</v>
      </c>
      <c r="B65" s="1" t="s">
        <v>644</v>
      </c>
      <c r="C65" s="137">
        <v>0</v>
      </c>
      <c r="D65" s="137">
        <v>0</v>
      </c>
      <c r="E65" s="137">
        <v>91488.8</v>
      </c>
      <c r="F65" s="159">
        <v>-2045.75</v>
      </c>
      <c r="G65" s="159">
        <v>-93962.63</v>
      </c>
      <c r="H65" s="161">
        <f t="shared" si="2"/>
        <v>-4519.5800000000017</v>
      </c>
      <c r="I65" s="271" t="s">
        <v>671</v>
      </c>
    </row>
    <row r="66" spans="1:9" ht="12.75" customHeight="1">
      <c r="A66" s="136">
        <v>2502022</v>
      </c>
      <c r="B66" s="1" t="s">
        <v>645</v>
      </c>
      <c r="C66" s="137">
        <v>0</v>
      </c>
      <c r="D66" s="137">
        <v>0</v>
      </c>
      <c r="E66" s="137">
        <v>179376.06</v>
      </c>
      <c r="F66" s="159">
        <v>-27.21</v>
      </c>
      <c r="G66" s="159">
        <v>-261260</v>
      </c>
      <c r="H66" s="161">
        <f t="shared" si="2"/>
        <v>-81911.149999999994</v>
      </c>
      <c r="I66" s="271" t="s">
        <v>671</v>
      </c>
    </row>
    <row r="67" spans="1:9" ht="12.75" customHeight="1">
      <c r="A67" s="136">
        <v>2502023</v>
      </c>
      <c r="B67" s="1" t="s">
        <v>646</v>
      </c>
      <c r="C67" s="137">
        <v>0</v>
      </c>
      <c r="D67" s="137">
        <v>0</v>
      </c>
      <c r="E67" s="137">
        <v>414481</v>
      </c>
      <c r="F67" s="252">
        <v>-404858.53</v>
      </c>
      <c r="G67" s="159">
        <v>-212658.64</v>
      </c>
      <c r="H67" s="161">
        <f t="shared" si="2"/>
        <v>-203036.17000000004</v>
      </c>
      <c r="I67" s="271" t="s">
        <v>671</v>
      </c>
    </row>
    <row r="68" spans="1:9" ht="12.75" customHeight="1">
      <c r="A68" s="147" t="s">
        <v>647</v>
      </c>
      <c r="B68" s="147" t="s">
        <v>648</v>
      </c>
      <c r="F68" s="159">
        <v>-6716.1</v>
      </c>
      <c r="G68" s="159">
        <v>225121.63</v>
      </c>
      <c r="H68" s="114">
        <f t="shared" si="2"/>
        <v>218405.53</v>
      </c>
    </row>
    <row r="70" spans="1:9" ht="12.75" customHeight="1">
      <c r="A70" s="138" t="s">
        <v>649</v>
      </c>
    </row>
    <row r="72" spans="1:9" ht="12.75" customHeight="1">
      <c r="A72" s="1" t="s">
        <v>174</v>
      </c>
      <c r="B72" s="1" t="s">
        <v>175</v>
      </c>
      <c r="D72" s="137">
        <v>-3069840.08</v>
      </c>
      <c r="E72" s="137">
        <v>-3070216.69</v>
      </c>
      <c r="F72" s="159">
        <v>-3068643.25</v>
      </c>
      <c r="G72" s="159">
        <v>-3065862.05</v>
      </c>
      <c r="H72" s="114">
        <f>SUM(C72:G72)</f>
        <v>-12274562.07</v>
      </c>
      <c r="I72" s="114"/>
    </row>
    <row r="73" spans="1:9" ht="12.75" customHeight="1">
      <c r="A73" s="1" t="s">
        <v>176</v>
      </c>
      <c r="B73" s="1" t="s">
        <v>177</v>
      </c>
      <c r="D73" s="137">
        <v>66841.790000000008</v>
      </c>
      <c r="E73" s="137">
        <v>59363.37999999999</v>
      </c>
      <c r="F73" s="159">
        <v>55043.32</v>
      </c>
      <c r="G73" s="159">
        <v>72337.34</v>
      </c>
      <c r="H73" s="114">
        <f>SUM(C73:G73)</f>
        <v>253585.83</v>
      </c>
      <c r="I73" s="114"/>
    </row>
    <row r="74" spans="1:9" ht="12.75" customHeight="1">
      <c r="H74" s="114"/>
      <c r="I74" s="114"/>
    </row>
    <row r="75" spans="1:9" ht="12.75" customHeight="1">
      <c r="A75" s="1" t="s">
        <v>182</v>
      </c>
      <c r="B75" s="1" t="s">
        <v>183</v>
      </c>
      <c r="D75" s="137">
        <v>-165720.32000000001</v>
      </c>
      <c r="E75" s="137">
        <v>-158681.53</v>
      </c>
      <c r="F75" s="159">
        <v>-285.00000000001455</v>
      </c>
      <c r="G75" s="159">
        <v>285</v>
      </c>
      <c r="H75" s="114">
        <f>SUM(C75:G75)</f>
        <v>-324401.84999999998</v>
      </c>
      <c r="I75" s="114"/>
    </row>
    <row r="76" spans="1:9" ht="12.75" customHeight="1">
      <c r="A76" s="1" t="s">
        <v>184</v>
      </c>
      <c r="B76" s="1" t="s">
        <v>185</v>
      </c>
      <c r="D76" s="137">
        <v>8306.41</v>
      </c>
      <c r="E76" s="137">
        <v>6138.51</v>
      </c>
      <c r="F76" s="159">
        <v>13193.29</v>
      </c>
      <c r="G76" s="159">
        <v>44728.32</v>
      </c>
      <c r="H76" s="114">
        <f>SUM(C76:G76)</f>
        <v>72366.53</v>
      </c>
      <c r="I76" s="114"/>
    </row>
    <row r="77" spans="1:9" ht="12.75" customHeight="1">
      <c r="A77" s="1" t="s">
        <v>186</v>
      </c>
      <c r="B77" s="1" t="s">
        <v>187</v>
      </c>
      <c r="D77" s="137">
        <v>235052.43</v>
      </c>
      <c r="E77" s="137">
        <v>-376560.45</v>
      </c>
      <c r="F77" s="252">
        <v>177951.77000000002</v>
      </c>
      <c r="G77" s="159">
        <v>95667.579999999987</v>
      </c>
      <c r="H77" s="114">
        <f>SUM(C77:G77)</f>
        <v>132111.32999999999</v>
      </c>
      <c r="I77" s="114"/>
    </row>
    <row r="78" spans="1:9" ht="12.75" customHeight="1">
      <c r="H78" s="114"/>
      <c r="I78" s="114"/>
    </row>
    <row r="79" spans="1:9" ht="12.75" customHeight="1">
      <c r="A79" s="1" t="s">
        <v>198</v>
      </c>
      <c r="B79" s="1" t="s">
        <v>199</v>
      </c>
      <c r="D79" s="137">
        <v>130076.16</v>
      </c>
      <c r="E79" s="137">
        <v>129917.19</v>
      </c>
      <c r="F79" s="159">
        <v>129819.41</v>
      </c>
      <c r="G79" s="159">
        <v>130121.37</v>
      </c>
      <c r="H79" s="114">
        <f>SUM(C79:G79)</f>
        <v>519934.13</v>
      </c>
      <c r="I79" s="114"/>
    </row>
    <row r="80" spans="1:9" ht="12.75" customHeight="1">
      <c r="H80" s="114"/>
      <c r="I80" s="114"/>
    </row>
    <row r="81" spans="1:10" ht="12.75" customHeight="1">
      <c r="A81" s="1" t="s">
        <v>204</v>
      </c>
      <c r="B81" s="1" t="s">
        <v>650</v>
      </c>
      <c r="D81" s="137">
        <v>722958</v>
      </c>
      <c r="E81" s="137">
        <v>747378</v>
      </c>
      <c r="F81" s="159">
        <v>753602</v>
      </c>
      <c r="G81" s="159">
        <v>752120</v>
      </c>
      <c r="H81" s="114">
        <f>SUM(C81:G81)</f>
        <v>2976058</v>
      </c>
      <c r="I81" s="114"/>
    </row>
    <row r="82" spans="1:10" ht="12.75" customHeight="1">
      <c r="A82" s="1" t="s">
        <v>206</v>
      </c>
      <c r="B82" s="1" t="s">
        <v>651</v>
      </c>
      <c r="D82" s="137">
        <v>-724209</v>
      </c>
      <c r="E82" s="137">
        <v>-1422615</v>
      </c>
      <c r="F82" s="159">
        <v>-990509</v>
      </c>
      <c r="G82" s="159">
        <v>-903643</v>
      </c>
      <c r="H82" s="114">
        <f>SUM(C82:G82)</f>
        <v>-4040976</v>
      </c>
      <c r="I82" s="114"/>
    </row>
    <row r="83" spans="1:10" ht="12.75" customHeight="1">
      <c r="H83" s="114"/>
      <c r="I83" s="114"/>
    </row>
    <row r="84" spans="1:10" ht="12.75" customHeight="1">
      <c r="A84" s="1" t="s">
        <v>210</v>
      </c>
      <c r="B84" s="1" t="s">
        <v>211</v>
      </c>
      <c r="D84" s="137">
        <v>244924.96000000002</v>
      </c>
      <c r="E84" s="137">
        <v>450180.2</v>
      </c>
      <c r="F84" s="159">
        <v>242738.68</v>
      </c>
      <c r="G84" s="159">
        <v>353142.98</v>
      </c>
      <c r="H84" s="114">
        <f t="shared" ref="H84:H90" si="3">SUM(C84:G84)</f>
        <v>1290986.82</v>
      </c>
      <c r="I84" s="114"/>
    </row>
    <row r="85" spans="1:10" ht="12.75" customHeight="1">
      <c r="A85" s="1" t="s">
        <v>214</v>
      </c>
      <c r="B85" s="1" t="s">
        <v>215</v>
      </c>
      <c r="D85" s="137">
        <v>85689.26</v>
      </c>
      <c r="E85" s="137">
        <v>81195.069999999992</v>
      </c>
      <c r="F85" s="159">
        <v>152529.85000000003</v>
      </c>
      <c r="G85" s="159">
        <v>66177.88</v>
      </c>
      <c r="H85" s="114">
        <f t="shared" si="3"/>
        <v>385592.06000000006</v>
      </c>
      <c r="I85" s="114"/>
      <c r="J85" s="114"/>
    </row>
    <row r="86" spans="1:10" ht="12.75" customHeight="1">
      <c r="A86" s="1" t="s">
        <v>216</v>
      </c>
      <c r="B86" s="1" t="s">
        <v>652</v>
      </c>
      <c r="D86" s="137">
        <v>187223.72</v>
      </c>
      <c r="E86" s="137">
        <v>165587.93</v>
      </c>
      <c r="F86" s="159">
        <v>178643.34</v>
      </c>
      <c r="G86" s="159">
        <v>262945.32</v>
      </c>
      <c r="H86" s="114">
        <f t="shared" si="3"/>
        <v>794400.31</v>
      </c>
      <c r="I86" s="114"/>
    </row>
    <row r="87" spans="1:10" ht="12.75" customHeight="1">
      <c r="A87" s="1" t="s">
        <v>212</v>
      </c>
      <c r="B87" s="1" t="s">
        <v>213</v>
      </c>
      <c r="D87" s="137">
        <v>0</v>
      </c>
      <c r="E87" s="137">
        <v>0</v>
      </c>
      <c r="H87" s="114">
        <f t="shared" si="3"/>
        <v>0</v>
      </c>
      <c r="I87" s="114"/>
    </row>
    <row r="88" spans="1:10" ht="12.75" customHeight="1">
      <c r="A88" s="1" t="s">
        <v>218</v>
      </c>
      <c r="B88" s="1" t="s">
        <v>219</v>
      </c>
      <c r="D88" s="137">
        <v>450.4</v>
      </c>
      <c r="E88" s="137">
        <v>0</v>
      </c>
      <c r="F88" s="159">
        <v>56017.830000000009</v>
      </c>
      <c r="G88" s="159">
        <v>23941.86</v>
      </c>
      <c r="H88" s="114">
        <f t="shared" si="3"/>
        <v>80410.090000000011</v>
      </c>
      <c r="I88" s="114"/>
      <c r="J88" s="114"/>
    </row>
    <row r="89" spans="1:10" ht="12.75" customHeight="1">
      <c r="A89" s="1" t="s">
        <v>220</v>
      </c>
      <c r="B89" s="1" t="s">
        <v>221</v>
      </c>
      <c r="D89" s="137">
        <v>44191.929999999993</v>
      </c>
      <c r="E89" s="137">
        <v>3224.63</v>
      </c>
      <c r="F89" s="159">
        <v>8746.0400000000009</v>
      </c>
      <c r="G89" s="159">
        <v>48840.030000000006</v>
      </c>
      <c r="H89" s="114">
        <f t="shared" si="3"/>
        <v>105002.63</v>
      </c>
      <c r="I89" s="114"/>
    </row>
    <row r="90" spans="1:10" ht="12.75" customHeight="1">
      <c r="A90" s="1" t="s">
        <v>385</v>
      </c>
      <c r="B90" s="1" t="s">
        <v>386</v>
      </c>
      <c r="D90" s="137">
        <v>-126.11</v>
      </c>
      <c r="E90" s="137">
        <v>0</v>
      </c>
      <c r="H90" s="114">
        <f t="shared" si="3"/>
        <v>-126.11</v>
      </c>
      <c r="I90" s="114"/>
    </row>
    <row r="91" spans="1:10" ht="12.75" customHeight="1">
      <c r="H91" s="114"/>
      <c r="I91" s="114"/>
    </row>
    <row r="92" spans="1:10" ht="12.75" customHeight="1">
      <c r="A92" s="1" t="s">
        <v>434</v>
      </c>
      <c r="B92" s="1" t="s">
        <v>413</v>
      </c>
      <c r="D92" s="137">
        <v>0</v>
      </c>
      <c r="E92" s="137">
        <v>-68505.279999999999</v>
      </c>
      <c r="H92" s="114">
        <f>SUM(C92:G92)</f>
        <v>-68505.279999999999</v>
      </c>
      <c r="I92" s="114"/>
    </row>
    <row r="93" spans="1:10" ht="12.75" customHeight="1">
      <c r="A93" s="1" t="s">
        <v>226</v>
      </c>
      <c r="B93" s="1" t="s">
        <v>227</v>
      </c>
      <c r="D93" s="137">
        <v>1767.8899999999999</v>
      </c>
      <c r="E93" s="137">
        <v>9613.93</v>
      </c>
      <c r="F93" s="159">
        <v>23862.5</v>
      </c>
      <c r="G93" s="159">
        <v>42503.08</v>
      </c>
      <c r="H93" s="114">
        <f>SUM(C93:G93)</f>
        <v>77747.399999999994</v>
      </c>
      <c r="I93" s="114"/>
    </row>
    <row r="94" spans="1:10" ht="12.75" customHeight="1">
      <c r="H94" s="114"/>
      <c r="I94" s="114"/>
    </row>
    <row r="95" spans="1:10" ht="12.75" customHeight="1">
      <c r="A95" s="1" t="s">
        <v>604</v>
      </c>
      <c r="B95" s="1" t="s">
        <v>605</v>
      </c>
      <c r="D95" s="137">
        <v>0</v>
      </c>
      <c r="E95" s="137">
        <v>145.19999999999999</v>
      </c>
      <c r="H95" s="114">
        <f>SUM(C95:G95)</f>
        <v>145.19999999999999</v>
      </c>
      <c r="I95" s="114"/>
    </row>
    <row r="96" spans="1:10" ht="12.75" customHeight="1">
      <c r="A96" s="1" t="s">
        <v>230</v>
      </c>
      <c r="B96" s="1" t="s">
        <v>231</v>
      </c>
      <c r="D96" s="137">
        <v>0</v>
      </c>
      <c r="E96" s="137">
        <v>3001.8</v>
      </c>
      <c r="F96" s="159">
        <v>300</v>
      </c>
      <c r="G96" s="159">
        <v>40</v>
      </c>
      <c r="H96" s="114">
        <f>SUM(C96:G96)</f>
        <v>3341.8</v>
      </c>
      <c r="I96" s="114"/>
    </row>
    <row r="97" spans="1:10" ht="12.75" customHeight="1">
      <c r="H97" s="114"/>
      <c r="I97" s="114"/>
    </row>
    <row r="98" spans="1:10" ht="12.75" customHeight="1">
      <c r="A98" s="1" t="s">
        <v>234</v>
      </c>
      <c r="B98" s="1" t="s">
        <v>235</v>
      </c>
      <c r="D98" s="137">
        <v>28766.3</v>
      </c>
      <c r="E98" s="137">
        <v>38354.789999999994</v>
      </c>
      <c r="F98" s="159">
        <v>50015.360000000001</v>
      </c>
      <c r="G98" s="159">
        <v>37420.71</v>
      </c>
      <c r="H98" s="114">
        <f t="shared" ref="H98:H107" si="4">SUM(C98:G98)</f>
        <v>154557.16</v>
      </c>
      <c r="I98" s="114"/>
      <c r="J98" s="114"/>
    </row>
    <row r="99" spans="1:10" ht="12.75" customHeight="1">
      <c r="A99" s="1" t="s">
        <v>236</v>
      </c>
      <c r="B99" s="1" t="s">
        <v>237</v>
      </c>
      <c r="D99" s="137">
        <v>1500</v>
      </c>
      <c r="E99" s="137">
        <v>1500</v>
      </c>
      <c r="F99" s="159">
        <v>1500</v>
      </c>
      <c r="G99" s="159">
        <v>1500</v>
      </c>
      <c r="H99" s="114">
        <f t="shared" si="4"/>
        <v>6000</v>
      </c>
      <c r="I99" s="114"/>
    </row>
    <row r="100" spans="1:10" ht="12.75" customHeight="1">
      <c r="A100" s="1" t="s">
        <v>238</v>
      </c>
      <c r="B100" s="1" t="s">
        <v>239</v>
      </c>
      <c r="D100" s="137">
        <v>3122.7999999999997</v>
      </c>
      <c r="E100" s="137">
        <v>24818.14</v>
      </c>
      <c r="F100" s="159">
        <v>39840.449999999997</v>
      </c>
      <c r="G100" s="159">
        <v>43290.89</v>
      </c>
      <c r="H100" s="114">
        <f t="shared" si="4"/>
        <v>111072.28</v>
      </c>
      <c r="I100" s="114"/>
    </row>
    <row r="101" spans="1:10" ht="12.75" customHeight="1">
      <c r="A101" s="1" t="s">
        <v>240</v>
      </c>
      <c r="B101" s="1" t="s">
        <v>241</v>
      </c>
      <c r="D101" s="137">
        <v>3993</v>
      </c>
      <c r="E101" s="137">
        <v>2280.85</v>
      </c>
      <c r="F101" s="159">
        <v>1397.55</v>
      </c>
      <c r="G101" s="159">
        <v>2825.35</v>
      </c>
      <c r="H101" s="114">
        <f t="shared" si="4"/>
        <v>10496.75</v>
      </c>
      <c r="I101" s="114"/>
    </row>
    <row r="102" spans="1:10" ht="12.75" customHeight="1">
      <c r="A102" s="1" t="s">
        <v>242</v>
      </c>
      <c r="B102" s="1" t="s">
        <v>562</v>
      </c>
      <c r="D102" s="137">
        <v>56784.229999999996</v>
      </c>
      <c r="E102" s="137">
        <v>81564.91</v>
      </c>
      <c r="F102" s="159">
        <v>56181.05</v>
      </c>
      <c r="G102" s="159">
        <v>46357.1</v>
      </c>
      <c r="H102" s="114">
        <f t="shared" si="4"/>
        <v>240887.29</v>
      </c>
      <c r="I102" s="114"/>
    </row>
    <row r="103" spans="1:10" ht="12.75" customHeight="1">
      <c r="A103" s="1" t="s">
        <v>244</v>
      </c>
      <c r="B103" s="1" t="s">
        <v>245</v>
      </c>
      <c r="D103" s="137">
        <v>12854.119999999999</v>
      </c>
      <c r="E103" s="137">
        <v>30812.37</v>
      </c>
      <c r="F103" s="159">
        <v>11000.2</v>
      </c>
      <c r="G103" s="159">
        <v>7662.1900000000005</v>
      </c>
      <c r="H103" s="114">
        <f t="shared" si="4"/>
        <v>62328.880000000005</v>
      </c>
      <c r="I103" s="114"/>
    </row>
    <row r="104" spans="1:10" ht="12.75" customHeight="1">
      <c r="A104" s="1" t="s">
        <v>246</v>
      </c>
      <c r="B104" s="1" t="s">
        <v>247</v>
      </c>
      <c r="D104" s="137">
        <v>8800</v>
      </c>
      <c r="E104" s="137">
        <v>11000</v>
      </c>
      <c r="F104" s="159">
        <v>13200</v>
      </c>
      <c r="G104" s="159">
        <v>9900</v>
      </c>
      <c r="H104" s="114">
        <f t="shared" si="4"/>
        <v>42900</v>
      </c>
      <c r="I104" s="114"/>
    </row>
    <row r="105" spans="1:10" ht="12.75" customHeight="1">
      <c r="A105" s="1" t="s">
        <v>248</v>
      </c>
      <c r="B105" s="1" t="s">
        <v>249</v>
      </c>
      <c r="D105" s="137">
        <v>33277.08</v>
      </c>
      <c r="E105" s="137">
        <v>94379.49</v>
      </c>
      <c r="F105" s="159">
        <v>8388.33</v>
      </c>
      <c r="G105" s="159">
        <v>8594.0400000000009</v>
      </c>
      <c r="H105" s="114">
        <f t="shared" si="4"/>
        <v>144638.94</v>
      </c>
      <c r="I105" s="114"/>
    </row>
    <row r="106" spans="1:10" ht="12.75" customHeight="1">
      <c r="A106" s="1" t="s">
        <v>436</v>
      </c>
      <c r="B106" s="1" t="s">
        <v>653</v>
      </c>
      <c r="D106" s="137">
        <v>40000</v>
      </c>
      <c r="E106" s="137">
        <v>0</v>
      </c>
      <c r="H106" s="114">
        <f t="shared" si="4"/>
        <v>40000</v>
      </c>
      <c r="I106" s="114"/>
    </row>
    <row r="107" spans="1:10" ht="12.75" customHeight="1">
      <c r="A107" s="1" t="s">
        <v>250</v>
      </c>
      <c r="B107" s="1" t="s">
        <v>251</v>
      </c>
      <c r="D107" s="137">
        <v>5515.5400000000009</v>
      </c>
      <c r="E107" s="137">
        <v>-971.21</v>
      </c>
      <c r="F107" s="159">
        <v>1946.3</v>
      </c>
      <c r="G107" s="159">
        <v>2438.6999999999998</v>
      </c>
      <c r="H107" s="114">
        <f t="shared" si="4"/>
        <v>8929.3300000000017</v>
      </c>
      <c r="I107" s="114"/>
    </row>
    <row r="108" spans="1:10" ht="12.75" customHeight="1">
      <c r="H108" s="114"/>
      <c r="I108" s="114"/>
    </row>
    <row r="109" spans="1:10" ht="12.75" customHeight="1">
      <c r="A109" s="1" t="s">
        <v>654</v>
      </c>
      <c r="B109" s="1" t="s">
        <v>655</v>
      </c>
      <c r="D109" s="137">
        <v>0</v>
      </c>
      <c r="E109" s="137">
        <v>1205</v>
      </c>
      <c r="H109" s="114">
        <f t="shared" ref="H109:H115" si="5">SUM(C109:G109)</f>
        <v>1205</v>
      </c>
      <c r="I109" s="114"/>
    </row>
    <row r="110" spans="1:10" ht="12.75" customHeight="1">
      <c r="A110" s="1" t="s">
        <v>656</v>
      </c>
      <c r="B110" s="1" t="s">
        <v>477</v>
      </c>
      <c r="D110" s="137">
        <v>0</v>
      </c>
      <c r="E110" s="137">
        <v>3371</v>
      </c>
      <c r="H110" s="114">
        <f t="shared" si="5"/>
        <v>3371</v>
      </c>
      <c r="I110" s="114"/>
    </row>
    <row r="111" spans="1:10" ht="12.75" customHeight="1">
      <c r="A111" s="1" t="s">
        <v>657</v>
      </c>
      <c r="B111" s="1" t="s">
        <v>658</v>
      </c>
      <c r="D111" s="137">
        <v>0</v>
      </c>
      <c r="E111" s="137">
        <v>53.16</v>
      </c>
      <c r="H111" s="114">
        <f t="shared" si="5"/>
        <v>53.16</v>
      </c>
      <c r="I111" s="114"/>
    </row>
    <row r="112" spans="1:10" ht="12.75" customHeight="1">
      <c r="A112" s="1" t="s">
        <v>260</v>
      </c>
      <c r="B112" s="1" t="s">
        <v>261</v>
      </c>
      <c r="D112" s="137">
        <v>1865023.71</v>
      </c>
      <c r="E112" s="137">
        <v>1976243.93</v>
      </c>
      <c r="F112" s="159">
        <v>1936806.51</v>
      </c>
      <c r="G112" s="159">
        <v>1946836.3</v>
      </c>
      <c r="H112" s="114">
        <f t="shared" si="5"/>
        <v>7724910.4499999993</v>
      </c>
      <c r="I112" s="114"/>
    </row>
    <row r="113" spans="1:11" ht="12.75" customHeight="1">
      <c r="A113" s="1" t="s">
        <v>266</v>
      </c>
      <c r="B113" s="1" t="s">
        <v>267</v>
      </c>
      <c r="D113" s="137">
        <v>-143485.88999999998</v>
      </c>
      <c r="E113" s="137">
        <v>-237843.16</v>
      </c>
      <c r="F113" s="159">
        <v>-199616.03</v>
      </c>
      <c r="G113" s="159">
        <v>132400</v>
      </c>
      <c r="H113" s="114">
        <f t="shared" si="5"/>
        <v>-448545.07999999996</v>
      </c>
      <c r="I113" s="114"/>
    </row>
    <row r="114" spans="1:11" ht="12.75" customHeight="1">
      <c r="A114" s="1" t="s">
        <v>659</v>
      </c>
      <c r="B114" s="1" t="s">
        <v>660</v>
      </c>
      <c r="D114" s="137">
        <v>0</v>
      </c>
      <c r="E114" s="137">
        <v>0</v>
      </c>
      <c r="F114" s="159">
        <v>-51.12</v>
      </c>
      <c r="G114" s="272">
        <v>-332658.46999999997</v>
      </c>
      <c r="H114" s="114">
        <f t="shared" si="5"/>
        <v>-332709.58999999997</v>
      </c>
      <c r="I114" s="271"/>
    </row>
    <row r="115" spans="1:11" ht="12.75" customHeight="1">
      <c r="A115" s="1" t="s">
        <v>661</v>
      </c>
      <c r="B115" s="1" t="s">
        <v>564</v>
      </c>
      <c r="D115" s="137">
        <v>-510487.96</v>
      </c>
      <c r="E115" s="137">
        <v>-540930.78</v>
      </c>
      <c r="F115" s="159">
        <v>-524297.24</v>
      </c>
      <c r="G115" s="159">
        <v>-530364.23</v>
      </c>
      <c r="H115" s="114">
        <f t="shared" si="5"/>
        <v>-2106080.21</v>
      </c>
      <c r="I115" s="114"/>
    </row>
    <row r="116" spans="1:11" ht="12.75" customHeight="1">
      <c r="H116" s="114"/>
      <c r="I116" s="114"/>
    </row>
    <row r="117" spans="1:11" ht="12.75" customHeight="1">
      <c r="A117" s="1" t="s">
        <v>662</v>
      </c>
      <c r="B117" s="1" t="s">
        <v>394</v>
      </c>
      <c r="D117" s="137">
        <v>0</v>
      </c>
      <c r="E117" s="137">
        <v>2244629</v>
      </c>
      <c r="H117" s="114">
        <f>SUM(C117:G117)</f>
        <v>2244629</v>
      </c>
      <c r="I117" s="114"/>
    </row>
    <row r="118" spans="1:11" ht="12.75" customHeight="1">
      <c r="A118" s="1" t="s">
        <v>272</v>
      </c>
      <c r="B118" s="1" t="s">
        <v>273</v>
      </c>
      <c r="D118" s="137">
        <v>-146161</v>
      </c>
      <c r="E118" s="137">
        <v>-797885</v>
      </c>
      <c r="F118" s="159">
        <v>-160838</v>
      </c>
      <c r="G118" s="159">
        <v>-176734</v>
      </c>
      <c r="H118" s="114">
        <f>SUM(C118:G118)</f>
        <v>-1281618</v>
      </c>
      <c r="I118" s="114"/>
    </row>
    <row r="119" spans="1:11" ht="12.75" customHeight="1">
      <c r="H119" s="114"/>
      <c r="I119" s="114"/>
    </row>
    <row r="120" spans="1:11" ht="12.75" customHeight="1">
      <c r="A120" s="1" t="s">
        <v>440</v>
      </c>
      <c r="D120" s="137">
        <f>SUM(D72:D118)</f>
        <v>-972910.62999999942</v>
      </c>
      <c r="E120" s="137">
        <f>SUM(E72:E118)</f>
        <v>-508250.61999999895</v>
      </c>
      <c r="F120" s="159">
        <f>SUM(F72:F118)</f>
        <v>-1031515.8599999998</v>
      </c>
      <c r="G120" s="159">
        <f>SUM(G72:G118)</f>
        <v>-877185.71000000043</v>
      </c>
      <c r="H120" s="114">
        <f>SUM(C120:G120)</f>
        <v>-3389862.8199999984</v>
      </c>
      <c r="I120" s="114"/>
      <c r="J120" s="274"/>
      <c r="K120" s="141"/>
    </row>
    <row r="122" spans="1:11" ht="12.75" customHeight="1">
      <c r="A122" s="1" t="s">
        <v>663</v>
      </c>
      <c r="D122" s="137">
        <f>SUM(D5:D118)-D120</f>
        <v>0</v>
      </c>
      <c r="E122" s="137">
        <f>SUM(E5:E118)-E120</f>
        <v>9.3132257461547852E-10</v>
      </c>
      <c r="F122" s="137">
        <f>SUM(F5:F118)-F120</f>
        <v>3276748.8400000012</v>
      </c>
      <c r="G122" s="137">
        <f>SUM(G5:G118)-G120</f>
        <v>1920724.9999999998</v>
      </c>
      <c r="H122" s="137">
        <f>SUM(H5:H118)-H120</f>
        <v>0</v>
      </c>
    </row>
    <row r="124" spans="1:11" ht="12.75" customHeight="1">
      <c r="A124" s="136" t="s">
        <v>579</v>
      </c>
      <c r="C124" s="246"/>
      <c r="D124" s="261">
        <f>36883.33*3</f>
        <v>110649.99</v>
      </c>
      <c r="E124" s="261">
        <f>36883.33*3</f>
        <v>110649.99</v>
      </c>
      <c r="F124" s="261">
        <f>36883.33*3</f>
        <v>110649.99</v>
      </c>
      <c r="G124" s="261">
        <f>36883.33*3</f>
        <v>110649.99</v>
      </c>
      <c r="H124" s="114"/>
    </row>
    <row r="125" spans="1:11" ht="12.75" customHeight="1">
      <c r="A125" s="136" t="s">
        <v>580</v>
      </c>
      <c r="C125" s="246"/>
      <c r="D125" s="246">
        <v>-254135.88</v>
      </c>
      <c r="E125" s="246">
        <v>-348493.15</v>
      </c>
      <c r="F125" s="246">
        <v>-332016.32</v>
      </c>
      <c r="G125" s="246">
        <v>-332658</v>
      </c>
      <c r="H125" s="114"/>
    </row>
    <row r="126" spans="1:11" ht="12.75" customHeight="1">
      <c r="A126" s="136"/>
      <c r="C126" s="246"/>
      <c r="D126" s="246"/>
      <c r="E126" s="246"/>
      <c r="F126" s="246"/>
      <c r="G126" s="246"/>
      <c r="H126" s="114"/>
    </row>
    <row r="127" spans="1:11" ht="12.75" customHeight="1">
      <c r="A127" s="136" t="s">
        <v>581</v>
      </c>
      <c r="C127" s="246"/>
      <c r="D127" s="246">
        <f>D112</f>
        <v>1865023.71</v>
      </c>
      <c r="E127" s="246">
        <f>E112+E111+E110+E109</f>
        <v>1980873.0899999999</v>
      </c>
      <c r="F127" s="246">
        <f>F112+F109+F111</f>
        <v>1936806.51</v>
      </c>
      <c r="G127" s="246">
        <f>G112+G109+G111</f>
        <v>1946836.3</v>
      </c>
      <c r="H127" s="246">
        <f>H112+H109+H111+H110</f>
        <v>7729539.6099999994</v>
      </c>
    </row>
    <row r="128" spans="1:11" ht="12.75" customHeight="1">
      <c r="A128" s="136" t="s">
        <v>582</v>
      </c>
      <c r="C128" s="246"/>
      <c r="D128" s="246">
        <f>D125</f>
        <v>-254135.88</v>
      </c>
      <c r="E128" s="246">
        <f>E125</f>
        <v>-348493.15</v>
      </c>
      <c r="F128" s="246">
        <f>F125</f>
        <v>-332016.32</v>
      </c>
      <c r="G128" s="267">
        <f>G125</f>
        <v>-332658</v>
      </c>
      <c r="H128" s="263">
        <f>SUM(D128:G128)</f>
        <v>-1267303.3500000001</v>
      </c>
    </row>
    <row r="129" spans="1:8" ht="12.75" customHeight="1">
      <c r="A129" s="136" t="s">
        <v>583</v>
      </c>
      <c r="C129" s="246"/>
      <c r="D129" s="246">
        <f>D124</f>
        <v>110649.99</v>
      </c>
      <c r="E129" s="246">
        <f>E124</f>
        <v>110649.99</v>
      </c>
      <c r="F129" s="246">
        <f>F124</f>
        <v>110649.99</v>
      </c>
      <c r="G129" s="267">
        <f>G124</f>
        <v>110649.99</v>
      </c>
      <c r="H129" s="263">
        <f>SUM(D129:G129)</f>
        <v>442599.96</v>
      </c>
    </row>
    <row r="130" spans="1:8" ht="12.75" customHeight="1">
      <c r="A130" s="136" t="s">
        <v>584</v>
      </c>
      <c r="C130" s="246"/>
      <c r="D130" s="246">
        <f>D110+D115</f>
        <v>-510487.96</v>
      </c>
      <c r="E130" s="246">
        <f>E110+E115</f>
        <v>-537559.78</v>
      </c>
      <c r="F130" s="246">
        <f>F115</f>
        <v>-524297.24</v>
      </c>
      <c r="G130" s="246">
        <f>G115</f>
        <v>-530364.23</v>
      </c>
      <c r="H130" s="114">
        <f>SUM(D130:G130)</f>
        <v>-2102709.21</v>
      </c>
    </row>
    <row r="131" spans="1:8" ht="12.75" customHeight="1">
      <c r="A131" s="136"/>
      <c r="C131" s="246"/>
      <c r="D131" s="246">
        <f>SUM(D127:D130)</f>
        <v>1211049.8600000001</v>
      </c>
      <c r="E131" s="246">
        <f>SUM(E127:E130)</f>
        <v>1205470.1499999999</v>
      </c>
      <c r="F131" s="246">
        <f>SUM(F127:F130)</f>
        <v>1191142.94</v>
      </c>
      <c r="G131" s="246">
        <f>SUM(G127:G130)</f>
        <v>1194464.06</v>
      </c>
      <c r="H131" s="114">
        <f>SUM(D131:G131)</f>
        <v>4802127.01</v>
      </c>
    </row>
    <row r="133" spans="1:8" ht="12.75" customHeight="1">
      <c r="H133" s="114"/>
    </row>
    <row r="134" spans="1:8" ht="12.75" customHeight="1">
      <c r="H134" s="114"/>
    </row>
  </sheetData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A0B2-AA34-4ABB-8C69-20D670F7AB16}">
  <dimension ref="A1:J137"/>
  <sheetViews>
    <sheetView showGridLines="0" topLeftCell="A76" zoomScaleNormal="100" workbookViewId="0">
      <selection activeCell="A124" sqref="A124:H131"/>
    </sheetView>
  </sheetViews>
  <sheetFormatPr defaultRowHeight="12.75" customHeight="1"/>
  <cols>
    <col min="1" max="1" width="9.109375" style="1"/>
    <col min="2" max="2" width="64.6640625" style="1" customWidth="1"/>
    <col min="3" max="3" width="26" style="137" bestFit="1" customWidth="1"/>
    <col min="4" max="4" width="17.5546875" style="137" bestFit="1" customWidth="1"/>
    <col min="5" max="5" width="17.5546875" style="159" bestFit="1" customWidth="1"/>
    <col min="6" max="7" width="17.5546875" style="159" customWidth="1"/>
    <col min="8" max="8" width="20.44140625" style="1" bestFit="1" customWidth="1"/>
    <col min="9" max="9" width="10.88671875" style="1" bestFit="1" customWidth="1"/>
    <col min="10" max="10" width="9.109375" style="1"/>
    <col min="11" max="11" width="10.88671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1" width="17.5546875" style="1" bestFit="1" customWidth="1"/>
    <col min="262" max="263" width="17.5546875" style="1" customWidth="1"/>
    <col min="264" max="264" width="20.44140625" style="1" bestFit="1" customWidth="1"/>
    <col min="265" max="265" width="10.8867187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7" width="17.5546875" style="1" bestFit="1" customWidth="1"/>
    <col min="518" max="519" width="17.5546875" style="1" customWidth="1"/>
    <col min="520" max="520" width="20.44140625" style="1" bestFit="1" customWidth="1"/>
    <col min="521" max="521" width="10.8867187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3" width="17.5546875" style="1" bestFit="1" customWidth="1"/>
    <col min="774" max="775" width="17.5546875" style="1" customWidth="1"/>
    <col min="776" max="776" width="20.44140625" style="1" bestFit="1" customWidth="1"/>
    <col min="777" max="777" width="10.8867187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29" width="17.5546875" style="1" bestFit="1" customWidth="1"/>
    <col min="1030" max="1031" width="17.5546875" style="1" customWidth="1"/>
    <col min="1032" max="1032" width="20.44140625" style="1" bestFit="1" customWidth="1"/>
    <col min="1033" max="1033" width="10.8867187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5" width="17.5546875" style="1" bestFit="1" customWidth="1"/>
    <col min="1286" max="1287" width="17.5546875" style="1" customWidth="1"/>
    <col min="1288" max="1288" width="20.44140625" style="1" bestFit="1" customWidth="1"/>
    <col min="1289" max="1289" width="10.8867187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1" width="17.5546875" style="1" bestFit="1" customWidth="1"/>
    <col min="1542" max="1543" width="17.5546875" style="1" customWidth="1"/>
    <col min="1544" max="1544" width="20.44140625" style="1" bestFit="1" customWidth="1"/>
    <col min="1545" max="1545" width="10.8867187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7" width="17.5546875" style="1" bestFit="1" customWidth="1"/>
    <col min="1798" max="1799" width="17.5546875" style="1" customWidth="1"/>
    <col min="1800" max="1800" width="20.44140625" style="1" bestFit="1" customWidth="1"/>
    <col min="1801" max="1801" width="10.8867187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3" width="17.5546875" style="1" bestFit="1" customWidth="1"/>
    <col min="2054" max="2055" width="17.5546875" style="1" customWidth="1"/>
    <col min="2056" max="2056" width="20.44140625" style="1" bestFit="1" customWidth="1"/>
    <col min="2057" max="2057" width="10.8867187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09" width="17.5546875" style="1" bestFit="1" customWidth="1"/>
    <col min="2310" max="2311" width="17.5546875" style="1" customWidth="1"/>
    <col min="2312" max="2312" width="20.44140625" style="1" bestFit="1" customWidth="1"/>
    <col min="2313" max="2313" width="10.8867187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5" width="17.5546875" style="1" bestFit="1" customWidth="1"/>
    <col min="2566" max="2567" width="17.5546875" style="1" customWidth="1"/>
    <col min="2568" max="2568" width="20.44140625" style="1" bestFit="1" customWidth="1"/>
    <col min="2569" max="2569" width="10.8867187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1" width="17.5546875" style="1" bestFit="1" customWidth="1"/>
    <col min="2822" max="2823" width="17.5546875" style="1" customWidth="1"/>
    <col min="2824" max="2824" width="20.44140625" style="1" bestFit="1" customWidth="1"/>
    <col min="2825" max="2825" width="10.8867187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7" width="17.5546875" style="1" bestFit="1" customWidth="1"/>
    <col min="3078" max="3079" width="17.5546875" style="1" customWidth="1"/>
    <col min="3080" max="3080" width="20.44140625" style="1" bestFit="1" customWidth="1"/>
    <col min="3081" max="3081" width="10.8867187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3" width="17.5546875" style="1" bestFit="1" customWidth="1"/>
    <col min="3334" max="3335" width="17.5546875" style="1" customWidth="1"/>
    <col min="3336" max="3336" width="20.44140625" style="1" bestFit="1" customWidth="1"/>
    <col min="3337" max="3337" width="10.8867187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89" width="17.5546875" style="1" bestFit="1" customWidth="1"/>
    <col min="3590" max="3591" width="17.5546875" style="1" customWidth="1"/>
    <col min="3592" max="3592" width="20.44140625" style="1" bestFit="1" customWidth="1"/>
    <col min="3593" max="3593" width="10.8867187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5" width="17.5546875" style="1" bestFit="1" customWidth="1"/>
    <col min="3846" max="3847" width="17.5546875" style="1" customWidth="1"/>
    <col min="3848" max="3848" width="20.44140625" style="1" bestFit="1" customWidth="1"/>
    <col min="3849" max="3849" width="10.8867187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1" width="17.5546875" style="1" bestFit="1" customWidth="1"/>
    <col min="4102" max="4103" width="17.5546875" style="1" customWidth="1"/>
    <col min="4104" max="4104" width="20.44140625" style="1" bestFit="1" customWidth="1"/>
    <col min="4105" max="4105" width="10.8867187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7" width="17.5546875" style="1" bestFit="1" customWidth="1"/>
    <col min="4358" max="4359" width="17.5546875" style="1" customWidth="1"/>
    <col min="4360" max="4360" width="20.44140625" style="1" bestFit="1" customWidth="1"/>
    <col min="4361" max="4361" width="10.8867187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3" width="17.5546875" style="1" bestFit="1" customWidth="1"/>
    <col min="4614" max="4615" width="17.5546875" style="1" customWidth="1"/>
    <col min="4616" max="4616" width="20.44140625" style="1" bestFit="1" customWidth="1"/>
    <col min="4617" max="4617" width="10.8867187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69" width="17.5546875" style="1" bestFit="1" customWidth="1"/>
    <col min="4870" max="4871" width="17.5546875" style="1" customWidth="1"/>
    <col min="4872" max="4872" width="20.44140625" style="1" bestFit="1" customWidth="1"/>
    <col min="4873" max="4873" width="10.8867187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5" width="17.5546875" style="1" bestFit="1" customWidth="1"/>
    <col min="5126" max="5127" width="17.5546875" style="1" customWidth="1"/>
    <col min="5128" max="5128" width="20.44140625" style="1" bestFit="1" customWidth="1"/>
    <col min="5129" max="5129" width="10.8867187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1" width="17.5546875" style="1" bestFit="1" customWidth="1"/>
    <col min="5382" max="5383" width="17.5546875" style="1" customWidth="1"/>
    <col min="5384" max="5384" width="20.44140625" style="1" bestFit="1" customWidth="1"/>
    <col min="5385" max="5385" width="10.8867187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7" width="17.5546875" style="1" bestFit="1" customWidth="1"/>
    <col min="5638" max="5639" width="17.5546875" style="1" customWidth="1"/>
    <col min="5640" max="5640" width="20.44140625" style="1" bestFit="1" customWidth="1"/>
    <col min="5641" max="5641" width="10.8867187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3" width="17.5546875" style="1" bestFit="1" customWidth="1"/>
    <col min="5894" max="5895" width="17.5546875" style="1" customWidth="1"/>
    <col min="5896" max="5896" width="20.44140625" style="1" bestFit="1" customWidth="1"/>
    <col min="5897" max="5897" width="10.8867187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49" width="17.5546875" style="1" bestFit="1" customWidth="1"/>
    <col min="6150" max="6151" width="17.5546875" style="1" customWidth="1"/>
    <col min="6152" max="6152" width="20.44140625" style="1" bestFit="1" customWidth="1"/>
    <col min="6153" max="6153" width="10.8867187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5" width="17.5546875" style="1" bestFit="1" customWidth="1"/>
    <col min="6406" max="6407" width="17.5546875" style="1" customWidth="1"/>
    <col min="6408" max="6408" width="20.44140625" style="1" bestFit="1" customWidth="1"/>
    <col min="6409" max="6409" width="10.8867187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1" width="17.5546875" style="1" bestFit="1" customWidth="1"/>
    <col min="6662" max="6663" width="17.5546875" style="1" customWidth="1"/>
    <col min="6664" max="6664" width="20.44140625" style="1" bestFit="1" customWidth="1"/>
    <col min="6665" max="6665" width="10.8867187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7" width="17.5546875" style="1" bestFit="1" customWidth="1"/>
    <col min="6918" max="6919" width="17.5546875" style="1" customWidth="1"/>
    <col min="6920" max="6920" width="20.44140625" style="1" bestFit="1" customWidth="1"/>
    <col min="6921" max="6921" width="10.8867187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3" width="17.5546875" style="1" bestFit="1" customWidth="1"/>
    <col min="7174" max="7175" width="17.5546875" style="1" customWidth="1"/>
    <col min="7176" max="7176" width="20.44140625" style="1" bestFit="1" customWidth="1"/>
    <col min="7177" max="7177" width="10.8867187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29" width="17.5546875" style="1" bestFit="1" customWidth="1"/>
    <col min="7430" max="7431" width="17.5546875" style="1" customWidth="1"/>
    <col min="7432" max="7432" width="20.44140625" style="1" bestFit="1" customWidth="1"/>
    <col min="7433" max="7433" width="10.8867187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5" width="17.5546875" style="1" bestFit="1" customWidth="1"/>
    <col min="7686" max="7687" width="17.5546875" style="1" customWidth="1"/>
    <col min="7688" max="7688" width="20.44140625" style="1" bestFit="1" customWidth="1"/>
    <col min="7689" max="7689" width="10.8867187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1" width="17.5546875" style="1" bestFit="1" customWidth="1"/>
    <col min="7942" max="7943" width="17.5546875" style="1" customWidth="1"/>
    <col min="7944" max="7944" width="20.44140625" style="1" bestFit="1" customWidth="1"/>
    <col min="7945" max="7945" width="10.8867187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7" width="17.5546875" style="1" bestFit="1" customWidth="1"/>
    <col min="8198" max="8199" width="17.5546875" style="1" customWidth="1"/>
    <col min="8200" max="8200" width="20.44140625" style="1" bestFit="1" customWidth="1"/>
    <col min="8201" max="8201" width="10.8867187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3" width="17.5546875" style="1" bestFit="1" customWidth="1"/>
    <col min="8454" max="8455" width="17.5546875" style="1" customWidth="1"/>
    <col min="8456" max="8456" width="20.44140625" style="1" bestFit="1" customWidth="1"/>
    <col min="8457" max="8457" width="10.8867187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09" width="17.5546875" style="1" bestFit="1" customWidth="1"/>
    <col min="8710" max="8711" width="17.5546875" style="1" customWidth="1"/>
    <col min="8712" max="8712" width="20.44140625" style="1" bestFit="1" customWidth="1"/>
    <col min="8713" max="8713" width="10.8867187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5" width="17.5546875" style="1" bestFit="1" customWidth="1"/>
    <col min="8966" max="8967" width="17.5546875" style="1" customWidth="1"/>
    <col min="8968" max="8968" width="20.44140625" style="1" bestFit="1" customWidth="1"/>
    <col min="8969" max="8969" width="10.8867187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1" width="17.5546875" style="1" bestFit="1" customWidth="1"/>
    <col min="9222" max="9223" width="17.5546875" style="1" customWidth="1"/>
    <col min="9224" max="9224" width="20.44140625" style="1" bestFit="1" customWidth="1"/>
    <col min="9225" max="9225" width="10.8867187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7" width="17.5546875" style="1" bestFit="1" customWidth="1"/>
    <col min="9478" max="9479" width="17.5546875" style="1" customWidth="1"/>
    <col min="9480" max="9480" width="20.44140625" style="1" bestFit="1" customWidth="1"/>
    <col min="9481" max="9481" width="10.8867187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3" width="17.5546875" style="1" bestFit="1" customWidth="1"/>
    <col min="9734" max="9735" width="17.5546875" style="1" customWidth="1"/>
    <col min="9736" max="9736" width="20.44140625" style="1" bestFit="1" customWidth="1"/>
    <col min="9737" max="9737" width="10.8867187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89" width="17.5546875" style="1" bestFit="1" customWidth="1"/>
    <col min="9990" max="9991" width="17.5546875" style="1" customWidth="1"/>
    <col min="9992" max="9992" width="20.44140625" style="1" bestFit="1" customWidth="1"/>
    <col min="9993" max="9993" width="10.8867187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5" width="17.5546875" style="1" bestFit="1" customWidth="1"/>
    <col min="10246" max="10247" width="17.5546875" style="1" customWidth="1"/>
    <col min="10248" max="10248" width="20.44140625" style="1" bestFit="1" customWidth="1"/>
    <col min="10249" max="10249" width="10.8867187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1" width="17.5546875" style="1" bestFit="1" customWidth="1"/>
    <col min="10502" max="10503" width="17.5546875" style="1" customWidth="1"/>
    <col min="10504" max="10504" width="20.44140625" style="1" bestFit="1" customWidth="1"/>
    <col min="10505" max="10505" width="10.8867187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7" width="17.5546875" style="1" bestFit="1" customWidth="1"/>
    <col min="10758" max="10759" width="17.5546875" style="1" customWidth="1"/>
    <col min="10760" max="10760" width="20.44140625" style="1" bestFit="1" customWidth="1"/>
    <col min="10761" max="10761" width="10.8867187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3" width="17.5546875" style="1" bestFit="1" customWidth="1"/>
    <col min="11014" max="11015" width="17.5546875" style="1" customWidth="1"/>
    <col min="11016" max="11016" width="20.44140625" style="1" bestFit="1" customWidth="1"/>
    <col min="11017" max="11017" width="10.8867187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69" width="17.5546875" style="1" bestFit="1" customWidth="1"/>
    <col min="11270" max="11271" width="17.5546875" style="1" customWidth="1"/>
    <col min="11272" max="11272" width="20.44140625" style="1" bestFit="1" customWidth="1"/>
    <col min="11273" max="11273" width="10.8867187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5" width="17.5546875" style="1" bestFit="1" customWidth="1"/>
    <col min="11526" max="11527" width="17.5546875" style="1" customWidth="1"/>
    <col min="11528" max="11528" width="20.44140625" style="1" bestFit="1" customWidth="1"/>
    <col min="11529" max="11529" width="10.8867187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1" width="17.5546875" style="1" bestFit="1" customWidth="1"/>
    <col min="11782" max="11783" width="17.5546875" style="1" customWidth="1"/>
    <col min="11784" max="11784" width="20.44140625" style="1" bestFit="1" customWidth="1"/>
    <col min="11785" max="11785" width="10.8867187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7" width="17.5546875" style="1" bestFit="1" customWidth="1"/>
    <col min="12038" max="12039" width="17.5546875" style="1" customWidth="1"/>
    <col min="12040" max="12040" width="20.44140625" style="1" bestFit="1" customWidth="1"/>
    <col min="12041" max="12041" width="10.8867187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3" width="17.5546875" style="1" bestFit="1" customWidth="1"/>
    <col min="12294" max="12295" width="17.5546875" style="1" customWidth="1"/>
    <col min="12296" max="12296" width="20.44140625" style="1" bestFit="1" customWidth="1"/>
    <col min="12297" max="12297" width="10.8867187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49" width="17.5546875" style="1" bestFit="1" customWidth="1"/>
    <col min="12550" max="12551" width="17.5546875" style="1" customWidth="1"/>
    <col min="12552" max="12552" width="20.44140625" style="1" bestFit="1" customWidth="1"/>
    <col min="12553" max="12553" width="10.8867187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5" width="17.5546875" style="1" bestFit="1" customWidth="1"/>
    <col min="12806" max="12807" width="17.5546875" style="1" customWidth="1"/>
    <col min="12808" max="12808" width="20.44140625" style="1" bestFit="1" customWidth="1"/>
    <col min="12809" max="12809" width="10.8867187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1" width="17.5546875" style="1" bestFit="1" customWidth="1"/>
    <col min="13062" max="13063" width="17.5546875" style="1" customWidth="1"/>
    <col min="13064" max="13064" width="20.44140625" style="1" bestFit="1" customWidth="1"/>
    <col min="13065" max="13065" width="10.8867187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7" width="17.5546875" style="1" bestFit="1" customWidth="1"/>
    <col min="13318" max="13319" width="17.5546875" style="1" customWidth="1"/>
    <col min="13320" max="13320" width="20.44140625" style="1" bestFit="1" customWidth="1"/>
    <col min="13321" max="13321" width="10.8867187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3" width="17.5546875" style="1" bestFit="1" customWidth="1"/>
    <col min="13574" max="13575" width="17.5546875" style="1" customWidth="1"/>
    <col min="13576" max="13576" width="20.44140625" style="1" bestFit="1" customWidth="1"/>
    <col min="13577" max="13577" width="10.8867187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29" width="17.5546875" style="1" bestFit="1" customWidth="1"/>
    <col min="13830" max="13831" width="17.5546875" style="1" customWidth="1"/>
    <col min="13832" max="13832" width="20.44140625" style="1" bestFit="1" customWidth="1"/>
    <col min="13833" max="13833" width="10.8867187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5" width="17.5546875" style="1" bestFit="1" customWidth="1"/>
    <col min="14086" max="14087" width="17.5546875" style="1" customWidth="1"/>
    <col min="14088" max="14088" width="20.44140625" style="1" bestFit="1" customWidth="1"/>
    <col min="14089" max="14089" width="10.8867187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1" width="17.5546875" style="1" bestFit="1" customWidth="1"/>
    <col min="14342" max="14343" width="17.5546875" style="1" customWidth="1"/>
    <col min="14344" max="14344" width="20.44140625" style="1" bestFit="1" customWidth="1"/>
    <col min="14345" max="14345" width="10.8867187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7" width="17.5546875" style="1" bestFit="1" customWidth="1"/>
    <col min="14598" max="14599" width="17.5546875" style="1" customWidth="1"/>
    <col min="14600" max="14600" width="20.44140625" style="1" bestFit="1" customWidth="1"/>
    <col min="14601" max="14601" width="10.8867187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3" width="17.5546875" style="1" bestFit="1" customWidth="1"/>
    <col min="14854" max="14855" width="17.5546875" style="1" customWidth="1"/>
    <col min="14856" max="14856" width="20.44140625" style="1" bestFit="1" customWidth="1"/>
    <col min="14857" max="14857" width="10.8867187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09" width="17.5546875" style="1" bestFit="1" customWidth="1"/>
    <col min="15110" max="15111" width="17.5546875" style="1" customWidth="1"/>
    <col min="15112" max="15112" width="20.44140625" style="1" bestFit="1" customWidth="1"/>
    <col min="15113" max="15113" width="10.8867187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5" width="17.5546875" style="1" bestFit="1" customWidth="1"/>
    <col min="15366" max="15367" width="17.5546875" style="1" customWidth="1"/>
    <col min="15368" max="15368" width="20.44140625" style="1" bestFit="1" customWidth="1"/>
    <col min="15369" max="15369" width="10.8867187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1" width="17.5546875" style="1" bestFit="1" customWidth="1"/>
    <col min="15622" max="15623" width="17.5546875" style="1" customWidth="1"/>
    <col min="15624" max="15624" width="20.44140625" style="1" bestFit="1" customWidth="1"/>
    <col min="15625" max="15625" width="10.8867187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7" width="17.5546875" style="1" bestFit="1" customWidth="1"/>
    <col min="15878" max="15879" width="17.5546875" style="1" customWidth="1"/>
    <col min="15880" max="15880" width="20.44140625" style="1" bestFit="1" customWidth="1"/>
    <col min="15881" max="15881" width="10.8867187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3" width="17.5546875" style="1" bestFit="1" customWidth="1"/>
    <col min="16134" max="16135" width="17.5546875" style="1" customWidth="1"/>
    <col min="16136" max="16136" width="20.44140625" style="1" bestFit="1" customWidth="1"/>
    <col min="16137" max="16137" width="10.8867187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8" ht="12.75" customHeight="1">
      <c r="C1" s="266" t="s">
        <v>673</v>
      </c>
      <c r="D1" s="266" t="s">
        <v>601</v>
      </c>
      <c r="E1" s="266" t="s">
        <v>610</v>
      </c>
      <c r="F1" s="266" t="s">
        <v>667</v>
      </c>
      <c r="G1" s="266" t="s">
        <v>674</v>
      </c>
      <c r="H1" s="266" t="s">
        <v>675</v>
      </c>
    </row>
    <row r="3" spans="1:8" ht="12.75" customHeight="1">
      <c r="A3" s="138" t="s">
        <v>16</v>
      </c>
    </row>
    <row r="4" spans="1:8" ht="12.75" customHeight="1">
      <c r="A4" s="138"/>
    </row>
    <row r="5" spans="1:8" ht="12.75" customHeight="1">
      <c r="A5" s="138" t="s">
        <v>612</v>
      </c>
    </row>
    <row r="6" spans="1:8" ht="12.75" customHeight="1">
      <c r="A6" s="1" t="s">
        <v>21</v>
      </c>
      <c r="B6" s="1" t="s">
        <v>613</v>
      </c>
      <c r="C6" s="137">
        <v>126041874</v>
      </c>
      <c r="D6" s="137">
        <v>822372</v>
      </c>
      <c r="E6" s="159">
        <v>-1419718</v>
      </c>
      <c r="F6" s="159">
        <v>257169.47</v>
      </c>
      <c r="G6" s="159">
        <v>229438.2</v>
      </c>
      <c r="H6" s="161">
        <f>SUM(C6:G6)</f>
        <v>125931135.67</v>
      </c>
    </row>
    <row r="7" spans="1:8" ht="12.75" customHeight="1">
      <c r="A7" s="1" t="s">
        <v>23</v>
      </c>
      <c r="B7" s="1" t="s">
        <v>614</v>
      </c>
      <c r="C7" s="137">
        <v>-19613065</v>
      </c>
      <c r="D7" s="137">
        <v>-747378</v>
      </c>
      <c r="E7" s="159">
        <v>-456675</v>
      </c>
      <c r="F7" s="159">
        <v>-752120</v>
      </c>
      <c r="G7" s="159">
        <v>-762225</v>
      </c>
      <c r="H7" s="161">
        <f t="shared" ref="H7:H70" si="0">SUM(C7:G7)</f>
        <v>-22331463</v>
      </c>
    </row>
    <row r="8" spans="1:8" ht="12.75" customHeight="1">
      <c r="A8" s="147" t="s">
        <v>615</v>
      </c>
      <c r="B8" s="147" t="s">
        <v>616</v>
      </c>
      <c r="C8" s="137">
        <v>0</v>
      </c>
      <c r="E8" s="159">
        <v>-722644</v>
      </c>
      <c r="F8" s="159">
        <v>-621877</v>
      </c>
      <c r="G8" s="159">
        <v>-556326</v>
      </c>
      <c r="H8" s="161">
        <f t="shared" si="0"/>
        <v>-1900847</v>
      </c>
    </row>
    <row r="9" spans="1:8" ht="12.75" customHeight="1">
      <c r="A9" s="1" t="s">
        <v>427</v>
      </c>
      <c r="B9" s="1" t="s">
        <v>428</v>
      </c>
      <c r="C9" s="137">
        <v>155322</v>
      </c>
      <c r="D9" s="137">
        <v>141605</v>
      </c>
      <c r="E9" s="159">
        <v>-177274</v>
      </c>
      <c r="F9" s="159">
        <v>107020</v>
      </c>
      <c r="G9" s="159">
        <v>98174</v>
      </c>
      <c r="H9" s="161">
        <f t="shared" si="0"/>
        <v>324847</v>
      </c>
    </row>
    <row r="10" spans="1:8" ht="12.75" customHeight="1">
      <c r="A10" s="1" t="s">
        <v>25</v>
      </c>
      <c r="B10" s="1" t="s">
        <v>26</v>
      </c>
      <c r="C10" s="137">
        <v>-1000245</v>
      </c>
      <c r="D10" s="137">
        <v>-890320</v>
      </c>
      <c r="E10" s="159">
        <v>1890565</v>
      </c>
      <c r="H10" s="114"/>
    </row>
    <row r="11" spans="1:8" ht="12.75" customHeight="1">
      <c r="C11" s="137">
        <v>0</v>
      </c>
      <c r="H11" s="114"/>
    </row>
    <row r="12" spans="1:8" ht="12.75" customHeight="1">
      <c r="A12" s="270" t="s">
        <v>617</v>
      </c>
      <c r="C12" s="137">
        <v>0</v>
      </c>
      <c r="H12" s="114">
        <f t="shared" si="0"/>
        <v>0</v>
      </c>
    </row>
    <row r="13" spans="1:8" ht="12.75" customHeight="1">
      <c r="A13" s="1" t="s">
        <v>618</v>
      </c>
      <c r="B13" s="1" t="s">
        <v>619</v>
      </c>
      <c r="C13" s="137">
        <v>38320325</v>
      </c>
      <c r="D13" s="137">
        <v>0</v>
      </c>
      <c r="H13" s="161">
        <f t="shared" si="0"/>
        <v>38320325</v>
      </c>
    </row>
    <row r="14" spans="1:8" ht="12.75" customHeight="1">
      <c r="A14" s="1" t="s">
        <v>620</v>
      </c>
      <c r="B14" s="1" t="s">
        <v>621</v>
      </c>
      <c r="C14" s="137">
        <v>-383202</v>
      </c>
      <c r="D14" s="137">
        <v>-982251</v>
      </c>
      <c r="E14" s="159">
        <v>-236217</v>
      </c>
      <c r="F14" s="159">
        <v>-503912.27</v>
      </c>
      <c r="G14" s="159">
        <v>-394151.1</v>
      </c>
      <c r="H14" s="161">
        <f t="shared" si="0"/>
        <v>-2499733.37</v>
      </c>
    </row>
    <row r="15" spans="1:8" ht="12.75" customHeight="1">
      <c r="A15" s="1" t="s">
        <v>622</v>
      </c>
      <c r="B15" s="1" t="s">
        <v>558</v>
      </c>
      <c r="C15" s="137">
        <v>1770403</v>
      </c>
      <c r="D15" s="137">
        <v>-110649</v>
      </c>
      <c r="E15" s="159">
        <v>-110649</v>
      </c>
      <c r="F15" s="159">
        <v>-110650</v>
      </c>
      <c r="G15" s="159">
        <v>-110650</v>
      </c>
      <c r="H15" s="161">
        <f t="shared" si="0"/>
        <v>1327805</v>
      </c>
    </row>
    <row r="16" spans="1:8" ht="12.75" customHeight="1">
      <c r="A16" s="1" t="s">
        <v>35</v>
      </c>
      <c r="B16" s="1" t="s">
        <v>36</v>
      </c>
      <c r="C16" s="137">
        <v>5582923</v>
      </c>
      <c r="D16" s="275">
        <v>797885</v>
      </c>
      <c r="E16" s="159">
        <v>160838</v>
      </c>
      <c r="F16" s="159">
        <v>176734</v>
      </c>
      <c r="G16" s="159">
        <v>155489</v>
      </c>
      <c r="H16" s="161">
        <f t="shared" si="0"/>
        <v>6873869</v>
      </c>
    </row>
    <row r="17" spans="1:8" ht="12.75" customHeight="1">
      <c r="C17" s="137">
        <v>0</v>
      </c>
      <c r="H17" s="114">
        <f t="shared" si="0"/>
        <v>0</v>
      </c>
    </row>
    <row r="18" spans="1:8" ht="12.75" customHeight="1">
      <c r="A18" s="270" t="s">
        <v>38</v>
      </c>
      <c r="C18" s="137">
        <v>0</v>
      </c>
      <c r="H18" s="114">
        <f t="shared" si="0"/>
        <v>0</v>
      </c>
    </row>
    <row r="19" spans="1:8" ht="12.75" customHeight="1">
      <c r="A19" s="1" t="s">
        <v>41</v>
      </c>
      <c r="B19" s="1" t="s">
        <v>42</v>
      </c>
      <c r="C19" s="137">
        <v>2139069</v>
      </c>
      <c r="D19" s="137">
        <v>-2015185</v>
      </c>
      <c r="E19" s="272">
        <v>3276624.5700000003</v>
      </c>
      <c r="F19" s="156">
        <v>2530742.7599999998</v>
      </c>
      <c r="G19" s="159">
        <v>423215.73</v>
      </c>
      <c r="H19" s="161">
        <f>SUM(C19:G19)-H20</f>
        <v>243400.06000000052</v>
      </c>
    </row>
    <row r="20" spans="1:8" ht="12.75" customHeight="1">
      <c r="A20" s="1" t="s">
        <v>623</v>
      </c>
      <c r="B20" s="1" t="s">
        <v>624</v>
      </c>
      <c r="C20" s="137">
        <v>0</v>
      </c>
      <c r="D20" s="137">
        <v>2656651</v>
      </c>
      <c r="E20" s="137">
        <v>620098</v>
      </c>
      <c r="F20" s="156">
        <f>893859+1026866</f>
        <v>1920725</v>
      </c>
      <c r="G20" s="159">
        <v>913593</v>
      </c>
      <c r="H20" s="114">
        <f t="shared" si="0"/>
        <v>6111067</v>
      </c>
    </row>
    <row r="21" spans="1:8" ht="12.75" customHeight="1">
      <c r="A21" s="1" t="s">
        <v>43</v>
      </c>
      <c r="B21" s="1" t="s">
        <v>44</v>
      </c>
      <c r="C21" s="137">
        <v>-76879</v>
      </c>
      <c r="D21" s="137">
        <v>68505</v>
      </c>
      <c r="H21" s="161">
        <f t="shared" si="0"/>
        <v>-8374</v>
      </c>
    </row>
    <row r="22" spans="1:8" ht="12.75" customHeight="1">
      <c r="A22" s="1" t="s">
        <v>594</v>
      </c>
      <c r="B22" s="1" t="s">
        <v>595</v>
      </c>
      <c r="C22" s="137">
        <v>0</v>
      </c>
      <c r="D22" s="137">
        <v>0</v>
      </c>
      <c r="G22" s="159">
        <v>0</v>
      </c>
      <c r="H22" s="114">
        <f t="shared" si="0"/>
        <v>0</v>
      </c>
    </row>
    <row r="23" spans="1:8" ht="12.75" customHeight="1">
      <c r="A23" s="1" t="s">
        <v>625</v>
      </c>
      <c r="B23" s="1" t="s">
        <v>626</v>
      </c>
      <c r="C23" s="137">
        <v>5000</v>
      </c>
      <c r="D23" s="137">
        <v>0</v>
      </c>
      <c r="H23" s="161">
        <f t="shared" si="0"/>
        <v>5000</v>
      </c>
    </row>
    <row r="24" spans="1:8" ht="12.75" customHeight="1">
      <c r="A24" s="1" t="s">
        <v>627</v>
      </c>
      <c r="B24" s="1" t="s">
        <v>490</v>
      </c>
      <c r="C24" s="137">
        <v>28764</v>
      </c>
      <c r="D24" s="137">
        <v>-28767</v>
      </c>
      <c r="E24" s="159">
        <f>85740+F24</f>
        <v>64305</v>
      </c>
      <c r="F24" s="159">
        <v>-21435</v>
      </c>
      <c r="G24" s="159">
        <v>-21435</v>
      </c>
      <c r="H24" s="161">
        <f t="shared" si="0"/>
        <v>21432</v>
      </c>
    </row>
    <row r="25" spans="1:8" ht="12.75" customHeight="1">
      <c r="A25" s="1" t="s">
        <v>55</v>
      </c>
      <c r="B25" s="1" t="s">
        <v>56</v>
      </c>
      <c r="C25" s="137">
        <v>0</v>
      </c>
      <c r="D25" s="137">
        <v>0</v>
      </c>
      <c r="E25" s="159">
        <f>357512+F25</f>
        <v>268134.02</v>
      </c>
      <c r="F25" s="159">
        <v>-89377.98</v>
      </c>
      <c r="G25" s="159">
        <v>-89377.98</v>
      </c>
      <c r="H25" s="161">
        <f t="shared" si="0"/>
        <v>89378.060000000041</v>
      </c>
    </row>
    <row r="26" spans="1:8" ht="12.75" customHeight="1">
      <c r="C26" s="137">
        <v>0</v>
      </c>
      <c r="H26" s="114">
        <f t="shared" si="0"/>
        <v>0</v>
      </c>
    </row>
    <row r="27" spans="1:8" ht="12.75" customHeight="1">
      <c r="A27" s="270" t="s">
        <v>58</v>
      </c>
      <c r="C27" s="137">
        <v>0</v>
      </c>
      <c r="H27" s="114">
        <f t="shared" si="0"/>
        <v>0</v>
      </c>
    </row>
    <row r="28" spans="1:8" ht="12.75" customHeight="1">
      <c r="A28" s="1" t="s">
        <v>61</v>
      </c>
      <c r="B28" s="1" t="s">
        <v>62</v>
      </c>
      <c r="C28" s="137">
        <v>0</v>
      </c>
      <c r="D28" s="137">
        <v>0</v>
      </c>
      <c r="F28" s="159">
        <v>358000</v>
      </c>
      <c r="G28" s="159">
        <v>-358000</v>
      </c>
      <c r="H28" s="114">
        <f t="shared" si="0"/>
        <v>0</v>
      </c>
    </row>
    <row r="29" spans="1:8" ht="12.75" customHeight="1">
      <c r="A29" s="1" t="s">
        <v>628</v>
      </c>
      <c r="B29" s="1" t="s">
        <v>596</v>
      </c>
      <c r="C29" s="137">
        <v>-954</v>
      </c>
      <c r="D29" s="137">
        <v>954</v>
      </c>
      <c r="E29" s="159">
        <v>122</v>
      </c>
      <c r="F29" s="159">
        <v>-3547.65</v>
      </c>
      <c r="G29" s="159">
        <v>-1524.6</v>
      </c>
      <c r="H29" s="161">
        <f t="shared" si="0"/>
        <v>-4950.25</v>
      </c>
    </row>
    <row r="30" spans="1:8" ht="12.75" customHeight="1">
      <c r="A30" s="1" t="s">
        <v>65</v>
      </c>
      <c r="B30" s="1" t="s">
        <v>66</v>
      </c>
      <c r="C30" s="137">
        <v>0</v>
      </c>
      <c r="D30" s="137">
        <v>0</v>
      </c>
      <c r="E30" s="159">
        <v>490000</v>
      </c>
      <c r="F30" s="159">
        <v>-490000</v>
      </c>
      <c r="G30" s="159">
        <v>0</v>
      </c>
      <c r="H30" s="161">
        <f t="shared" si="0"/>
        <v>0</v>
      </c>
    </row>
    <row r="31" spans="1:8" ht="12.75" customHeight="1">
      <c r="A31" s="1" t="s">
        <v>67</v>
      </c>
      <c r="B31" s="1" t="s">
        <v>68</v>
      </c>
      <c r="C31" s="137">
        <v>2236</v>
      </c>
      <c r="D31" s="137">
        <v>2207</v>
      </c>
      <c r="E31" s="159">
        <v>51</v>
      </c>
      <c r="F31" s="159">
        <v>2948.65</v>
      </c>
      <c r="G31" s="159">
        <v>-9882.18</v>
      </c>
      <c r="H31" s="161">
        <f t="shared" si="0"/>
        <v>-2439.5300000000007</v>
      </c>
    </row>
    <row r="32" spans="1:8" ht="12.75" customHeight="1">
      <c r="A32" s="1" t="s">
        <v>69</v>
      </c>
      <c r="B32" s="1" t="s">
        <v>70</v>
      </c>
      <c r="C32" s="137">
        <v>73</v>
      </c>
      <c r="D32" s="137">
        <v>0</v>
      </c>
      <c r="F32" s="159">
        <v>-46.3</v>
      </c>
      <c r="G32" s="159">
        <v>0</v>
      </c>
      <c r="H32" s="161">
        <f t="shared" si="0"/>
        <v>26.700000000000003</v>
      </c>
    </row>
    <row r="33" spans="1:8" ht="12.75" customHeight="1">
      <c r="A33" s="1" t="s">
        <v>71</v>
      </c>
      <c r="B33" s="1" t="s">
        <v>72</v>
      </c>
      <c r="C33" s="137">
        <v>1543</v>
      </c>
      <c r="D33" s="137">
        <v>-827</v>
      </c>
      <c r="E33" s="159">
        <v>6673</v>
      </c>
      <c r="F33" s="159">
        <v>-6645.75</v>
      </c>
      <c r="G33" s="159">
        <v>949.76</v>
      </c>
      <c r="H33" s="161">
        <f t="shared" si="0"/>
        <v>1693.01</v>
      </c>
    </row>
    <row r="34" spans="1:8" ht="12.75" customHeight="1">
      <c r="A34" s="1" t="s">
        <v>73</v>
      </c>
      <c r="B34" s="1" t="s">
        <v>74</v>
      </c>
      <c r="C34" s="137">
        <v>212064</v>
      </c>
      <c r="D34" s="137">
        <v>-145584</v>
      </c>
      <c r="E34" s="159">
        <v>227168</v>
      </c>
      <c r="F34" s="159">
        <v>-230570.79</v>
      </c>
      <c r="G34" s="159">
        <v>169867.27</v>
      </c>
      <c r="H34" s="161">
        <f t="shared" si="0"/>
        <v>232944.47999999998</v>
      </c>
    </row>
    <row r="35" spans="1:8" ht="12.75" customHeight="1">
      <c r="A35" s="1" t="s">
        <v>75</v>
      </c>
      <c r="B35" s="1" t="s">
        <v>76</v>
      </c>
      <c r="C35" s="137">
        <v>15362</v>
      </c>
      <c r="D35" s="137">
        <v>-6182</v>
      </c>
      <c r="E35" s="159">
        <v>138903</v>
      </c>
      <c r="F35" s="159">
        <v>-147771.81</v>
      </c>
      <c r="G35" s="159">
        <v>2744.42</v>
      </c>
      <c r="H35" s="161">
        <f t="shared" si="0"/>
        <v>3055.6100000000024</v>
      </c>
    </row>
    <row r="36" spans="1:8" ht="12.75" customHeight="1">
      <c r="A36" s="1" t="s">
        <v>629</v>
      </c>
      <c r="B36" s="1" t="s">
        <v>560</v>
      </c>
      <c r="C36" s="137">
        <v>-17</v>
      </c>
      <c r="D36" s="137">
        <v>5661</v>
      </c>
      <c r="F36" s="159">
        <v>-5660.09</v>
      </c>
      <c r="H36" s="161">
        <f t="shared" si="0"/>
        <v>-16.090000000000146</v>
      </c>
    </row>
    <row r="37" spans="1:8" ht="12.75" customHeight="1">
      <c r="C37" s="137">
        <v>0</v>
      </c>
      <c r="H37" s="114">
        <f t="shared" si="0"/>
        <v>0</v>
      </c>
    </row>
    <row r="38" spans="1:8" ht="12.75" customHeight="1">
      <c r="A38" s="270" t="s">
        <v>630</v>
      </c>
      <c r="C38" s="137">
        <v>0</v>
      </c>
      <c r="H38" s="114">
        <f t="shared" si="0"/>
        <v>0</v>
      </c>
    </row>
    <row r="39" spans="1:8" ht="12.75" customHeight="1">
      <c r="A39" s="1" t="s">
        <v>81</v>
      </c>
      <c r="B39" s="1" t="s">
        <v>82</v>
      </c>
      <c r="C39" s="137">
        <v>-1</v>
      </c>
      <c r="D39" s="137">
        <v>0</v>
      </c>
      <c r="E39" s="159">
        <v>0</v>
      </c>
      <c r="H39" s="114">
        <f t="shared" si="0"/>
        <v>-1</v>
      </c>
    </row>
    <row r="40" spans="1:8" ht="12.75" customHeight="1">
      <c r="A40" s="1" t="s">
        <v>87</v>
      </c>
      <c r="B40" s="1" t="s">
        <v>430</v>
      </c>
      <c r="C40" s="137">
        <v>-18931219</v>
      </c>
      <c r="D40" s="137">
        <v>0</v>
      </c>
      <c r="E40" s="159">
        <v>0</v>
      </c>
      <c r="H40" s="114">
        <f t="shared" si="0"/>
        <v>-18931219</v>
      </c>
    </row>
    <row r="41" spans="1:8" ht="12.75" customHeight="1">
      <c r="A41" s="1" t="s">
        <v>93</v>
      </c>
      <c r="B41" s="1" t="s">
        <v>94</v>
      </c>
      <c r="C41" s="137">
        <v>5339858</v>
      </c>
      <c r="D41" s="137">
        <v>0</v>
      </c>
      <c r="E41" s="159">
        <v>0</v>
      </c>
      <c r="H41" s="114">
        <f t="shared" si="0"/>
        <v>5339858</v>
      </c>
    </row>
    <row r="42" spans="1:8" ht="12.75" customHeight="1">
      <c r="C42" s="137">
        <v>0</v>
      </c>
      <c r="H42" s="114">
        <f t="shared" si="0"/>
        <v>0</v>
      </c>
    </row>
    <row r="43" spans="1:8" ht="12.75" customHeight="1">
      <c r="A43" s="270" t="s">
        <v>98</v>
      </c>
      <c r="C43" s="137">
        <v>0</v>
      </c>
      <c r="H43" s="114">
        <f t="shared" si="0"/>
        <v>0</v>
      </c>
    </row>
    <row r="44" spans="1:8" ht="12.75" customHeight="1">
      <c r="A44" s="1" t="s">
        <v>103</v>
      </c>
      <c r="B44" s="1" t="s">
        <v>104</v>
      </c>
      <c r="C44" s="137">
        <v>-168320325</v>
      </c>
      <c r="D44" s="137">
        <v>-755661</v>
      </c>
      <c r="E44" s="159">
        <v>0</v>
      </c>
      <c r="F44" s="159">
        <v>-459986.91</v>
      </c>
      <c r="H44" s="161">
        <f t="shared" si="0"/>
        <v>-169535972.91</v>
      </c>
    </row>
    <row r="45" spans="1:8" ht="12.75" customHeight="1">
      <c r="A45" s="1" t="s">
        <v>107</v>
      </c>
      <c r="B45" s="1" t="s">
        <v>108</v>
      </c>
      <c r="C45" s="137">
        <v>31687891</v>
      </c>
      <c r="D45" s="137">
        <v>1621000</v>
      </c>
      <c r="E45" s="159">
        <v>863000</v>
      </c>
      <c r="F45" s="159">
        <v>1328000</v>
      </c>
      <c r="G45" s="159">
        <v>1449881.36</v>
      </c>
      <c r="H45" s="161">
        <f t="shared" si="0"/>
        <v>36949772.359999999</v>
      </c>
    </row>
    <row r="46" spans="1:8" ht="12.75" customHeight="1">
      <c r="A46" s="1" t="s">
        <v>631</v>
      </c>
      <c r="B46" s="1" t="s">
        <v>632</v>
      </c>
      <c r="C46" s="137">
        <v>465102</v>
      </c>
      <c r="D46" s="137">
        <v>-29070</v>
      </c>
      <c r="E46" s="252">
        <v>-29069.05</v>
      </c>
      <c r="F46" s="159">
        <v>-29069.06</v>
      </c>
      <c r="G46" s="159">
        <v>-29069.05</v>
      </c>
      <c r="H46" s="161">
        <f t="shared" si="0"/>
        <v>348824.84</v>
      </c>
    </row>
    <row r="47" spans="1:8" ht="12.75" customHeight="1">
      <c r="C47" s="137">
        <v>0</v>
      </c>
      <c r="H47" s="114">
        <f t="shared" si="0"/>
        <v>0</v>
      </c>
    </row>
    <row r="48" spans="1:8" ht="12.75" customHeight="1">
      <c r="A48" s="270" t="s">
        <v>118</v>
      </c>
      <c r="C48" s="137">
        <v>0</v>
      </c>
      <c r="H48" s="114">
        <f t="shared" si="0"/>
        <v>0</v>
      </c>
    </row>
    <row r="49" spans="1:9" ht="12.75" customHeight="1">
      <c r="A49" s="1" t="s">
        <v>121</v>
      </c>
      <c r="B49" s="1" t="s">
        <v>122</v>
      </c>
      <c r="C49" s="137">
        <v>-370128</v>
      </c>
      <c r="D49" s="137">
        <v>-65993</v>
      </c>
      <c r="E49" s="159">
        <v>-562454</v>
      </c>
      <c r="F49" s="159">
        <v>715812</v>
      </c>
      <c r="G49" s="159">
        <v>277315</v>
      </c>
      <c r="H49" s="161">
        <f t="shared" si="0"/>
        <v>-5448</v>
      </c>
    </row>
    <row r="50" spans="1:9" ht="12.75" customHeight="1">
      <c r="A50" s="1" t="s">
        <v>123</v>
      </c>
      <c r="B50" s="1" t="s">
        <v>124</v>
      </c>
      <c r="C50" s="137">
        <v>-920180</v>
      </c>
      <c r="D50" s="137">
        <v>-12500</v>
      </c>
      <c r="E50" s="159">
        <v>-14700</v>
      </c>
      <c r="F50" s="159">
        <v>14700</v>
      </c>
      <c r="G50" s="159">
        <v>-9900</v>
      </c>
      <c r="H50" s="161">
        <f t="shared" si="0"/>
        <v>-942580</v>
      </c>
    </row>
    <row r="51" spans="1:9" ht="12.75" customHeight="1">
      <c r="A51" s="1" t="s">
        <v>633</v>
      </c>
      <c r="B51" s="1" t="s">
        <v>634</v>
      </c>
      <c r="C51" s="137">
        <v>-200000</v>
      </c>
      <c r="D51" s="137">
        <v>-201205</v>
      </c>
      <c r="F51" s="159">
        <v>-150000</v>
      </c>
      <c r="G51" s="159">
        <v>0</v>
      </c>
      <c r="H51" s="161">
        <f t="shared" si="0"/>
        <v>-551205</v>
      </c>
    </row>
    <row r="52" spans="1:9" ht="12.75" customHeight="1">
      <c r="A52" s="1" t="s">
        <v>47</v>
      </c>
      <c r="B52" s="1" t="s">
        <v>48</v>
      </c>
      <c r="C52" s="137">
        <v>273443</v>
      </c>
      <c r="D52" s="275">
        <v>-408776</v>
      </c>
      <c r="E52" s="252">
        <v>458198</v>
      </c>
      <c r="F52" s="159">
        <v>12470</v>
      </c>
      <c r="G52" s="159">
        <v>485985</v>
      </c>
      <c r="H52" s="161">
        <f t="shared" si="0"/>
        <v>821320</v>
      </c>
    </row>
    <row r="53" spans="1:9" ht="12.75" customHeight="1">
      <c r="A53" s="136">
        <v>2650000</v>
      </c>
      <c r="B53" s="1" t="s">
        <v>670</v>
      </c>
      <c r="C53" s="137">
        <v>0</v>
      </c>
      <c r="E53" s="252"/>
      <c r="F53" s="159">
        <v>-500000</v>
      </c>
      <c r="H53" s="161">
        <f t="shared" si="0"/>
        <v>-500000</v>
      </c>
    </row>
    <row r="54" spans="1:9" ht="12.75" customHeight="1">
      <c r="A54" s="1" t="s">
        <v>129</v>
      </c>
      <c r="B54" s="1" t="s">
        <v>130</v>
      </c>
      <c r="C54" s="137">
        <v>-5246</v>
      </c>
      <c r="D54" s="137">
        <v>-961</v>
      </c>
      <c r="E54" s="252">
        <v>900</v>
      </c>
      <c r="F54" s="159">
        <v>2856.3</v>
      </c>
      <c r="G54" s="159">
        <v>-3177.21</v>
      </c>
      <c r="H54" s="161">
        <f>SUM(C54:G54)</f>
        <v>-5627.91</v>
      </c>
    </row>
    <row r="55" spans="1:9" ht="12.75" customHeight="1">
      <c r="A55" s="1" t="s">
        <v>635</v>
      </c>
      <c r="B55" s="1" t="s">
        <v>636</v>
      </c>
      <c r="C55" s="137">
        <v>-964768</v>
      </c>
      <c r="D55" s="137">
        <v>1176</v>
      </c>
      <c r="E55" s="159">
        <v>-17077</v>
      </c>
      <c r="F55" s="159">
        <v>-47340.800000000003</v>
      </c>
      <c r="G55" s="159">
        <v>1145.22</v>
      </c>
      <c r="H55" s="161">
        <f t="shared" si="0"/>
        <v>-1026864.5800000001</v>
      </c>
    </row>
    <row r="56" spans="1:9" ht="12.75" customHeight="1">
      <c r="A56" s="1" t="s">
        <v>141</v>
      </c>
      <c r="B56" s="1" t="s">
        <v>142</v>
      </c>
      <c r="C56" s="137">
        <v>-935682</v>
      </c>
      <c r="D56" s="137">
        <v>-30315</v>
      </c>
      <c r="E56" s="159">
        <v>8491</v>
      </c>
      <c r="F56" s="159">
        <v>-4796</v>
      </c>
      <c r="G56" s="159">
        <v>8472.82</v>
      </c>
      <c r="H56" s="161">
        <f t="shared" si="0"/>
        <v>-953829.18</v>
      </c>
    </row>
    <row r="57" spans="1:9" ht="12.75" customHeight="1">
      <c r="A57" s="1" t="s">
        <v>143</v>
      </c>
      <c r="B57" s="1" t="s">
        <v>144</v>
      </c>
      <c r="C57" s="137">
        <v>-45000</v>
      </c>
      <c r="D57" s="137">
        <v>0</v>
      </c>
      <c r="H57" s="161">
        <f t="shared" si="0"/>
        <v>-45000</v>
      </c>
    </row>
    <row r="58" spans="1:9" ht="12.75" customHeight="1">
      <c r="A58" s="1" t="s">
        <v>147</v>
      </c>
      <c r="B58" s="1" t="s">
        <v>148</v>
      </c>
      <c r="C58" s="137">
        <v>80948</v>
      </c>
      <c r="D58" s="137">
        <v>-89877</v>
      </c>
      <c r="E58" s="159">
        <v>8930</v>
      </c>
      <c r="G58" s="159">
        <v>0</v>
      </c>
      <c r="H58" s="161">
        <f t="shared" si="0"/>
        <v>1</v>
      </c>
    </row>
    <row r="59" spans="1:9" ht="12.75" customHeight="1">
      <c r="A59" s="1" t="s">
        <v>149</v>
      </c>
      <c r="B59" s="1" t="s">
        <v>637</v>
      </c>
      <c r="C59" s="137">
        <v>0</v>
      </c>
      <c r="D59" s="137">
        <v>0</v>
      </c>
      <c r="H59" s="161">
        <f t="shared" si="0"/>
        <v>0</v>
      </c>
    </row>
    <row r="60" spans="1:9" ht="12.75" customHeight="1">
      <c r="A60" s="1" t="s">
        <v>155</v>
      </c>
      <c r="B60" s="1" t="s">
        <v>156</v>
      </c>
      <c r="C60" s="137">
        <v>-385289</v>
      </c>
      <c r="D60" s="137">
        <v>341806</v>
      </c>
      <c r="E60" s="159">
        <v>-130818</v>
      </c>
      <c r="F60" s="159">
        <v>-87499.93</v>
      </c>
      <c r="G60" s="159">
        <v>216412.76</v>
      </c>
      <c r="H60" s="161">
        <f t="shared" si="0"/>
        <v>-45388.169999999984</v>
      </c>
    </row>
    <row r="61" spans="1:9" ht="12.75" customHeight="1">
      <c r="A61" s="1" t="s">
        <v>159</v>
      </c>
      <c r="B61" s="1" t="s">
        <v>160</v>
      </c>
      <c r="C61" s="137">
        <v>30000</v>
      </c>
      <c r="D61" s="137">
        <f>-116207+2</f>
        <v>-116205</v>
      </c>
      <c r="E61" s="159">
        <v>116207</v>
      </c>
      <c r="G61" s="159">
        <v>0</v>
      </c>
      <c r="H61" s="161">
        <f t="shared" si="0"/>
        <v>30002</v>
      </c>
    </row>
    <row r="62" spans="1:9" ht="12.75" customHeight="1">
      <c r="A62" s="1" t="s">
        <v>638</v>
      </c>
      <c r="B62" s="1" t="s">
        <v>639</v>
      </c>
      <c r="C62" s="137">
        <v>0</v>
      </c>
      <c r="D62" s="137">
        <v>0</v>
      </c>
      <c r="E62" s="252">
        <v>0</v>
      </c>
      <c r="F62" s="252">
        <v>0</v>
      </c>
      <c r="G62" s="159">
        <v>0</v>
      </c>
      <c r="H62" s="114">
        <f t="shared" si="0"/>
        <v>0</v>
      </c>
    </row>
    <row r="63" spans="1:9" ht="12.75" customHeight="1">
      <c r="A63" s="136" t="s">
        <v>641</v>
      </c>
      <c r="B63" s="1" t="s">
        <v>642</v>
      </c>
      <c r="C63" s="137">
        <v>0</v>
      </c>
      <c r="D63" s="137">
        <v>0</v>
      </c>
      <c r="G63" s="159">
        <v>0</v>
      </c>
      <c r="H63" s="161">
        <f t="shared" si="0"/>
        <v>0</v>
      </c>
    </row>
    <row r="64" spans="1:9" ht="12.75" customHeight="1">
      <c r="A64" s="136">
        <v>2502020</v>
      </c>
      <c r="B64" s="1" t="s">
        <v>643</v>
      </c>
      <c r="C64" s="137">
        <v>0</v>
      </c>
      <c r="D64" s="137">
        <v>789</v>
      </c>
      <c r="E64" s="159">
        <v>0</v>
      </c>
      <c r="H64" s="161">
        <f t="shared" si="0"/>
        <v>789</v>
      </c>
      <c r="I64" s="114"/>
    </row>
    <row r="65" spans="1:10" ht="12.75" customHeight="1">
      <c r="A65" s="1" t="s">
        <v>676</v>
      </c>
      <c r="B65" s="1" t="s">
        <v>644</v>
      </c>
      <c r="C65" s="137">
        <v>0</v>
      </c>
      <c r="D65" s="137">
        <v>91489</v>
      </c>
      <c r="E65" s="159">
        <v>-2046</v>
      </c>
      <c r="F65" s="159">
        <v>-93962.63</v>
      </c>
      <c r="G65" s="159">
        <v>0</v>
      </c>
      <c r="H65" s="161">
        <f t="shared" si="0"/>
        <v>-4519.6300000000047</v>
      </c>
      <c r="I65" s="114"/>
    </row>
    <row r="66" spans="1:10" ht="12.75" customHeight="1">
      <c r="A66" s="1" t="s">
        <v>677</v>
      </c>
      <c r="B66" s="1" t="s">
        <v>645</v>
      </c>
      <c r="C66" s="137">
        <v>0</v>
      </c>
      <c r="D66" s="137">
        <v>179376</v>
      </c>
      <c r="E66" s="159">
        <v>-27</v>
      </c>
      <c r="F66" s="159">
        <v>-261260</v>
      </c>
      <c r="G66" s="159">
        <v>-516.84</v>
      </c>
      <c r="H66" s="161">
        <f t="shared" si="0"/>
        <v>-82427.839999999997</v>
      </c>
      <c r="I66" s="114"/>
    </row>
    <row r="67" spans="1:10" ht="12.75" customHeight="1">
      <c r="A67" s="1" t="s">
        <v>678</v>
      </c>
      <c r="B67" s="1" t="s">
        <v>646</v>
      </c>
      <c r="C67" s="137">
        <v>0</v>
      </c>
      <c r="D67" s="275">
        <v>414481</v>
      </c>
      <c r="E67" s="252">
        <v>-404859</v>
      </c>
      <c r="F67" s="159">
        <v>-212658.64</v>
      </c>
      <c r="G67" s="159">
        <v>7601.93</v>
      </c>
      <c r="H67" s="161">
        <f t="shared" si="0"/>
        <v>-195434.71000000002</v>
      </c>
      <c r="I67" s="114"/>
    </row>
    <row r="68" spans="1:10" ht="12.75" customHeight="1">
      <c r="A68" s="147" t="s">
        <v>647</v>
      </c>
      <c r="B68" s="147" t="s">
        <v>648</v>
      </c>
      <c r="C68" s="137">
        <v>0</v>
      </c>
      <c r="D68" s="137">
        <v>0</v>
      </c>
      <c r="E68" s="159">
        <v>-6716</v>
      </c>
      <c r="F68" s="159">
        <v>225121.63</v>
      </c>
      <c r="G68" s="159">
        <v>49344.83</v>
      </c>
      <c r="H68" s="161">
        <f t="shared" si="0"/>
        <v>267750.46000000002</v>
      </c>
    </row>
    <row r="69" spans="1:10" ht="12.75" customHeight="1">
      <c r="H69" s="114">
        <f t="shared" si="0"/>
        <v>0</v>
      </c>
    </row>
    <row r="70" spans="1:10" ht="12.75" customHeight="1">
      <c r="A70" s="138" t="s">
        <v>649</v>
      </c>
      <c r="H70" s="114">
        <f t="shared" si="0"/>
        <v>0</v>
      </c>
    </row>
    <row r="71" spans="1:10" ht="12.75" customHeight="1">
      <c r="H71" s="114">
        <f t="shared" ref="H71:H117" si="1">SUM(C71:G71)</f>
        <v>0</v>
      </c>
    </row>
    <row r="72" spans="1:10" ht="12.75" customHeight="1">
      <c r="A72" s="1" t="s">
        <v>174</v>
      </c>
      <c r="B72" s="1" t="s">
        <v>175</v>
      </c>
      <c r="D72" s="137">
        <v>-3070217</v>
      </c>
      <c r="E72" s="159">
        <v>-3068644</v>
      </c>
      <c r="F72" s="159">
        <v>-3065862.05</v>
      </c>
      <c r="G72" s="159">
        <v>-3169839.55</v>
      </c>
      <c r="H72" s="161">
        <f t="shared" si="1"/>
        <v>-12374562.600000001</v>
      </c>
      <c r="I72" s="114"/>
      <c r="J72" s="1">
        <f>G73/G72</f>
        <v>-2.9437417423856676E-2</v>
      </c>
    </row>
    <row r="73" spans="1:10" ht="12.75" customHeight="1">
      <c r="A73" s="1" t="s">
        <v>176</v>
      </c>
      <c r="B73" s="1" t="s">
        <v>177</v>
      </c>
      <c r="D73" s="137">
        <v>59363</v>
      </c>
      <c r="E73" s="159">
        <v>55043</v>
      </c>
      <c r="F73" s="159">
        <v>72337.34</v>
      </c>
      <c r="G73" s="159">
        <v>93311.89</v>
      </c>
      <c r="H73" s="161">
        <f t="shared" si="1"/>
        <v>280055.23</v>
      </c>
      <c r="I73" s="114"/>
      <c r="J73" s="1">
        <f>F73/F72</f>
        <v>-2.3594453638251599E-2</v>
      </c>
    </row>
    <row r="74" spans="1:10" ht="12.75" customHeight="1">
      <c r="H74" s="114">
        <f t="shared" si="1"/>
        <v>0</v>
      </c>
      <c r="I74" s="114"/>
    </row>
    <row r="75" spans="1:10" ht="12.75" customHeight="1">
      <c r="A75" s="1" t="s">
        <v>182</v>
      </c>
      <c r="B75" s="1" t="s">
        <v>183</v>
      </c>
      <c r="D75" s="137">
        <v>-158682</v>
      </c>
      <c r="E75" s="159">
        <v>-284</v>
      </c>
      <c r="F75" s="159">
        <v>285</v>
      </c>
      <c r="G75" s="159">
        <v>-76472.45</v>
      </c>
      <c r="H75" s="161">
        <f t="shared" si="1"/>
        <v>-235153.45</v>
      </c>
      <c r="I75" s="114"/>
    </row>
    <row r="76" spans="1:10" ht="12.75" customHeight="1">
      <c r="A76" s="1" t="s">
        <v>184</v>
      </c>
      <c r="B76" s="1" t="s">
        <v>185</v>
      </c>
      <c r="D76" s="137">
        <v>6138</v>
      </c>
      <c r="E76" s="159">
        <v>13194</v>
      </c>
      <c r="F76" s="159">
        <v>44728.32</v>
      </c>
      <c r="G76" s="159">
        <v>10335.44</v>
      </c>
      <c r="H76" s="161">
        <f t="shared" si="1"/>
        <v>74395.759999999995</v>
      </c>
      <c r="I76" s="114"/>
    </row>
    <row r="77" spans="1:10" ht="12.75" customHeight="1">
      <c r="A77" s="1" t="s">
        <v>186</v>
      </c>
      <c r="B77" s="1" t="s">
        <v>187</v>
      </c>
      <c r="D77" s="275">
        <v>-376560</v>
      </c>
      <c r="E77" s="252">
        <v>177952</v>
      </c>
      <c r="F77" s="159">
        <v>95667.58</v>
      </c>
      <c r="G77" s="159">
        <v>77542.210000000006</v>
      </c>
      <c r="H77" s="161">
        <f t="shared" si="1"/>
        <v>-25398.209999999992</v>
      </c>
      <c r="I77" s="114"/>
    </row>
    <row r="78" spans="1:10" ht="12.75" customHeight="1">
      <c r="H78" s="114">
        <f t="shared" si="1"/>
        <v>0</v>
      </c>
      <c r="I78" s="114"/>
    </row>
    <row r="79" spans="1:10" ht="12.75" customHeight="1">
      <c r="A79" s="1" t="s">
        <v>198</v>
      </c>
      <c r="B79" s="1" t="s">
        <v>199</v>
      </c>
      <c r="D79" s="137">
        <v>129917</v>
      </c>
      <c r="E79" s="159">
        <v>129820</v>
      </c>
      <c r="F79" s="159">
        <v>130121.37</v>
      </c>
      <c r="G79" s="159">
        <v>134133.54999999999</v>
      </c>
      <c r="H79" s="114">
        <f t="shared" si="1"/>
        <v>523991.92</v>
      </c>
      <c r="I79" s="114"/>
    </row>
    <row r="80" spans="1:10" ht="12.75" customHeight="1">
      <c r="H80" s="114">
        <f t="shared" si="1"/>
        <v>0</v>
      </c>
      <c r="I80" s="114"/>
    </row>
    <row r="81" spans="1:10" ht="12.75" customHeight="1">
      <c r="A81" s="1" t="s">
        <v>204</v>
      </c>
      <c r="B81" s="1" t="s">
        <v>650</v>
      </c>
      <c r="D81" s="137">
        <v>747378</v>
      </c>
      <c r="E81" s="159">
        <v>753602</v>
      </c>
      <c r="F81" s="159">
        <v>752120</v>
      </c>
      <c r="G81" s="159">
        <v>762225</v>
      </c>
      <c r="H81" s="114">
        <f t="shared" si="1"/>
        <v>3015325</v>
      </c>
      <c r="I81" s="114"/>
    </row>
    <row r="82" spans="1:10" ht="12.75" customHeight="1">
      <c r="A82" s="1" t="s">
        <v>206</v>
      </c>
      <c r="B82" s="1" t="s">
        <v>651</v>
      </c>
      <c r="D82" s="137">
        <v>-1422615</v>
      </c>
      <c r="E82" s="159">
        <v>-990509</v>
      </c>
      <c r="F82" s="159">
        <v>-903643</v>
      </c>
      <c r="G82" s="159">
        <v>-963848</v>
      </c>
      <c r="H82" s="114">
        <f t="shared" si="1"/>
        <v>-4280615</v>
      </c>
      <c r="I82" s="114"/>
    </row>
    <row r="83" spans="1:10" ht="12.75" customHeight="1">
      <c r="H83" s="114">
        <f t="shared" si="1"/>
        <v>0</v>
      </c>
      <c r="I83" s="114"/>
    </row>
    <row r="84" spans="1:10" ht="12.75" customHeight="1">
      <c r="A84" s="1" t="s">
        <v>210</v>
      </c>
      <c r="B84" s="1" t="s">
        <v>211</v>
      </c>
      <c r="D84" s="137">
        <v>450180</v>
      </c>
      <c r="E84" s="159">
        <v>242739</v>
      </c>
      <c r="F84" s="159">
        <v>353142.98</v>
      </c>
      <c r="G84" s="159">
        <v>308364.09000000003</v>
      </c>
      <c r="H84" s="114">
        <f t="shared" si="1"/>
        <v>1354426.07</v>
      </c>
      <c r="I84" s="114"/>
    </row>
    <row r="85" spans="1:10" ht="12.75" customHeight="1">
      <c r="A85" s="1" t="s">
        <v>214</v>
      </c>
      <c r="B85" s="1" t="s">
        <v>215</v>
      </c>
      <c r="D85" s="137">
        <v>81195</v>
      </c>
      <c r="E85" s="159">
        <f>87160+3*21790.08</f>
        <v>152530.23999999999</v>
      </c>
      <c r="F85" s="159">
        <v>66177.88</v>
      </c>
      <c r="G85" s="159">
        <v>66062.67</v>
      </c>
      <c r="H85" s="114">
        <f t="shared" si="1"/>
        <v>365965.79</v>
      </c>
      <c r="I85" s="114"/>
      <c r="J85" s="114"/>
    </row>
    <row r="86" spans="1:10" ht="12.75" customHeight="1">
      <c r="A86" s="1" t="s">
        <v>216</v>
      </c>
      <c r="B86" s="1" t="s">
        <v>652</v>
      </c>
      <c r="D86" s="137">
        <v>165587</v>
      </c>
      <c r="E86" s="159">
        <v>178643</v>
      </c>
      <c r="F86" s="159">
        <v>262945.32</v>
      </c>
      <c r="G86" s="159">
        <v>188400.11</v>
      </c>
      <c r="H86" s="114">
        <f t="shared" si="1"/>
        <v>795575.43</v>
      </c>
      <c r="I86" s="114"/>
    </row>
    <row r="87" spans="1:10" ht="12.75" customHeight="1">
      <c r="A87" s="1" t="s">
        <v>212</v>
      </c>
      <c r="B87" s="1" t="s">
        <v>213</v>
      </c>
      <c r="D87" s="137">
        <v>0</v>
      </c>
      <c r="E87" s="159">
        <v>0</v>
      </c>
      <c r="H87" s="114">
        <f t="shared" si="1"/>
        <v>0</v>
      </c>
      <c r="I87" s="114"/>
    </row>
    <row r="88" spans="1:10" ht="12.75" customHeight="1">
      <c r="A88" s="1" t="s">
        <v>218</v>
      </c>
      <c r="B88" s="1" t="s">
        <v>219</v>
      </c>
      <c r="D88" s="137">
        <v>0</v>
      </c>
      <c r="E88" s="159">
        <f>32010+3*8002.58</f>
        <v>56017.74</v>
      </c>
      <c r="F88" s="159">
        <v>23941.86</v>
      </c>
      <c r="G88" s="159">
        <v>24496.54</v>
      </c>
      <c r="H88" s="114">
        <f t="shared" si="1"/>
        <v>104456.14000000001</v>
      </c>
      <c r="I88" s="114"/>
      <c r="J88" s="114"/>
    </row>
    <row r="89" spans="1:10" ht="12.75" customHeight="1">
      <c r="A89" s="1" t="s">
        <v>220</v>
      </c>
      <c r="B89" s="1" t="s">
        <v>221</v>
      </c>
      <c r="D89" s="137">
        <v>3224</v>
      </c>
      <c r="E89" s="159">
        <v>8746</v>
      </c>
      <c r="F89" s="159">
        <v>48840.03</v>
      </c>
      <c r="G89" s="159">
        <v>28932.33</v>
      </c>
      <c r="H89" s="114">
        <f t="shared" si="1"/>
        <v>89742.36</v>
      </c>
      <c r="I89" s="114"/>
    </row>
    <row r="90" spans="1:10" ht="12.75" customHeight="1">
      <c r="A90" s="1" t="s">
        <v>385</v>
      </c>
      <c r="B90" s="1" t="s">
        <v>386</v>
      </c>
      <c r="D90" s="137">
        <v>0</v>
      </c>
      <c r="E90" s="159">
        <v>0</v>
      </c>
      <c r="G90" s="159">
        <v>0</v>
      </c>
      <c r="H90" s="114">
        <f t="shared" si="1"/>
        <v>0</v>
      </c>
      <c r="I90" s="114"/>
    </row>
    <row r="91" spans="1:10" ht="12.75" customHeight="1">
      <c r="H91" s="114">
        <f t="shared" si="1"/>
        <v>0</v>
      </c>
      <c r="I91" s="114"/>
    </row>
    <row r="92" spans="1:10" ht="12.75" customHeight="1">
      <c r="A92" s="1" t="s">
        <v>434</v>
      </c>
      <c r="B92" s="1" t="s">
        <v>413</v>
      </c>
      <c r="D92" s="137">
        <v>-68505</v>
      </c>
      <c r="E92" s="159">
        <v>23863</v>
      </c>
      <c r="H92" s="259">
        <f t="shared" si="1"/>
        <v>-44642</v>
      </c>
      <c r="I92" s="114"/>
    </row>
    <row r="93" spans="1:10" ht="12.75" customHeight="1">
      <c r="A93" s="1" t="s">
        <v>226</v>
      </c>
      <c r="B93" s="1" t="s">
        <v>227</v>
      </c>
      <c r="D93" s="137">
        <v>9614</v>
      </c>
      <c r="E93" s="159">
        <v>0</v>
      </c>
      <c r="F93" s="159">
        <v>42503.08</v>
      </c>
      <c r="G93" s="159">
        <v>10114.98</v>
      </c>
      <c r="H93" s="259">
        <f t="shared" si="1"/>
        <v>62232.06</v>
      </c>
      <c r="I93" s="114"/>
    </row>
    <row r="94" spans="1:10" ht="12.75" customHeight="1">
      <c r="H94" s="114">
        <f t="shared" si="1"/>
        <v>0</v>
      </c>
      <c r="I94" s="114"/>
    </row>
    <row r="95" spans="1:10" ht="12.75" customHeight="1">
      <c r="A95" s="1" t="s">
        <v>604</v>
      </c>
      <c r="B95" s="1" t="s">
        <v>605</v>
      </c>
      <c r="D95" s="137">
        <v>145</v>
      </c>
      <c r="E95" s="159">
        <v>0</v>
      </c>
      <c r="H95" s="259">
        <f t="shared" si="1"/>
        <v>145</v>
      </c>
      <c r="I95" s="114"/>
    </row>
    <row r="96" spans="1:10" ht="12.75" customHeight="1">
      <c r="A96" s="1" t="s">
        <v>230</v>
      </c>
      <c r="B96" s="1" t="s">
        <v>231</v>
      </c>
      <c r="D96" s="137">
        <v>3002</v>
      </c>
      <c r="E96" s="159">
        <v>300</v>
      </c>
      <c r="F96" s="159">
        <v>40</v>
      </c>
      <c r="G96" s="159">
        <v>600</v>
      </c>
      <c r="H96" s="259">
        <f t="shared" si="1"/>
        <v>3942</v>
      </c>
      <c r="I96" s="114"/>
    </row>
    <row r="97" spans="1:10" ht="12.75" customHeight="1">
      <c r="H97" s="114">
        <f t="shared" si="1"/>
        <v>0</v>
      </c>
      <c r="I97" s="114"/>
    </row>
    <row r="98" spans="1:10" ht="12.75" customHeight="1">
      <c r="A98" s="1" t="s">
        <v>234</v>
      </c>
      <c r="B98" s="1" t="s">
        <v>235</v>
      </c>
      <c r="D98" s="137">
        <v>38355</v>
      </c>
      <c r="E98" s="159">
        <f>28580-F24</f>
        <v>50015</v>
      </c>
      <c r="F98" s="159">
        <f>37420.71</f>
        <v>37420.71</v>
      </c>
      <c r="G98" s="159">
        <v>21435</v>
      </c>
      <c r="H98" s="114">
        <f t="shared" si="1"/>
        <v>147225.71</v>
      </c>
      <c r="I98" s="114"/>
      <c r="J98" s="114"/>
    </row>
    <row r="99" spans="1:10" ht="12.75" customHeight="1">
      <c r="A99" s="1" t="s">
        <v>236</v>
      </c>
      <c r="B99" s="1" t="s">
        <v>237</v>
      </c>
      <c r="D99" s="137">
        <v>1500</v>
      </c>
      <c r="E99" s="159">
        <v>1500</v>
      </c>
      <c r="F99" s="159">
        <v>1500</v>
      </c>
      <c r="G99" s="159">
        <v>1500</v>
      </c>
      <c r="H99" s="114">
        <f t="shared" si="1"/>
        <v>6000</v>
      </c>
      <c r="I99" s="114"/>
    </row>
    <row r="100" spans="1:10" ht="12.75" customHeight="1">
      <c r="A100" s="1" t="s">
        <v>238</v>
      </c>
      <c r="B100" s="1" t="s">
        <v>239</v>
      </c>
      <c r="D100" s="137">
        <v>24818</v>
      </c>
      <c r="E100" s="159">
        <v>39840</v>
      </c>
      <c r="F100" s="159">
        <v>19091</v>
      </c>
      <c r="G100" s="159">
        <v>8698.33</v>
      </c>
      <c r="H100" s="114">
        <f t="shared" si="1"/>
        <v>92447.33</v>
      </c>
      <c r="I100" s="114"/>
    </row>
    <row r="101" spans="1:10" ht="12.75" customHeight="1">
      <c r="A101" s="1" t="s">
        <v>240</v>
      </c>
      <c r="B101" s="1" t="s">
        <v>241</v>
      </c>
      <c r="D101" s="137">
        <v>2281</v>
      </c>
      <c r="E101" s="159">
        <v>1398</v>
      </c>
      <c r="F101" s="159">
        <v>2825.35</v>
      </c>
      <c r="G101" s="159">
        <v>1397.55</v>
      </c>
      <c r="H101" s="259">
        <f t="shared" si="1"/>
        <v>7901.9000000000005</v>
      </c>
      <c r="I101" s="114"/>
    </row>
    <row r="102" spans="1:10" ht="12.75" customHeight="1">
      <c r="A102" s="1" t="s">
        <v>242</v>
      </c>
      <c r="B102" s="1" t="s">
        <v>562</v>
      </c>
      <c r="D102" s="137">
        <v>81565</v>
      </c>
      <c r="E102" s="159">
        <v>56181</v>
      </c>
      <c r="F102" s="159">
        <v>46357.1</v>
      </c>
      <c r="G102" s="159">
        <v>47806.689999999995</v>
      </c>
      <c r="H102" s="114">
        <f t="shared" si="1"/>
        <v>231909.79</v>
      </c>
      <c r="I102" s="114"/>
    </row>
    <row r="103" spans="1:10" ht="12.75" customHeight="1">
      <c r="A103" s="1" t="s">
        <v>244</v>
      </c>
      <c r="B103" s="1" t="s">
        <v>245</v>
      </c>
      <c r="D103" s="137">
        <v>30812</v>
      </c>
      <c r="E103" s="159">
        <v>11000</v>
      </c>
      <c r="F103" s="159">
        <v>7662.19</v>
      </c>
      <c r="G103" s="159">
        <v>6967.14</v>
      </c>
      <c r="H103" s="259">
        <f t="shared" si="1"/>
        <v>56441.33</v>
      </c>
      <c r="I103" s="114"/>
    </row>
    <row r="104" spans="1:10" ht="12.75" customHeight="1">
      <c r="A104" s="1" t="s">
        <v>246</v>
      </c>
      <c r="B104" s="1" t="s">
        <v>247</v>
      </c>
      <c r="D104" s="137">
        <v>11000</v>
      </c>
      <c r="E104" s="159">
        <v>13200</v>
      </c>
      <c r="F104" s="159">
        <v>9900</v>
      </c>
      <c r="G104" s="159">
        <v>100650</v>
      </c>
      <c r="H104" s="114">
        <f t="shared" si="1"/>
        <v>134750</v>
      </c>
      <c r="I104" s="114"/>
    </row>
    <row r="105" spans="1:10" ht="12.75" customHeight="1">
      <c r="A105" s="1" t="s">
        <v>248</v>
      </c>
      <c r="B105" s="1" t="s">
        <v>249</v>
      </c>
      <c r="D105" s="137">
        <v>94379</v>
      </c>
      <c r="E105" s="159">
        <v>8388</v>
      </c>
      <c r="F105" s="159">
        <v>8594.0400000000009</v>
      </c>
      <c r="G105" s="159">
        <v>8473.27</v>
      </c>
      <c r="H105" s="259">
        <f t="shared" si="1"/>
        <v>119834.31000000001</v>
      </c>
      <c r="I105" s="114"/>
    </row>
    <row r="106" spans="1:10" ht="12.75" customHeight="1">
      <c r="A106" s="1" t="s">
        <v>436</v>
      </c>
      <c r="B106" s="1" t="s">
        <v>653</v>
      </c>
      <c r="D106" s="137">
        <v>0</v>
      </c>
      <c r="E106" s="159">
        <v>0</v>
      </c>
      <c r="G106" s="159">
        <v>0</v>
      </c>
      <c r="H106" s="114">
        <f t="shared" si="1"/>
        <v>0</v>
      </c>
      <c r="I106" s="114"/>
    </row>
    <row r="107" spans="1:10" ht="12.75" customHeight="1">
      <c r="A107" s="1" t="s">
        <v>250</v>
      </c>
      <c r="B107" s="1" t="s">
        <v>251</v>
      </c>
      <c r="D107" s="137">
        <v>-971</v>
      </c>
      <c r="E107" s="159">
        <v>1946</v>
      </c>
      <c r="F107" s="159">
        <v>2438.6999999999998</v>
      </c>
      <c r="G107" s="159">
        <v>-1507.82</v>
      </c>
      <c r="H107" s="259">
        <f t="shared" si="1"/>
        <v>1905.8799999999999</v>
      </c>
      <c r="I107" s="114"/>
    </row>
    <row r="108" spans="1:10" ht="12.75" customHeight="1">
      <c r="H108" s="114">
        <f t="shared" si="1"/>
        <v>0</v>
      </c>
      <c r="I108" s="114"/>
    </row>
    <row r="109" spans="1:10" ht="12.75" customHeight="1">
      <c r="A109" s="1" t="s">
        <v>654</v>
      </c>
      <c r="B109" s="1" t="s">
        <v>655</v>
      </c>
      <c r="D109" s="137">
        <v>1205</v>
      </c>
      <c r="E109" s="159">
        <v>0</v>
      </c>
      <c r="H109" s="114">
        <f t="shared" si="1"/>
        <v>1205</v>
      </c>
      <c r="I109" s="114"/>
    </row>
    <row r="110" spans="1:10" ht="12.75" customHeight="1">
      <c r="A110" s="1" t="s">
        <v>656</v>
      </c>
      <c r="B110" s="1" t="s">
        <v>477</v>
      </c>
      <c r="D110" s="137">
        <v>3371</v>
      </c>
      <c r="E110" s="159">
        <v>0</v>
      </c>
      <c r="H110" s="114">
        <f t="shared" si="1"/>
        <v>3371</v>
      </c>
      <c r="I110" s="114"/>
    </row>
    <row r="111" spans="1:10" ht="12.75" customHeight="1">
      <c r="A111" s="1" t="s">
        <v>657</v>
      </c>
      <c r="B111" s="1" t="s">
        <v>658</v>
      </c>
      <c r="D111" s="137">
        <v>58</v>
      </c>
      <c r="E111" s="159">
        <v>0</v>
      </c>
      <c r="H111" s="114">
        <f t="shared" si="1"/>
        <v>58</v>
      </c>
      <c r="I111" s="114"/>
    </row>
    <row r="112" spans="1:10" ht="12.75" customHeight="1">
      <c r="A112" s="1" t="s">
        <v>260</v>
      </c>
      <c r="B112" s="1" t="s">
        <v>261</v>
      </c>
      <c r="D112" s="137">
        <v>1976244</v>
      </c>
      <c r="E112" s="159">
        <v>1936807</v>
      </c>
      <c r="F112" s="159">
        <v>1946836.3</v>
      </c>
      <c r="G112" s="159">
        <v>1915107.54</v>
      </c>
      <c r="H112" s="114">
        <f t="shared" si="1"/>
        <v>7774994.8399999999</v>
      </c>
      <c r="I112" s="114"/>
    </row>
    <row r="113" spans="1:9" ht="12.75" customHeight="1">
      <c r="A113" s="1" t="s">
        <v>266</v>
      </c>
      <c r="B113" s="1" t="s">
        <v>267</v>
      </c>
      <c r="D113" s="137">
        <v>-237844</v>
      </c>
      <c r="E113" s="159">
        <v>-199616</v>
      </c>
      <c r="F113" s="159">
        <v>132400</v>
      </c>
      <c r="G113" s="159">
        <v>-159757.35</v>
      </c>
      <c r="H113" s="114">
        <f t="shared" si="1"/>
        <v>-464817.35</v>
      </c>
      <c r="I113" s="114"/>
    </row>
    <row r="114" spans="1:9" ht="12.75" customHeight="1">
      <c r="A114" s="1" t="s">
        <v>659</v>
      </c>
      <c r="B114" s="1" t="s">
        <v>660</v>
      </c>
      <c r="D114" s="137">
        <v>0</v>
      </c>
      <c r="E114" s="159">
        <v>-52</v>
      </c>
      <c r="F114" s="159">
        <v>-332658.46999999997</v>
      </c>
      <c r="G114" s="159">
        <v>51.12</v>
      </c>
      <c r="H114" s="114">
        <f t="shared" si="1"/>
        <v>-332659.34999999998</v>
      </c>
      <c r="I114" s="114"/>
    </row>
    <row r="115" spans="1:9" ht="12.75" customHeight="1">
      <c r="A115" s="1" t="s">
        <v>661</v>
      </c>
      <c r="B115" s="1" t="s">
        <v>564</v>
      </c>
      <c r="D115" s="137">
        <v>-540931</v>
      </c>
      <c r="E115" s="159">
        <v>-524297</v>
      </c>
      <c r="F115" s="159">
        <v>-530364.23</v>
      </c>
      <c r="G115" s="159">
        <v>-519493.62</v>
      </c>
      <c r="H115" s="114">
        <f t="shared" si="1"/>
        <v>-2115085.85</v>
      </c>
      <c r="I115" s="114"/>
    </row>
    <row r="116" spans="1:9" ht="12.75" customHeight="1">
      <c r="H116" s="114">
        <f t="shared" si="1"/>
        <v>0</v>
      </c>
      <c r="I116" s="114"/>
    </row>
    <row r="117" spans="1:9" ht="12.75" customHeight="1">
      <c r="A117" s="1" t="s">
        <v>662</v>
      </c>
      <c r="B117" s="1" t="s">
        <v>394</v>
      </c>
      <c r="D117" s="275">
        <v>2244629</v>
      </c>
      <c r="E117" s="159">
        <v>0</v>
      </c>
      <c r="H117" s="114">
        <f t="shared" si="1"/>
        <v>2244629</v>
      </c>
      <c r="I117" s="114"/>
    </row>
    <row r="118" spans="1:9" ht="12.75" customHeight="1">
      <c r="A118" s="1" t="s">
        <v>272</v>
      </c>
      <c r="B118" s="1" t="s">
        <v>273</v>
      </c>
      <c r="D118" s="275">
        <v>-797885</v>
      </c>
      <c r="E118" s="159">
        <v>-160838</v>
      </c>
      <c r="F118" s="159">
        <v>-176734</v>
      </c>
      <c r="G118" s="159">
        <v>-155489</v>
      </c>
      <c r="H118" s="114">
        <f>SUM(C118:G118)</f>
        <v>-1290946</v>
      </c>
      <c r="I118" s="114"/>
    </row>
    <row r="119" spans="1:9" ht="12.75" customHeight="1">
      <c r="H119" s="114"/>
      <c r="I119" s="114"/>
    </row>
    <row r="120" spans="1:9" ht="12.75" customHeight="1">
      <c r="A120" s="1" t="s">
        <v>440</v>
      </c>
      <c r="D120" s="137">
        <f>SUM(D72:D118)</f>
        <v>-508250</v>
      </c>
      <c r="E120" s="159">
        <f>SUM(E72:E118)</f>
        <v>-1031515.0199999996</v>
      </c>
      <c r="F120" s="159">
        <f>SUM(F72:F118)</f>
        <v>-901385.60000000033</v>
      </c>
      <c r="G120" s="159">
        <v>-1229802.3400000003</v>
      </c>
      <c r="H120" s="114">
        <f>SUM(C120:G120)</f>
        <v>-3670952.9600000004</v>
      </c>
      <c r="I120" s="114"/>
    </row>
    <row r="122" spans="1:9" ht="12.75" customHeight="1">
      <c r="A122" s="1" t="s">
        <v>663</v>
      </c>
      <c r="D122" s="137">
        <f>SUM(D5:D118)</f>
        <v>1</v>
      </c>
      <c r="E122" s="159">
        <f>SUM(E5:E118)</f>
        <v>3276749.52</v>
      </c>
      <c r="F122" s="137">
        <f>SUM(F5:F118)</f>
        <v>1920725.6</v>
      </c>
      <c r="G122" s="137">
        <f>SUM(G5:G118)</f>
        <v>913593</v>
      </c>
      <c r="H122" s="137">
        <f>SUM(H5:H118)</f>
        <v>2.119999994058162</v>
      </c>
    </row>
    <row r="124" spans="1:9" ht="12.75" customHeight="1">
      <c r="A124" s="136" t="s">
        <v>579</v>
      </c>
      <c r="C124" s="246"/>
      <c r="D124" s="261">
        <f>36883.33*3</f>
        <v>110649.99</v>
      </c>
      <c r="E124" s="261">
        <f>36883.33*3</f>
        <v>110649.99</v>
      </c>
      <c r="F124" s="261">
        <f>36883.33*3</f>
        <v>110649.99</v>
      </c>
      <c r="G124" s="261">
        <f>36883.33*3</f>
        <v>110649.99</v>
      </c>
      <c r="H124" s="114"/>
    </row>
    <row r="125" spans="1:9" ht="12.75" customHeight="1">
      <c r="A125" s="136" t="s">
        <v>580</v>
      </c>
      <c r="C125" s="246"/>
      <c r="D125" s="246">
        <v>-348493.15</v>
      </c>
      <c r="E125" s="246">
        <v>-332016.32</v>
      </c>
      <c r="F125" s="246">
        <v>-332658.46999999997</v>
      </c>
      <c r="G125" s="274">
        <v>-292157.34000000003</v>
      </c>
      <c r="H125" s="114"/>
    </row>
    <row r="126" spans="1:9" ht="12.75" customHeight="1">
      <c r="A126" s="136"/>
      <c r="C126" s="246"/>
      <c r="D126" s="246"/>
      <c r="E126" s="246"/>
      <c r="F126" s="246"/>
      <c r="G126" s="246"/>
      <c r="H126" s="114"/>
    </row>
    <row r="127" spans="1:9" ht="12.75" customHeight="1">
      <c r="A127" s="136" t="s">
        <v>581</v>
      </c>
      <c r="C127" s="246"/>
      <c r="D127" s="246">
        <f>D112</f>
        <v>1976244</v>
      </c>
      <c r="E127" s="246">
        <f>E112</f>
        <v>1936807</v>
      </c>
      <c r="F127" s="246">
        <f>F112</f>
        <v>1946836.3</v>
      </c>
      <c r="G127" s="246">
        <f>G112</f>
        <v>1915107.54</v>
      </c>
      <c r="H127" s="246">
        <f>H112+H109+H111+H110</f>
        <v>7779628.8399999999</v>
      </c>
    </row>
    <row r="128" spans="1:9" ht="12.75" customHeight="1">
      <c r="A128" s="136" t="s">
        <v>582</v>
      </c>
      <c r="C128" s="246"/>
      <c r="D128" s="246">
        <f>D125</f>
        <v>-348493.15</v>
      </c>
      <c r="E128" s="276">
        <f>E125</f>
        <v>-332016.32</v>
      </c>
      <c r="F128" s="276">
        <f>F125</f>
        <v>-332658.46999999997</v>
      </c>
      <c r="G128" s="276">
        <f>G125</f>
        <v>-292157.34000000003</v>
      </c>
      <c r="H128" s="263">
        <f>SUM(D128:G128)</f>
        <v>-1305325.28</v>
      </c>
    </row>
    <row r="129" spans="1:8" ht="12.75" customHeight="1">
      <c r="A129" s="136" t="s">
        <v>583</v>
      </c>
      <c r="C129" s="246"/>
      <c r="D129" s="246">
        <f>D124</f>
        <v>110649.99</v>
      </c>
      <c r="E129" s="276">
        <f>E124</f>
        <v>110649.99</v>
      </c>
      <c r="F129" s="276">
        <f>F124</f>
        <v>110649.99</v>
      </c>
      <c r="G129" s="276">
        <f>G124</f>
        <v>110649.99</v>
      </c>
      <c r="H129" s="263">
        <f>SUM(D129:G129)</f>
        <v>442599.96</v>
      </c>
    </row>
    <row r="130" spans="1:8" ht="12.75" customHeight="1">
      <c r="A130" s="136" t="s">
        <v>584</v>
      </c>
      <c r="C130" s="246"/>
      <c r="D130" s="246">
        <f>D110+D115</f>
        <v>-537560</v>
      </c>
      <c r="E130" s="246">
        <f>E110+E115</f>
        <v>-524297</v>
      </c>
      <c r="F130" s="246">
        <f>F110+F115</f>
        <v>-530364.23</v>
      </c>
      <c r="G130" s="246">
        <f>G110+G115</f>
        <v>-519493.62</v>
      </c>
      <c r="H130" s="114">
        <f>SUM(D130:G130)</f>
        <v>-2111714.85</v>
      </c>
    </row>
    <row r="131" spans="1:8" ht="12.75" customHeight="1">
      <c r="D131" s="246">
        <f>SUM(D127:D130)</f>
        <v>1200840.8400000001</v>
      </c>
      <c r="E131" s="246">
        <f>SUM(E127:E130)</f>
        <v>1191143.67</v>
      </c>
      <c r="F131" s="246">
        <f>SUM(F127:F130)</f>
        <v>1194463.5900000001</v>
      </c>
      <c r="G131" s="246">
        <f>SUM(G127:G130)</f>
        <v>1214106.5699999998</v>
      </c>
      <c r="H131" s="114">
        <f>SUM(D131:G131)</f>
        <v>4800554.67</v>
      </c>
    </row>
    <row r="135" spans="1:8" ht="12.75" customHeight="1">
      <c r="G135" s="159">
        <f>SUM('Management Cijfers - Q2 2025'!W60:W65)</f>
        <v>-1235907.69</v>
      </c>
    </row>
    <row r="136" spans="1:8" ht="12.75" customHeight="1">
      <c r="G136" s="159">
        <f>SUM(G112:G115)</f>
        <v>1235907.69</v>
      </c>
    </row>
    <row r="137" spans="1:8" ht="12.75" customHeight="1">
      <c r="G137" s="278">
        <f>G136+G135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E77-689E-4866-9992-3160BCE25408}">
  <dimension ref="A1:J131"/>
  <sheetViews>
    <sheetView topLeftCell="A97" zoomScaleNormal="100" workbookViewId="0">
      <selection activeCell="D118" sqref="D118:G118"/>
    </sheetView>
  </sheetViews>
  <sheetFormatPr defaultRowHeight="12.75" customHeight="1"/>
  <cols>
    <col min="1" max="1" width="9.109375" style="1"/>
    <col min="2" max="2" width="70" style="1" bestFit="1" customWidth="1"/>
    <col min="3" max="3" width="26" style="137" bestFit="1" customWidth="1"/>
    <col min="4" max="4" width="17.5546875" style="159" bestFit="1" customWidth="1"/>
    <col min="5" max="7" width="17.5546875" style="159" customWidth="1"/>
    <col min="8" max="8" width="20.44140625" style="1" bestFit="1" customWidth="1"/>
    <col min="9" max="9" width="10.88671875" style="1" bestFit="1" customWidth="1"/>
    <col min="10" max="10" width="9.109375" style="1"/>
    <col min="11" max="11" width="10.88671875" style="1" bestFit="1" customWidth="1"/>
    <col min="12" max="257" width="9.109375" style="1"/>
    <col min="258" max="258" width="70" style="1" bestFit="1" customWidth="1"/>
    <col min="259" max="259" width="26" style="1" bestFit="1" customWidth="1"/>
    <col min="260" max="260" width="17.5546875" style="1" bestFit="1" customWidth="1"/>
    <col min="261" max="263" width="17.5546875" style="1" customWidth="1"/>
    <col min="264" max="264" width="20.44140625" style="1" bestFit="1" customWidth="1"/>
    <col min="265" max="265" width="10.88671875" style="1" bestFit="1" customWidth="1"/>
    <col min="266" max="266" width="9.109375" style="1"/>
    <col min="267" max="267" width="10.88671875" style="1" bestFit="1" customWidth="1"/>
    <col min="268" max="513" width="9.109375" style="1"/>
    <col min="514" max="514" width="70" style="1" bestFit="1" customWidth="1"/>
    <col min="515" max="515" width="26" style="1" bestFit="1" customWidth="1"/>
    <col min="516" max="516" width="17.5546875" style="1" bestFit="1" customWidth="1"/>
    <col min="517" max="519" width="17.5546875" style="1" customWidth="1"/>
    <col min="520" max="520" width="20.44140625" style="1" bestFit="1" customWidth="1"/>
    <col min="521" max="521" width="10.88671875" style="1" bestFit="1" customWidth="1"/>
    <col min="522" max="522" width="9.109375" style="1"/>
    <col min="523" max="523" width="10.88671875" style="1" bestFit="1" customWidth="1"/>
    <col min="524" max="769" width="9.109375" style="1"/>
    <col min="770" max="770" width="70" style="1" bestFit="1" customWidth="1"/>
    <col min="771" max="771" width="26" style="1" bestFit="1" customWidth="1"/>
    <col min="772" max="772" width="17.5546875" style="1" bestFit="1" customWidth="1"/>
    <col min="773" max="775" width="17.5546875" style="1" customWidth="1"/>
    <col min="776" max="776" width="20.44140625" style="1" bestFit="1" customWidth="1"/>
    <col min="777" max="777" width="10.88671875" style="1" bestFit="1" customWidth="1"/>
    <col min="778" max="778" width="9.109375" style="1"/>
    <col min="779" max="779" width="10.88671875" style="1" bestFit="1" customWidth="1"/>
    <col min="780" max="1025" width="9.109375" style="1"/>
    <col min="1026" max="1026" width="70" style="1" bestFit="1" customWidth="1"/>
    <col min="1027" max="1027" width="26" style="1" bestFit="1" customWidth="1"/>
    <col min="1028" max="1028" width="17.5546875" style="1" bestFit="1" customWidth="1"/>
    <col min="1029" max="1031" width="17.5546875" style="1" customWidth="1"/>
    <col min="1032" max="1032" width="20.44140625" style="1" bestFit="1" customWidth="1"/>
    <col min="1033" max="1033" width="10.88671875" style="1" bestFit="1" customWidth="1"/>
    <col min="1034" max="1034" width="9.109375" style="1"/>
    <col min="1035" max="1035" width="10.88671875" style="1" bestFit="1" customWidth="1"/>
    <col min="1036" max="1281" width="9.109375" style="1"/>
    <col min="1282" max="1282" width="70" style="1" bestFit="1" customWidth="1"/>
    <col min="1283" max="1283" width="26" style="1" bestFit="1" customWidth="1"/>
    <col min="1284" max="1284" width="17.5546875" style="1" bestFit="1" customWidth="1"/>
    <col min="1285" max="1287" width="17.5546875" style="1" customWidth="1"/>
    <col min="1288" max="1288" width="20.44140625" style="1" bestFit="1" customWidth="1"/>
    <col min="1289" max="1289" width="10.88671875" style="1" bestFit="1" customWidth="1"/>
    <col min="1290" max="1290" width="9.109375" style="1"/>
    <col min="1291" max="1291" width="10.88671875" style="1" bestFit="1" customWidth="1"/>
    <col min="1292" max="1537" width="9.109375" style="1"/>
    <col min="1538" max="1538" width="70" style="1" bestFit="1" customWidth="1"/>
    <col min="1539" max="1539" width="26" style="1" bestFit="1" customWidth="1"/>
    <col min="1540" max="1540" width="17.5546875" style="1" bestFit="1" customWidth="1"/>
    <col min="1541" max="1543" width="17.5546875" style="1" customWidth="1"/>
    <col min="1544" max="1544" width="20.44140625" style="1" bestFit="1" customWidth="1"/>
    <col min="1545" max="1545" width="10.88671875" style="1" bestFit="1" customWidth="1"/>
    <col min="1546" max="1546" width="9.109375" style="1"/>
    <col min="1547" max="1547" width="10.88671875" style="1" bestFit="1" customWidth="1"/>
    <col min="1548" max="1793" width="9.109375" style="1"/>
    <col min="1794" max="1794" width="70" style="1" bestFit="1" customWidth="1"/>
    <col min="1795" max="1795" width="26" style="1" bestFit="1" customWidth="1"/>
    <col min="1796" max="1796" width="17.5546875" style="1" bestFit="1" customWidth="1"/>
    <col min="1797" max="1799" width="17.5546875" style="1" customWidth="1"/>
    <col min="1800" max="1800" width="20.44140625" style="1" bestFit="1" customWidth="1"/>
    <col min="1801" max="1801" width="10.88671875" style="1" bestFit="1" customWidth="1"/>
    <col min="1802" max="1802" width="9.109375" style="1"/>
    <col min="1803" max="1803" width="10.88671875" style="1" bestFit="1" customWidth="1"/>
    <col min="1804" max="2049" width="9.109375" style="1"/>
    <col min="2050" max="2050" width="70" style="1" bestFit="1" customWidth="1"/>
    <col min="2051" max="2051" width="26" style="1" bestFit="1" customWidth="1"/>
    <col min="2052" max="2052" width="17.5546875" style="1" bestFit="1" customWidth="1"/>
    <col min="2053" max="2055" width="17.5546875" style="1" customWidth="1"/>
    <col min="2056" max="2056" width="20.44140625" style="1" bestFit="1" customWidth="1"/>
    <col min="2057" max="2057" width="10.88671875" style="1" bestFit="1" customWidth="1"/>
    <col min="2058" max="2058" width="9.109375" style="1"/>
    <col min="2059" max="2059" width="10.88671875" style="1" bestFit="1" customWidth="1"/>
    <col min="2060" max="2305" width="9.109375" style="1"/>
    <col min="2306" max="2306" width="70" style="1" bestFit="1" customWidth="1"/>
    <col min="2307" max="2307" width="26" style="1" bestFit="1" customWidth="1"/>
    <col min="2308" max="2308" width="17.5546875" style="1" bestFit="1" customWidth="1"/>
    <col min="2309" max="2311" width="17.5546875" style="1" customWidth="1"/>
    <col min="2312" max="2312" width="20.44140625" style="1" bestFit="1" customWidth="1"/>
    <col min="2313" max="2313" width="10.88671875" style="1" bestFit="1" customWidth="1"/>
    <col min="2314" max="2314" width="9.109375" style="1"/>
    <col min="2315" max="2315" width="10.88671875" style="1" bestFit="1" customWidth="1"/>
    <col min="2316" max="2561" width="9.109375" style="1"/>
    <col min="2562" max="2562" width="70" style="1" bestFit="1" customWidth="1"/>
    <col min="2563" max="2563" width="26" style="1" bestFit="1" customWidth="1"/>
    <col min="2564" max="2564" width="17.5546875" style="1" bestFit="1" customWidth="1"/>
    <col min="2565" max="2567" width="17.5546875" style="1" customWidth="1"/>
    <col min="2568" max="2568" width="20.44140625" style="1" bestFit="1" customWidth="1"/>
    <col min="2569" max="2569" width="10.88671875" style="1" bestFit="1" customWidth="1"/>
    <col min="2570" max="2570" width="9.109375" style="1"/>
    <col min="2571" max="2571" width="10.88671875" style="1" bestFit="1" customWidth="1"/>
    <col min="2572" max="2817" width="9.109375" style="1"/>
    <col min="2818" max="2818" width="70" style="1" bestFit="1" customWidth="1"/>
    <col min="2819" max="2819" width="26" style="1" bestFit="1" customWidth="1"/>
    <col min="2820" max="2820" width="17.5546875" style="1" bestFit="1" customWidth="1"/>
    <col min="2821" max="2823" width="17.5546875" style="1" customWidth="1"/>
    <col min="2824" max="2824" width="20.44140625" style="1" bestFit="1" customWidth="1"/>
    <col min="2825" max="2825" width="10.88671875" style="1" bestFit="1" customWidth="1"/>
    <col min="2826" max="2826" width="9.109375" style="1"/>
    <col min="2827" max="2827" width="10.88671875" style="1" bestFit="1" customWidth="1"/>
    <col min="2828" max="3073" width="9.109375" style="1"/>
    <col min="3074" max="3074" width="70" style="1" bestFit="1" customWidth="1"/>
    <col min="3075" max="3075" width="26" style="1" bestFit="1" customWidth="1"/>
    <col min="3076" max="3076" width="17.5546875" style="1" bestFit="1" customWidth="1"/>
    <col min="3077" max="3079" width="17.5546875" style="1" customWidth="1"/>
    <col min="3080" max="3080" width="20.44140625" style="1" bestFit="1" customWidth="1"/>
    <col min="3081" max="3081" width="10.88671875" style="1" bestFit="1" customWidth="1"/>
    <col min="3082" max="3082" width="9.109375" style="1"/>
    <col min="3083" max="3083" width="10.88671875" style="1" bestFit="1" customWidth="1"/>
    <col min="3084" max="3329" width="9.109375" style="1"/>
    <col min="3330" max="3330" width="70" style="1" bestFit="1" customWidth="1"/>
    <col min="3331" max="3331" width="26" style="1" bestFit="1" customWidth="1"/>
    <col min="3332" max="3332" width="17.5546875" style="1" bestFit="1" customWidth="1"/>
    <col min="3333" max="3335" width="17.5546875" style="1" customWidth="1"/>
    <col min="3336" max="3336" width="20.44140625" style="1" bestFit="1" customWidth="1"/>
    <col min="3337" max="3337" width="10.88671875" style="1" bestFit="1" customWidth="1"/>
    <col min="3338" max="3338" width="9.109375" style="1"/>
    <col min="3339" max="3339" width="10.88671875" style="1" bestFit="1" customWidth="1"/>
    <col min="3340" max="3585" width="9.109375" style="1"/>
    <col min="3586" max="3586" width="70" style="1" bestFit="1" customWidth="1"/>
    <col min="3587" max="3587" width="26" style="1" bestFit="1" customWidth="1"/>
    <col min="3588" max="3588" width="17.5546875" style="1" bestFit="1" customWidth="1"/>
    <col min="3589" max="3591" width="17.5546875" style="1" customWidth="1"/>
    <col min="3592" max="3592" width="20.44140625" style="1" bestFit="1" customWidth="1"/>
    <col min="3593" max="3593" width="10.88671875" style="1" bestFit="1" customWidth="1"/>
    <col min="3594" max="3594" width="9.109375" style="1"/>
    <col min="3595" max="3595" width="10.88671875" style="1" bestFit="1" customWidth="1"/>
    <col min="3596" max="3841" width="9.109375" style="1"/>
    <col min="3842" max="3842" width="70" style="1" bestFit="1" customWidth="1"/>
    <col min="3843" max="3843" width="26" style="1" bestFit="1" customWidth="1"/>
    <col min="3844" max="3844" width="17.5546875" style="1" bestFit="1" customWidth="1"/>
    <col min="3845" max="3847" width="17.5546875" style="1" customWidth="1"/>
    <col min="3848" max="3848" width="20.44140625" style="1" bestFit="1" customWidth="1"/>
    <col min="3849" max="3849" width="10.88671875" style="1" bestFit="1" customWidth="1"/>
    <col min="3850" max="3850" width="9.109375" style="1"/>
    <col min="3851" max="3851" width="10.88671875" style="1" bestFit="1" customWidth="1"/>
    <col min="3852" max="4097" width="9.109375" style="1"/>
    <col min="4098" max="4098" width="70" style="1" bestFit="1" customWidth="1"/>
    <col min="4099" max="4099" width="26" style="1" bestFit="1" customWidth="1"/>
    <col min="4100" max="4100" width="17.5546875" style="1" bestFit="1" customWidth="1"/>
    <col min="4101" max="4103" width="17.5546875" style="1" customWidth="1"/>
    <col min="4104" max="4104" width="20.44140625" style="1" bestFit="1" customWidth="1"/>
    <col min="4105" max="4105" width="10.88671875" style="1" bestFit="1" customWidth="1"/>
    <col min="4106" max="4106" width="9.109375" style="1"/>
    <col min="4107" max="4107" width="10.88671875" style="1" bestFit="1" customWidth="1"/>
    <col min="4108" max="4353" width="9.109375" style="1"/>
    <col min="4354" max="4354" width="70" style="1" bestFit="1" customWidth="1"/>
    <col min="4355" max="4355" width="26" style="1" bestFit="1" customWidth="1"/>
    <col min="4356" max="4356" width="17.5546875" style="1" bestFit="1" customWidth="1"/>
    <col min="4357" max="4359" width="17.5546875" style="1" customWidth="1"/>
    <col min="4360" max="4360" width="20.44140625" style="1" bestFit="1" customWidth="1"/>
    <col min="4361" max="4361" width="10.88671875" style="1" bestFit="1" customWidth="1"/>
    <col min="4362" max="4362" width="9.109375" style="1"/>
    <col min="4363" max="4363" width="10.88671875" style="1" bestFit="1" customWidth="1"/>
    <col min="4364" max="4609" width="9.109375" style="1"/>
    <col min="4610" max="4610" width="70" style="1" bestFit="1" customWidth="1"/>
    <col min="4611" max="4611" width="26" style="1" bestFit="1" customWidth="1"/>
    <col min="4612" max="4612" width="17.5546875" style="1" bestFit="1" customWidth="1"/>
    <col min="4613" max="4615" width="17.5546875" style="1" customWidth="1"/>
    <col min="4616" max="4616" width="20.44140625" style="1" bestFit="1" customWidth="1"/>
    <col min="4617" max="4617" width="10.88671875" style="1" bestFit="1" customWidth="1"/>
    <col min="4618" max="4618" width="9.109375" style="1"/>
    <col min="4619" max="4619" width="10.88671875" style="1" bestFit="1" customWidth="1"/>
    <col min="4620" max="4865" width="9.109375" style="1"/>
    <col min="4866" max="4866" width="70" style="1" bestFit="1" customWidth="1"/>
    <col min="4867" max="4867" width="26" style="1" bestFit="1" customWidth="1"/>
    <col min="4868" max="4868" width="17.5546875" style="1" bestFit="1" customWidth="1"/>
    <col min="4869" max="4871" width="17.5546875" style="1" customWidth="1"/>
    <col min="4872" max="4872" width="20.44140625" style="1" bestFit="1" customWidth="1"/>
    <col min="4873" max="4873" width="10.88671875" style="1" bestFit="1" customWidth="1"/>
    <col min="4874" max="4874" width="9.109375" style="1"/>
    <col min="4875" max="4875" width="10.88671875" style="1" bestFit="1" customWidth="1"/>
    <col min="4876" max="5121" width="9.109375" style="1"/>
    <col min="5122" max="5122" width="70" style="1" bestFit="1" customWidth="1"/>
    <col min="5123" max="5123" width="26" style="1" bestFit="1" customWidth="1"/>
    <col min="5124" max="5124" width="17.5546875" style="1" bestFit="1" customWidth="1"/>
    <col min="5125" max="5127" width="17.5546875" style="1" customWidth="1"/>
    <col min="5128" max="5128" width="20.44140625" style="1" bestFit="1" customWidth="1"/>
    <col min="5129" max="5129" width="10.88671875" style="1" bestFit="1" customWidth="1"/>
    <col min="5130" max="5130" width="9.109375" style="1"/>
    <col min="5131" max="5131" width="10.88671875" style="1" bestFit="1" customWidth="1"/>
    <col min="5132" max="5377" width="9.109375" style="1"/>
    <col min="5378" max="5378" width="70" style="1" bestFit="1" customWidth="1"/>
    <col min="5379" max="5379" width="26" style="1" bestFit="1" customWidth="1"/>
    <col min="5380" max="5380" width="17.5546875" style="1" bestFit="1" customWidth="1"/>
    <col min="5381" max="5383" width="17.5546875" style="1" customWidth="1"/>
    <col min="5384" max="5384" width="20.44140625" style="1" bestFit="1" customWidth="1"/>
    <col min="5385" max="5385" width="10.88671875" style="1" bestFit="1" customWidth="1"/>
    <col min="5386" max="5386" width="9.109375" style="1"/>
    <col min="5387" max="5387" width="10.88671875" style="1" bestFit="1" customWidth="1"/>
    <col min="5388" max="5633" width="9.109375" style="1"/>
    <col min="5634" max="5634" width="70" style="1" bestFit="1" customWidth="1"/>
    <col min="5635" max="5635" width="26" style="1" bestFit="1" customWidth="1"/>
    <col min="5636" max="5636" width="17.5546875" style="1" bestFit="1" customWidth="1"/>
    <col min="5637" max="5639" width="17.5546875" style="1" customWidth="1"/>
    <col min="5640" max="5640" width="20.44140625" style="1" bestFit="1" customWidth="1"/>
    <col min="5641" max="5641" width="10.88671875" style="1" bestFit="1" customWidth="1"/>
    <col min="5642" max="5642" width="9.109375" style="1"/>
    <col min="5643" max="5643" width="10.88671875" style="1" bestFit="1" customWidth="1"/>
    <col min="5644" max="5889" width="9.109375" style="1"/>
    <col min="5890" max="5890" width="70" style="1" bestFit="1" customWidth="1"/>
    <col min="5891" max="5891" width="26" style="1" bestFit="1" customWidth="1"/>
    <col min="5892" max="5892" width="17.5546875" style="1" bestFit="1" customWidth="1"/>
    <col min="5893" max="5895" width="17.5546875" style="1" customWidth="1"/>
    <col min="5896" max="5896" width="20.44140625" style="1" bestFit="1" customWidth="1"/>
    <col min="5897" max="5897" width="10.88671875" style="1" bestFit="1" customWidth="1"/>
    <col min="5898" max="5898" width="9.109375" style="1"/>
    <col min="5899" max="5899" width="10.88671875" style="1" bestFit="1" customWidth="1"/>
    <col min="5900" max="6145" width="9.109375" style="1"/>
    <col min="6146" max="6146" width="70" style="1" bestFit="1" customWidth="1"/>
    <col min="6147" max="6147" width="26" style="1" bestFit="1" customWidth="1"/>
    <col min="6148" max="6148" width="17.5546875" style="1" bestFit="1" customWidth="1"/>
    <col min="6149" max="6151" width="17.5546875" style="1" customWidth="1"/>
    <col min="6152" max="6152" width="20.44140625" style="1" bestFit="1" customWidth="1"/>
    <col min="6153" max="6153" width="10.88671875" style="1" bestFit="1" customWidth="1"/>
    <col min="6154" max="6154" width="9.109375" style="1"/>
    <col min="6155" max="6155" width="10.88671875" style="1" bestFit="1" customWidth="1"/>
    <col min="6156" max="6401" width="9.109375" style="1"/>
    <col min="6402" max="6402" width="70" style="1" bestFit="1" customWidth="1"/>
    <col min="6403" max="6403" width="26" style="1" bestFit="1" customWidth="1"/>
    <col min="6404" max="6404" width="17.5546875" style="1" bestFit="1" customWidth="1"/>
    <col min="6405" max="6407" width="17.5546875" style="1" customWidth="1"/>
    <col min="6408" max="6408" width="20.44140625" style="1" bestFit="1" customWidth="1"/>
    <col min="6409" max="6409" width="10.88671875" style="1" bestFit="1" customWidth="1"/>
    <col min="6410" max="6410" width="9.109375" style="1"/>
    <col min="6411" max="6411" width="10.88671875" style="1" bestFit="1" customWidth="1"/>
    <col min="6412" max="6657" width="9.109375" style="1"/>
    <col min="6658" max="6658" width="70" style="1" bestFit="1" customWidth="1"/>
    <col min="6659" max="6659" width="26" style="1" bestFit="1" customWidth="1"/>
    <col min="6660" max="6660" width="17.5546875" style="1" bestFit="1" customWidth="1"/>
    <col min="6661" max="6663" width="17.5546875" style="1" customWidth="1"/>
    <col min="6664" max="6664" width="20.44140625" style="1" bestFit="1" customWidth="1"/>
    <col min="6665" max="6665" width="10.88671875" style="1" bestFit="1" customWidth="1"/>
    <col min="6666" max="6666" width="9.109375" style="1"/>
    <col min="6667" max="6667" width="10.88671875" style="1" bestFit="1" customWidth="1"/>
    <col min="6668" max="6913" width="9.109375" style="1"/>
    <col min="6914" max="6914" width="70" style="1" bestFit="1" customWidth="1"/>
    <col min="6915" max="6915" width="26" style="1" bestFit="1" customWidth="1"/>
    <col min="6916" max="6916" width="17.5546875" style="1" bestFit="1" customWidth="1"/>
    <col min="6917" max="6919" width="17.5546875" style="1" customWidth="1"/>
    <col min="6920" max="6920" width="20.44140625" style="1" bestFit="1" customWidth="1"/>
    <col min="6921" max="6921" width="10.88671875" style="1" bestFit="1" customWidth="1"/>
    <col min="6922" max="6922" width="9.109375" style="1"/>
    <col min="6923" max="6923" width="10.88671875" style="1" bestFit="1" customWidth="1"/>
    <col min="6924" max="7169" width="9.109375" style="1"/>
    <col min="7170" max="7170" width="70" style="1" bestFit="1" customWidth="1"/>
    <col min="7171" max="7171" width="26" style="1" bestFit="1" customWidth="1"/>
    <col min="7172" max="7172" width="17.5546875" style="1" bestFit="1" customWidth="1"/>
    <col min="7173" max="7175" width="17.5546875" style="1" customWidth="1"/>
    <col min="7176" max="7176" width="20.44140625" style="1" bestFit="1" customWidth="1"/>
    <col min="7177" max="7177" width="10.88671875" style="1" bestFit="1" customWidth="1"/>
    <col min="7178" max="7178" width="9.109375" style="1"/>
    <col min="7179" max="7179" width="10.88671875" style="1" bestFit="1" customWidth="1"/>
    <col min="7180" max="7425" width="9.109375" style="1"/>
    <col min="7426" max="7426" width="70" style="1" bestFit="1" customWidth="1"/>
    <col min="7427" max="7427" width="26" style="1" bestFit="1" customWidth="1"/>
    <col min="7428" max="7428" width="17.5546875" style="1" bestFit="1" customWidth="1"/>
    <col min="7429" max="7431" width="17.5546875" style="1" customWidth="1"/>
    <col min="7432" max="7432" width="20.44140625" style="1" bestFit="1" customWidth="1"/>
    <col min="7433" max="7433" width="10.88671875" style="1" bestFit="1" customWidth="1"/>
    <col min="7434" max="7434" width="9.109375" style="1"/>
    <col min="7435" max="7435" width="10.88671875" style="1" bestFit="1" customWidth="1"/>
    <col min="7436" max="7681" width="9.109375" style="1"/>
    <col min="7682" max="7682" width="70" style="1" bestFit="1" customWidth="1"/>
    <col min="7683" max="7683" width="26" style="1" bestFit="1" customWidth="1"/>
    <col min="7684" max="7684" width="17.5546875" style="1" bestFit="1" customWidth="1"/>
    <col min="7685" max="7687" width="17.5546875" style="1" customWidth="1"/>
    <col min="7688" max="7688" width="20.44140625" style="1" bestFit="1" customWidth="1"/>
    <col min="7689" max="7689" width="10.88671875" style="1" bestFit="1" customWidth="1"/>
    <col min="7690" max="7690" width="9.109375" style="1"/>
    <col min="7691" max="7691" width="10.88671875" style="1" bestFit="1" customWidth="1"/>
    <col min="7692" max="7937" width="9.109375" style="1"/>
    <col min="7938" max="7938" width="70" style="1" bestFit="1" customWidth="1"/>
    <col min="7939" max="7939" width="26" style="1" bestFit="1" customWidth="1"/>
    <col min="7940" max="7940" width="17.5546875" style="1" bestFit="1" customWidth="1"/>
    <col min="7941" max="7943" width="17.5546875" style="1" customWidth="1"/>
    <col min="7944" max="7944" width="20.44140625" style="1" bestFit="1" customWidth="1"/>
    <col min="7945" max="7945" width="10.88671875" style="1" bestFit="1" customWidth="1"/>
    <col min="7946" max="7946" width="9.109375" style="1"/>
    <col min="7947" max="7947" width="10.88671875" style="1" bestFit="1" customWidth="1"/>
    <col min="7948" max="8193" width="9.109375" style="1"/>
    <col min="8194" max="8194" width="70" style="1" bestFit="1" customWidth="1"/>
    <col min="8195" max="8195" width="26" style="1" bestFit="1" customWidth="1"/>
    <col min="8196" max="8196" width="17.5546875" style="1" bestFit="1" customWidth="1"/>
    <col min="8197" max="8199" width="17.5546875" style="1" customWidth="1"/>
    <col min="8200" max="8200" width="20.44140625" style="1" bestFit="1" customWidth="1"/>
    <col min="8201" max="8201" width="10.88671875" style="1" bestFit="1" customWidth="1"/>
    <col min="8202" max="8202" width="9.109375" style="1"/>
    <col min="8203" max="8203" width="10.88671875" style="1" bestFit="1" customWidth="1"/>
    <col min="8204" max="8449" width="9.109375" style="1"/>
    <col min="8450" max="8450" width="70" style="1" bestFit="1" customWidth="1"/>
    <col min="8451" max="8451" width="26" style="1" bestFit="1" customWidth="1"/>
    <col min="8452" max="8452" width="17.5546875" style="1" bestFit="1" customWidth="1"/>
    <col min="8453" max="8455" width="17.5546875" style="1" customWidth="1"/>
    <col min="8456" max="8456" width="20.44140625" style="1" bestFit="1" customWidth="1"/>
    <col min="8457" max="8457" width="10.88671875" style="1" bestFit="1" customWidth="1"/>
    <col min="8458" max="8458" width="9.109375" style="1"/>
    <col min="8459" max="8459" width="10.88671875" style="1" bestFit="1" customWidth="1"/>
    <col min="8460" max="8705" width="9.109375" style="1"/>
    <col min="8706" max="8706" width="70" style="1" bestFit="1" customWidth="1"/>
    <col min="8707" max="8707" width="26" style="1" bestFit="1" customWidth="1"/>
    <col min="8708" max="8708" width="17.5546875" style="1" bestFit="1" customWidth="1"/>
    <col min="8709" max="8711" width="17.5546875" style="1" customWidth="1"/>
    <col min="8712" max="8712" width="20.44140625" style="1" bestFit="1" customWidth="1"/>
    <col min="8713" max="8713" width="10.88671875" style="1" bestFit="1" customWidth="1"/>
    <col min="8714" max="8714" width="9.109375" style="1"/>
    <col min="8715" max="8715" width="10.88671875" style="1" bestFit="1" customWidth="1"/>
    <col min="8716" max="8961" width="9.109375" style="1"/>
    <col min="8962" max="8962" width="70" style="1" bestFit="1" customWidth="1"/>
    <col min="8963" max="8963" width="26" style="1" bestFit="1" customWidth="1"/>
    <col min="8964" max="8964" width="17.5546875" style="1" bestFit="1" customWidth="1"/>
    <col min="8965" max="8967" width="17.5546875" style="1" customWidth="1"/>
    <col min="8968" max="8968" width="20.44140625" style="1" bestFit="1" customWidth="1"/>
    <col min="8969" max="8969" width="10.88671875" style="1" bestFit="1" customWidth="1"/>
    <col min="8970" max="8970" width="9.109375" style="1"/>
    <col min="8971" max="8971" width="10.88671875" style="1" bestFit="1" customWidth="1"/>
    <col min="8972" max="9217" width="9.109375" style="1"/>
    <col min="9218" max="9218" width="70" style="1" bestFit="1" customWidth="1"/>
    <col min="9219" max="9219" width="26" style="1" bestFit="1" customWidth="1"/>
    <col min="9220" max="9220" width="17.5546875" style="1" bestFit="1" customWidth="1"/>
    <col min="9221" max="9223" width="17.5546875" style="1" customWidth="1"/>
    <col min="9224" max="9224" width="20.44140625" style="1" bestFit="1" customWidth="1"/>
    <col min="9225" max="9225" width="10.88671875" style="1" bestFit="1" customWidth="1"/>
    <col min="9226" max="9226" width="9.109375" style="1"/>
    <col min="9227" max="9227" width="10.88671875" style="1" bestFit="1" customWidth="1"/>
    <col min="9228" max="9473" width="9.109375" style="1"/>
    <col min="9474" max="9474" width="70" style="1" bestFit="1" customWidth="1"/>
    <col min="9475" max="9475" width="26" style="1" bestFit="1" customWidth="1"/>
    <col min="9476" max="9476" width="17.5546875" style="1" bestFit="1" customWidth="1"/>
    <col min="9477" max="9479" width="17.5546875" style="1" customWidth="1"/>
    <col min="9480" max="9480" width="20.44140625" style="1" bestFit="1" customWidth="1"/>
    <col min="9481" max="9481" width="10.88671875" style="1" bestFit="1" customWidth="1"/>
    <col min="9482" max="9482" width="9.109375" style="1"/>
    <col min="9483" max="9483" width="10.88671875" style="1" bestFit="1" customWidth="1"/>
    <col min="9484" max="9729" width="9.109375" style="1"/>
    <col min="9730" max="9730" width="70" style="1" bestFit="1" customWidth="1"/>
    <col min="9731" max="9731" width="26" style="1" bestFit="1" customWidth="1"/>
    <col min="9732" max="9732" width="17.5546875" style="1" bestFit="1" customWidth="1"/>
    <col min="9733" max="9735" width="17.5546875" style="1" customWidth="1"/>
    <col min="9736" max="9736" width="20.44140625" style="1" bestFit="1" customWidth="1"/>
    <col min="9737" max="9737" width="10.88671875" style="1" bestFit="1" customWidth="1"/>
    <col min="9738" max="9738" width="9.109375" style="1"/>
    <col min="9739" max="9739" width="10.88671875" style="1" bestFit="1" customWidth="1"/>
    <col min="9740" max="9985" width="9.109375" style="1"/>
    <col min="9986" max="9986" width="70" style="1" bestFit="1" customWidth="1"/>
    <col min="9987" max="9987" width="26" style="1" bestFit="1" customWidth="1"/>
    <col min="9988" max="9988" width="17.5546875" style="1" bestFit="1" customWidth="1"/>
    <col min="9989" max="9991" width="17.5546875" style="1" customWidth="1"/>
    <col min="9992" max="9992" width="20.44140625" style="1" bestFit="1" customWidth="1"/>
    <col min="9993" max="9993" width="10.88671875" style="1" bestFit="1" customWidth="1"/>
    <col min="9994" max="9994" width="9.109375" style="1"/>
    <col min="9995" max="9995" width="10.88671875" style="1" bestFit="1" customWidth="1"/>
    <col min="9996" max="10241" width="9.109375" style="1"/>
    <col min="10242" max="10242" width="70" style="1" bestFit="1" customWidth="1"/>
    <col min="10243" max="10243" width="26" style="1" bestFit="1" customWidth="1"/>
    <col min="10244" max="10244" width="17.5546875" style="1" bestFit="1" customWidth="1"/>
    <col min="10245" max="10247" width="17.5546875" style="1" customWidth="1"/>
    <col min="10248" max="10248" width="20.44140625" style="1" bestFit="1" customWidth="1"/>
    <col min="10249" max="10249" width="10.88671875" style="1" bestFit="1" customWidth="1"/>
    <col min="10250" max="10250" width="9.109375" style="1"/>
    <col min="10251" max="10251" width="10.88671875" style="1" bestFit="1" customWidth="1"/>
    <col min="10252" max="10497" width="9.109375" style="1"/>
    <col min="10498" max="10498" width="70" style="1" bestFit="1" customWidth="1"/>
    <col min="10499" max="10499" width="26" style="1" bestFit="1" customWidth="1"/>
    <col min="10500" max="10500" width="17.5546875" style="1" bestFit="1" customWidth="1"/>
    <col min="10501" max="10503" width="17.5546875" style="1" customWidth="1"/>
    <col min="10504" max="10504" width="20.44140625" style="1" bestFit="1" customWidth="1"/>
    <col min="10505" max="10505" width="10.88671875" style="1" bestFit="1" customWidth="1"/>
    <col min="10506" max="10506" width="9.109375" style="1"/>
    <col min="10507" max="10507" width="10.88671875" style="1" bestFit="1" customWidth="1"/>
    <col min="10508" max="10753" width="9.109375" style="1"/>
    <col min="10754" max="10754" width="70" style="1" bestFit="1" customWidth="1"/>
    <col min="10755" max="10755" width="26" style="1" bestFit="1" customWidth="1"/>
    <col min="10756" max="10756" width="17.5546875" style="1" bestFit="1" customWidth="1"/>
    <col min="10757" max="10759" width="17.5546875" style="1" customWidth="1"/>
    <col min="10760" max="10760" width="20.44140625" style="1" bestFit="1" customWidth="1"/>
    <col min="10761" max="10761" width="10.88671875" style="1" bestFit="1" customWidth="1"/>
    <col min="10762" max="10762" width="9.109375" style="1"/>
    <col min="10763" max="10763" width="10.88671875" style="1" bestFit="1" customWidth="1"/>
    <col min="10764" max="11009" width="9.109375" style="1"/>
    <col min="11010" max="11010" width="70" style="1" bestFit="1" customWidth="1"/>
    <col min="11011" max="11011" width="26" style="1" bestFit="1" customWidth="1"/>
    <col min="11012" max="11012" width="17.5546875" style="1" bestFit="1" customWidth="1"/>
    <col min="11013" max="11015" width="17.5546875" style="1" customWidth="1"/>
    <col min="11016" max="11016" width="20.44140625" style="1" bestFit="1" customWidth="1"/>
    <col min="11017" max="11017" width="10.88671875" style="1" bestFit="1" customWidth="1"/>
    <col min="11018" max="11018" width="9.109375" style="1"/>
    <col min="11019" max="11019" width="10.88671875" style="1" bestFit="1" customWidth="1"/>
    <col min="11020" max="11265" width="9.109375" style="1"/>
    <col min="11266" max="11266" width="70" style="1" bestFit="1" customWidth="1"/>
    <col min="11267" max="11267" width="26" style="1" bestFit="1" customWidth="1"/>
    <col min="11268" max="11268" width="17.5546875" style="1" bestFit="1" customWidth="1"/>
    <col min="11269" max="11271" width="17.5546875" style="1" customWidth="1"/>
    <col min="11272" max="11272" width="20.44140625" style="1" bestFit="1" customWidth="1"/>
    <col min="11273" max="11273" width="10.88671875" style="1" bestFit="1" customWidth="1"/>
    <col min="11274" max="11274" width="9.109375" style="1"/>
    <col min="11275" max="11275" width="10.88671875" style="1" bestFit="1" customWidth="1"/>
    <col min="11276" max="11521" width="9.109375" style="1"/>
    <col min="11522" max="11522" width="70" style="1" bestFit="1" customWidth="1"/>
    <col min="11523" max="11523" width="26" style="1" bestFit="1" customWidth="1"/>
    <col min="11524" max="11524" width="17.5546875" style="1" bestFit="1" customWidth="1"/>
    <col min="11525" max="11527" width="17.5546875" style="1" customWidth="1"/>
    <col min="11528" max="11528" width="20.44140625" style="1" bestFit="1" customWidth="1"/>
    <col min="11529" max="11529" width="10.88671875" style="1" bestFit="1" customWidth="1"/>
    <col min="11530" max="11530" width="9.109375" style="1"/>
    <col min="11531" max="11531" width="10.88671875" style="1" bestFit="1" customWidth="1"/>
    <col min="11532" max="11777" width="9.109375" style="1"/>
    <col min="11778" max="11778" width="70" style="1" bestFit="1" customWidth="1"/>
    <col min="11779" max="11779" width="26" style="1" bestFit="1" customWidth="1"/>
    <col min="11780" max="11780" width="17.5546875" style="1" bestFit="1" customWidth="1"/>
    <col min="11781" max="11783" width="17.5546875" style="1" customWidth="1"/>
    <col min="11784" max="11784" width="20.44140625" style="1" bestFit="1" customWidth="1"/>
    <col min="11785" max="11785" width="10.88671875" style="1" bestFit="1" customWidth="1"/>
    <col min="11786" max="11786" width="9.109375" style="1"/>
    <col min="11787" max="11787" width="10.88671875" style="1" bestFit="1" customWidth="1"/>
    <col min="11788" max="12033" width="9.109375" style="1"/>
    <col min="12034" max="12034" width="70" style="1" bestFit="1" customWidth="1"/>
    <col min="12035" max="12035" width="26" style="1" bestFit="1" customWidth="1"/>
    <col min="12036" max="12036" width="17.5546875" style="1" bestFit="1" customWidth="1"/>
    <col min="12037" max="12039" width="17.5546875" style="1" customWidth="1"/>
    <col min="12040" max="12040" width="20.44140625" style="1" bestFit="1" customWidth="1"/>
    <col min="12041" max="12041" width="10.88671875" style="1" bestFit="1" customWidth="1"/>
    <col min="12042" max="12042" width="9.109375" style="1"/>
    <col min="12043" max="12043" width="10.88671875" style="1" bestFit="1" customWidth="1"/>
    <col min="12044" max="12289" width="9.109375" style="1"/>
    <col min="12290" max="12290" width="70" style="1" bestFit="1" customWidth="1"/>
    <col min="12291" max="12291" width="26" style="1" bestFit="1" customWidth="1"/>
    <col min="12292" max="12292" width="17.5546875" style="1" bestFit="1" customWidth="1"/>
    <col min="12293" max="12295" width="17.5546875" style="1" customWidth="1"/>
    <col min="12296" max="12296" width="20.44140625" style="1" bestFit="1" customWidth="1"/>
    <col min="12297" max="12297" width="10.88671875" style="1" bestFit="1" customWidth="1"/>
    <col min="12298" max="12298" width="9.109375" style="1"/>
    <col min="12299" max="12299" width="10.88671875" style="1" bestFit="1" customWidth="1"/>
    <col min="12300" max="12545" width="9.109375" style="1"/>
    <col min="12546" max="12546" width="70" style="1" bestFit="1" customWidth="1"/>
    <col min="12547" max="12547" width="26" style="1" bestFit="1" customWidth="1"/>
    <col min="12548" max="12548" width="17.5546875" style="1" bestFit="1" customWidth="1"/>
    <col min="12549" max="12551" width="17.5546875" style="1" customWidth="1"/>
    <col min="12552" max="12552" width="20.44140625" style="1" bestFit="1" customWidth="1"/>
    <col min="12553" max="12553" width="10.88671875" style="1" bestFit="1" customWidth="1"/>
    <col min="12554" max="12554" width="9.109375" style="1"/>
    <col min="12555" max="12555" width="10.88671875" style="1" bestFit="1" customWidth="1"/>
    <col min="12556" max="12801" width="9.109375" style="1"/>
    <col min="12802" max="12802" width="70" style="1" bestFit="1" customWidth="1"/>
    <col min="12803" max="12803" width="26" style="1" bestFit="1" customWidth="1"/>
    <col min="12804" max="12804" width="17.5546875" style="1" bestFit="1" customWidth="1"/>
    <col min="12805" max="12807" width="17.5546875" style="1" customWidth="1"/>
    <col min="12808" max="12808" width="20.44140625" style="1" bestFit="1" customWidth="1"/>
    <col min="12809" max="12809" width="10.88671875" style="1" bestFit="1" customWidth="1"/>
    <col min="12810" max="12810" width="9.109375" style="1"/>
    <col min="12811" max="12811" width="10.88671875" style="1" bestFit="1" customWidth="1"/>
    <col min="12812" max="13057" width="9.109375" style="1"/>
    <col min="13058" max="13058" width="70" style="1" bestFit="1" customWidth="1"/>
    <col min="13059" max="13059" width="26" style="1" bestFit="1" customWidth="1"/>
    <col min="13060" max="13060" width="17.5546875" style="1" bestFit="1" customWidth="1"/>
    <col min="13061" max="13063" width="17.5546875" style="1" customWidth="1"/>
    <col min="13064" max="13064" width="20.44140625" style="1" bestFit="1" customWidth="1"/>
    <col min="13065" max="13065" width="10.88671875" style="1" bestFit="1" customWidth="1"/>
    <col min="13066" max="13066" width="9.109375" style="1"/>
    <col min="13067" max="13067" width="10.88671875" style="1" bestFit="1" customWidth="1"/>
    <col min="13068" max="13313" width="9.109375" style="1"/>
    <col min="13314" max="13314" width="70" style="1" bestFit="1" customWidth="1"/>
    <col min="13315" max="13315" width="26" style="1" bestFit="1" customWidth="1"/>
    <col min="13316" max="13316" width="17.5546875" style="1" bestFit="1" customWidth="1"/>
    <col min="13317" max="13319" width="17.5546875" style="1" customWidth="1"/>
    <col min="13320" max="13320" width="20.44140625" style="1" bestFit="1" customWidth="1"/>
    <col min="13321" max="13321" width="10.88671875" style="1" bestFit="1" customWidth="1"/>
    <col min="13322" max="13322" width="9.109375" style="1"/>
    <col min="13323" max="13323" width="10.88671875" style="1" bestFit="1" customWidth="1"/>
    <col min="13324" max="13569" width="9.109375" style="1"/>
    <col min="13570" max="13570" width="70" style="1" bestFit="1" customWidth="1"/>
    <col min="13571" max="13571" width="26" style="1" bestFit="1" customWidth="1"/>
    <col min="13572" max="13572" width="17.5546875" style="1" bestFit="1" customWidth="1"/>
    <col min="13573" max="13575" width="17.5546875" style="1" customWidth="1"/>
    <col min="13576" max="13576" width="20.44140625" style="1" bestFit="1" customWidth="1"/>
    <col min="13577" max="13577" width="10.88671875" style="1" bestFit="1" customWidth="1"/>
    <col min="13578" max="13578" width="9.109375" style="1"/>
    <col min="13579" max="13579" width="10.88671875" style="1" bestFit="1" customWidth="1"/>
    <col min="13580" max="13825" width="9.109375" style="1"/>
    <col min="13826" max="13826" width="70" style="1" bestFit="1" customWidth="1"/>
    <col min="13827" max="13827" width="26" style="1" bestFit="1" customWidth="1"/>
    <col min="13828" max="13828" width="17.5546875" style="1" bestFit="1" customWidth="1"/>
    <col min="13829" max="13831" width="17.5546875" style="1" customWidth="1"/>
    <col min="13832" max="13832" width="20.44140625" style="1" bestFit="1" customWidth="1"/>
    <col min="13833" max="13833" width="10.88671875" style="1" bestFit="1" customWidth="1"/>
    <col min="13834" max="13834" width="9.109375" style="1"/>
    <col min="13835" max="13835" width="10.88671875" style="1" bestFit="1" customWidth="1"/>
    <col min="13836" max="14081" width="9.109375" style="1"/>
    <col min="14082" max="14082" width="70" style="1" bestFit="1" customWidth="1"/>
    <col min="14083" max="14083" width="26" style="1" bestFit="1" customWidth="1"/>
    <col min="14084" max="14084" width="17.5546875" style="1" bestFit="1" customWidth="1"/>
    <col min="14085" max="14087" width="17.5546875" style="1" customWidth="1"/>
    <col min="14088" max="14088" width="20.44140625" style="1" bestFit="1" customWidth="1"/>
    <col min="14089" max="14089" width="10.88671875" style="1" bestFit="1" customWidth="1"/>
    <col min="14090" max="14090" width="9.109375" style="1"/>
    <col min="14091" max="14091" width="10.88671875" style="1" bestFit="1" customWidth="1"/>
    <col min="14092" max="14337" width="9.109375" style="1"/>
    <col min="14338" max="14338" width="70" style="1" bestFit="1" customWidth="1"/>
    <col min="14339" max="14339" width="26" style="1" bestFit="1" customWidth="1"/>
    <col min="14340" max="14340" width="17.5546875" style="1" bestFit="1" customWidth="1"/>
    <col min="14341" max="14343" width="17.5546875" style="1" customWidth="1"/>
    <col min="14344" max="14344" width="20.44140625" style="1" bestFit="1" customWidth="1"/>
    <col min="14345" max="14345" width="10.88671875" style="1" bestFit="1" customWidth="1"/>
    <col min="14346" max="14346" width="9.109375" style="1"/>
    <col min="14347" max="14347" width="10.88671875" style="1" bestFit="1" customWidth="1"/>
    <col min="14348" max="14593" width="9.109375" style="1"/>
    <col min="14594" max="14594" width="70" style="1" bestFit="1" customWidth="1"/>
    <col min="14595" max="14595" width="26" style="1" bestFit="1" customWidth="1"/>
    <col min="14596" max="14596" width="17.5546875" style="1" bestFit="1" customWidth="1"/>
    <col min="14597" max="14599" width="17.5546875" style="1" customWidth="1"/>
    <col min="14600" max="14600" width="20.44140625" style="1" bestFit="1" customWidth="1"/>
    <col min="14601" max="14601" width="10.88671875" style="1" bestFit="1" customWidth="1"/>
    <col min="14602" max="14602" width="9.109375" style="1"/>
    <col min="14603" max="14603" width="10.88671875" style="1" bestFit="1" customWidth="1"/>
    <col min="14604" max="14849" width="9.109375" style="1"/>
    <col min="14850" max="14850" width="70" style="1" bestFit="1" customWidth="1"/>
    <col min="14851" max="14851" width="26" style="1" bestFit="1" customWidth="1"/>
    <col min="14852" max="14852" width="17.5546875" style="1" bestFit="1" customWidth="1"/>
    <col min="14853" max="14855" width="17.5546875" style="1" customWidth="1"/>
    <col min="14856" max="14856" width="20.44140625" style="1" bestFit="1" customWidth="1"/>
    <col min="14857" max="14857" width="10.88671875" style="1" bestFit="1" customWidth="1"/>
    <col min="14858" max="14858" width="9.109375" style="1"/>
    <col min="14859" max="14859" width="10.88671875" style="1" bestFit="1" customWidth="1"/>
    <col min="14860" max="15105" width="9.109375" style="1"/>
    <col min="15106" max="15106" width="70" style="1" bestFit="1" customWidth="1"/>
    <col min="15107" max="15107" width="26" style="1" bestFit="1" customWidth="1"/>
    <col min="15108" max="15108" width="17.5546875" style="1" bestFit="1" customWidth="1"/>
    <col min="15109" max="15111" width="17.5546875" style="1" customWidth="1"/>
    <col min="15112" max="15112" width="20.44140625" style="1" bestFit="1" customWidth="1"/>
    <col min="15113" max="15113" width="10.88671875" style="1" bestFit="1" customWidth="1"/>
    <col min="15114" max="15114" width="9.109375" style="1"/>
    <col min="15115" max="15115" width="10.88671875" style="1" bestFit="1" customWidth="1"/>
    <col min="15116" max="15361" width="9.109375" style="1"/>
    <col min="15362" max="15362" width="70" style="1" bestFit="1" customWidth="1"/>
    <col min="15363" max="15363" width="26" style="1" bestFit="1" customWidth="1"/>
    <col min="15364" max="15364" width="17.5546875" style="1" bestFit="1" customWidth="1"/>
    <col min="15365" max="15367" width="17.5546875" style="1" customWidth="1"/>
    <col min="15368" max="15368" width="20.44140625" style="1" bestFit="1" customWidth="1"/>
    <col min="15369" max="15369" width="10.88671875" style="1" bestFit="1" customWidth="1"/>
    <col min="15370" max="15370" width="9.109375" style="1"/>
    <col min="15371" max="15371" width="10.88671875" style="1" bestFit="1" customWidth="1"/>
    <col min="15372" max="15617" width="9.109375" style="1"/>
    <col min="15618" max="15618" width="70" style="1" bestFit="1" customWidth="1"/>
    <col min="15619" max="15619" width="26" style="1" bestFit="1" customWidth="1"/>
    <col min="15620" max="15620" width="17.5546875" style="1" bestFit="1" customWidth="1"/>
    <col min="15621" max="15623" width="17.5546875" style="1" customWidth="1"/>
    <col min="15624" max="15624" width="20.44140625" style="1" bestFit="1" customWidth="1"/>
    <col min="15625" max="15625" width="10.88671875" style="1" bestFit="1" customWidth="1"/>
    <col min="15626" max="15626" width="9.109375" style="1"/>
    <col min="15627" max="15627" width="10.88671875" style="1" bestFit="1" customWidth="1"/>
    <col min="15628" max="15873" width="9.109375" style="1"/>
    <col min="15874" max="15874" width="70" style="1" bestFit="1" customWidth="1"/>
    <col min="15875" max="15875" width="26" style="1" bestFit="1" customWidth="1"/>
    <col min="15876" max="15876" width="17.5546875" style="1" bestFit="1" customWidth="1"/>
    <col min="15877" max="15879" width="17.5546875" style="1" customWidth="1"/>
    <col min="15880" max="15880" width="20.44140625" style="1" bestFit="1" customWidth="1"/>
    <col min="15881" max="15881" width="10.88671875" style="1" bestFit="1" customWidth="1"/>
    <col min="15882" max="15882" width="9.109375" style="1"/>
    <col min="15883" max="15883" width="10.88671875" style="1" bestFit="1" customWidth="1"/>
    <col min="15884" max="16129" width="9.109375" style="1"/>
    <col min="16130" max="16130" width="70" style="1" bestFit="1" customWidth="1"/>
    <col min="16131" max="16131" width="26" style="1" bestFit="1" customWidth="1"/>
    <col min="16132" max="16132" width="17.5546875" style="1" bestFit="1" customWidth="1"/>
    <col min="16133" max="16135" width="17.5546875" style="1" customWidth="1"/>
    <col min="16136" max="16136" width="20.44140625" style="1" bestFit="1" customWidth="1"/>
    <col min="16137" max="16137" width="10.8867187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66" t="s">
        <v>680</v>
      </c>
      <c r="D1" s="266" t="s">
        <v>610</v>
      </c>
      <c r="E1" s="266" t="s">
        <v>667</v>
      </c>
      <c r="F1" s="266" t="s">
        <v>674</v>
      </c>
      <c r="G1" s="266" t="s">
        <v>681</v>
      </c>
      <c r="H1" s="266" t="s">
        <v>675</v>
      </c>
    </row>
    <row r="3" spans="1:9" ht="12.75" customHeight="1">
      <c r="A3" s="138" t="s">
        <v>16</v>
      </c>
    </row>
    <row r="4" spans="1:9" ht="12.75" customHeight="1">
      <c r="A4" s="138"/>
    </row>
    <row r="5" spans="1:9" ht="12.75" customHeight="1">
      <c r="A5" s="138" t="s">
        <v>612</v>
      </c>
    </row>
    <row r="6" spans="1:9" ht="12.75" customHeight="1">
      <c r="A6" s="1" t="s">
        <v>21</v>
      </c>
      <c r="B6" s="1" t="s">
        <v>613</v>
      </c>
      <c r="C6" s="137">
        <v>126864246</v>
      </c>
      <c r="D6" s="272">
        <v>-1361869</v>
      </c>
      <c r="E6" s="272">
        <v>281229</v>
      </c>
      <c r="F6" s="272">
        <v>321640</v>
      </c>
      <c r="G6" s="159">
        <v>1176912.7</v>
      </c>
      <c r="H6" s="161">
        <f>SUM(C6:G6)</f>
        <v>127282158.7</v>
      </c>
      <c r="I6" s="279" t="s">
        <v>682</v>
      </c>
    </row>
    <row r="7" spans="1:9" ht="12.75" customHeight="1">
      <c r="A7" s="1" t="s">
        <v>23</v>
      </c>
      <c r="B7" s="1" t="s">
        <v>614</v>
      </c>
      <c r="C7" s="137">
        <v>-20360443</v>
      </c>
      <c r="D7" s="159">
        <v>-456675</v>
      </c>
      <c r="E7" s="159">
        <v>-752120</v>
      </c>
      <c r="F7" s="159">
        <f>VLOOKUP(A7,[1]Kolommenbalans!B$1:D$65536,3,FALSE)</f>
        <v>-762225</v>
      </c>
      <c r="G7" s="159">
        <v>-793542</v>
      </c>
      <c r="H7" s="161">
        <f>SUM(C7:G7)</f>
        <v>-23125005</v>
      </c>
    </row>
    <row r="8" spans="1:9" ht="12.75" customHeight="1">
      <c r="A8" s="147" t="s">
        <v>615</v>
      </c>
      <c r="B8" s="147" t="s">
        <v>616</v>
      </c>
      <c r="C8" s="137">
        <v>0</v>
      </c>
      <c r="D8" s="159">
        <v>-722644</v>
      </c>
      <c r="E8" s="159">
        <v>-621877</v>
      </c>
      <c r="F8" s="159">
        <f>VLOOKUP(A8,[1]Kolommenbalans!B$1:D$65536,3,FALSE)</f>
        <v>-556326</v>
      </c>
      <c r="G8" s="159">
        <v>0</v>
      </c>
      <c r="H8" s="161">
        <f>SUM(C8:G8)</f>
        <v>-1900847</v>
      </c>
    </row>
    <row r="9" spans="1:9" ht="12.75" customHeight="1">
      <c r="A9" s="1" t="s">
        <v>427</v>
      </c>
      <c r="B9" s="1" t="s">
        <v>428</v>
      </c>
      <c r="C9" s="137">
        <v>296927</v>
      </c>
      <c r="D9" s="159">
        <v>-177274</v>
      </c>
      <c r="E9" s="159">
        <v>107020</v>
      </c>
      <c r="F9" s="159">
        <f>VLOOKUP(A9,[1]Kolommenbalans!B$1:D$65536,3,FALSE)</f>
        <v>98174</v>
      </c>
      <c r="G9" s="159">
        <v>0</v>
      </c>
      <c r="H9" s="161">
        <f>SUM(C9:G9)</f>
        <v>324847</v>
      </c>
    </row>
    <row r="10" spans="1:9" ht="12.75" customHeight="1">
      <c r="A10" s="1" t="s">
        <v>25</v>
      </c>
      <c r="B10" s="1" t="s">
        <v>26</v>
      </c>
      <c r="C10" s="137">
        <v>-1890565</v>
      </c>
      <c r="D10" s="159">
        <v>1890565</v>
      </c>
      <c r="G10" s="159">
        <v>0</v>
      </c>
      <c r="H10" s="161"/>
    </row>
    <row r="11" spans="1:9" ht="12.75" customHeight="1">
      <c r="C11" s="137">
        <v>0</v>
      </c>
      <c r="H11" s="114"/>
    </row>
    <row r="12" spans="1:9" ht="12.75" customHeight="1">
      <c r="A12" s="270" t="s">
        <v>617</v>
      </c>
      <c r="C12" s="137">
        <v>0</v>
      </c>
      <c r="H12" s="114">
        <f>SUM(C12:G12)</f>
        <v>0</v>
      </c>
    </row>
    <row r="13" spans="1:9" ht="12.75" customHeight="1">
      <c r="A13" s="1" t="s">
        <v>618</v>
      </c>
      <c r="B13" s="1" t="s">
        <v>619</v>
      </c>
      <c r="C13" s="137">
        <v>38320325</v>
      </c>
      <c r="H13" s="161">
        <f>SUM(C13:G13)</f>
        <v>38320325</v>
      </c>
    </row>
    <row r="14" spans="1:9" ht="12.75" customHeight="1">
      <c r="A14" s="1" t="s">
        <v>620</v>
      </c>
      <c r="B14" s="1" t="s">
        <v>621</v>
      </c>
      <c r="C14" s="137">
        <v>-1365453</v>
      </c>
      <c r="D14" s="159">
        <v>-236217</v>
      </c>
      <c r="E14" s="159">
        <v>-503912.27</v>
      </c>
      <c r="F14" s="159">
        <f>VLOOKUP(A14,[1]Kolommenbalans!B$1:D$65536,3,FALSE)</f>
        <v>-394151.1</v>
      </c>
      <c r="G14" s="159">
        <v>-95800</v>
      </c>
      <c r="H14" s="161">
        <f t="shared" ref="H14:H68" si="0">SUM(C14:G14)</f>
        <v>-2595533.37</v>
      </c>
    </row>
    <row r="15" spans="1:9" ht="12.75" customHeight="1">
      <c r="A15" s="1" t="s">
        <v>622</v>
      </c>
      <c r="B15" s="1" t="s">
        <v>558</v>
      </c>
      <c r="C15" s="137">
        <v>1659754</v>
      </c>
      <c r="D15" s="159">
        <v>-110649</v>
      </c>
      <c r="E15" s="159">
        <v>-110650</v>
      </c>
      <c r="F15" s="159">
        <f>VLOOKUP(A15,[1]Kolommenbalans!B$1:D$65536,3,FALSE)</f>
        <v>-110650</v>
      </c>
      <c r="G15" s="159">
        <v>-110650</v>
      </c>
      <c r="H15" s="161">
        <f t="shared" si="0"/>
        <v>1217155</v>
      </c>
    </row>
    <row r="16" spans="1:9" ht="12.75" customHeight="1">
      <c r="A16" s="1" t="s">
        <v>35</v>
      </c>
      <c r="B16" s="1" t="s">
        <v>36</v>
      </c>
      <c r="C16" s="137">
        <v>6380808</v>
      </c>
      <c r="D16" s="159">
        <v>160838</v>
      </c>
      <c r="E16" s="159">
        <v>176734</v>
      </c>
      <c r="F16" s="159">
        <f>VLOOKUP(A16,[1]Kolommenbalans!B$1:D$65536,3,FALSE)</f>
        <v>155489</v>
      </c>
      <c r="G16" s="159">
        <v>202710</v>
      </c>
      <c r="H16" s="161">
        <f t="shared" si="0"/>
        <v>7076579</v>
      </c>
    </row>
    <row r="17" spans="1:9" ht="12.75" customHeight="1">
      <c r="C17" s="137">
        <v>0</v>
      </c>
      <c r="H17" s="114">
        <f t="shared" si="0"/>
        <v>0</v>
      </c>
    </row>
    <row r="18" spans="1:9" ht="12.75" customHeight="1">
      <c r="A18" s="270" t="s">
        <v>38</v>
      </c>
      <c r="C18" s="137">
        <v>0</v>
      </c>
      <c r="H18" s="114">
        <f t="shared" si="0"/>
        <v>0</v>
      </c>
    </row>
    <row r="19" spans="1:9" ht="12.75" customHeight="1">
      <c r="A19" s="1" t="s">
        <v>41</v>
      </c>
      <c r="B19" s="1" t="s">
        <v>42</v>
      </c>
      <c r="C19" s="137">
        <v>123884</v>
      </c>
      <c r="D19" s="272">
        <v>3196350</v>
      </c>
      <c r="E19" s="159">
        <v>2530742.7599999998</v>
      </c>
      <c r="F19" s="159">
        <f>VLOOKUP(A19,[1]Kolommenbalans!B$1:D$65536,3,FALSE)</f>
        <v>423215.73</v>
      </c>
      <c r="G19" s="159">
        <v>-6054041</v>
      </c>
      <c r="H19" s="161">
        <f t="shared" si="0"/>
        <v>220151.49000000022</v>
      </c>
      <c r="I19" s="279" t="s">
        <v>683</v>
      </c>
    </row>
    <row r="20" spans="1:9" ht="12.75" customHeight="1">
      <c r="A20" s="1" t="s">
        <v>623</v>
      </c>
      <c r="B20" s="1" t="s">
        <v>624</v>
      </c>
      <c r="C20" s="137">
        <v>2656651</v>
      </c>
      <c r="D20" s="252">
        <v>-2656651</v>
      </c>
      <c r="G20" s="159">
        <v>6675101</v>
      </c>
      <c r="H20" s="161">
        <f t="shared" si="0"/>
        <v>6675101</v>
      </c>
    </row>
    <row r="21" spans="1:9" ht="12.75" customHeight="1">
      <c r="A21" s="1" t="s">
        <v>43</v>
      </c>
      <c r="B21" s="1" t="s">
        <v>44</v>
      </c>
      <c r="C21" s="137">
        <v>-8374</v>
      </c>
      <c r="G21" s="159">
        <v>0</v>
      </c>
      <c r="H21" s="161">
        <f t="shared" si="0"/>
        <v>-8374</v>
      </c>
    </row>
    <row r="22" spans="1:9" ht="12.75" customHeight="1">
      <c r="A22" s="1" t="s">
        <v>594</v>
      </c>
      <c r="B22" s="1" t="s">
        <v>595</v>
      </c>
      <c r="C22" s="137">
        <v>0</v>
      </c>
      <c r="F22" s="159">
        <f>VLOOKUP(A22,[1]Kolommenbalans!B$1:D$65536,3,FALSE)</f>
        <v>0</v>
      </c>
      <c r="H22" s="114">
        <f t="shared" si="0"/>
        <v>0</v>
      </c>
    </row>
    <row r="23" spans="1:9" ht="12.75" customHeight="1">
      <c r="A23" s="1" t="s">
        <v>625</v>
      </c>
      <c r="B23" s="1" t="s">
        <v>626</v>
      </c>
      <c r="C23" s="137">
        <v>5000</v>
      </c>
      <c r="H23" s="161">
        <f t="shared" si="0"/>
        <v>5000</v>
      </c>
    </row>
    <row r="24" spans="1:9" ht="12.75" customHeight="1">
      <c r="A24" s="1" t="s">
        <v>627</v>
      </c>
      <c r="B24" s="1" t="s">
        <v>490</v>
      </c>
      <c r="C24" s="137">
        <v>-3</v>
      </c>
      <c r="D24" s="159">
        <f>85740+E24</f>
        <v>64305</v>
      </c>
      <c r="E24" s="159">
        <v>-21435</v>
      </c>
      <c r="F24" s="159">
        <f>VLOOKUP(A24,[1]Kolommenbalans!B$1:D$65536,3,FALSE)</f>
        <v>-21435</v>
      </c>
      <c r="G24" s="159">
        <v>-21435</v>
      </c>
      <c r="H24" s="161">
        <f t="shared" si="0"/>
        <v>-3</v>
      </c>
    </row>
    <row r="25" spans="1:9" ht="12.75" customHeight="1">
      <c r="A25" s="1" t="s">
        <v>55</v>
      </c>
      <c r="B25" s="1" t="s">
        <v>56</v>
      </c>
      <c r="C25" s="137">
        <v>0</v>
      </c>
      <c r="D25" s="159">
        <f>357512+E25</f>
        <v>268134.02</v>
      </c>
      <c r="E25" s="159">
        <v>-89377.98</v>
      </c>
      <c r="F25" s="159">
        <f>VLOOKUP(A25,[1]Kolommenbalans!B$1:D$65536,3,FALSE)</f>
        <v>-89377.98</v>
      </c>
      <c r="G25" s="159">
        <v>-89378</v>
      </c>
      <c r="H25" s="161">
        <f t="shared" si="0"/>
        <v>6.0000000041327439E-2</v>
      </c>
    </row>
    <row r="26" spans="1:9" ht="12.75" customHeight="1">
      <c r="C26" s="137">
        <v>0</v>
      </c>
      <c r="H26" s="114">
        <f t="shared" si="0"/>
        <v>0</v>
      </c>
    </row>
    <row r="27" spans="1:9" ht="12.75" customHeight="1">
      <c r="A27" s="270" t="s">
        <v>58</v>
      </c>
      <c r="C27" s="137">
        <v>0</v>
      </c>
      <c r="H27" s="114">
        <f t="shared" si="0"/>
        <v>0</v>
      </c>
    </row>
    <row r="28" spans="1:9" ht="12.75" customHeight="1">
      <c r="A28" s="1" t="s">
        <v>61</v>
      </c>
      <c r="B28" s="1" t="s">
        <v>62</v>
      </c>
      <c r="C28" s="137">
        <v>0</v>
      </c>
      <c r="E28" s="159">
        <v>358000</v>
      </c>
      <c r="F28" s="159">
        <f>VLOOKUP(A28,[1]Kolommenbalans!B$1:D$65536,3,FALSE)</f>
        <v>-358000</v>
      </c>
      <c r="G28" s="159">
        <v>-1011</v>
      </c>
      <c r="H28" s="114">
        <f t="shared" si="0"/>
        <v>-1011</v>
      </c>
    </row>
    <row r="29" spans="1:9" ht="12.75" customHeight="1">
      <c r="A29" s="1" t="s">
        <v>628</v>
      </c>
      <c r="B29" s="1" t="s">
        <v>596</v>
      </c>
      <c r="C29" s="137">
        <v>0</v>
      </c>
      <c r="D29" s="159">
        <v>122</v>
      </c>
      <c r="E29" s="159">
        <v>-3547.65</v>
      </c>
      <c r="F29" s="159">
        <f>VLOOKUP(A29,[1]Kolommenbalans!B$1:D$65536,3,FALSE)</f>
        <v>-1524.6</v>
      </c>
      <c r="G29" s="159">
        <v>4950</v>
      </c>
      <c r="H29" s="161">
        <f t="shared" si="0"/>
        <v>-0.25</v>
      </c>
    </row>
    <row r="30" spans="1:9" ht="12.75" customHeight="1">
      <c r="A30" s="1" t="s">
        <v>65</v>
      </c>
      <c r="B30" s="1" t="s">
        <v>66</v>
      </c>
      <c r="C30" s="137">
        <v>0</v>
      </c>
      <c r="D30" s="159">
        <v>490000</v>
      </c>
      <c r="E30" s="159">
        <v>-490000</v>
      </c>
      <c r="F30" s="159">
        <f>VLOOKUP(A30,[1]Kolommenbalans!B$1:D$65536,3,FALSE)</f>
        <v>0</v>
      </c>
      <c r="G30" s="159">
        <v>0</v>
      </c>
      <c r="H30" s="161">
        <f t="shared" si="0"/>
        <v>0</v>
      </c>
    </row>
    <row r="31" spans="1:9" ht="12.75" customHeight="1">
      <c r="A31" s="1" t="s">
        <v>67</v>
      </c>
      <c r="B31" s="1" t="s">
        <v>68</v>
      </c>
      <c r="C31" s="137">
        <v>4443</v>
      </c>
      <c r="D31" s="159">
        <v>51</v>
      </c>
      <c r="E31" s="159">
        <v>2948.65</v>
      </c>
      <c r="F31" s="159">
        <f>VLOOKUP(A31,[1]Kolommenbalans!B$1:D$65536,3,FALSE)</f>
        <v>-9882.18</v>
      </c>
      <c r="G31" s="159">
        <v>-6577.5</v>
      </c>
      <c r="H31" s="161">
        <f t="shared" si="0"/>
        <v>-9017.0300000000007</v>
      </c>
    </row>
    <row r="32" spans="1:9" ht="12.75" customHeight="1">
      <c r="A32" s="1" t="s">
        <v>69</v>
      </c>
      <c r="B32" s="1" t="s">
        <v>70</v>
      </c>
      <c r="C32" s="137">
        <v>73</v>
      </c>
      <c r="E32" s="159">
        <v>-46.3</v>
      </c>
      <c r="F32" s="159">
        <f>VLOOKUP(A32,[1]Kolommenbalans!B$1:D$65536,3,FALSE)</f>
        <v>0</v>
      </c>
      <c r="G32" s="159">
        <v>276826.61</v>
      </c>
      <c r="H32" s="161">
        <f t="shared" si="0"/>
        <v>276853.31</v>
      </c>
    </row>
    <row r="33" spans="1:8" ht="12.75" customHeight="1">
      <c r="A33" s="1" t="s">
        <v>71</v>
      </c>
      <c r="B33" s="1" t="s">
        <v>72</v>
      </c>
      <c r="C33" s="137">
        <v>716</v>
      </c>
      <c r="D33" s="159">
        <v>6673</v>
      </c>
      <c r="E33" s="159">
        <v>-6645.75</v>
      </c>
      <c r="F33" s="159">
        <f>VLOOKUP(A33,[1]Kolommenbalans!B$1:D$65536,3,FALSE)</f>
        <v>949.76</v>
      </c>
      <c r="G33" s="159">
        <v>22169.18</v>
      </c>
      <c r="H33" s="161">
        <f t="shared" si="0"/>
        <v>23862.19</v>
      </c>
    </row>
    <row r="34" spans="1:8" ht="12.75" customHeight="1">
      <c r="A34" s="1" t="s">
        <v>73</v>
      </c>
      <c r="B34" s="1" t="s">
        <v>74</v>
      </c>
      <c r="C34" s="137">
        <v>66480</v>
      </c>
      <c r="D34" s="159">
        <v>227168</v>
      </c>
      <c r="E34" s="159">
        <v>-230570.79</v>
      </c>
      <c r="F34" s="159">
        <f>VLOOKUP(A34,[1]Kolommenbalans!B$1:D$65536,3,FALSE)</f>
        <v>169867.27</v>
      </c>
      <c r="G34" s="159">
        <v>-2980.11</v>
      </c>
      <c r="H34" s="161">
        <f t="shared" si="0"/>
        <v>229964.37</v>
      </c>
    </row>
    <row r="35" spans="1:8" ht="12.75" customHeight="1">
      <c r="A35" s="1" t="s">
        <v>75</v>
      </c>
      <c r="B35" s="1" t="s">
        <v>76</v>
      </c>
      <c r="C35" s="137">
        <v>9180</v>
      </c>
      <c r="D35" s="159">
        <v>138903</v>
      </c>
      <c r="E35" s="159">
        <v>-147771.81</v>
      </c>
      <c r="F35" s="159">
        <f>VLOOKUP(A35,[1]Kolommenbalans!B$1:D$65536,3,FALSE)</f>
        <v>2744.42</v>
      </c>
      <c r="G35" s="159">
        <v>-0.91</v>
      </c>
      <c r="H35" s="161">
        <f t="shared" si="0"/>
        <v>3054.7000000000025</v>
      </c>
    </row>
    <row r="36" spans="1:8" ht="12.75" customHeight="1">
      <c r="A36" s="1" t="s">
        <v>629</v>
      </c>
      <c r="B36" s="1" t="s">
        <v>560</v>
      </c>
      <c r="C36" s="137">
        <v>5644</v>
      </c>
      <c r="E36" s="159">
        <v>-5660.09</v>
      </c>
      <c r="H36" s="161">
        <f t="shared" si="0"/>
        <v>-16.090000000000146</v>
      </c>
    </row>
    <row r="37" spans="1:8" ht="12.75" customHeight="1">
      <c r="C37" s="137">
        <v>0</v>
      </c>
      <c r="H37" s="114">
        <f t="shared" si="0"/>
        <v>0</v>
      </c>
    </row>
    <row r="38" spans="1:8" ht="12.75" customHeight="1">
      <c r="A38" s="270" t="s">
        <v>630</v>
      </c>
      <c r="C38" s="137">
        <v>0</v>
      </c>
      <c r="H38" s="114">
        <f t="shared" si="0"/>
        <v>0</v>
      </c>
    </row>
    <row r="39" spans="1:8" ht="12.75" customHeight="1">
      <c r="A39" s="1" t="s">
        <v>81</v>
      </c>
      <c r="B39" s="1" t="s">
        <v>82</v>
      </c>
      <c r="C39" s="137">
        <v>-1</v>
      </c>
      <c r="D39" s="159">
        <v>0</v>
      </c>
      <c r="H39" s="161">
        <f t="shared" si="0"/>
        <v>-1</v>
      </c>
    </row>
    <row r="40" spans="1:8" ht="12.75" customHeight="1">
      <c r="A40" s="1" t="s">
        <v>87</v>
      </c>
      <c r="B40" s="1" t="s">
        <v>430</v>
      </c>
      <c r="C40" s="137">
        <v>-18931219</v>
      </c>
      <c r="D40" s="159">
        <v>0</v>
      </c>
      <c r="H40" s="161">
        <f t="shared" si="0"/>
        <v>-18931219</v>
      </c>
    </row>
    <row r="41" spans="1:8" ht="12.75" customHeight="1">
      <c r="A41" s="1" t="s">
        <v>93</v>
      </c>
      <c r="B41" s="1" t="s">
        <v>94</v>
      </c>
      <c r="C41" s="137">
        <v>4831607</v>
      </c>
      <c r="D41" s="159">
        <v>0</v>
      </c>
      <c r="H41" s="161">
        <f t="shared" si="0"/>
        <v>4831607</v>
      </c>
    </row>
    <row r="42" spans="1:8" ht="12.75" customHeight="1">
      <c r="C42" s="137">
        <v>0</v>
      </c>
      <c r="H42" s="114">
        <f t="shared" si="0"/>
        <v>0</v>
      </c>
    </row>
    <row r="43" spans="1:8" ht="12.75" customHeight="1">
      <c r="A43" s="270" t="s">
        <v>98</v>
      </c>
      <c r="C43" s="137">
        <v>0</v>
      </c>
      <c r="H43" s="114">
        <f t="shared" si="0"/>
        <v>0</v>
      </c>
    </row>
    <row r="44" spans="1:8" ht="12.75" customHeight="1">
      <c r="A44" s="1" t="s">
        <v>103</v>
      </c>
      <c r="B44" s="1" t="s">
        <v>104</v>
      </c>
      <c r="C44" s="137">
        <v>-169075986</v>
      </c>
      <c r="D44" s="159">
        <v>0</v>
      </c>
      <c r="E44" s="159">
        <v>-459986.91</v>
      </c>
      <c r="G44" s="159">
        <v>-875164.8</v>
      </c>
      <c r="H44" s="161">
        <f t="shared" si="0"/>
        <v>-170411137.71000001</v>
      </c>
    </row>
    <row r="45" spans="1:8" ht="12.75" customHeight="1">
      <c r="A45" s="1" t="s">
        <v>107</v>
      </c>
      <c r="B45" s="1" t="s">
        <v>108</v>
      </c>
      <c r="C45" s="137">
        <v>33308891</v>
      </c>
      <c r="D45" s="159">
        <v>863000</v>
      </c>
      <c r="E45" s="159">
        <v>1328000</v>
      </c>
      <c r="F45" s="159">
        <f>VLOOKUP(A45,[1]Kolommenbalans!B$1:D$65536,3,FALSE)</f>
        <v>1449881.36</v>
      </c>
      <c r="G45" s="159">
        <v>350000</v>
      </c>
      <c r="H45" s="161">
        <f t="shared" si="0"/>
        <v>37299772.359999999</v>
      </c>
    </row>
    <row r="46" spans="1:8" ht="12.75" customHeight="1">
      <c r="A46" s="1" t="s">
        <v>631</v>
      </c>
      <c r="B46" s="1" t="s">
        <v>632</v>
      </c>
      <c r="C46" s="137">
        <v>436032</v>
      </c>
      <c r="D46" s="252">
        <v>-29069.05</v>
      </c>
      <c r="E46" s="159">
        <v>-29069.06</v>
      </c>
      <c r="F46" s="159">
        <f>VLOOKUP(A46,[1]Kolommenbalans!B$1:D$65536,3,FALSE)</f>
        <v>-29069.05</v>
      </c>
      <c r="G46" s="159">
        <v>-29069.06</v>
      </c>
      <c r="H46" s="161">
        <f t="shared" si="0"/>
        <v>319755.78000000003</v>
      </c>
    </row>
    <row r="47" spans="1:8" ht="12.75" customHeight="1">
      <c r="C47" s="137">
        <v>0</v>
      </c>
      <c r="H47" s="114">
        <f t="shared" si="0"/>
        <v>0</v>
      </c>
    </row>
    <row r="48" spans="1:8" ht="12.75" customHeight="1">
      <c r="A48" s="270" t="s">
        <v>118</v>
      </c>
      <c r="C48" s="137">
        <v>0</v>
      </c>
      <c r="H48" s="114">
        <f t="shared" si="0"/>
        <v>0</v>
      </c>
    </row>
    <row r="49" spans="1:9" ht="12.75" customHeight="1">
      <c r="A49" s="1" t="s">
        <v>121</v>
      </c>
      <c r="B49" s="1" t="s">
        <v>122</v>
      </c>
      <c r="C49" s="137">
        <v>-436121</v>
      </c>
      <c r="D49" s="159">
        <v>-562454</v>
      </c>
      <c r="E49" s="159">
        <v>715812</v>
      </c>
      <c r="F49" s="159">
        <f>VLOOKUP(A49,[1]Kolommenbalans!B$1:D$65536,3,FALSE)</f>
        <v>277315</v>
      </c>
      <c r="G49" s="159">
        <v>-319583.96000000002</v>
      </c>
      <c r="H49" s="161">
        <f t="shared" si="0"/>
        <v>-325031.96000000002</v>
      </c>
    </row>
    <row r="50" spans="1:9" ht="12.75" customHeight="1">
      <c r="A50" s="1" t="s">
        <v>123</v>
      </c>
      <c r="B50" s="1" t="s">
        <v>124</v>
      </c>
      <c r="C50" s="137">
        <v>-932680</v>
      </c>
      <c r="D50" s="159">
        <v>-14700</v>
      </c>
      <c r="E50" s="159">
        <v>14700</v>
      </c>
      <c r="F50" s="159">
        <f>VLOOKUP(A50,[1]Kolommenbalans!B$1:D$65536,3,FALSE)</f>
        <v>-9900</v>
      </c>
      <c r="G50" s="159">
        <v>0</v>
      </c>
      <c r="H50" s="161">
        <f t="shared" si="0"/>
        <v>-942580</v>
      </c>
    </row>
    <row r="51" spans="1:9" ht="12.75" customHeight="1">
      <c r="A51" s="1" t="s">
        <v>633</v>
      </c>
      <c r="B51" s="1" t="s">
        <v>634</v>
      </c>
      <c r="C51" s="137">
        <v>-401205</v>
      </c>
      <c r="E51" s="159">
        <v>-150000</v>
      </c>
      <c r="F51" s="159">
        <f>VLOOKUP(A51,[1]Kolommenbalans!B$1:D$65536,3,FALSE)</f>
        <v>0</v>
      </c>
      <c r="H51" s="161">
        <f t="shared" si="0"/>
        <v>-551205</v>
      </c>
    </row>
    <row r="52" spans="1:9" ht="12.75" customHeight="1">
      <c r="A52" s="1" t="s">
        <v>47</v>
      </c>
      <c r="B52" s="1" t="s">
        <v>48</v>
      </c>
      <c r="C52" s="137">
        <v>-135333</v>
      </c>
      <c r="D52" s="252">
        <v>458198</v>
      </c>
      <c r="E52" s="159">
        <v>12470</v>
      </c>
      <c r="F52" s="159">
        <f>VLOOKUP(A52,[1]Kolommenbalans!B$1:D$65536,3,FALSE)</f>
        <v>485985</v>
      </c>
      <c r="G52" s="159">
        <v>485992</v>
      </c>
      <c r="H52" s="161">
        <f t="shared" si="0"/>
        <v>1307312</v>
      </c>
    </row>
    <row r="53" spans="1:9" ht="12.75" customHeight="1">
      <c r="A53" s="136">
        <v>2650000</v>
      </c>
      <c r="B53" s="1" t="s">
        <v>670</v>
      </c>
      <c r="C53" s="137">
        <v>0</v>
      </c>
      <c r="D53" s="252"/>
      <c r="E53" s="159">
        <v>-500000</v>
      </c>
      <c r="H53" s="161">
        <f t="shared" si="0"/>
        <v>-500000</v>
      </c>
    </row>
    <row r="54" spans="1:9" ht="12.75" customHeight="1">
      <c r="A54" s="1" t="s">
        <v>129</v>
      </c>
      <c r="B54" s="1" t="s">
        <v>130</v>
      </c>
      <c r="C54" s="137">
        <v>-6207</v>
      </c>
      <c r="D54" s="252">
        <v>900</v>
      </c>
      <c r="E54" s="159">
        <v>2856.3</v>
      </c>
      <c r="F54" s="159">
        <f>VLOOKUP(A54,[1]Kolommenbalans!B$1:D$65536,3,FALSE)</f>
        <v>-3177.21</v>
      </c>
      <c r="G54" s="159">
        <v>-2177</v>
      </c>
      <c r="H54" s="161">
        <f t="shared" si="0"/>
        <v>-7804.91</v>
      </c>
    </row>
    <row r="55" spans="1:9" ht="12.75" customHeight="1">
      <c r="A55" s="1" t="s">
        <v>635</v>
      </c>
      <c r="B55" s="1" t="s">
        <v>636</v>
      </c>
      <c r="C55" s="137">
        <v>-963592</v>
      </c>
      <c r="D55" s="272">
        <v>63198</v>
      </c>
      <c r="E55" s="159">
        <v>-47340.800000000003</v>
      </c>
      <c r="F55" s="159">
        <f>VLOOKUP(A55,[1]Kolommenbalans!B$1:D$65536,3,FALSE)</f>
        <v>1145.22</v>
      </c>
      <c r="G55" s="159">
        <v>1511.29</v>
      </c>
      <c r="H55" s="161">
        <f t="shared" si="0"/>
        <v>-945078.29</v>
      </c>
      <c r="I55" s="279" t="s">
        <v>683</v>
      </c>
    </row>
    <row r="56" spans="1:9" ht="12.75" customHeight="1">
      <c r="A56" s="1" t="s">
        <v>141</v>
      </c>
      <c r="B56" s="1" t="s">
        <v>142</v>
      </c>
      <c r="C56" s="137">
        <v>-965997</v>
      </c>
      <c r="D56" s="159">
        <v>8491</v>
      </c>
      <c r="E56" s="159">
        <v>-4796</v>
      </c>
      <c r="F56" s="159">
        <f>VLOOKUP(A56,[1]Kolommenbalans!B$1:D$65536,3,FALSE)</f>
        <v>8472.82</v>
      </c>
      <c r="G56" s="159">
        <v>3736</v>
      </c>
      <c r="H56" s="161">
        <f t="shared" si="0"/>
        <v>-950093.18</v>
      </c>
    </row>
    <row r="57" spans="1:9" ht="12.75" customHeight="1">
      <c r="A57" s="1" t="s">
        <v>143</v>
      </c>
      <c r="B57" s="1" t="s">
        <v>144</v>
      </c>
      <c r="C57" s="137">
        <v>-45000</v>
      </c>
      <c r="H57" s="161">
        <f t="shared" si="0"/>
        <v>-45000</v>
      </c>
    </row>
    <row r="58" spans="1:9" ht="12.75" customHeight="1">
      <c r="A58" s="1" t="s">
        <v>147</v>
      </c>
      <c r="B58" s="1" t="s">
        <v>148</v>
      </c>
      <c r="C58" s="137">
        <v>-8929</v>
      </c>
      <c r="D58" s="159">
        <v>8930</v>
      </c>
      <c r="F58" s="159">
        <f>VLOOKUP(A58,[1]Kolommenbalans!B$1:D$65536,3,FALSE)</f>
        <v>0</v>
      </c>
      <c r="G58" s="159">
        <v>-1</v>
      </c>
      <c r="H58" s="161">
        <f t="shared" si="0"/>
        <v>0</v>
      </c>
    </row>
    <row r="59" spans="1:9" ht="12.75" customHeight="1">
      <c r="A59" s="1" t="s">
        <v>149</v>
      </c>
      <c r="B59" s="1" t="s">
        <v>637</v>
      </c>
      <c r="C59" s="137">
        <v>0</v>
      </c>
      <c r="H59" s="161">
        <f t="shared" si="0"/>
        <v>0</v>
      </c>
    </row>
    <row r="60" spans="1:9" ht="12.75" customHeight="1">
      <c r="A60" s="1" t="s">
        <v>155</v>
      </c>
      <c r="B60" s="1" t="s">
        <v>156</v>
      </c>
      <c r="C60" s="137">
        <v>-43483</v>
      </c>
      <c r="D60" s="159">
        <v>-130818</v>
      </c>
      <c r="E60" s="159">
        <v>-87499.93</v>
      </c>
      <c r="F60" s="159">
        <f>VLOOKUP(A60,[1]Kolommenbalans!B$1:D$65536,3,FALSE)</f>
        <v>216412.76</v>
      </c>
      <c r="G60" s="159">
        <v>-45993.21</v>
      </c>
      <c r="H60" s="161">
        <f t="shared" si="0"/>
        <v>-91381.379999999976</v>
      </c>
    </row>
    <row r="61" spans="1:9" ht="12.75" customHeight="1">
      <c r="A61" s="1" t="s">
        <v>159</v>
      </c>
      <c r="B61" s="1" t="s">
        <v>160</v>
      </c>
      <c r="C61" s="137">
        <v>-86205</v>
      </c>
      <c r="D61" s="159">
        <v>116207</v>
      </c>
      <c r="F61" s="159">
        <f>VLOOKUP(A61,[1]Kolommenbalans!B$1:D$65536,3,FALSE)</f>
        <v>0</v>
      </c>
      <c r="H61" s="161">
        <f t="shared" si="0"/>
        <v>30002</v>
      </c>
    </row>
    <row r="62" spans="1:9" ht="12.75" customHeight="1">
      <c r="A62" s="1" t="s">
        <v>638</v>
      </c>
      <c r="B62" s="1" t="s">
        <v>639</v>
      </c>
      <c r="C62" s="137">
        <v>0</v>
      </c>
      <c r="D62" s="252">
        <v>0</v>
      </c>
      <c r="E62" s="252">
        <v>0</v>
      </c>
      <c r="F62" s="159">
        <f>VLOOKUP(A62,[1]Kolommenbalans!B$1:D$65536,3,FALSE)</f>
        <v>0</v>
      </c>
      <c r="H62" s="161">
        <f t="shared" si="0"/>
        <v>0</v>
      </c>
    </row>
    <row r="63" spans="1:9" ht="12.75" customHeight="1">
      <c r="A63" s="136" t="s">
        <v>641</v>
      </c>
      <c r="B63" s="1" t="s">
        <v>642</v>
      </c>
      <c r="C63" s="137">
        <v>0</v>
      </c>
      <c r="F63" s="159">
        <f>VLOOKUP(A63,[1]Kolommenbalans!B$1:D$65536,3,FALSE)</f>
        <v>0</v>
      </c>
      <c r="H63" s="161">
        <f t="shared" si="0"/>
        <v>0</v>
      </c>
    </row>
    <row r="64" spans="1:9" ht="12.75" customHeight="1">
      <c r="A64" s="136">
        <v>2502020</v>
      </c>
      <c r="B64" s="1" t="s">
        <v>643</v>
      </c>
      <c r="C64" s="137">
        <v>789</v>
      </c>
      <c r="D64" s="159">
        <v>0</v>
      </c>
      <c r="G64" s="159">
        <v>-788.66</v>
      </c>
      <c r="H64" s="161">
        <f t="shared" si="0"/>
        <v>0.34000000000003183</v>
      </c>
      <c r="I64" s="114"/>
    </row>
    <row r="65" spans="1:9" ht="12.75" customHeight="1">
      <c r="A65" s="1" t="s">
        <v>676</v>
      </c>
      <c r="B65" s="1" t="s">
        <v>644</v>
      </c>
      <c r="C65" s="137">
        <v>91489</v>
      </c>
      <c r="D65" s="159">
        <v>-2046</v>
      </c>
      <c r="E65" s="159">
        <v>-93962.63</v>
      </c>
      <c r="F65" s="159">
        <f>VLOOKUP(A65,[1]Kolommenbalans!B$1:D$65536,3,FALSE)</f>
        <v>0</v>
      </c>
      <c r="G65" s="159">
        <v>14459.33</v>
      </c>
      <c r="H65" s="161">
        <f t="shared" si="0"/>
        <v>9939.6999999999953</v>
      </c>
      <c r="I65" s="114"/>
    </row>
    <row r="66" spans="1:9" ht="12.75" customHeight="1">
      <c r="A66" s="1" t="s">
        <v>677</v>
      </c>
      <c r="B66" s="1" t="s">
        <v>645</v>
      </c>
      <c r="C66" s="137">
        <v>179376</v>
      </c>
      <c r="D66" s="159">
        <v>-27</v>
      </c>
      <c r="E66" s="159">
        <v>-261260</v>
      </c>
      <c r="F66" s="159">
        <f>VLOOKUP(A66,[1]Kolommenbalans!B$1:D$65536,3,FALSE)</f>
        <v>-516.84</v>
      </c>
      <c r="G66" s="159">
        <v>85084.3</v>
      </c>
      <c r="H66" s="161">
        <f t="shared" si="0"/>
        <v>2656.4600000000064</v>
      </c>
      <c r="I66" s="114"/>
    </row>
    <row r="67" spans="1:9" ht="12.75" customHeight="1">
      <c r="A67" s="1" t="s">
        <v>678</v>
      </c>
      <c r="B67" s="1" t="s">
        <v>646</v>
      </c>
      <c r="C67" s="137">
        <v>414481</v>
      </c>
      <c r="D67" s="252">
        <v>-404859</v>
      </c>
      <c r="E67" s="159">
        <v>-212658.64</v>
      </c>
      <c r="F67" s="159">
        <f>VLOOKUP(A67,[1]Kolommenbalans!B$1:D$65536,3,FALSE)</f>
        <v>7601.93</v>
      </c>
      <c r="G67" s="159">
        <v>33068.43</v>
      </c>
      <c r="H67" s="161">
        <f t="shared" si="0"/>
        <v>-162366.28000000003</v>
      </c>
      <c r="I67" s="114"/>
    </row>
    <row r="68" spans="1:9" ht="12.75" customHeight="1">
      <c r="A68" s="147" t="s">
        <v>647</v>
      </c>
      <c r="B68" s="147" t="s">
        <v>648</v>
      </c>
      <c r="C68" s="137">
        <v>0</v>
      </c>
      <c r="D68" s="159">
        <v>-6716</v>
      </c>
      <c r="E68" s="159">
        <v>225121.63</v>
      </c>
      <c r="F68" s="159">
        <f>VLOOKUP(A68,[1]Kolommenbalans!B$1:D$65536,3,FALSE)</f>
        <v>49344.83</v>
      </c>
      <c r="G68" s="159">
        <v>-187446.25</v>
      </c>
      <c r="H68" s="161">
        <f t="shared" si="0"/>
        <v>80304.210000000021</v>
      </c>
    </row>
    <row r="69" spans="1:9" ht="12.75" customHeight="1">
      <c r="H69" s="114">
        <f>SUM(C69:F69)</f>
        <v>0</v>
      </c>
    </row>
    <row r="70" spans="1:9" ht="12.75" customHeight="1">
      <c r="A70" s="138" t="s">
        <v>649</v>
      </c>
      <c r="H70" s="114">
        <f>SUM(C70:F70)</f>
        <v>0</v>
      </c>
    </row>
    <row r="71" spans="1:9" ht="12.75" customHeight="1">
      <c r="H71" s="114">
        <f>SUM(C71:F71)</f>
        <v>0</v>
      </c>
    </row>
    <row r="72" spans="1:9" ht="12.75" customHeight="1">
      <c r="A72" s="1" t="s">
        <v>174</v>
      </c>
      <c r="B72" s="1" t="s">
        <v>175</v>
      </c>
      <c r="D72" s="159">
        <v>-3068644</v>
      </c>
      <c r="E72" s="159">
        <v>-3065862.05</v>
      </c>
      <c r="F72" s="159">
        <f>VLOOKUP(A72,[1]Kolommenbalans!B$1:D$65536,3,FALSE)</f>
        <v>-3169839.55</v>
      </c>
      <c r="G72" s="159">
        <v>-3186800.49</v>
      </c>
      <c r="H72" s="161">
        <f>SUM(C72:G72)</f>
        <v>-12491146.09</v>
      </c>
      <c r="I72" s="114"/>
    </row>
    <row r="73" spans="1:9" ht="12.75" customHeight="1">
      <c r="A73" s="1" t="s">
        <v>176</v>
      </c>
      <c r="B73" s="1" t="s">
        <v>177</v>
      </c>
      <c r="D73" s="159">
        <v>55043</v>
      </c>
      <c r="E73" s="159">
        <v>72337.34</v>
      </c>
      <c r="F73" s="159">
        <f>VLOOKUP(A73,[1]Kolommenbalans!B$1:D$65536,3,FALSE)</f>
        <v>93311.89</v>
      </c>
      <c r="G73" s="159">
        <v>106874.37</v>
      </c>
      <c r="H73" s="161">
        <f>SUM(C73:G73)</f>
        <v>327566.59999999998</v>
      </c>
      <c r="I73" s="114"/>
    </row>
    <row r="74" spans="1:9" ht="12.75" customHeight="1">
      <c r="H74" s="114">
        <f>SUM(C74:G74)</f>
        <v>0</v>
      </c>
      <c r="I74" s="114"/>
    </row>
    <row r="75" spans="1:9" ht="12.75" customHeight="1">
      <c r="A75" s="1" t="s">
        <v>182</v>
      </c>
      <c r="B75" s="1" t="s">
        <v>183</v>
      </c>
      <c r="D75" s="159">
        <v>-284</v>
      </c>
      <c r="E75" s="159">
        <v>285</v>
      </c>
      <c r="F75" s="159">
        <f>VLOOKUP(A75,[1]Kolommenbalans!B$1:D$65536,3,FALSE)</f>
        <v>-76472.45</v>
      </c>
      <c r="G75" s="159">
        <v>76472.45</v>
      </c>
      <c r="H75" s="114">
        <f t="shared" ref="H75:H117" si="1">SUM(C75:G75)</f>
        <v>1</v>
      </c>
      <c r="I75" s="114"/>
    </row>
    <row r="76" spans="1:9" ht="12.75" customHeight="1">
      <c r="A76" s="1" t="s">
        <v>184</v>
      </c>
      <c r="B76" s="1" t="s">
        <v>185</v>
      </c>
      <c r="D76" s="159">
        <v>13194</v>
      </c>
      <c r="E76" s="159">
        <v>44728.32</v>
      </c>
      <c r="F76" s="159">
        <f>VLOOKUP(A76,[1]Kolommenbalans!B$1:D$65536,3,FALSE)</f>
        <v>10335.44</v>
      </c>
      <c r="G76" s="159">
        <v>-167419.98000000001</v>
      </c>
      <c r="H76" s="161">
        <f t="shared" si="1"/>
        <v>-99162.220000000016</v>
      </c>
      <c r="I76" s="114"/>
    </row>
    <row r="77" spans="1:9" ht="12.75" customHeight="1">
      <c r="A77" s="1" t="s">
        <v>186</v>
      </c>
      <c r="B77" s="1" t="s">
        <v>187</v>
      </c>
      <c r="D77" s="252">
        <v>177952</v>
      </c>
      <c r="E77" s="159">
        <v>95667.58</v>
      </c>
      <c r="F77" s="159">
        <f>VLOOKUP(A77,[1]Kolommenbalans!B$1:D$65536,3,FALSE)</f>
        <v>77542.210000000006</v>
      </c>
      <c r="G77" s="159">
        <v>-140632.70000000001</v>
      </c>
      <c r="H77" s="161">
        <f t="shared" si="1"/>
        <v>210529.09000000003</v>
      </c>
      <c r="I77" s="114"/>
    </row>
    <row r="78" spans="1:9" ht="12.75" customHeight="1">
      <c r="H78" s="114">
        <f t="shared" si="1"/>
        <v>0</v>
      </c>
      <c r="I78" s="114"/>
    </row>
    <row r="79" spans="1:9" ht="12.75" customHeight="1">
      <c r="A79" s="1" t="s">
        <v>198</v>
      </c>
      <c r="B79" s="1" t="s">
        <v>199</v>
      </c>
      <c r="D79" s="159">
        <v>129820</v>
      </c>
      <c r="E79" s="159">
        <v>130121.37</v>
      </c>
      <c r="F79" s="159">
        <f>VLOOKUP(A79,[1]Kolommenbalans!B$1:D$65536,3,FALSE)</f>
        <v>134133.54999999999</v>
      </c>
      <c r="G79" s="159">
        <v>135444.14000000001</v>
      </c>
      <c r="H79" s="161">
        <f t="shared" si="1"/>
        <v>529519.06000000006</v>
      </c>
      <c r="I79" s="114"/>
    </row>
    <row r="80" spans="1:9" ht="12.75" customHeight="1">
      <c r="H80" s="114">
        <f t="shared" si="1"/>
        <v>0</v>
      </c>
      <c r="I80" s="114"/>
    </row>
    <row r="81" spans="1:10" ht="12.75" customHeight="1">
      <c r="A81" s="1" t="s">
        <v>204</v>
      </c>
      <c r="B81" s="1" t="s">
        <v>650</v>
      </c>
      <c r="D81" s="159">
        <v>753602</v>
      </c>
      <c r="E81" s="159">
        <v>752120</v>
      </c>
      <c r="F81" s="159">
        <f>VLOOKUP(A81,[1]Kolommenbalans!B$1:D$65536,3,FALSE)</f>
        <v>762225</v>
      </c>
      <c r="G81" s="159">
        <v>793542</v>
      </c>
      <c r="H81" s="161">
        <f t="shared" si="1"/>
        <v>3061489</v>
      </c>
      <c r="I81" s="114"/>
    </row>
    <row r="82" spans="1:10" ht="12.75" customHeight="1">
      <c r="A82" s="1" t="s">
        <v>206</v>
      </c>
      <c r="B82" s="1" t="s">
        <v>651</v>
      </c>
      <c r="D82" s="159">
        <v>-990509</v>
      </c>
      <c r="E82" s="159">
        <v>-903643</v>
      </c>
      <c r="F82" s="159">
        <f>VLOOKUP(A82,[1]Kolommenbalans!B$1:D$65536,3,FALSE)</f>
        <v>-963848</v>
      </c>
      <c r="G82" s="159">
        <v>0</v>
      </c>
      <c r="H82" s="161">
        <f t="shared" si="1"/>
        <v>-2858000</v>
      </c>
      <c r="I82" s="114"/>
    </row>
    <row r="83" spans="1:10" ht="12.75" customHeight="1">
      <c r="H83" s="114">
        <f t="shared" si="1"/>
        <v>0</v>
      </c>
      <c r="I83" s="114"/>
    </row>
    <row r="84" spans="1:10" ht="12.75" customHeight="1">
      <c r="A84" s="1" t="s">
        <v>210</v>
      </c>
      <c r="B84" s="1" t="s">
        <v>211</v>
      </c>
      <c r="D84" s="272">
        <v>184889.39</v>
      </c>
      <c r="E84" s="272">
        <v>329083</v>
      </c>
      <c r="F84" s="272">
        <v>216162</v>
      </c>
      <c r="G84" s="159">
        <v>245165.18</v>
      </c>
      <c r="H84" s="161">
        <f t="shared" si="1"/>
        <v>975299.57000000007</v>
      </c>
      <c r="I84" s="280" t="s">
        <v>684</v>
      </c>
    </row>
    <row r="85" spans="1:10" ht="12.75" customHeight="1">
      <c r="A85" s="1" t="s">
        <v>214</v>
      </c>
      <c r="B85" s="1" t="s">
        <v>215</v>
      </c>
      <c r="D85" s="159">
        <f>87160+3*21790.08</f>
        <v>152530.23999999999</v>
      </c>
      <c r="E85" s="159">
        <v>66177.88</v>
      </c>
      <c r="F85" s="159">
        <f>VLOOKUP(A85,[1]Kolommenbalans!B$1:D$65536,3,FALSE)</f>
        <v>66062.67</v>
      </c>
      <c r="G85" s="159">
        <v>69696.850000000006</v>
      </c>
      <c r="H85" s="161">
        <f t="shared" si="1"/>
        <v>354467.64</v>
      </c>
      <c r="I85" s="114"/>
      <c r="J85" s="114"/>
    </row>
    <row r="86" spans="1:10" ht="12.75" customHeight="1">
      <c r="A86" s="1" t="s">
        <v>216</v>
      </c>
      <c r="B86" s="1" t="s">
        <v>652</v>
      </c>
      <c r="D86" s="159">
        <v>178643</v>
      </c>
      <c r="E86" s="159">
        <v>262945.32</v>
      </c>
      <c r="F86" s="159">
        <f>VLOOKUP(A86,[1]Kolommenbalans!B$1:D$65536,3,FALSE)</f>
        <v>188400.11</v>
      </c>
      <c r="G86" s="159">
        <v>168201.35</v>
      </c>
      <c r="H86" s="161">
        <f t="shared" si="1"/>
        <v>798189.77999999991</v>
      </c>
      <c r="I86" s="114"/>
    </row>
    <row r="87" spans="1:10" ht="12.75" customHeight="1">
      <c r="A87" s="1" t="s">
        <v>212</v>
      </c>
      <c r="B87" s="1" t="s">
        <v>213</v>
      </c>
      <c r="D87" s="159">
        <v>0</v>
      </c>
      <c r="H87" s="161">
        <f t="shared" si="1"/>
        <v>0</v>
      </c>
      <c r="I87" s="114"/>
    </row>
    <row r="88" spans="1:10" ht="12.75" customHeight="1">
      <c r="A88" s="1" t="s">
        <v>218</v>
      </c>
      <c r="B88" s="1" t="s">
        <v>219</v>
      </c>
      <c r="D88" s="159">
        <f>32010+3*8002.58</f>
        <v>56017.74</v>
      </c>
      <c r="E88" s="159">
        <v>23941.86</v>
      </c>
      <c r="F88" s="159">
        <f>VLOOKUP(A88,[1]Kolommenbalans!B$1:D$65536,3,FALSE)</f>
        <v>24496.54</v>
      </c>
      <c r="G88" s="159">
        <v>26915.16</v>
      </c>
      <c r="H88" s="161">
        <f t="shared" si="1"/>
        <v>131371.30000000002</v>
      </c>
      <c r="I88" s="114"/>
      <c r="J88" s="114"/>
    </row>
    <row r="89" spans="1:10" ht="12.75" customHeight="1">
      <c r="A89" s="1" t="s">
        <v>220</v>
      </c>
      <c r="B89" s="1" t="s">
        <v>221</v>
      </c>
      <c r="D89" s="159">
        <v>8746</v>
      </c>
      <c r="E89" s="159">
        <v>48840.03</v>
      </c>
      <c r="F89" s="159">
        <f>VLOOKUP(A89,[1]Kolommenbalans!B$1:D$65536,3,FALSE)</f>
        <v>28932.33</v>
      </c>
      <c r="G89" s="159">
        <v>13148.02</v>
      </c>
      <c r="H89" s="161">
        <f t="shared" si="1"/>
        <v>99666.38</v>
      </c>
      <c r="I89" s="114"/>
    </row>
    <row r="90" spans="1:10" ht="12.75" customHeight="1">
      <c r="A90" s="1" t="s">
        <v>385</v>
      </c>
      <c r="B90" s="1" t="s">
        <v>386</v>
      </c>
      <c r="D90" s="159">
        <v>0</v>
      </c>
      <c r="F90" s="159">
        <f>VLOOKUP(A90,[1]Kolommenbalans!B$1:D$65536,3,FALSE)</f>
        <v>0</v>
      </c>
      <c r="H90" s="114">
        <f t="shared" si="1"/>
        <v>0</v>
      </c>
      <c r="I90" s="114"/>
    </row>
    <row r="91" spans="1:10" ht="12.75" customHeight="1">
      <c r="H91" s="114">
        <f t="shared" si="1"/>
        <v>0</v>
      </c>
      <c r="I91" s="114"/>
    </row>
    <row r="92" spans="1:10" ht="12.75" customHeight="1">
      <c r="A92" s="1" t="s">
        <v>434</v>
      </c>
      <c r="B92" s="1" t="s">
        <v>413</v>
      </c>
      <c r="D92" s="159">
        <v>23863</v>
      </c>
      <c r="H92" s="161">
        <f t="shared" si="1"/>
        <v>23863</v>
      </c>
      <c r="I92" s="114"/>
    </row>
    <row r="93" spans="1:10" ht="12.75" customHeight="1">
      <c r="A93" s="1" t="s">
        <v>226</v>
      </c>
      <c r="B93" s="1" t="s">
        <v>227</v>
      </c>
      <c r="D93" s="159">
        <v>0</v>
      </c>
      <c r="E93" s="159">
        <v>42503.08</v>
      </c>
      <c r="F93" s="159">
        <f>VLOOKUP(A93,[1]Kolommenbalans!B$1:D$65536,3,FALSE)</f>
        <v>10114.98</v>
      </c>
      <c r="G93" s="159">
        <v>10216.44</v>
      </c>
      <c r="H93" s="161">
        <f t="shared" si="1"/>
        <v>62834.5</v>
      </c>
      <c r="I93" s="114"/>
    </row>
    <row r="94" spans="1:10" ht="12.75" customHeight="1">
      <c r="H94" s="114">
        <f t="shared" si="1"/>
        <v>0</v>
      </c>
      <c r="I94" s="114"/>
    </row>
    <row r="95" spans="1:10" ht="12.75" customHeight="1">
      <c r="A95" s="1" t="s">
        <v>604</v>
      </c>
      <c r="B95" s="1" t="s">
        <v>605</v>
      </c>
      <c r="D95" s="159">
        <v>0</v>
      </c>
      <c r="G95" s="159">
        <v>36.630000000000003</v>
      </c>
      <c r="H95" s="161">
        <f t="shared" si="1"/>
        <v>36.630000000000003</v>
      </c>
      <c r="I95" s="114"/>
    </row>
    <row r="96" spans="1:10" ht="12.75" customHeight="1">
      <c r="A96" s="1" t="s">
        <v>230</v>
      </c>
      <c r="B96" s="1" t="s">
        <v>231</v>
      </c>
      <c r="D96" s="159">
        <v>300</v>
      </c>
      <c r="E96" s="159">
        <v>40</v>
      </c>
      <c r="F96" s="159">
        <f>VLOOKUP(A96,[1]Kolommenbalans!B$1:D$65536,3,FALSE)</f>
        <v>600</v>
      </c>
      <c r="G96" s="159">
        <v>500</v>
      </c>
      <c r="H96" s="161">
        <f t="shared" si="1"/>
        <v>1440</v>
      </c>
      <c r="I96" s="114"/>
    </row>
    <row r="97" spans="1:10" ht="12.75" customHeight="1">
      <c r="H97" s="114">
        <f t="shared" si="1"/>
        <v>0</v>
      </c>
      <c r="I97" s="114"/>
    </row>
    <row r="98" spans="1:10" ht="12.75" customHeight="1">
      <c r="A98" s="1" t="s">
        <v>234</v>
      </c>
      <c r="B98" s="1" t="s">
        <v>235</v>
      </c>
      <c r="D98" s="159">
        <f>28580-E24</f>
        <v>50015</v>
      </c>
      <c r="E98" s="159">
        <f>37420.71</f>
        <v>37420.71</v>
      </c>
      <c r="F98" s="159">
        <f>VLOOKUP(A98,[1]Kolommenbalans!B$1:D$65536,3,FALSE)</f>
        <v>21435</v>
      </c>
      <c r="G98" s="159">
        <v>18609.21</v>
      </c>
      <c r="H98" s="161">
        <f t="shared" si="1"/>
        <v>127479.91999999998</v>
      </c>
      <c r="I98" s="114"/>
      <c r="J98" s="114"/>
    </row>
    <row r="99" spans="1:10" ht="12.75" customHeight="1">
      <c r="A99" s="1" t="s">
        <v>236</v>
      </c>
      <c r="B99" s="1" t="s">
        <v>237</v>
      </c>
      <c r="D99" s="159">
        <v>1500</v>
      </c>
      <c r="E99" s="159">
        <v>1500</v>
      </c>
      <c r="F99" s="159">
        <f>VLOOKUP(A99,[1]Kolommenbalans!B$1:D$65536,3,FALSE)</f>
        <v>1500</v>
      </c>
      <c r="G99" s="159">
        <v>1500</v>
      </c>
      <c r="H99" s="161">
        <f t="shared" si="1"/>
        <v>6000</v>
      </c>
      <c r="I99" s="114"/>
    </row>
    <row r="100" spans="1:10" ht="12.75" customHeight="1">
      <c r="A100" s="1" t="s">
        <v>238</v>
      </c>
      <c r="B100" s="1" t="s">
        <v>239</v>
      </c>
      <c r="D100" s="159">
        <v>39840</v>
      </c>
      <c r="E100" s="159">
        <v>19091</v>
      </c>
      <c r="F100" s="159">
        <f>VLOOKUP(A100,[1]Kolommenbalans!B$1:D$65536,3,FALSE)</f>
        <v>8698.33</v>
      </c>
      <c r="G100" s="159">
        <v>10535.98</v>
      </c>
      <c r="H100" s="161">
        <f t="shared" si="1"/>
        <v>78165.31</v>
      </c>
      <c r="I100" s="114"/>
    </row>
    <row r="101" spans="1:10" ht="12.75" customHeight="1">
      <c r="A101" s="1" t="s">
        <v>240</v>
      </c>
      <c r="B101" s="1" t="s">
        <v>241</v>
      </c>
      <c r="D101" s="159">
        <v>1398</v>
      </c>
      <c r="E101" s="159">
        <v>2825.35</v>
      </c>
      <c r="F101" s="159">
        <f>VLOOKUP(A101,[1]Kolommenbalans!B$1:D$65536,3,FALSE)</f>
        <v>1397.55</v>
      </c>
      <c r="G101" s="159">
        <v>1397.55</v>
      </c>
      <c r="H101" s="161">
        <f t="shared" si="1"/>
        <v>7018.4500000000007</v>
      </c>
      <c r="I101" s="114"/>
    </row>
    <row r="102" spans="1:10" ht="12.75" customHeight="1">
      <c r="A102" s="1" t="s">
        <v>242</v>
      </c>
      <c r="B102" s="1" t="s">
        <v>562</v>
      </c>
      <c r="D102" s="159">
        <v>56181</v>
      </c>
      <c r="E102" s="159">
        <v>46357.1</v>
      </c>
      <c r="F102" s="159">
        <f>VLOOKUP(A102,[1]Kolommenbalans!B$1:D$65536,3,FALSE)</f>
        <v>47806.689999999995</v>
      </c>
      <c r="G102" s="159">
        <v>31243.87</v>
      </c>
      <c r="H102" s="161">
        <f t="shared" si="1"/>
        <v>181588.66</v>
      </c>
      <c r="I102" s="114"/>
    </row>
    <row r="103" spans="1:10" ht="12.75" customHeight="1">
      <c r="A103" s="1" t="s">
        <v>244</v>
      </c>
      <c r="B103" s="1" t="s">
        <v>245</v>
      </c>
      <c r="D103" s="159">
        <v>11000</v>
      </c>
      <c r="E103" s="159">
        <v>7662.19</v>
      </c>
      <c r="F103" s="159">
        <f>VLOOKUP(A103,[1]Kolommenbalans!B$1:D$65536,3,FALSE)</f>
        <v>6967.14</v>
      </c>
      <c r="G103" s="159">
        <v>12275.33</v>
      </c>
      <c r="H103" s="161">
        <f t="shared" si="1"/>
        <v>37904.659999999996</v>
      </c>
      <c r="I103" s="114"/>
    </row>
    <row r="104" spans="1:10" ht="12.75" customHeight="1">
      <c r="A104" s="1" t="s">
        <v>246</v>
      </c>
      <c r="B104" s="1" t="s">
        <v>247</v>
      </c>
      <c r="D104" s="159">
        <v>13200</v>
      </c>
      <c r="E104" s="159">
        <v>9900</v>
      </c>
      <c r="F104" s="159">
        <f>VLOOKUP(A104,[1]Kolommenbalans!B$1:D$65536,3,FALSE)</f>
        <v>100650</v>
      </c>
      <c r="G104" s="159">
        <v>11000</v>
      </c>
      <c r="H104" s="161">
        <f t="shared" si="1"/>
        <v>134750</v>
      </c>
      <c r="I104" s="114"/>
    </row>
    <row r="105" spans="1:10" ht="12.75" customHeight="1">
      <c r="A105" s="1" t="s">
        <v>248</v>
      </c>
      <c r="B105" s="1" t="s">
        <v>249</v>
      </c>
      <c r="D105" s="272">
        <v>30138</v>
      </c>
      <c r="E105" s="272">
        <v>30344</v>
      </c>
      <c r="F105" s="272">
        <v>30223</v>
      </c>
      <c r="G105" s="159">
        <v>30061.71</v>
      </c>
      <c r="H105" s="161">
        <f t="shared" si="1"/>
        <v>120766.70999999999</v>
      </c>
      <c r="I105" s="280" t="s">
        <v>685</v>
      </c>
    </row>
    <row r="106" spans="1:10" ht="12.75" customHeight="1">
      <c r="A106" s="1" t="s">
        <v>436</v>
      </c>
      <c r="B106" s="1" t="s">
        <v>653</v>
      </c>
      <c r="D106" s="159">
        <v>0</v>
      </c>
      <c r="E106" s="159">
        <v>0</v>
      </c>
      <c r="F106" s="159">
        <f>VLOOKUP(A106,[1]Kolommenbalans!B$1:D$65536,3,FALSE)</f>
        <v>0</v>
      </c>
      <c r="G106" s="159">
        <v>40000</v>
      </c>
      <c r="H106" s="161">
        <f t="shared" si="1"/>
        <v>40000</v>
      </c>
      <c r="I106" s="114"/>
    </row>
    <row r="107" spans="1:10" ht="12.75" customHeight="1">
      <c r="A107" s="1" t="s">
        <v>250</v>
      </c>
      <c r="B107" s="1" t="s">
        <v>251</v>
      </c>
      <c r="D107" s="159">
        <v>1946</v>
      </c>
      <c r="E107" s="159">
        <v>2438.6999999999998</v>
      </c>
      <c r="F107" s="159">
        <f>VLOOKUP(A107,[1]Kolommenbalans!B$1:D$65536,3,FALSE)</f>
        <v>-1507.82</v>
      </c>
      <c r="G107" s="159">
        <v>4108.82</v>
      </c>
      <c r="H107" s="161">
        <f t="shared" si="1"/>
        <v>6985.7</v>
      </c>
      <c r="I107" s="114"/>
    </row>
    <row r="108" spans="1:10" ht="12.75" customHeight="1">
      <c r="H108" s="114">
        <f t="shared" si="1"/>
        <v>0</v>
      </c>
      <c r="I108" s="114"/>
    </row>
    <row r="109" spans="1:10" ht="12.75" customHeight="1">
      <c r="A109" s="1" t="s">
        <v>654</v>
      </c>
      <c r="B109" s="1" t="s">
        <v>655</v>
      </c>
      <c r="D109" s="159">
        <v>0</v>
      </c>
      <c r="H109" s="114">
        <f t="shared" si="1"/>
        <v>0</v>
      </c>
      <c r="I109" s="114"/>
    </row>
    <row r="110" spans="1:10" ht="12.75" customHeight="1">
      <c r="A110" s="1" t="s">
        <v>656</v>
      </c>
      <c r="B110" s="1" t="s">
        <v>477</v>
      </c>
      <c r="D110" s="159">
        <v>0</v>
      </c>
      <c r="H110" s="114">
        <f t="shared" si="1"/>
        <v>0</v>
      </c>
      <c r="I110" s="114"/>
    </row>
    <row r="111" spans="1:10" ht="12.75" customHeight="1">
      <c r="A111" s="1" t="s">
        <v>657</v>
      </c>
      <c r="B111" s="1" t="s">
        <v>658</v>
      </c>
      <c r="D111" s="159">
        <v>0</v>
      </c>
      <c r="H111" s="114">
        <f t="shared" si="1"/>
        <v>0</v>
      </c>
      <c r="I111" s="114"/>
    </row>
    <row r="112" spans="1:10" ht="12.75" customHeight="1">
      <c r="A112" s="1" t="s">
        <v>260</v>
      </c>
      <c r="B112" s="1" t="s">
        <v>261</v>
      </c>
      <c r="D112" s="159">
        <v>1936807</v>
      </c>
      <c r="E112" s="159">
        <v>1946836.3</v>
      </c>
      <c r="F112" s="159">
        <f>VLOOKUP(A112,[1]Kolommenbalans!B$1:D$65536,3,FALSE)</f>
        <v>1915107.54</v>
      </c>
      <c r="G112" s="159">
        <v>1738638.91</v>
      </c>
      <c r="H112" s="114">
        <f t="shared" si="1"/>
        <v>7537389.75</v>
      </c>
      <c r="I112" s="114"/>
    </row>
    <row r="113" spans="1:9" ht="12.75" customHeight="1">
      <c r="A113" s="1" t="s">
        <v>266</v>
      </c>
      <c r="B113" s="1" t="s">
        <v>267</v>
      </c>
      <c r="D113" s="272">
        <v>-221366</v>
      </c>
      <c r="E113" s="272">
        <v>-222008</v>
      </c>
      <c r="F113" s="272">
        <v>-181507</v>
      </c>
      <c r="G113" s="159">
        <v>-76671.34</v>
      </c>
      <c r="H113" s="114">
        <f t="shared" si="1"/>
        <v>-701552.34</v>
      </c>
      <c r="I113" s="280" t="s">
        <v>685</v>
      </c>
    </row>
    <row r="114" spans="1:9" ht="12.75" customHeight="1">
      <c r="A114" s="1" t="s">
        <v>659</v>
      </c>
      <c r="B114" s="1" t="s">
        <v>660</v>
      </c>
      <c r="D114" s="159">
        <v>-52</v>
      </c>
      <c r="E114" s="272">
        <v>0</v>
      </c>
      <c r="F114" s="159">
        <f>VLOOKUP(A114,[1]Kolommenbalans!B$1:D$65536,3,FALSE)</f>
        <v>51.12</v>
      </c>
      <c r="G114" s="159">
        <v>1</v>
      </c>
      <c r="H114" s="114">
        <f t="shared" si="1"/>
        <v>0.11999999999999744</v>
      </c>
      <c r="I114" s="280" t="s">
        <v>686</v>
      </c>
    </row>
    <row r="115" spans="1:9" ht="12.75" customHeight="1">
      <c r="A115" s="1" t="s">
        <v>661</v>
      </c>
      <c r="B115" s="1" t="s">
        <v>564</v>
      </c>
      <c r="D115" s="159">
        <v>-524297</v>
      </c>
      <c r="E115" s="159">
        <v>-530364.23</v>
      </c>
      <c r="F115" s="159">
        <f>VLOOKUP(A115,[1]Kolommenbalans!B$1:D$65536,3,FALSE)</f>
        <v>-519493.62</v>
      </c>
      <c r="G115" s="159">
        <v>-468232.28</v>
      </c>
      <c r="H115" s="114">
        <f t="shared" si="1"/>
        <v>-2042387.1300000001</v>
      </c>
      <c r="I115" s="114"/>
    </row>
    <row r="116" spans="1:9" ht="12.75" customHeight="1">
      <c r="H116" s="114">
        <f t="shared" si="1"/>
        <v>0</v>
      </c>
      <c r="I116" s="114"/>
    </row>
    <row r="117" spans="1:9" ht="12.75" customHeight="1">
      <c r="A117" s="1" t="s">
        <v>662</v>
      </c>
      <c r="B117" s="1" t="s">
        <v>394</v>
      </c>
      <c r="D117" s="159">
        <v>0</v>
      </c>
      <c r="H117" s="114">
        <f t="shared" si="1"/>
        <v>0</v>
      </c>
      <c r="I117" s="114"/>
    </row>
    <row r="118" spans="1:9" ht="12.75" customHeight="1">
      <c r="A118" s="1" t="s">
        <v>272</v>
      </c>
      <c r="B118" s="1" t="s">
        <v>273</v>
      </c>
      <c r="D118" s="159">
        <v>-160838</v>
      </c>
      <c r="E118" s="159">
        <v>-176734</v>
      </c>
      <c r="F118" s="159">
        <f>VLOOKUP(A118,[1]Kolommenbalans!B$1:D$65536,3,FALSE)</f>
        <v>-155489</v>
      </c>
      <c r="G118" s="159">
        <v>-202710</v>
      </c>
      <c r="H118" s="161">
        <f>SUM(C118:G118)</f>
        <v>-695771</v>
      </c>
      <c r="I118" s="114"/>
    </row>
    <row r="119" spans="1:9" ht="12.75" customHeight="1">
      <c r="H119" s="114"/>
      <c r="I119" s="114"/>
    </row>
    <row r="120" spans="1:9" ht="12.75" customHeight="1">
      <c r="A120" s="1" t="s">
        <v>440</v>
      </c>
      <c r="D120" s="159">
        <f>SUM(D72:D118)</f>
        <v>-1089364.6299999999</v>
      </c>
      <c r="E120" s="159">
        <f>SUM(E72:E118)</f>
        <v>-925445.15000000037</v>
      </c>
      <c r="F120" s="159">
        <f>SUM(F72:F118)</f>
        <v>-1322004.3500000001</v>
      </c>
      <c r="G120" s="159">
        <f>SUM(G72:G118)</f>
        <v>-696881.81999999972</v>
      </c>
      <c r="H120" s="114">
        <f>SUM(C120:G120)</f>
        <v>-4033695.95</v>
      </c>
      <c r="I120" s="114"/>
    </row>
    <row r="122" spans="1:9" ht="12.75" customHeight="1">
      <c r="A122" s="1" t="s">
        <v>663</v>
      </c>
      <c r="D122" s="159">
        <f>SUM(D5:D118)</f>
        <v>0.33999999985098839</v>
      </c>
      <c r="E122" s="137">
        <f>SUM(E5:E118)</f>
        <v>0.58000000030733645</v>
      </c>
      <c r="F122" s="137">
        <f>SUM(F5:F118)</f>
        <v>-0.21000000019557774</v>
      </c>
      <c r="G122" s="137">
        <f>SUM(G5:G118)</f>
        <v>-0.44000000017695129</v>
      </c>
      <c r="H122" s="137">
        <f>SUM(H5:H118)</f>
        <v>0.26999997417442501</v>
      </c>
    </row>
    <row r="124" spans="1:9" ht="12.75" customHeight="1">
      <c r="A124" s="136" t="s">
        <v>579</v>
      </c>
      <c r="C124" s="246"/>
      <c r="D124" s="261">
        <f>36883.33*3</f>
        <v>110649.99</v>
      </c>
      <c r="E124" s="261">
        <f>36883.33*3</f>
        <v>110649.99</v>
      </c>
      <c r="F124" s="261">
        <f>36883.33*3</f>
        <v>110649.99</v>
      </c>
      <c r="G124" s="261">
        <f>36883.33*3</f>
        <v>110649.99</v>
      </c>
      <c r="H124" s="114"/>
    </row>
    <row r="125" spans="1:9" ht="12.75" customHeight="1">
      <c r="A125" s="136" t="s">
        <v>580</v>
      </c>
      <c r="C125" s="246"/>
      <c r="D125" s="246">
        <v>-332016.32</v>
      </c>
      <c r="E125" s="246">
        <v>-332658.46999999997</v>
      </c>
      <c r="F125" s="274">
        <v>-292157.34000000003</v>
      </c>
      <c r="G125" s="274">
        <v>-187321.85</v>
      </c>
      <c r="H125" s="114"/>
    </row>
    <row r="126" spans="1:9" ht="12.75" customHeight="1">
      <c r="A126" s="136"/>
      <c r="C126" s="246"/>
      <c r="D126" s="246"/>
      <c r="E126" s="246"/>
      <c r="F126" s="246"/>
      <c r="G126" s="246"/>
      <c r="H126" s="114"/>
    </row>
    <row r="127" spans="1:9" ht="12.75" customHeight="1">
      <c r="A127" s="136" t="s">
        <v>581</v>
      </c>
      <c r="C127" s="246"/>
      <c r="D127" s="246">
        <f>D112</f>
        <v>1936807</v>
      </c>
      <c r="E127" s="246">
        <f>E112</f>
        <v>1946836.3</v>
      </c>
      <c r="F127" s="246">
        <f>F112</f>
        <v>1915107.54</v>
      </c>
      <c r="G127" s="246">
        <f>G112</f>
        <v>1738638.91</v>
      </c>
      <c r="H127" s="246">
        <f>H112+H109+H111+H110</f>
        <v>7537389.75</v>
      </c>
    </row>
    <row r="128" spans="1:9" ht="12.75" customHeight="1">
      <c r="A128" s="136" t="s">
        <v>582</v>
      </c>
      <c r="C128" s="246"/>
      <c r="D128" s="246">
        <f>D125</f>
        <v>-332016.32</v>
      </c>
      <c r="E128" s="276">
        <f>E125</f>
        <v>-332658.46999999997</v>
      </c>
      <c r="F128" s="276">
        <f>F125</f>
        <v>-292157.34000000003</v>
      </c>
      <c r="G128" s="276">
        <f>G125</f>
        <v>-187321.85</v>
      </c>
      <c r="H128" s="263">
        <f>SUM(D128:G128)</f>
        <v>-1144153.9800000002</v>
      </c>
    </row>
    <row r="129" spans="1:8" ht="12.75" customHeight="1">
      <c r="A129" s="136" t="s">
        <v>583</v>
      </c>
      <c r="C129" s="246"/>
      <c r="D129" s="246">
        <f>D124</f>
        <v>110649.99</v>
      </c>
      <c r="E129" s="276">
        <f>E124</f>
        <v>110649.99</v>
      </c>
      <c r="F129" s="276">
        <f>F124</f>
        <v>110649.99</v>
      </c>
      <c r="G129" s="276">
        <f>G124</f>
        <v>110649.99</v>
      </c>
      <c r="H129" s="263">
        <f>SUM(D129:G129)</f>
        <v>442599.96</v>
      </c>
    </row>
    <row r="130" spans="1:8" ht="12.75" customHeight="1">
      <c r="A130" s="136" t="s">
        <v>584</v>
      </c>
      <c r="C130" s="246"/>
      <c r="D130" s="246">
        <f>D110+D115</f>
        <v>-524297</v>
      </c>
      <c r="E130" s="246">
        <f>E110+E115</f>
        <v>-530364.23</v>
      </c>
      <c r="F130" s="246">
        <f>F110+F115</f>
        <v>-519493.62</v>
      </c>
      <c r="G130" s="246">
        <f>G110+G115</f>
        <v>-468232.28</v>
      </c>
      <c r="H130" s="114">
        <f>SUM(D130:G130)</f>
        <v>-2042387.1300000001</v>
      </c>
    </row>
    <row r="131" spans="1:8" ht="12.75" customHeight="1">
      <c r="D131" s="246">
        <f>SUM(D127:D130)</f>
        <v>1191143.67</v>
      </c>
      <c r="E131" s="246">
        <f>SUM(E127:E130)</f>
        <v>1194463.5900000001</v>
      </c>
      <c r="F131" s="246">
        <f>SUM(F127:F130)</f>
        <v>1214106.5699999998</v>
      </c>
      <c r="G131" s="246">
        <f>SUM(G127:G130)</f>
        <v>1193734.7699999998</v>
      </c>
      <c r="H131" s="114">
        <f>SUM(D131:G131)</f>
        <v>4793448.5999999996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4357-5808-4A31-A3F5-6A50D6FC6E7C}">
  <dimension ref="A1:L133"/>
  <sheetViews>
    <sheetView topLeftCell="A82" zoomScaleNormal="100" workbookViewId="0">
      <selection activeCell="E127" sqref="E127:G127"/>
    </sheetView>
  </sheetViews>
  <sheetFormatPr defaultRowHeight="12.75" customHeight="1"/>
  <cols>
    <col min="1" max="1" width="12.88671875" style="1" bestFit="1" customWidth="1"/>
    <col min="2" max="2" width="70" style="1" bestFit="1" customWidth="1"/>
    <col min="3" max="3" width="26" style="137" bestFit="1" customWidth="1"/>
    <col min="4" max="7" width="17.5546875" style="159" customWidth="1"/>
    <col min="8" max="8" width="20.44140625" style="1" bestFit="1" customWidth="1"/>
    <col min="9" max="9" width="11.33203125" style="1" bestFit="1" customWidth="1"/>
    <col min="10" max="10" width="9.109375" style="1"/>
    <col min="11" max="11" width="10.88671875" style="1" bestFit="1" customWidth="1"/>
    <col min="12" max="256" width="9.109375" style="1"/>
    <col min="257" max="257" width="12.88671875" style="1" bestFit="1" customWidth="1"/>
    <col min="258" max="258" width="70" style="1" bestFit="1" customWidth="1"/>
    <col min="259" max="259" width="26" style="1" bestFit="1" customWidth="1"/>
    <col min="260" max="263" width="17.5546875" style="1" customWidth="1"/>
    <col min="264" max="264" width="20.44140625" style="1" bestFit="1" customWidth="1"/>
    <col min="265" max="265" width="11.33203125" style="1" bestFit="1" customWidth="1"/>
    <col min="266" max="266" width="9.109375" style="1"/>
    <col min="267" max="267" width="10.88671875" style="1" bestFit="1" customWidth="1"/>
    <col min="268" max="512" width="9.109375" style="1"/>
    <col min="513" max="513" width="12.88671875" style="1" bestFit="1" customWidth="1"/>
    <col min="514" max="514" width="70" style="1" bestFit="1" customWidth="1"/>
    <col min="515" max="515" width="26" style="1" bestFit="1" customWidth="1"/>
    <col min="516" max="519" width="17.5546875" style="1" customWidth="1"/>
    <col min="520" max="520" width="20.44140625" style="1" bestFit="1" customWidth="1"/>
    <col min="521" max="521" width="11.33203125" style="1" bestFit="1" customWidth="1"/>
    <col min="522" max="522" width="9.109375" style="1"/>
    <col min="523" max="523" width="10.88671875" style="1" bestFit="1" customWidth="1"/>
    <col min="524" max="768" width="9.109375" style="1"/>
    <col min="769" max="769" width="12.88671875" style="1" bestFit="1" customWidth="1"/>
    <col min="770" max="770" width="70" style="1" bestFit="1" customWidth="1"/>
    <col min="771" max="771" width="26" style="1" bestFit="1" customWidth="1"/>
    <col min="772" max="775" width="17.5546875" style="1" customWidth="1"/>
    <col min="776" max="776" width="20.44140625" style="1" bestFit="1" customWidth="1"/>
    <col min="777" max="777" width="11.33203125" style="1" bestFit="1" customWidth="1"/>
    <col min="778" max="778" width="9.109375" style="1"/>
    <col min="779" max="779" width="10.88671875" style="1" bestFit="1" customWidth="1"/>
    <col min="780" max="1024" width="9.109375" style="1"/>
    <col min="1025" max="1025" width="12.88671875" style="1" bestFit="1" customWidth="1"/>
    <col min="1026" max="1026" width="70" style="1" bestFit="1" customWidth="1"/>
    <col min="1027" max="1027" width="26" style="1" bestFit="1" customWidth="1"/>
    <col min="1028" max="1031" width="17.5546875" style="1" customWidth="1"/>
    <col min="1032" max="1032" width="20.44140625" style="1" bestFit="1" customWidth="1"/>
    <col min="1033" max="1033" width="11.33203125" style="1" bestFit="1" customWidth="1"/>
    <col min="1034" max="1034" width="9.109375" style="1"/>
    <col min="1035" max="1035" width="10.88671875" style="1" bestFit="1" customWidth="1"/>
    <col min="1036" max="1280" width="9.109375" style="1"/>
    <col min="1281" max="1281" width="12.88671875" style="1" bestFit="1" customWidth="1"/>
    <col min="1282" max="1282" width="70" style="1" bestFit="1" customWidth="1"/>
    <col min="1283" max="1283" width="26" style="1" bestFit="1" customWidth="1"/>
    <col min="1284" max="1287" width="17.5546875" style="1" customWidth="1"/>
    <col min="1288" max="1288" width="20.44140625" style="1" bestFit="1" customWidth="1"/>
    <col min="1289" max="1289" width="11.33203125" style="1" bestFit="1" customWidth="1"/>
    <col min="1290" max="1290" width="9.109375" style="1"/>
    <col min="1291" max="1291" width="10.88671875" style="1" bestFit="1" customWidth="1"/>
    <col min="1292" max="1536" width="9.109375" style="1"/>
    <col min="1537" max="1537" width="12.88671875" style="1" bestFit="1" customWidth="1"/>
    <col min="1538" max="1538" width="70" style="1" bestFit="1" customWidth="1"/>
    <col min="1539" max="1539" width="26" style="1" bestFit="1" customWidth="1"/>
    <col min="1540" max="1543" width="17.5546875" style="1" customWidth="1"/>
    <col min="1544" max="1544" width="20.44140625" style="1" bestFit="1" customWidth="1"/>
    <col min="1545" max="1545" width="11.33203125" style="1" bestFit="1" customWidth="1"/>
    <col min="1546" max="1546" width="9.109375" style="1"/>
    <col min="1547" max="1547" width="10.88671875" style="1" bestFit="1" customWidth="1"/>
    <col min="1548" max="1792" width="9.109375" style="1"/>
    <col min="1793" max="1793" width="12.88671875" style="1" bestFit="1" customWidth="1"/>
    <col min="1794" max="1794" width="70" style="1" bestFit="1" customWidth="1"/>
    <col min="1795" max="1795" width="26" style="1" bestFit="1" customWidth="1"/>
    <col min="1796" max="1799" width="17.5546875" style="1" customWidth="1"/>
    <col min="1800" max="1800" width="20.44140625" style="1" bestFit="1" customWidth="1"/>
    <col min="1801" max="1801" width="11.33203125" style="1" bestFit="1" customWidth="1"/>
    <col min="1802" max="1802" width="9.109375" style="1"/>
    <col min="1803" max="1803" width="10.88671875" style="1" bestFit="1" customWidth="1"/>
    <col min="1804" max="2048" width="9.109375" style="1"/>
    <col min="2049" max="2049" width="12.88671875" style="1" bestFit="1" customWidth="1"/>
    <col min="2050" max="2050" width="70" style="1" bestFit="1" customWidth="1"/>
    <col min="2051" max="2051" width="26" style="1" bestFit="1" customWidth="1"/>
    <col min="2052" max="2055" width="17.5546875" style="1" customWidth="1"/>
    <col min="2056" max="2056" width="20.44140625" style="1" bestFit="1" customWidth="1"/>
    <col min="2057" max="2057" width="11.33203125" style="1" bestFit="1" customWidth="1"/>
    <col min="2058" max="2058" width="9.109375" style="1"/>
    <col min="2059" max="2059" width="10.88671875" style="1" bestFit="1" customWidth="1"/>
    <col min="2060" max="2304" width="9.109375" style="1"/>
    <col min="2305" max="2305" width="12.88671875" style="1" bestFit="1" customWidth="1"/>
    <col min="2306" max="2306" width="70" style="1" bestFit="1" customWidth="1"/>
    <col min="2307" max="2307" width="26" style="1" bestFit="1" customWidth="1"/>
    <col min="2308" max="2311" width="17.5546875" style="1" customWidth="1"/>
    <col min="2312" max="2312" width="20.44140625" style="1" bestFit="1" customWidth="1"/>
    <col min="2313" max="2313" width="11.33203125" style="1" bestFit="1" customWidth="1"/>
    <col min="2314" max="2314" width="9.109375" style="1"/>
    <col min="2315" max="2315" width="10.88671875" style="1" bestFit="1" customWidth="1"/>
    <col min="2316" max="2560" width="9.109375" style="1"/>
    <col min="2561" max="2561" width="12.88671875" style="1" bestFit="1" customWidth="1"/>
    <col min="2562" max="2562" width="70" style="1" bestFit="1" customWidth="1"/>
    <col min="2563" max="2563" width="26" style="1" bestFit="1" customWidth="1"/>
    <col min="2564" max="2567" width="17.5546875" style="1" customWidth="1"/>
    <col min="2568" max="2568" width="20.44140625" style="1" bestFit="1" customWidth="1"/>
    <col min="2569" max="2569" width="11.33203125" style="1" bestFit="1" customWidth="1"/>
    <col min="2570" max="2570" width="9.109375" style="1"/>
    <col min="2571" max="2571" width="10.88671875" style="1" bestFit="1" customWidth="1"/>
    <col min="2572" max="2816" width="9.109375" style="1"/>
    <col min="2817" max="2817" width="12.88671875" style="1" bestFit="1" customWidth="1"/>
    <col min="2818" max="2818" width="70" style="1" bestFit="1" customWidth="1"/>
    <col min="2819" max="2819" width="26" style="1" bestFit="1" customWidth="1"/>
    <col min="2820" max="2823" width="17.5546875" style="1" customWidth="1"/>
    <col min="2824" max="2824" width="20.44140625" style="1" bestFit="1" customWidth="1"/>
    <col min="2825" max="2825" width="11.33203125" style="1" bestFit="1" customWidth="1"/>
    <col min="2826" max="2826" width="9.109375" style="1"/>
    <col min="2827" max="2827" width="10.88671875" style="1" bestFit="1" customWidth="1"/>
    <col min="2828" max="3072" width="9.109375" style="1"/>
    <col min="3073" max="3073" width="12.88671875" style="1" bestFit="1" customWidth="1"/>
    <col min="3074" max="3074" width="70" style="1" bestFit="1" customWidth="1"/>
    <col min="3075" max="3075" width="26" style="1" bestFit="1" customWidth="1"/>
    <col min="3076" max="3079" width="17.5546875" style="1" customWidth="1"/>
    <col min="3080" max="3080" width="20.44140625" style="1" bestFit="1" customWidth="1"/>
    <col min="3081" max="3081" width="11.33203125" style="1" bestFit="1" customWidth="1"/>
    <col min="3082" max="3082" width="9.109375" style="1"/>
    <col min="3083" max="3083" width="10.88671875" style="1" bestFit="1" customWidth="1"/>
    <col min="3084" max="3328" width="9.109375" style="1"/>
    <col min="3329" max="3329" width="12.88671875" style="1" bestFit="1" customWidth="1"/>
    <col min="3330" max="3330" width="70" style="1" bestFit="1" customWidth="1"/>
    <col min="3331" max="3331" width="26" style="1" bestFit="1" customWidth="1"/>
    <col min="3332" max="3335" width="17.5546875" style="1" customWidth="1"/>
    <col min="3336" max="3336" width="20.44140625" style="1" bestFit="1" customWidth="1"/>
    <col min="3337" max="3337" width="11.33203125" style="1" bestFit="1" customWidth="1"/>
    <col min="3338" max="3338" width="9.109375" style="1"/>
    <col min="3339" max="3339" width="10.88671875" style="1" bestFit="1" customWidth="1"/>
    <col min="3340" max="3584" width="9.109375" style="1"/>
    <col min="3585" max="3585" width="12.88671875" style="1" bestFit="1" customWidth="1"/>
    <col min="3586" max="3586" width="70" style="1" bestFit="1" customWidth="1"/>
    <col min="3587" max="3587" width="26" style="1" bestFit="1" customWidth="1"/>
    <col min="3588" max="3591" width="17.5546875" style="1" customWidth="1"/>
    <col min="3592" max="3592" width="20.44140625" style="1" bestFit="1" customWidth="1"/>
    <col min="3593" max="3593" width="11.33203125" style="1" bestFit="1" customWidth="1"/>
    <col min="3594" max="3594" width="9.109375" style="1"/>
    <col min="3595" max="3595" width="10.88671875" style="1" bestFit="1" customWidth="1"/>
    <col min="3596" max="3840" width="9.109375" style="1"/>
    <col min="3841" max="3841" width="12.88671875" style="1" bestFit="1" customWidth="1"/>
    <col min="3842" max="3842" width="70" style="1" bestFit="1" customWidth="1"/>
    <col min="3843" max="3843" width="26" style="1" bestFit="1" customWidth="1"/>
    <col min="3844" max="3847" width="17.5546875" style="1" customWidth="1"/>
    <col min="3848" max="3848" width="20.44140625" style="1" bestFit="1" customWidth="1"/>
    <col min="3849" max="3849" width="11.33203125" style="1" bestFit="1" customWidth="1"/>
    <col min="3850" max="3850" width="9.109375" style="1"/>
    <col min="3851" max="3851" width="10.88671875" style="1" bestFit="1" customWidth="1"/>
    <col min="3852" max="4096" width="9.109375" style="1"/>
    <col min="4097" max="4097" width="12.88671875" style="1" bestFit="1" customWidth="1"/>
    <col min="4098" max="4098" width="70" style="1" bestFit="1" customWidth="1"/>
    <col min="4099" max="4099" width="26" style="1" bestFit="1" customWidth="1"/>
    <col min="4100" max="4103" width="17.5546875" style="1" customWidth="1"/>
    <col min="4104" max="4104" width="20.44140625" style="1" bestFit="1" customWidth="1"/>
    <col min="4105" max="4105" width="11.33203125" style="1" bestFit="1" customWidth="1"/>
    <col min="4106" max="4106" width="9.109375" style="1"/>
    <col min="4107" max="4107" width="10.88671875" style="1" bestFit="1" customWidth="1"/>
    <col min="4108" max="4352" width="9.109375" style="1"/>
    <col min="4353" max="4353" width="12.88671875" style="1" bestFit="1" customWidth="1"/>
    <col min="4354" max="4354" width="70" style="1" bestFit="1" customWidth="1"/>
    <col min="4355" max="4355" width="26" style="1" bestFit="1" customWidth="1"/>
    <col min="4356" max="4359" width="17.5546875" style="1" customWidth="1"/>
    <col min="4360" max="4360" width="20.44140625" style="1" bestFit="1" customWidth="1"/>
    <col min="4361" max="4361" width="11.33203125" style="1" bestFit="1" customWidth="1"/>
    <col min="4362" max="4362" width="9.109375" style="1"/>
    <col min="4363" max="4363" width="10.88671875" style="1" bestFit="1" customWidth="1"/>
    <col min="4364" max="4608" width="9.109375" style="1"/>
    <col min="4609" max="4609" width="12.88671875" style="1" bestFit="1" customWidth="1"/>
    <col min="4610" max="4610" width="70" style="1" bestFit="1" customWidth="1"/>
    <col min="4611" max="4611" width="26" style="1" bestFit="1" customWidth="1"/>
    <col min="4612" max="4615" width="17.5546875" style="1" customWidth="1"/>
    <col min="4616" max="4616" width="20.44140625" style="1" bestFit="1" customWidth="1"/>
    <col min="4617" max="4617" width="11.33203125" style="1" bestFit="1" customWidth="1"/>
    <col min="4618" max="4618" width="9.109375" style="1"/>
    <col min="4619" max="4619" width="10.88671875" style="1" bestFit="1" customWidth="1"/>
    <col min="4620" max="4864" width="9.109375" style="1"/>
    <col min="4865" max="4865" width="12.88671875" style="1" bestFit="1" customWidth="1"/>
    <col min="4866" max="4866" width="70" style="1" bestFit="1" customWidth="1"/>
    <col min="4867" max="4867" width="26" style="1" bestFit="1" customWidth="1"/>
    <col min="4868" max="4871" width="17.5546875" style="1" customWidth="1"/>
    <col min="4872" max="4872" width="20.44140625" style="1" bestFit="1" customWidth="1"/>
    <col min="4873" max="4873" width="11.33203125" style="1" bestFit="1" customWidth="1"/>
    <col min="4874" max="4874" width="9.109375" style="1"/>
    <col min="4875" max="4875" width="10.88671875" style="1" bestFit="1" customWidth="1"/>
    <col min="4876" max="5120" width="9.109375" style="1"/>
    <col min="5121" max="5121" width="12.88671875" style="1" bestFit="1" customWidth="1"/>
    <col min="5122" max="5122" width="70" style="1" bestFit="1" customWidth="1"/>
    <col min="5123" max="5123" width="26" style="1" bestFit="1" customWidth="1"/>
    <col min="5124" max="5127" width="17.5546875" style="1" customWidth="1"/>
    <col min="5128" max="5128" width="20.44140625" style="1" bestFit="1" customWidth="1"/>
    <col min="5129" max="5129" width="11.33203125" style="1" bestFit="1" customWidth="1"/>
    <col min="5130" max="5130" width="9.109375" style="1"/>
    <col min="5131" max="5131" width="10.88671875" style="1" bestFit="1" customWidth="1"/>
    <col min="5132" max="5376" width="9.109375" style="1"/>
    <col min="5377" max="5377" width="12.88671875" style="1" bestFit="1" customWidth="1"/>
    <col min="5378" max="5378" width="70" style="1" bestFit="1" customWidth="1"/>
    <col min="5379" max="5379" width="26" style="1" bestFit="1" customWidth="1"/>
    <col min="5380" max="5383" width="17.5546875" style="1" customWidth="1"/>
    <col min="5384" max="5384" width="20.44140625" style="1" bestFit="1" customWidth="1"/>
    <col min="5385" max="5385" width="11.33203125" style="1" bestFit="1" customWidth="1"/>
    <col min="5386" max="5386" width="9.109375" style="1"/>
    <col min="5387" max="5387" width="10.88671875" style="1" bestFit="1" customWidth="1"/>
    <col min="5388" max="5632" width="9.109375" style="1"/>
    <col min="5633" max="5633" width="12.88671875" style="1" bestFit="1" customWidth="1"/>
    <col min="5634" max="5634" width="70" style="1" bestFit="1" customWidth="1"/>
    <col min="5635" max="5635" width="26" style="1" bestFit="1" customWidth="1"/>
    <col min="5636" max="5639" width="17.5546875" style="1" customWidth="1"/>
    <col min="5640" max="5640" width="20.44140625" style="1" bestFit="1" customWidth="1"/>
    <col min="5641" max="5641" width="11.33203125" style="1" bestFit="1" customWidth="1"/>
    <col min="5642" max="5642" width="9.109375" style="1"/>
    <col min="5643" max="5643" width="10.88671875" style="1" bestFit="1" customWidth="1"/>
    <col min="5644" max="5888" width="9.109375" style="1"/>
    <col min="5889" max="5889" width="12.88671875" style="1" bestFit="1" customWidth="1"/>
    <col min="5890" max="5890" width="70" style="1" bestFit="1" customWidth="1"/>
    <col min="5891" max="5891" width="26" style="1" bestFit="1" customWidth="1"/>
    <col min="5892" max="5895" width="17.5546875" style="1" customWidth="1"/>
    <col min="5896" max="5896" width="20.44140625" style="1" bestFit="1" customWidth="1"/>
    <col min="5897" max="5897" width="11.33203125" style="1" bestFit="1" customWidth="1"/>
    <col min="5898" max="5898" width="9.109375" style="1"/>
    <col min="5899" max="5899" width="10.88671875" style="1" bestFit="1" customWidth="1"/>
    <col min="5900" max="6144" width="9.109375" style="1"/>
    <col min="6145" max="6145" width="12.88671875" style="1" bestFit="1" customWidth="1"/>
    <col min="6146" max="6146" width="70" style="1" bestFit="1" customWidth="1"/>
    <col min="6147" max="6147" width="26" style="1" bestFit="1" customWidth="1"/>
    <col min="6148" max="6151" width="17.5546875" style="1" customWidth="1"/>
    <col min="6152" max="6152" width="20.44140625" style="1" bestFit="1" customWidth="1"/>
    <col min="6153" max="6153" width="11.33203125" style="1" bestFit="1" customWidth="1"/>
    <col min="6154" max="6154" width="9.109375" style="1"/>
    <col min="6155" max="6155" width="10.88671875" style="1" bestFit="1" customWidth="1"/>
    <col min="6156" max="6400" width="9.109375" style="1"/>
    <col min="6401" max="6401" width="12.88671875" style="1" bestFit="1" customWidth="1"/>
    <col min="6402" max="6402" width="70" style="1" bestFit="1" customWidth="1"/>
    <col min="6403" max="6403" width="26" style="1" bestFit="1" customWidth="1"/>
    <col min="6404" max="6407" width="17.5546875" style="1" customWidth="1"/>
    <col min="6408" max="6408" width="20.44140625" style="1" bestFit="1" customWidth="1"/>
    <col min="6409" max="6409" width="11.33203125" style="1" bestFit="1" customWidth="1"/>
    <col min="6410" max="6410" width="9.109375" style="1"/>
    <col min="6411" max="6411" width="10.88671875" style="1" bestFit="1" customWidth="1"/>
    <col min="6412" max="6656" width="9.109375" style="1"/>
    <col min="6657" max="6657" width="12.88671875" style="1" bestFit="1" customWidth="1"/>
    <col min="6658" max="6658" width="70" style="1" bestFit="1" customWidth="1"/>
    <col min="6659" max="6659" width="26" style="1" bestFit="1" customWidth="1"/>
    <col min="6660" max="6663" width="17.5546875" style="1" customWidth="1"/>
    <col min="6664" max="6664" width="20.44140625" style="1" bestFit="1" customWidth="1"/>
    <col min="6665" max="6665" width="11.33203125" style="1" bestFit="1" customWidth="1"/>
    <col min="6666" max="6666" width="9.109375" style="1"/>
    <col min="6667" max="6667" width="10.88671875" style="1" bestFit="1" customWidth="1"/>
    <col min="6668" max="6912" width="9.109375" style="1"/>
    <col min="6913" max="6913" width="12.88671875" style="1" bestFit="1" customWidth="1"/>
    <col min="6914" max="6914" width="70" style="1" bestFit="1" customWidth="1"/>
    <col min="6915" max="6915" width="26" style="1" bestFit="1" customWidth="1"/>
    <col min="6916" max="6919" width="17.5546875" style="1" customWidth="1"/>
    <col min="6920" max="6920" width="20.44140625" style="1" bestFit="1" customWidth="1"/>
    <col min="6921" max="6921" width="11.33203125" style="1" bestFit="1" customWidth="1"/>
    <col min="6922" max="6922" width="9.109375" style="1"/>
    <col min="6923" max="6923" width="10.88671875" style="1" bestFit="1" customWidth="1"/>
    <col min="6924" max="7168" width="9.109375" style="1"/>
    <col min="7169" max="7169" width="12.88671875" style="1" bestFit="1" customWidth="1"/>
    <col min="7170" max="7170" width="70" style="1" bestFit="1" customWidth="1"/>
    <col min="7171" max="7171" width="26" style="1" bestFit="1" customWidth="1"/>
    <col min="7172" max="7175" width="17.5546875" style="1" customWidth="1"/>
    <col min="7176" max="7176" width="20.44140625" style="1" bestFit="1" customWidth="1"/>
    <col min="7177" max="7177" width="11.33203125" style="1" bestFit="1" customWidth="1"/>
    <col min="7178" max="7178" width="9.109375" style="1"/>
    <col min="7179" max="7179" width="10.88671875" style="1" bestFit="1" customWidth="1"/>
    <col min="7180" max="7424" width="9.109375" style="1"/>
    <col min="7425" max="7425" width="12.88671875" style="1" bestFit="1" customWidth="1"/>
    <col min="7426" max="7426" width="70" style="1" bestFit="1" customWidth="1"/>
    <col min="7427" max="7427" width="26" style="1" bestFit="1" customWidth="1"/>
    <col min="7428" max="7431" width="17.5546875" style="1" customWidth="1"/>
    <col min="7432" max="7432" width="20.44140625" style="1" bestFit="1" customWidth="1"/>
    <col min="7433" max="7433" width="11.33203125" style="1" bestFit="1" customWidth="1"/>
    <col min="7434" max="7434" width="9.109375" style="1"/>
    <col min="7435" max="7435" width="10.88671875" style="1" bestFit="1" customWidth="1"/>
    <col min="7436" max="7680" width="9.109375" style="1"/>
    <col min="7681" max="7681" width="12.88671875" style="1" bestFit="1" customWidth="1"/>
    <col min="7682" max="7682" width="70" style="1" bestFit="1" customWidth="1"/>
    <col min="7683" max="7683" width="26" style="1" bestFit="1" customWidth="1"/>
    <col min="7684" max="7687" width="17.5546875" style="1" customWidth="1"/>
    <col min="7688" max="7688" width="20.44140625" style="1" bestFit="1" customWidth="1"/>
    <col min="7689" max="7689" width="11.33203125" style="1" bestFit="1" customWidth="1"/>
    <col min="7690" max="7690" width="9.109375" style="1"/>
    <col min="7691" max="7691" width="10.88671875" style="1" bestFit="1" customWidth="1"/>
    <col min="7692" max="7936" width="9.109375" style="1"/>
    <col min="7937" max="7937" width="12.88671875" style="1" bestFit="1" customWidth="1"/>
    <col min="7938" max="7938" width="70" style="1" bestFit="1" customWidth="1"/>
    <col min="7939" max="7939" width="26" style="1" bestFit="1" customWidth="1"/>
    <col min="7940" max="7943" width="17.5546875" style="1" customWidth="1"/>
    <col min="7944" max="7944" width="20.44140625" style="1" bestFit="1" customWidth="1"/>
    <col min="7945" max="7945" width="11.33203125" style="1" bestFit="1" customWidth="1"/>
    <col min="7946" max="7946" width="9.109375" style="1"/>
    <col min="7947" max="7947" width="10.88671875" style="1" bestFit="1" customWidth="1"/>
    <col min="7948" max="8192" width="9.109375" style="1"/>
    <col min="8193" max="8193" width="12.88671875" style="1" bestFit="1" customWidth="1"/>
    <col min="8194" max="8194" width="70" style="1" bestFit="1" customWidth="1"/>
    <col min="8195" max="8195" width="26" style="1" bestFit="1" customWidth="1"/>
    <col min="8196" max="8199" width="17.5546875" style="1" customWidth="1"/>
    <col min="8200" max="8200" width="20.44140625" style="1" bestFit="1" customWidth="1"/>
    <col min="8201" max="8201" width="11.33203125" style="1" bestFit="1" customWidth="1"/>
    <col min="8202" max="8202" width="9.109375" style="1"/>
    <col min="8203" max="8203" width="10.88671875" style="1" bestFit="1" customWidth="1"/>
    <col min="8204" max="8448" width="9.109375" style="1"/>
    <col min="8449" max="8449" width="12.88671875" style="1" bestFit="1" customWidth="1"/>
    <col min="8450" max="8450" width="70" style="1" bestFit="1" customWidth="1"/>
    <col min="8451" max="8451" width="26" style="1" bestFit="1" customWidth="1"/>
    <col min="8452" max="8455" width="17.5546875" style="1" customWidth="1"/>
    <col min="8456" max="8456" width="20.44140625" style="1" bestFit="1" customWidth="1"/>
    <col min="8457" max="8457" width="11.33203125" style="1" bestFit="1" customWidth="1"/>
    <col min="8458" max="8458" width="9.109375" style="1"/>
    <col min="8459" max="8459" width="10.88671875" style="1" bestFit="1" customWidth="1"/>
    <col min="8460" max="8704" width="9.109375" style="1"/>
    <col min="8705" max="8705" width="12.88671875" style="1" bestFit="1" customWidth="1"/>
    <col min="8706" max="8706" width="70" style="1" bestFit="1" customWidth="1"/>
    <col min="8707" max="8707" width="26" style="1" bestFit="1" customWidth="1"/>
    <col min="8708" max="8711" width="17.5546875" style="1" customWidth="1"/>
    <col min="8712" max="8712" width="20.44140625" style="1" bestFit="1" customWidth="1"/>
    <col min="8713" max="8713" width="11.33203125" style="1" bestFit="1" customWidth="1"/>
    <col min="8714" max="8714" width="9.109375" style="1"/>
    <col min="8715" max="8715" width="10.88671875" style="1" bestFit="1" customWidth="1"/>
    <col min="8716" max="8960" width="9.109375" style="1"/>
    <col min="8961" max="8961" width="12.88671875" style="1" bestFit="1" customWidth="1"/>
    <col min="8962" max="8962" width="70" style="1" bestFit="1" customWidth="1"/>
    <col min="8963" max="8963" width="26" style="1" bestFit="1" customWidth="1"/>
    <col min="8964" max="8967" width="17.5546875" style="1" customWidth="1"/>
    <col min="8968" max="8968" width="20.44140625" style="1" bestFit="1" customWidth="1"/>
    <col min="8969" max="8969" width="11.33203125" style="1" bestFit="1" customWidth="1"/>
    <col min="8970" max="8970" width="9.109375" style="1"/>
    <col min="8971" max="8971" width="10.88671875" style="1" bestFit="1" customWidth="1"/>
    <col min="8972" max="9216" width="9.109375" style="1"/>
    <col min="9217" max="9217" width="12.88671875" style="1" bestFit="1" customWidth="1"/>
    <col min="9218" max="9218" width="70" style="1" bestFit="1" customWidth="1"/>
    <col min="9219" max="9219" width="26" style="1" bestFit="1" customWidth="1"/>
    <col min="9220" max="9223" width="17.5546875" style="1" customWidth="1"/>
    <col min="9224" max="9224" width="20.44140625" style="1" bestFit="1" customWidth="1"/>
    <col min="9225" max="9225" width="11.33203125" style="1" bestFit="1" customWidth="1"/>
    <col min="9226" max="9226" width="9.109375" style="1"/>
    <col min="9227" max="9227" width="10.88671875" style="1" bestFit="1" customWidth="1"/>
    <col min="9228" max="9472" width="9.109375" style="1"/>
    <col min="9473" max="9473" width="12.88671875" style="1" bestFit="1" customWidth="1"/>
    <col min="9474" max="9474" width="70" style="1" bestFit="1" customWidth="1"/>
    <col min="9475" max="9475" width="26" style="1" bestFit="1" customWidth="1"/>
    <col min="9476" max="9479" width="17.5546875" style="1" customWidth="1"/>
    <col min="9480" max="9480" width="20.44140625" style="1" bestFit="1" customWidth="1"/>
    <col min="9481" max="9481" width="11.33203125" style="1" bestFit="1" customWidth="1"/>
    <col min="9482" max="9482" width="9.109375" style="1"/>
    <col min="9483" max="9483" width="10.88671875" style="1" bestFit="1" customWidth="1"/>
    <col min="9484" max="9728" width="9.109375" style="1"/>
    <col min="9729" max="9729" width="12.88671875" style="1" bestFit="1" customWidth="1"/>
    <col min="9730" max="9730" width="70" style="1" bestFit="1" customWidth="1"/>
    <col min="9731" max="9731" width="26" style="1" bestFit="1" customWidth="1"/>
    <col min="9732" max="9735" width="17.5546875" style="1" customWidth="1"/>
    <col min="9736" max="9736" width="20.44140625" style="1" bestFit="1" customWidth="1"/>
    <col min="9737" max="9737" width="11.33203125" style="1" bestFit="1" customWidth="1"/>
    <col min="9738" max="9738" width="9.109375" style="1"/>
    <col min="9739" max="9739" width="10.88671875" style="1" bestFit="1" customWidth="1"/>
    <col min="9740" max="9984" width="9.109375" style="1"/>
    <col min="9985" max="9985" width="12.88671875" style="1" bestFit="1" customWidth="1"/>
    <col min="9986" max="9986" width="70" style="1" bestFit="1" customWidth="1"/>
    <col min="9987" max="9987" width="26" style="1" bestFit="1" customWidth="1"/>
    <col min="9988" max="9991" width="17.5546875" style="1" customWidth="1"/>
    <col min="9992" max="9992" width="20.44140625" style="1" bestFit="1" customWidth="1"/>
    <col min="9993" max="9993" width="11.33203125" style="1" bestFit="1" customWidth="1"/>
    <col min="9994" max="9994" width="9.109375" style="1"/>
    <col min="9995" max="9995" width="10.88671875" style="1" bestFit="1" customWidth="1"/>
    <col min="9996" max="10240" width="9.109375" style="1"/>
    <col min="10241" max="10241" width="12.88671875" style="1" bestFit="1" customWidth="1"/>
    <col min="10242" max="10242" width="70" style="1" bestFit="1" customWidth="1"/>
    <col min="10243" max="10243" width="26" style="1" bestFit="1" customWidth="1"/>
    <col min="10244" max="10247" width="17.5546875" style="1" customWidth="1"/>
    <col min="10248" max="10248" width="20.44140625" style="1" bestFit="1" customWidth="1"/>
    <col min="10249" max="10249" width="11.33203125" style="1" bestFit="1" customWidth="1"/>
    <col min="10250" max="10250" width="9.109375" style="1"/>
    <col min="10251" max="10251" width="10.88671875" style="1" bestFit="1" customWidth="1"/>
    <col min="10252" max="10496" width="9.109375" style="1"/>
    <col min="10497" max="10497" width="12.88671875" style="1" bestFit="1" customWidth="1"/>
    <col min="10498" max="10498" width="70" style="1" bestFit="1" customWidth="1"/>
    <col min="10499" max="10499" width="26" style="1" bestFit="1" customWidth="1"/>
    <col min="10500" max="10503" width="17.5546875" style="1" customWidth="1"/>
    <col min="10504" max="10504" width="20.44140625" style="1" bestFit="1" customWidth="1"/>
    <col min="10505" max="10505" width="11.33203125" style="1" bestFit="1" customWidth="1"/>
    <col min="10506" max="10506" width="9.109375" style="1"/>
    <col min="10507" max="10507" width="10.88671875" style="1" bestFit="1" customWidth="1"/>
    <col min="10508" max="10752" width="9.109375" style="1"/>
    <col min="10753" max="10753" width="12.88671875" style="1" bestFit="1" customWidth="1"/>
    <col min="10754" max="10754" width="70" style="1" bestFit="1" customWidth="1"/>
    <col min="10755" max="10755" width="26" style="1" bestFit="1" customWidth="1"/>
    <col min="10756" max="10759" width="17.5546875" style="1" customWidth="1"/>
    <col min="10760" max="10760" width="20.44140625" style="1" bestFit="1" customWidth="1"/>
    <col min="10761" max="10761" width="11.33203125" style="1" bestFit="1" customWidth="1"/>
    <col min="10762" max="10762" width="9.109375" style="1"/>
    <col min="10763" max="10763" width="10.88671875" style="1" bestFit="1" customWidth="1"/>
    <col min="10764" max="11008" width="9.109375" style="1"/>
    <col min="11009" max="11009" width="12.88671875" style="1" bestFit="1" customWidth="1"/>
    <col min="11010" max="11010" width="70" style="1" bestFit="1" customWidth="1"/>
    <col min="11011" max="11011" width="26" style="1" bestFit="1" customWidth="1"/>
    <col min="11012" max="11015" width="17.5546875" style="1" customWidth="1"/>
    <col min="11016" max="11016" width="20.44140625" style="1" bestFit="1" customWidth="1"/>
    <col min="11017" max="11017" width="11.33203125" style="1" bestFit="1" customWidth="1"/>
    <col min="11018" max="11018" width="9.109375" style="1"/>
    <col min="11019" max="11019" width="10.88671875" style="1" bestFit="1" customWidth="1"/>
    <col min="11020" max="11264" width="9.109375" style="1"/>
    <col min="11265" max="11265" width="12.88671875" style="1" bestFit="1" customWidth="1"/>
    <col min="11266" max="11266" width="70" style="1" bestFit="1" customWidth="1"/>
    <col min="11267" max="11267" width="26" style="1" bestFit="1" customWidth="1"/>
    <col min="11268" max="11271" width="17.5546875" style="1" customWidth="1"/>
    <col min="11272" max="11272" width="20.44140625" style="1" bestFit="1" customWidth="1"/>
    <col min="11273" max="11273" width="11.33203125" style="1" bestFit="1" customWidth="1"/>
    <col min="11274" max="11274" width="9.109375" style="1"/>
    <col min="11275" max="11275" width="10.88671875" style="1" bestFit="1" customWidth="1"/>
    <col min="11276" max="11520" width="9.109375" style="1"/>
    <col min="11521" max="11521" width="12.88671875" style="1" bestFit="1" customWidth="1"/>
    <col min="11522" max="11522" width="70" style="1" bestFit="1" customWidth="1"/>
    <col min="11523" max="11523" width="26" style="1" bestFit="1" customWidth="1"/>
    <col min="11524" max="11527" width="17.5546875" style="1" customWidth="1"/>
    <col min="11528" max="11528" width="20.44140625" style="1" bestFit="1" customWidth="1"/>
    <col min="11529" max="11529" width="11.33203125" style="1" bestFit="1" customWidth="1"/>
    <col min="11530" max="11530" width="9.109375" style="1"/>
    <col min="11531" max="11531" width="10.88671875" style="1" bestFit="1" customWidth="1"/>
    <col min="11532" max="11776" width="9.109375" style="1"/>
    <col min="11777" max="11777" width="12.88671875" style="1" bestFit="1" customWidth="1"/>
    <col min="11778" max="11778" width="70" style="1" bestFit="1" customWidth="1"/>
    <col min="11779" max="11779" width="26" style="1" bestFit="1" customWidth="1"/>
    <col min="11780" max="11783" width="17.5546875" style="1" customWidth="1"/>
    <col min="11784" max="11784" width="20.44140625" style="1" bestFit="1" customWidth="1"/>
    <col min="11785" max="11785" width="11.33203125" style="1" bestFit="1" customWidth="1"/>
    <col min="11786" max="11786" width="9.109375" style="1"/>
    <col min="11787" max="11787" width="10.88671875" style="1" bestFit="1" customWidth="1"/>
    <col min="11788" max="12032" width="9.109375" style="1"/>
    <col min="12033" max="12033" width="12.88671875" style="1" bestFit="1" customWidth="1"/>
    <col min="12034" max="12034" width="70" style="1" bestFit="1" customWidth="1"/>
    <col min="12035" max="12035" width="26" style="1" bestFit="1" customWidth="1"/>
    <col min="12036" max="12039" width="17.5546875" style="1" customWidth="1"/>
    <col min="12040" max="12040" width="20.44140625" style="1" bestFit="1" customWidth="1"/>
    <col min="12041" max="12041" width="11.33203125" style="1" bestFit="1" customWidth="1"/>
    <col min="12042" max="12042" width="9.109375" style="1"/>
    <col min="12043" max="12043" width="10.88671875" style="1" bestFit="1" customWidth="1"/>
    <col min="12044" max="12288" width="9.109375" style="1"/>
    <col min="12289" max="12289" width="12.88671875" style="1" bestFit="1" customWidth="1"/>
    <col min="12290" max="12290" width="70" style="1" bestFit="1" customWidth="1"/>
    <col min="12291" max="12291" width="26" style="1" bestFit="1" customWidth="1"/>
    <col min="12292" max="12295" width="17.5546875" style="1" customWidth="1"/>
    <col min="12296" max="12296" width="20.44140625" style="1" bestFit="1" customWidth="1"/>
    <col min="12297" max="12297" width="11.33203125" style="1" bestFit="1" customWidth="1"/>
    <col min="12298" max="12298" width="9.109375" style="1"/>
    <col min="12299" max="12299" width="10.88671875" style="1" bestFit="1" customWidth="1"/>
    <col min="12300" max="12544" width="9.109375" style="1"/>
    <col min="12545" max="12545" width="12.88671875" style="1" bestFit="1" customWidth="1"/>
    <col min="12546" max="12546" width="70" style="1" bestFit="1" customWidth="1"/>
    <col min="12547" max="12547" width="26" style="1" bestFit="1" customWidth="1"/>
    <col min="12548" max="12551" width="17.5546875" style="1" customWidth="1"/>
    <col min="12552" max="12552" width="20.44140625" style="1" bestFit="1" customWidth="1"/>
    <col min="12553" max="12553" width="11.33203125" style="1" bestFit="1" customWidth="1"/>
    <col min="12554" max="12554" width="9.109375" style="1"/>
    <col min="12555" max="12555" width="10.88671875" style="1" bestFit="1" customWidth="1"/>
    <col min="12556" max="12800" width="9.109375" style="1"/>
    <col min="12801" max="12801" width="12.88671875" style="1" bestFit="1" customWidth="1"/>
    <col min="12802" max="12802" width="70" style="1" bestFit="1" customWidth="1"/>
    <col min="12803" max="12803" width="26" style="1" bestFit="1" customWidth="1"/>
    <col min="12804" max="12807" width="17.5546875" style="1" customWidth="1"/>
    <col min="12808" max="12808" width="20.44140625" style="1" bestFit="1" customWidth="1"/>
    <col min="12809" max="12809" width="11.33203125" style="1" bestFit="1" customWidth="1"/>
    <col min="12810" max="12810" width="9.109375" style="1"/>
    <col min="12811" max="12811" width="10.88671875" style="1" bestFit="1" customWidth="1"/>
    <col min="12812" max="13056" width="9.109375" style="1"/>
    <col min="13057" max="13057" width="12.88671875" style="1" bestFit="1" customWidth="1"/>
    <col min="13058" max="13058" width="70" style="1" bestFit="1" customWidth="1"/>
    <col min="13059" max="13059" width="26" style="1" bestFit="1" customWidth="1"/>
    <col min="13060" max="13063" width="17.5546875" style="1" customWidth="1"/>
    <col min="13064" max="13064" width="20.44140625" style="1" bestFit="1" customWidth="1"/>
    <col min="13065" max="13065" width="11.33203125" style="1" bestFit="1" customWidth="1"/>
    <col min="13066" max="13066" width="9.109375" style="1"/>
    <col min="13067" max="13067" width="10.88671875" style="1" bestFit="1" customWidth="1"/>
    <col min="13068" max="13312" width="9.109375" style="1"/>
    <col min="13313" max="13313" width="12.88671875" style="1" bestFit="1" customWidth="1"/>
    <col min="13314" max="13314" width="70" style="1" bestFit="1" customWidth="1"/>
    <col min="13315" max="13315" width="26" style="1" bestFit="1" customWidth="1"/>
    <col min="13316" max="13319" width="17.5546875" style="1" customWidth="1"/>
    <col min="13320" max="13320" width="20.44140625" style="1" bestFit="1" customWidth="1"/>
    <col min="13321" max="13321" width="11.33203125" style="1" bestFit="1" customWidth="1"/>
    <col min="13322" max="13322" width="9.109375" style="1"/>
    <col min="13323" max="13323" width="10.88671875" style="1" bestFit="1" customWidth="1"/>
    <col min="13324" max="13568" width="9.109375" style="1"/>
    <col min="13569" max="13569" width="12.88671875" style="1" bestFit="1" customWidth="1"/>
    <col min="13570" max="13570" width="70" style="1" bestFit="1" customWidth="1"/>
    <col min="13571" max="13571" width="26" style="1" bestFit="1" customWidth="1"/>
    <col min="13572" max="13575" width="17.5546875" style="1" customWidth="1"/>
    <col min="13576" max="13576" width="20.44140625" style="1" bestFit="1" customWidth="1"/>
    <col min="13577" max="13577" width="11.33203125" style="1" bestFit="1" customWidth="1"/>
    <col min="13578" max="13578" width="9.109375" style="1"/>
    <col min="13579" max="13579" width="10.88671875" style="1" bestFit="1" customWidth="1"/>
    <col min="13580" max="13824" width="9.109375" style="1"/>
    <col min="13825" max="13825" width="12.88671875" style="1" bestFit="1" customWidth="1"/>
    <col min="13826" max="13826" width="70" style="1" bestFit="1" customWidth="1"/>
    <col min="13827" max="13827" width="26" style="1" bestFit="1" customWidth="1"/>
    <col min="13828" max="13831" width="17.5546875" style="1" customWidth="1"/>
    <col min="13832" max="13832" width="20.44140625" style="1" bestFit="1" customWidth="1"/>
    <col min="13833" max="13833" width="11.33203125" style="1" bestFit="1" customWidth="1"/>
    <col min="13834" max="13834" width="9.109375" style="1"/>
    <col min="13835" max="13835" width="10.88671875" style="1" bestFit="1" customWidth="1"/>
    <col min="13836" max="14080" width="9.109375" style="1"/>
    <col min="14081" max="14081" width="12.88671875" style="1" bestFit="1" customWidth="1"/>
    <col min="14082" max="14082" width="70" style="1" bestFit="1" customWidth="1"/>
    <col min="14083" max="14083" width="26" style="1" bestFit="1" customWidth="1"/>
    <col min="14084" max="14087" width="17.5546875" style="1" customWidth="1"/>
    <col min="14088" max="14088" width="20.44140625" style="1" bestFit="1" customWidth="1"/>
    <col min="14089" max="14089" width="11.33203125" style="1" bestFit="1" customWidth="1"/>
    <col min="14090" max="14090" width="9.109375" style="1"/>
    <col min="14091" max="14091" width="10.88671875" style="1" bestFit="1" customWidth="1"/>
    <col min="14092" max="14336" width="9.109375" style="1"/>
    <col min="14337" max="14337" width="12.88671875" style="1" bestFit="1" customWidth="1"/>
    <col min="14338" max="14338" width="70" style="1" bestFit="1" customWidth="1"/>
    <col min="14339" max="14339" width="26" style="1" bestFit="1" customWidth="1"/>
    <col min="14340" max="14343" width="17.5546875" style="1" customWidth="1"/>
    <col min="14344" max="14344" width="20.44140625" style="1" bestFit="1" customWidth="1"/>
    <col min="14345" max="14345" width="11.33203125" style="1" bestFit="1" customWidth="1"/>
    <col min="14346" max="14346" width="9.109375" style="1"/>
    <col min="14347" max="14347" width="10.88671875" style="1" bestFit="1" customWidth="1"/>
    <col min="14348" max="14592" width="9.109375" style="1"/>
    <col min="14593" max="14593" width="12.88671875" style="1" bestFit="1" customWidth="1"/>
    <col min="14594" max="14594" width="70" style="1" bestFit="1" customWidth="1"/>
    <col min="14595" max="14595" width="26" style="1" bestFit="1" customWidth="1"/>
    <col min="14596" max="14599" width="17.5546875" style="1" customWidth="1"/>
    <col min="14600" max="14600" width="20.44140625" style="1" bestFit="1" customWidth="1"/>
    <col min="14601" max="14601" width="11.33203125" style="1" bestFit="1" customWidth="1"/>
    <col min="14602" max="14602" width="9.109375" style="1"/>
    <col min="14603" max="14603" width="10.88671875" style="1" bestFit="1" customWidth="1"/>
    <col min="14604" max="14848" width="9.109375" style="1"/>
    <col min="14849" max="14849" width="12.88671875" style="1" bestFit="1" customWidth="1"/>
    <col min="14850" max="14850" width="70" style="1" bestFit="1" customWidth="1"/>
    <col min="14851" max="14851" width="26" style="1" bestFit="1" customWidth="1"/>
    <col min="14852" max="14855" width="17.5546875" style="1" customWidth="1"/>
    <col min="14856" max="14856" width="20.44140625" style="1" bestFit="1" customWidth="1"/>
    <col min="14857" max="14857" width="11.33203125" style="1" bestFit="1" customWidth="1"/>
    <col min="14858" max="14858" width="9.109375" style="1"/>
    <col min="14859" max="14859" width="10.88671875" style="1" bestFit="1" customWidth="1"/>
    <col min="14860" max="15104" width="9.109375" style="1"/>
    <col min="15105" max="15105" width="12.88671875" style="1" bestFit="1" customWidth="1"/>
    <col min="15106" max="15106" width="70" style="1" bestFit="1" customWidth="1"/>
    <col min="15107" max="15107" width="26" style="1" bestFit="1" customWidth="1"/>
    <col min="15108" max="15111" width="17.5546875" style="1" customWidth="1"/>
    <col min="15112" max="15112" width="20.44140625" style="1" bestFit="1" customWidth="1"/>
    <col min="15113" max="15113" width="11.33203125" style="1" bestFit="1" customWidth="1"/>
    <col min="15114" max="15114" width="9.109375" style="1"/>
    <col min="15115" max="15115" width="10.88671875" style="1" bestFit="1" customWidth="1"/>
    <col min="15116" max="15360" width="9.109375" style="1"/>
    <col min="15361" max="15361" width="12.88671875" style="1" bestFit="1" customWidth="1"/>
    <col min="15362" max="15362" width="70" style="1" bestFit="1" customWidth="1"/>
    <col min="15363" max="15363" width="26" style="1" bestFit="1" customWidth="1"/>
    <col min="15364" max="15367" width="17.5546875" style="1" customWidth="1"/>
    <col min="15368" max="15368" width="20.44140625" style="1" bestFit="1" customWidth="1"/>
    <col min="15369" max="15369" width="11.33203125" style="1" bestFit="1" customWidth="1"/>
    <col min="15370" max="15370" width="9.109375" style="1"/>
    <col min="15371" max="15371" width="10.88671875" style="1" bestFit="1" customWidth="1"/>
    <col min="15372" max="15616" width="9.109375" style="1"/>
    <col min="15617" max="15617" width="12.88671875" style="1" bestFit="1" customWidth="1"/>
    <col min="15618" max="15618" width="70" style="1" bestFit="1" customWidth="1"/>
    <col min="15619" max="15619" width="26" style="1" bestFit="1" customWidth="1"/>
    <col min="15620" max="15623" width="17.5546875" style="1" customWidth="1"/>
    <col min="15624" max="15624" width="20.44140625" style="1" bestFit="1" customWidth="1"/>
    <col min="15625" max="15625" width="11.33203125" style="1" bestFit="1" customWidth="1"/>
    <col min="15626" max="15626" width="9.109375" style="1"/>
    <col min="15627" max="15627" width="10.88671875" style="1" bestFit="1" customWidth="1"/>
    <col min="15628" max="15872" width="9.109375" style="1"/>
    <col min="15873" max="15873" width="12.88671875" style="1" bestFit="1" customWidth="1"/>
    <col min="15874" max="15874" width="70" style="1" bestFit="1" customWidth="1"/>
    <col min="15875" max="15875" width="26" style="1" bestFit="1" customWidth="1"/>
    <col min="15876" max="15879" width="17.5546875" style="1" customWidth="1"/>
    <col min="15880" max="15880" width="20.44140625" style="1" bestFit="1" customWidth="1"/>
    <col min="15881" max="15881" width="11.33203125" style="1" bestFit="1" customWidth="1"/>
    <col min="15882" max="15882" width="9.109375" style="1"/>
    <col min="15883" max="15883" width="10.88671875" style="1" bestFit="1" customWidth="1"/>
    <col min="15884" max="16128" width="9.109375" style="1"/>
    <col min="16129" max="16129" width="12.88671875" style="1" bestFit="1" customWidth="1"/>
    <col min="16130" max="16130" width="70" style="1" bestFit="1" customWidth="1"/>
    <col min="16131" max="16131" width="26" style="1" bestFit="1" customWidth="1"/>
    <col min="16132" max="16135" width="17.5546875" style="1" customWidth="1"/>
    <col min="16136" max="16136" width="20.44140625" style="1" bestFit="1" customWidth="1"/>
    <col min="16137" max="16137" width="11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66" t="s">
        <v>688</v>
      </c>
      <c r="D1" s="266" t="s">
        <v>667</v>
      </c>
      <c r="E1" s="266" t="s">
        <v>674</v>
      </c>
      <c r="F1" s="266" t="s">
        <v>681</v>
      </c>
      <c r="G1" s="266" t="s">
        <v>689</v>
      </c>
      <c r="H1" s="266" t="s">
        <v>675</v>
      </c>
    </row>
    <row r="3" spans="1:9" ht="12.75" customHeight="1">
      <c r="A3" s="138" t="s">
        <v>16</v>
      </c>
    </row>
    <row r="4" spans="1:9" ht="12.75" customHeight="1">
      <c r="A4" s="138"/>
    </row>
    <row r="5" spans="1:9" ht="12.75" customHeight="1">
      <c r="A5" s="138" t="s">
        <v>612</v>
      </c>
    </row>
    <row r="6" spans="1:9" ht="12.75" customHeight="1">
      <c r="A6" s="1" t="s">
        <v>21</v>
      </c>
      <c r="B6" s="1" t="s">
        <v>613</v>
      </c>
      <c r="C6" s="137">
        <v>125502377</v>
      </c>
      <c r="D6" s="252">
        <v>281229</v>
      </c>
      <c r="E6" s="252">
        <v>321640</v>
      </c>
      <c r="F6" s="272">
        <v>1811633.16</v>
      </c>
      <c r="G6" s="159">
        <v>758835</v>
      </c>
      <c r="H6" s="161">
        <f>SUM(C6:G6)</f>
        <v>128675714.16</v>
      </c>
      <c r="I6" s="279" t="s">
        <v>690</v>
      </c>
    </row>
    <row r="7" spans="1:9" ht="12.75" customHeight="1">
      <c r="A7" s="1" t="s">
        <v>23</v>
      </c>
      <c r="B7" s="1" t="s">
        <v>614</v>
      </c>
      <c r="C7" s="137">
        <v>-20817118</v>
      </c>
      <c r="D7" s="159">
        <v>-752120</v>
      </c>
      <c r="E7" s="159">
        <f>VLOOKUP(A7,[2]Kolommenbalans!B$1:D$65536,3,FALSE)</f>
        <v>-762225</v>
      </c>
      <c r="F7" s="159">
        <v>-793542</v>
      </c>
      <c r="G7" s="159">
        <v>-811996</v>
      </c>
      <c r="H7" s="161">
        <f>SUM(C7:G7)</f>
        <v>-23937001</v>
      </c>
    </row>
    <row r="8" spans="1:9" ht="12.75" customHeight="1">
      <c r="A8" s="147" t="s">
        <v>615</v>
      </c>
      <c r="B8" s="147" t="s">
        <v>616</v>
      </c>
      <c r="C8" s="159">
        <v>-722644</v>
      </c>
      <c r="D8" s="159">
        <v>-621877</v>
      </c>
      <c r="E8" s="159">
        <f>VLOOKUP(A8,[2]Kolommenbalans!B$1:D$65536,3,FALSE)</f>
        <v>-556326</v>
      </c>
      <c r="F8" s="159">
        <v>0</v>
      </c>
      <c r="G8" s="159">
        <v>-677990</v>
      </c>
      <c r="H8" s="161">
        <f>SUM(C8:G8)</f>
        <v>-2578837</v>
      </c>
    </row>
    <row r="9" spans="1:9" ht="12.75" customHeight="1">
      <c r="A9" s="1" t="s">
        <v>427</v>
      </c>
      <c r="B9" s="1" t="s">
        <v>428</v>
      </c>
      <c r="C9" s="159">
        <v>119653</v>
      </c>
      <c r="D9" s="159">
        <v>107020</v>
      </c>
      <c r="E9" s="159">
        <f>VLOOKUP(A9,[2]Kolommenbalans!B$1:D$65536,3,FALSE)</f>
        <v>98174</v>
      </c>
      <c r="G9" s="159">
        <v>126494</v>
      </c>
      <c r="H9" s="161">
        <f>SUM(C9:G9)</f>
        <v>451341</v>
      </c>
    </row>
    <row r="10" spans="1:9" ht="12.75" customHeight="1">
      <c r="A10" s="1" t="s">
        <v>25</v>
      </c>
      <c r="B10" s="1" t="s">
        <v>26</v>
      </c>
      <c r="C10" s="137">
        <v>0</v>
      </c>
      <c r="F10" s="159">
        <v>0</v>
      </c>
      <c r="H10" s="114"/>
    </row>
    <row r="11" spans="1:9" ht="12.75" customHeight="1">
      <c r="C11" s="137">
        <v>0</v>
      </c>
      <c r="H11" s="114"/>
    </row>
    <row r="12" spans="1:9" ht="12.75" customHeight="1">
      <c r="A12" s="270" t="s">
        <v>617</v>
      </c>
      <c r="C12" s="137">
        <v>0</v>
      </c>
      <c r="H12" s="114">
        <f>SUM(C12:F12)</f>
        <v>0</v>
      </c>
    </row>
    <row r="13" spans="1:9" ht="12.75" customHeight="1">
      <c r="A13" s="1" t="s">
        <v>618</v>
      </c>
      <c r="B13" s="1" t="s">
        <v>619</v>
      </c>
      <c r="C13" s="137">
        <v>38320325</v>
      </c>
      <c r="H13" s="161">
        <f>SUM(C13:G13)</f>
        <v>38320325</v>
      </c>
      <c r="I13" s="114"/>
    </row>
    <row r="14" spans="1:9" ht="12.75" customHeight="1">
      <c r="A14" s="1" t="s">
        <v>620</v>
      </c>
      <c r="B14" s="1" t="s">
        <v>621</v>
      </c>
      <c r="C14" s="137">
        <v>-1601670</v>
      </c>
      <c r="D14" s="159">
        <v>-503912.27</v>
      </c>
      <c r="E14" s="159">
        <f>VLOOKUP(A14,[2]Kolommenbalans!B$1:D$65536,3,FALSE)</f>
        <v>-394151.1</v>
      </c>
      <c r="F14" s="159">
        <v>-95800</v>
      </c>
      <c r="G14" s="159">
        <f>-242785.82+140415</f>
        <v>-102370.82</v>
      </c>
      <c r="H14" s="161">
        <f>SUM(C14:G14)</f>
        <v>-2697904.19</v>
      </c>
    </row>
    <row r="15" spans="1:9" ht="12.75" customHeight="1">
      <c r="A15" s="1" t="s">
        <v>622</v>
      </c>
      <c r="B15" s="1" t="s">
        <v>558</v>
      </c>
      <c r="C15" s="137">
        <v>1549105</v>
      </c>
      <c r="D15" s="159">
        <v>-110650</v>
      </c>
      <c r="E15" s="159">
        <f>VLOOKUP(A15,[2]Kolommenbalans!B$1:D$65536,3,FALSE)</f>
        <v>-110650</v>
      </c>
      <c r="F15" s="159">
        <v>-110650</v>
      </c>
      <c r="G15" s="159">
        <f>-110650-5</f>
        <v>-110655</v>
      </c>
      <c r="H15" s="161">
        <f>SUM(C15:G15)</f>
        <v>1106500</v>
      </c>
    </row>
    <row r="16" spans="1:9" ht="12.75" customHeight="1">
      <c r="A16" s="1" t="s">
        <v>35</v>
      </c>
      <c r="B16" s="1" t="s">
        <v>36</v>
      </c>
      <c r="C16" s="137">
        <v>6541646</v>
      </c>
      <c r="D16" s="159">
        <v>176734</v>
      </c>
      <c r="E16" s="159">
        <f>VLOOKUP(A16,[2]Kolommenbalans!B$1:D$65536,3,FALSE)</f>
        <v>155489</v>
      </c>
      <c r="F16" s="272">
        <v>920937</v>
      </c>
      <c r="G16" s="159">
        <v>173840</v>
      </c>
      <c r="H16" s="161">
        <f>SUM(C16:G16)</f>
        <v>7968646</v>
      </c>
      <c r="I16" s="279" t="s">
        <v>691</v>
      </c>
    </row>
    <row r="17" spans="1:9" ht="12.75" customHeight="1">
      <c r="C17" s="137">
        <v>0</v>
      </c>
      <c r="H17" s="114">
        <f t="shared" ref="H17:H81" si="0">SUM(C17:G17)</f>
        <v>0</v>
      </c>
    </row>
    <row r="18" spans="1:9" ht="12.75" customHeight="1">
      <c r="A18" s="270" t="s">
        <v>38</v>
      </c>
      <c r="C18" s="137">
        <v>0</v>
      </c>
      <c r="H18" s="114">
        <f t="shared" si="0"/>
        <v>0</v>
      </c>
    </row>
    <row r="19" spans="1:9" ht="12.75" customHeight="1">
      <c r="A19" s="1" t="s">
        <v>41</v>
      </c>
      <c r="B19" s="1" t="s">
        <v>42</v>
      </c>
      <c r="C19" s="137">
        <v>3320234</v>
      </c>
      <c r="D19" s="159">
        <v>2530742.7599999998</v>
      </c>
      <c r="E19" s="159">
        <f>VLOOKUP(A19,[2]Kolommenbalans!B$1:D$65536,3,FALSE)</f>
        <v>423215.73</v>
      </c>
      <c r="F19" s="159">
        <v>-6054041</v>
      </c>
      <c r="G19" s="159">
        <v>334826</v>
      </c>
      <c r="H19" s="161">
        <f>SUM(C19:G19)</f>
        <v>554977.49000000022</v>
      </c>
      <c r="I19" s="279"/>
    </row>
    <row r="20" spans="1:9" ht="12.75" customHeight="1">
      <c r="A20" s="1" t="s">
        <v>623</v>
      </c>
      <c r="B20" s="1" t="s">
        <v>624</v>
      </c>
      <c r="C20" s="137">
        <v>0</v>
      </c>
      <c r="F20" s="159">
        <v>6675101</v>
      </c>
      <c r="G20" s="159">
        <v>493276</v>
      </c>
      <c r="H20" s="161">
        <f t="shared" si="0"/>
        <v>7168377</v>
      </c>
    </row>
    <row r="21" spans="1:9" ht="12.75" customHeight="1">
      <c r="A21" s="1" t="s">
        <v>43</v>
      </c>
      <c r="B21" s="1" t="s">
        <v>44</v>
      </c>
      <c r="C21" s="137">
        <v>-8374</v>
      </c>
      <c r="F21" s="272">
        <v>-81794.69</v>
      </c>
      <c r="G21" s="159">
        <v>1</v>
      </c>
      <c r="H21" s="161">
        <f t="shared" si="0"/>
        <v>-90167.69</v>
      </c>
      <c r="I21" s="279" t="s">
        <v>692</v>
      </c>
    </row>
    <row r="22" spans="1:9" ht="12.75" customHeight="1">
      <c r="A22" s="1" t="s">
        <v>594</v>
      </c>
      <c r="B22" s="1" t="s">
        <v>595</v>
      </c>
      <c r="C22" s="137">
        <v>0</v>
      </c>
      <c r="E22" s="159">
        <f>VLOOKUP(A22,[2]Kolommenbalans!B$1:D$65536,3,FALSE)</f>
        <v>0</v>
      </c>
      <c r="G22" s="159">
        <v>146986</v>
      </c>
      <c r="H22" s="161">
        <f t="shared" si="0"/>
        <v>146986</v>
      </c>
    </row>
    <row r="23" spans="1:9" ht="12.75" customHeight="1">
      <c r="A23" s="1" t="s">
        <v>625</v>
      </c>
      <c r="B23" s="1" t="s">
        <v>626</v>
      </c>
      <c r="C23" s="137">
        <v>5000</v>
      </c>
      <c r="H23" s="161">
        <f t="shared" si="0"/>
        <v>5000</v>
      </c>
    </row>
    <row r="24" spans="1:9" ht="12.75" customHeight="1">
      <c r="A24" s="1" t="s">
        <v>627</v>
      </c>
      <c r="B24" s="1" t="s">
        <v>490</v>
      </c>
      <c r="C24" s="137">
        <v>64302</v>
      </c>
      <c r="D24" s="159">
        <v>-21435</v>
      </c>
      <c r="E24" s="159">
        <f>VLOOKUP(A24,[2]Kolommenbalans!B$1:D$65536,3,FALSE)</f>
        <v>-21435</v>
      </c>
      <c r="F24" s="159">
        <v>-21435</v>
      </c>
      <c r="G24" s="159">
        <v>89982.3</v>
      </c>
      <c r="H24" s="161">
        <f t="shared" si="0"/>
        <v>89979.3</v>
      </c>
    </row>
    <row r="25" spans="1:9" ht="12.75" customHeight="1">
      <c r="A25" s="1" t="s">
        <v>55</v>
      </c>
      <c r="B25" s="1" t="s">
        <v>56</v>
      </c>
      <c r="C25" s="137">
        <v>268134</v>
      </c>
      <c r="D25" s="159">
        <v>-89377.98</v>
      </c>
      <c r="E25" s="159">
        <f>VLOOKUP(A25,[2]Kolommenbalans!B$1:D$65536,3,FALSE)</f>
        <v>-89377.98</v>
      </c>
      <c r="F25" s="159">
        <v>-89378</v>
      </c>
      <c r="G25" s="159">
        <v>334004</v>
      </c>
      <c r="H25" s="161">
        <f t="shared" si="0"/>
        <v>334004.04000000004</v>
      </c>
    </row>
    <row r="26" spans="1:9" ht="12.75" customHeight="1">
      <c r="C26" s="137">
        <v>0</v>
      </c>
      <c r="H26" s="114">
        <f t="shared" si="0"/>
        <v>0</v>
      </c>
    </row>
    <row r="27" spans="1:9" ht="12.75" customHeight="1">
      <c r="A27" s="270" t="s">
        <v>58</v>
      </c>
      <c r="C27" s="137">
        <v>0</v>
      </c>
      <c r="H27" s="114">
        <f t="shared" si="0"/>
        <v>0</v>
      </c>
    </row>
    <row r="28" spans="1:9" ht="12.75" customHeight="1">
      <c r="A28" s="1" t="s">
        <v>61</v>
      </c>
      <c r="B28" s="1" t="s">
        <v>62</v>
      </c>
      <c r="C28" s="137">
        <v>0</v>
      </c>
      <c r="D28" s="159">
        <v>358000</v>
      </c>
      <c r="E28" s="159">
        <f>VLOOKUP(A28,[2]Kolommenbalans!B$1:D$65536,3,FALSE)</f>
        <v>-358000</v>
      </c>
      <c r="F28" s="272">
        <v>-0.48</v>
      </c>
      <c r="H28" s="161">
        <f t="shared" si="0"/>
        <v>-0.48</v>
      </c>
      <c r="I28" s="279" t="s">
        <v>693</v>
      </c>
    </row>
    <row r="29" spans="1:9" ht="12.75" customHeight="1">
      <c r="A29" s="1" t="s">
        <v>628</v>
      </c>
      <c r="B29" s="1" t="s">
        <v>596</v>
      </c>
      <c r="C29" s="137">
        <v>122</v>
      </c>
      <c r="D29" s="159">
        <v>-3547.65</v>
      </c>
      <c r="E29" s="159">
        <f>VLOOKUP(A29,[2]Kolommenbalans!B$1:D$65536,3,FALSE)</f>
        <v>-1524.6</v>
      </c>
      <c r="F29" s="159">
        <v>4950</v>
      </c>
      <c r="G29" s="159">
        <v>4485</v>
      </c>
      <c r="H29" s="161">
        <f t="shared" si="0"/>
        <v>4484.75</v>
      </c>
    </row>
    <row r="30" spans="1:9" ht="12.75" customHeight="1">
      <c r="A30" s="1" t="s">
        <v>65</v>
      </c>
      <c r="B30" s="1" t="s">
        <v>66</v>
      </c>
      <c r="C30" s="137">
        <v>490000</v>
      </c>
      <c r="D30" s="159">
        <v>-490000</v>
      </c>
      <c r="E30" s="159">
        <f>VLOOKUP(A30,[2]Kolommenbalans!B$1:D$65536,3,FALSE)</f>
        <v>0</v>
      </c>
      <c r="F30" s="159">
        <v>0</v>
      </c>
      <c r="G30" s="159">
        <v>194000</v>
      </c>
      <c r="H30" s="161">
        <f t="shared" si="0"/>
        <v>194000</v>
      </c>
    </row>
    <row r="31" spans="1:9" ht="12.75" customHeight="1">
      <c r="A31" s="1" t="s">
        <v>67</v>
      </c>
      <c r="B31" s="1" t="s">
        <v>68</v>
      </c>
      <c r="C31" s="137">
        <v>4494</v>
      </c>
      <c r="D31" s="159">
        <v>2948.65</v>
      </c>
      <c r="E31" s="159">
        <f>VLOOKUP(A31,[2]Kolommenbalans!B$1:D$65536,3,FALSE)</f>
        <v>-9882.18</v>
      </c>
      <c r="F31" s="159">
        <v>-6577.5</v>
      </c>
      <c r="G31" s="159">
        <v>9940.5</v>
      </c>
      <c r="H31" s="161">
        <f t="shared" si="0"/>
        <v>923.46999999999935</v>
      </c>
    </row>
    <row r="32" spans="1:9" ht="12.75" customHeight="1">
      <c r="A32" s="1" t="s">
        <v>69</v>
      </c>
      <c r="B32" s="1" t="s">
        <v>70</v>
      </c>
      <c r="C32" s="137">
        <v>73</v>
      </c>
      <c r="D32" s="159">
        <v>-46.3</v>
      </c>
      <c r="E32" s="159">
        <f>VLOOKUP(A32,[2]Kolommenbalans!B$1:D$65536,3,FALSE)</f>
        <v>0</v>
      </c>
      <c r="H32" s="161">
        <f t="shared" si="0"/>
        <v>26.700000000000003</v>
      </c>
    </row>
    <row r="33" spans="1:9" ht="12.75" customHeight="1">
      <c r="A33" s="1" t="s">
        <v>71</v>
      </c>
      <c r="B33" s="1" t="s">
        <v>72</v>
      </c>
      <c r="C33" s="137">
        <v>7389</v>
      </c>
      <c r="D33" s="159">
        <v>-6645.75</v>
      </c>
      <c r="E33" s="159">
        <f>VLOOKUP(A33,[2]Kolommenbalans!B$1:D$65536,3,FALSE)</f>
        <v>949.76</v>
      </c>
      <c r="F33" s="159">
        <v>276826.61</v>
      </c>
      <c r="G33" s="159">
        <v>-271247.90000000002</v>
      </c>
      <c r="H33" s="161">
        <f t="shared" si="0"/>
        <v>7271.7199999999721</v>
      </c>
    </row>
    <row r="34" spans="1:9" ht="12.75" customHeight="1">
      <c r="A34" s="1" t="s">
        <v>73</v>
      </c>
      <c r="B34" s="1" t="s">
        <v>74</v>
      </c>
      <c r="C34" s="137">
        <v>293648</v>
      </c>
      <c r="D34" s="159">
        <v>-230570.79</v>
      </c>
      <c r="E34" s="159">
        <f>VLOOKUP(A34,[2]Kolommenbalans!B$1:D$65536,3,FALSE)</f>
        <v>169867.27</v>
      </c>
      <c r="F34" s="159">
        <v>22169.18</v>
      </c>
      <c r="G34" s="159">
        <f>92619.86+1</f>
        <v>92620.86</v>
      </c>
      <c r="H34" s="161">
        <f>SUM(C34:G34)</f>
        <v>347734.51999999996</v>
      </c>
    </row>
    <row r="35" spans="1:9" ht="12.75" customHeight="1">
      <c r="A35" s="1" t="s">
        <v>75</v>
      </c>
      <c r="B35" s="1" t="s">
        <v>76</v>
      </c>
      <c r="C35" s="137">
        <v>148083</v>
      </c>
      <c r="D35" s="159">
        <v>-147771.81</v>
      </c>
      <c r="E35" s="159">
        <f>VLOOKUP(A35,[2]Kolommenbalans!B$1:D$65536,3,FALSE)</f>
        <v>2744.42</v>
      </c>
      <c r="F35" s="159">
        <v>-2980</v>
      </c>
      <c r="G35" s="159">
        <f>5966+1</f>
        <v>5967</v>
      </c>
      <c r="H35" s="161">
        <f t="shared" si="0"/>
        <v>6042.6100000000024</v>
      </c>
    </row>
    <row r="36" spans="1:9" ht="12.75" customHeight="1">
      <c r="A36" s="1" t="s">
        <v>629</v>
      </c>
      <c r="B36" s="1" t="s">
        <v>560</v>
      </c>
      <c r="C36" s="137">
        <v>5644</v>
      </c>
      <c r="D36" s="159">
        <v>-5660.09</v>
      </c>
      <c r="G36" s="159">
        <v>-1</v>
      </c>
      <c r="H36" s="161">
        <f t="shared" si="0"/>
        <v>-17.090000000000146</v>
      </c>
    </row>
    <row r="37" spans="1:9" ht="12.75" customHeight="1">
      <c r="C37" s="137">
        <v>0</v>
      </c>
      <c r="H37" s="114">
        <f t="shared" si="0"/>
        <v>0</v>
      </c>
    </row>
    <row r="38" spans="1:9" ht="12.75" customHeight="1">
      <c r="A38" s="270" t="s">
        <v>630</v>
      </c>
      <c r="C38" s="137">
        <v>0</v>
      </c>
      <c r="H38" s="114">
        <f t="shared" si="0"/>
        <v>0</v>
      </c>
    </row>
    <row r="39" spans="1:9" ht="12.75" customHeight="1">
      <c r="A39" s="1" t="s">
        <v>81</v>
      </c>
      <c r="B39" s="1" t="s">
        <v>82</v>
      </c>
      <c r="C39" s="137">
        <v>-1</v>
      </c>
      <c r="H39" s="161">
        <f t="shared" si="0"/>
        <v>-1</v>
      </c>
    </row>
    <row r="40" spans="1:9" ht="12.75" customHeight="1">
      <c r="A40" s="1" t="s">
        <v>87</v>
      </c>
      <c r="B40" s="1" t="s">
        <v>430</v>
      </c>
      <c r="C40" s="137">
        <v>-18931219</v>
      </c>
      <c r="H40" s="161">
        <f t="shared" si="0"/>
        <v>-18931219</v>
      </c>
    </row>
    <row r="41" spans="1:9" ht="12.75" customHeight="1">
      <c r="A41" s="1" t="s">
        <v>93</v>
      </c>
      <c r="B41" s="1" t="s">
        <v>94</v>
      </c>
      <c r="C41" s="137">
        <f>4831607-1089365</f>
        <v>3742242</v>
      </c>
      <c r="H41" s="161">
        <f t="shared" si="0"/>
        <v>3742242</v>
      </c>
    </row>
    <row r="42" spans="1:9" ht="12.75" customHeight="1">
      <c r="C42" s="137">
        <v>0</v>
      </c>
      <c r="H42" s="114">
        <f t="shared" si="0"/>
        <v>0</v>
      </c>
    </row>
    <row r="43" spans="1:9" ht="12.75" customHeight="1">
      <c r="A43" s="270" t="s">
        <v>98</v>
      </c>
      <c r="C43" s="137">
        <v>0</v>
      </c>
      <c r="H43" s="114">
        <f t="shared" si="0"/>
        <v>0</v>
      </c>
    </row>
    <row r="44" spans="1:9" ht="12.75" customHeight="1">
      <c r="A44" s="1" t="s">
        <v>103</v>
      </c>
      <c r="B44" s="1" t="s">
        <v>104</v>
      </c>
      <c r="C44" s="137">
        <v>-169075986</v>
      </c>
      <c r="D44" s="159">
        <v>-459986.91</v>
      </c>
      <c r="F44" s="159">
        <v>-875164.8</v>
      </c>
      <c r="G44" s="159">
        <v>-670610.59</v>
      </c>
      <c r="H44" s="161">
        <f t="shared" si="0"/>
        <v>-171081748.30000001</v>
      </c>
    </row>
    <row r="45" spans="1:9" ht="12.75" customHeight="1">
      <c r="A45" s="1" t="s">
        <v>107</v>
      </c>
      <c r="B45" s="1" t="s">
        <v>108</v>
      </c>
      <c r="C45" s="137">
        <v>34171891</v>
      </c>
      <c r="D45" s="159">
        <v>1328000</v>
      </c>
      <c r="E45" s="272">
        <v>1440000</v>
      </c>
      <c r="F45" s="159">
        <v>350000</v>
      </c>
      <c r="G45" s="159">
        <v>887000</v>
      </c>
      <c r="H45" s="161">
        <f t="shared" si="0"/>
        <v>38176891</v>
      </c>
      <c r="I45" s="279" t="s">
        <v>694</v>
      </c>
    </row>
    <row r="46" spans="1:9" ht="12.75" customHeight="1">
      <c r="A46" s="1" t="s">
        <v>631</v>
      </c>
      <c r="B46" s="1" t="s">
        <v>632</v>
      </c>
      <c r="C46" s="137">
        <v>406963</v>
      </c>
      <c r="D46" s="159">
        <v>-29069.06</v>
      </c>
      <c r="E46" s="159">
        <f>VLOOKUP(A46,[2]Kolommenbalans!B$1:D$65536,3,FALSE)</f>
        <v>-29069.05</v>
      </c>
      <c r="F46" s="159">
        <v>-29069.06</v>
      </c>
      <c r="G46" s="159">
        <f>-29069.05+4</f>
        <v>-29065.05</v>
      </c>
      <c r="H46" s="161">
        <f t="shared" si="0"/>
        <v>290690.78000000003</v>
      </c>
    </row>
    <row r="47" spans="1:9" ht="12.75" customHeight="1">
      <c r="C47" s="137">
        <v>0</v>
      </c>
      <c r="H47" s="114">
        <f t="shared" si="0"/>
        <v>0</v>
      </c>
    </row>
    <row r="48" spans="1:9" ht="12.75" customHeight="1">
      <c r="A48" s="270" t="s">
        <v>118</v>
      </c>
      <c r="C48" s="137">
        <v>0</v>
      </c>
      <c r="H48" s="114">
        <f t="shared" si="0"/>
        <v>0</v>
      </c>
    </row>
    <row r="49" spans="1:12" ht="12.75" customHeight="1">
      <c r="A49" s="1" t="s">
        <v>121</v>
      </c>
      <c r="B49" s="1" t="s">
        <v>122</v>
      </c>
      <c r="C49" s="137">
        <v>-998575</v>
      </c>
      <c r="D49" s="159">
        <v>715812</v>
      </c>
      <c r="E49" s="159">
        <f>VLOOKUP(A49,[2]Kolommenbalans!B$1:D$65536,3,FALSE)</f>
        <v>277315</v>
      </c>
      <c r="F49" s="159">
        <v>-319583.96000000002</v>
      </c>
      <c r="G49" s="159">
        <v>-525839</v>
      </c>
      <c r="H49" s="161">
        <f t="shared" si="0"/>
        <v>-850870.96</v>
      </c>
    </row>
    <row r="50" spans="1:12" ht="12.75" customHeight="1">
      <c r="A50" s="1" t="s">
        <v>123</v>
      </c>
      <c r="B50" s="1" t="s">
        <v>124</v>
      </c>
      <c r="C50" s="137">
        <v>-947380</v>
      </c>
      <c r="D50" s="159">
        <v>14700</v>
      </c>
      <c r="E50" s="159">
        <f>VLOOKUP(A50,[2]Kolommenbalans!B$1:D$65536,3,FALSE)</f>
        <v>-9900</v>
      </c>
      <c r="F50" s="159">
        <v>0</v>
      </c>
      <c r="G50" s="159">
        <v>-12500</v>
      </c>
      <c r="H50" s="161">
        <f t="shared" si="0"/>
        <v>-955080</v>
      </c>
    </row>
    <row r="51" spans="1:12" ht="12.75" customHeight="1">
      <c r="A51" s="1" t="s">
        <v>633</v>
      </c>
      <c r="B51" s="1" t="s">
        <v>634</v>
      </c>
      <c r="C51" s="137">
        <v>-401205</v>
      </c>
      <c r="D51" s="159">
        <v>-150000</v>
      </c>
      <c r="E51" s="159">
        <f>VLOOKUP(A51,[2]Kolommenbalans!B$1:D$65536,3,FALSE)</f>
        <v>0</v>
      </c>
      <c r="F51" s="272">
        <v>-9557</v>
      </c>
      <c r="H51" s="161">
        <f t="shared" si="0"/>
        <v>-560762</v>
      </c>
      <c r="I51" s="279" t="s">
        <v>695</v>
      </c>
    </row>
    <row r="52" spans="1:12" ht="12.75" customHeight="1">
      <c r="A52" s="1" t="s">
        <v>47</v>
      </c>
      <c r="B52" s="1" t="s">
        <v>48</v>
      </c>
      <c r="C52" s="137">
        <v>322865</v>
      </c>
      <c r="D52" s="159">
        <v>12470</v>
      </c>
      <c r="E52" s="159">
        <f>VLOOKUP(A52,[2]Kolommenbalans!B$1:D$65536,3,FALSE)</f>
        <v>485985</v>
      </c>
      <c r="F52" s="272">
        <v>-1742467</v>
      </c>
      <c r="G52" s="159">
        <f>365128-140416</f>
        <v>224712</v>
      </c>
      <c r="H52" s="161">
        <f t="shared" si="0"/>
        <v>-696435</v>
      </c>
      <c r="I52" s="279" t="s">
        <v>696</v>
      </c>
      <c r="L52" s="114"/>
    </row>
    <row r="53" spans="1:12" ht="12.75" customHeight="1">
      <c r="A53" s="136">
        <v>2650000</v>
      </c>
      <c r="B53" s="1" t="s">
        <v>670</v>
      </c>
      <c r="C53" s="137">
        <v>0</v>
      </c>
      <c r="D53" s="159">
        <v>-500000</v>
      </c>
      <c r="F53" s="272">
        <v>-5000</v>
      </c>
      <c r="H53" s="161">
        <f t="shared" si="0"/>
        <v>-505000</v>
      </c>
      <c r="I53" s="279" t="s">
        <v>695</v>
      </c>
    </row>
    <row r="54" spans="1:12" ht="12.75" customHeight="1">
      <c r="A54" s="1" t="s">
        <v>129</v>
      </c>
      <c r="B54" s="1" t="s">
        <v>130</v>
      </c>
      <c r="C54" s="137">
        <v>-5307</v>
      </c>
      <c r="D54" s="159">
        <v>2856.3</v>
      </c>
      <c r="E54" s="159">
        <f>VLOOKUP(A54,[2]Kolommenbalans!B$1:D$65536,3,FALSE)</f>
        <v>-3177.21</v>
      </c>
      <c r="F54" s="159">
        <v>-2177</v>
      </c>
      <c r="G54" s="159">
        <f>3176-1</f>
        <v>3175</v>
      </c>
      <c r="H54" s="161">
        <f t="shared" si="0"/>
        <v>-4629.91</v>
      </c>
    </row>
    <row r="55" spans="1:12" ht="12.75" customHeight="1">
      <c r="A55" s="1" t="s">
        <v>635</v>
      </c>
      <c r="B55" s="1" t="s">
        <v>636</v>
      </c>
      <c r="C55" s="137">
        <v>-900394</v>
      </c>
      <c r="D55" s="159">
        <v>-47340.800000000003</v>
      </c>
      <c r="E55" s="159">
        <f>VLOOKUP(A55,[2]Kolommenbalans!B$1:D$65536,3,FALSE)</f>
        <v>1145.22</v>
      </c>
      <c r="F55" s="159">
        <v>1511.29</v>
      </c>
      <c r="G55" s="159">
        <v>-127085</v>
      </c>
      <c r="H55" s="161">
        <f t="shared" si="0"/>
        <v>-1072163.29</v>
      </c>
      <c r="I55" s="279"/>
    </row>
    <row r="56" spans="1:12" ht="12.75" customHeight="1">
      <c r="A56" s="1" t="s">
        <v>141</v>
      </c>
      <c r="B56" s="1" t="s">
        <v>142</v>
      </c>
      <c r="C56" s="137">
        <v>-957506</v>
      </c>
      <c r="D56" s="159">
        <v>-4796</v>
      </c>
      <c r="E56" s="159">
        <f>VLOOKUP(A56,[2]Kolommenbalans!B$1:D$65536,3,FALSE)</f>
        <v>8472.82</v>
      </c>
      <c r="F56" s="159">
        <v>3736</v>
      </c>
      <c r="G56" s="159">
        <f>10637.04+1</f>
        <v>10638.04</v>
      </c>
      <c r="H56" s="161">
        <f t="shared" si="0"/>
        <v>-939455.14</v>
      </c>
    </row>
    <row r="57" spans="1:12" ht="12.75" customHeight="1">
      <c r="A57" s="1" t="s">
        <v>143</v>
      </c>
      <c r="B57" s="1" t="s">
        <v>144</v>
      </c>
      <c r="C57" s="137">
        <v>-45000</v>
      </c>
      <c r="H57" s="161">
        <f t="shared" si="0"/>
        <v>-45000</v>
      </c>
    </row>
    <row r="58" spans="1:12" ht="12.75" customHeight="1">
      <c r="A58" s="1" t="s">
        <v>147</v>
      </c>
      <c r="B58" s="1" t="s">
        <v>148</v>
      </c>
      <c r="C58" s="137">
        <v>1</v>
      </c>
      <c r="E58" s="159">
        <f>VLOOKUP(A58,[2]Kolommenbalans!B$1:D$65536,3,FALSE)</f>
        <v>0</v>
      </c>
      <c r="H58" s="161">
        <f t="shared" si="0"/>
        <v>1</v>
      </c>
    </row>
    <row r="59" spans="1:12" ht="12.75" customHeight="1">
      <c r="A59" s="1" t="s">
        <v>149</v>
      </c>
      <c r="B59" s="1" t="s">
        <v>637</v>
      </c>
      <c r="C59" s="137">
        <v>0</v>
      </c>
      <c r="H59" s="161">
        <f t="shared" si="0"/>
        <v>0</v>
      </c>
    </row>
    <row r="60" spans="1:12" ht="12.75" customHeight="1">
      <c r="A60" s="1" t="s">
        <v>155</v>
      </c>
      <c r="B60" s="1" t="s">
        <v>156</v>
      </c>
      <c r="C60" s="137">
        <v>-174301</v>
      </c>
      <c r="D60" s="159">
        <v>-87499.93</v>
      </c>
      <c r="E60" s="159">
        <f>VLOOKUP(A60,[2]Kolommenbalans!B$1:D$65536,3,FALSE)</f>
        <v>216412.76</v>
      </c>
      <c r="F60" s="159">
        <v>-45993.21</v>
      </c>
      <c r="G60" s="159">
        <f>-140627-1</f>
        <v>-140628</v>
      </c>
      <c r="H60" s="161">
        <f t="shared" si="0"/>
        <v>-232009.37999999998</v>
      </c>
    </row>
    <row r="61" spans="1:12" ht="12.75" customHeight="1">
      <c r="A61" s="1" t="s">
        <v>159</v>
      </c>
      <c r="B61" s="1" t="s">
        <v>160</v>
      </c>
      <c r="C61" s="137">
        <v>30002</v>
      </c>
      <c r="E61" s="159">
        <f>VLOOKUP(A61,[2]Kolommenbalans!B$1:D$65536,3,FALSE)</f>
        <v>0</v>
      </c>
      <c r="F61" s="272">
        <v>-783782.38</v>
      </c>
      <c r="G61" s="159">
        <v>783782.38</v>
      </c>
      <c r="H61" s="161">
        <f t="shared" si="0"/>
        <v>30002</v>
      </c>
      <c r="I61" s="279" t="s">
        <v>690</v>
      </c>
    </row>
    <row r="62" spans="1:12" ht="12.75" customHeight="1">
      <c r="A62" s="1" t="s">
        <v>638</v>
      </c>
      <c r="B62" s="1" t="s">
        <v>639</v>
      </c>
      <c r="C62" s="137">
        <v>0</v>
      </c>
      <c r="D62" s="252">
        <v>0</v>
      </c>
      <c r="E62" s="159">
        <f>VLOOKUP(A62,[2]Kolommenbalans!B$1:D$65536,3,FALSE)</f>
        <v>0</v>
      </c>
      <c r="H62" s="161">
        <f t="shared" si="0"/>
        <v>0</v>
      </c>
    </row>
    <row r="63" spans="1:12" ht="12.75" customHeight="1">
      <c r="A63" s="136" t="s">
        <v>641</v>
      </c>
      <c r="B63" s="1" t="s">
        <v>642</v>
      </c>
      <c r="C63" s="137">
        <v>0</v>
      </c>
      <c r="E63" s="159">
        <f>VLOOKUP(A63,[2]Kolommenbalans!B$1:D$65536,3,FALSE)</f>
        <v>0</v>
      </c>
      <c r="H63" s="114">
        <f t="shared" si="0"/>
        <v>0</v>
      </c>
    </row>
    <row r="64" spans="1:12" ht="12.75" customHeight="1">
      <c r="A64" s="136">
        <v>2502020</v>
      </c>
      <c r="B64" s="1" t="s">
        <v>643</v>
      </c>
      <c r="C64" s="137">
        <v>789</v>
      </c>
      <c r="F64" s="159">
        <v>-788.66</v>
      </c>
      <c r="H64" s="114">
        <f t="shared" si="0"/>
        <v>0.34000000000003183</v>
      </c>
      <c r="I64" s="114"/>
    </row>
    <row r="65" spans="1:9" ht="12.75" customHeight="1">
      <c r="A65" s="1" t="s">
        <v>676</v>
      </c>
      <c r="B65" s="1" t="s">
        <v>644</v>
      </c>
      <c r="C65" s="137">
        <v>89443</v>
      </c>
      <c r="D65" s="159">
        <v>-93962.63</v>
      </c>
      <c r="E65" s="159">
        <f>VLOOKUP(A65,[2]Kolommenbalans!B$1:D$65536,3,FALSE)</f>
        <v>0</v>
      </c>
      <c r="F65" s="272">
        <v>11164.33</v>
      </c>
      <c r="G65" s="159">
        <v>-5932.67</v>
      </c>
      <c r="H65" s="161">
        <f t="shared" si="0"/>
        <v>712.0299999999952</v>
      </c>
      <c r="I65" s="280" t="s">
        <v>697</v>
      </c>
    </row>
    <row r="66" spans="1:9" ht="12.75" customHeight="1">
      <c r="A66" s="1" t="s">
        <v>677</v>
      </c>
      <c r="B66" s="1" t="s">
        <v>645</v>
      </c>
      <c r="C66" s="137">
        <v>179349</v>
      </c>
      <c r="D66" s="159">
        <v>-261260</v>
      </c>
      <c r="E66" s="159">
        <f>VLOOKUP(A66,[2]Kolommenbalans!B$1:D$65536,3,FALSE)</f>
        <v>-516.84</v>
      </c>
      <c r="F66" s="272">
        <v>85939.7</v>
      </c>
      <c r="G66" s="159">
        <v>679.93</v>
      </c>
      <c r="H66" s="161">
        <f t="shared" si="0"/>
        <v>4191.7900000000009</v>
      </c>
      <c r="I66" s="280" t="s">
        <v>697</v>
      </c>
    </row>
    <row r="67" spans="1:9" ht="12.75" customHeight="1">
      <c r="A67" s="1" t="s">
        <v>678</v>
      </c>
      <c r="B67" s="1" t="s">
        <v>646</v>
      </c>
      <c r="C67" s="137">
        <v>9622</v>
      </c>
      <c r="D67" s="159">
        <v>-212658.64</v>
      </c>
      <c r="E67" s="159">
        <f>VLOOKUP(A67,[2]Kolommenbalans!B$1:D$65536,3,FALSE)</f>
        <v>7601.93</v>
      </c>
      <c r="F67" s="272">
        <v>174386.43</v>
      </c>
      <c r="G67" s="159">
        <v>-5964</v>
      </c>
      <c r="H67" s="161">
        <f t="shared" si="0"/>
        <v>-27012.280000000028</v>
      </c>
      <c r="I67" s="280" t="s">
        <v>697</v>
      </c>
    </row>
    <row r="68" spans="1:9" ht="12.75" customHeight="1">
      <c r="A68" s="147" t="s">
        <v>647</v>
      </c>
      <c r="B68" s="147" t="s">
        <v>648</v>
      </c>
      <c r="C68" s="137">
        <v>-6716</v>
      </c>
      <c r="D68" s="159">
        <f>225121.63-1</f>
        <v>225120.63</v>
      </c>
      <c r="E68" s="159">
        <f>VLOOKUP(A68,[2]Kolommenbalans!B$1:D$65536,3,FALSE)</f>
        <v>49344.83</v>
      </c>
      <c r="F68" s="159">
        <f>-187446.25-1</f>
        <v>-187447.25</v>
      </c>
      <c r="G68" s="159">
        <v>63895</v>
      </c>
      <c r="H68" s="161">
        <f t="shared" si="0"/>
        <v>144197.21000000002</v>
      </c>
    </row>
    <row r="69" spans="1:9" ht="12.75" customHeight="1">
      <c r="A69" s="147" t="s">
        <v>647</v>
      </c>
      <c r="B69" s="147" t="s">
        <v>698</v>
      </c>
      <c r="G69" s="159">
        <f>23666+2</f>
        <v>23668</v>
      </c>
      <c r="H69" s="161">
        <f>SUM(C69:G69)</f>
        <v>23668</v>
      </c>
    </row>
    <row r="70" spans="1:9" ht="12.75" customHeight="1">
      <c r="H70" s="114">
        <f t="shared" si="0"/>
        <v>0</v>
      </c>
    </row>
    <row r="71" spans="1:9" ht="12.75" customHeight="1">
      <c r="A71" s="138" t="s">
        <v>649</v>
      </c>
      <c r="H71" s="114">
        <f t="shared" si="0"/>
        <v>0</v>
      </c>
    </row>
    <row r="72" spans="1:9" ht="12.75" customHeight="1">
      <c r="H72" s="114">
        <f t="shared" si="0"/>
        <v>0</v>
      </c>
    </row>
    <row r="73" spans="1:9" ht="12.75" customHeight="1">
      <c r="A73" s="1" t="s">
        <v>174</v>
      </c>
      <c r="B73" s="1" t="s">
        <v>175</v>
      </c>
      <c r="D73" s="159">
        <v>-3065862.05</v>
      </c>
      <c r="E73" s="159">
        <f>VLOOKUP(A73,[2]Kolommenbalans!B$1:D$65536,3,FALSE)</f>
        <v>-3169839.55</v>
      </c>
      <c r="F73" s="159">
        <v>-3186800.49</v>
      </c>
      <c r="G73" s="156">
        <v>-3209085.09</v>
      </c>
      <c r="H73" s="161">
        <f t="shared" si="0"/>
        <v>-12631587.18</v>
      </c>
      <c r="I73" s="114"/>
    </row>
    <row r="74" spans="1:9" ht="12.75" customHeight="1">
      <c r="A74" s="1" t="s">
        <v>176</v>
      </c>
      <c r="B74" s="1" t="s">
        <v>177</v>
      </c>
      <c r="D74" s="159">
        <v>72337.34</v>
      </c>
      <c r="E74" s="159">
        <f>VLOOKUP(A74,[2]Kolommenbalans!B$1:D$65536,3,FALSE)</f>
        <v>93311.89</v>
      </c>
      <c r="F74" s="159">
        <v>106874.37</v>
      </c>
      <c r="G74" s="156">
        <v>143610.29999999999</v>
      </c>
      <c r="H74" s="161">
        <f t="shared" si="0"/>
        <v>416133.89999999997</v>
      </c>
      <c r="I74" s="114"/>
    </row>
    <row r="75" spans="1:9" ht="12.75" customHeight="1">
      <c r="H75" s="114">
        <f t="shared" si="0"/>
        <v>0</v>
      </c>
      <c r="I75" s="114"/>
    </row>
    <row r="76" spans="1:9" ht="12.75" customHeight="1">
      <c r="A76" s="1" t="s">
        <v>182</v>
      </c>
      <c r="B76" s="1" t="s">
        <v>183</v>
      </c>
      <c r="D76" s="159">
        <v>285</v>
      </c>
      <c r="E76" s="159">
        <f>VLOOKUP(A76,[2]Kolommenbalans!B$1:D$65536,3,FALSE)</f>
        <v>-76472.45</v>
      </c>
      <c r="F76" s="159">
        <v>76472.45</v>
      </c>
      <c r="G76" s="156">
        <v>-294</v>
      </c>
      <c r="H76" s="114">
        <f t="shared" si="0"/>
        <v>-9</v>
      </c>
      <c r="I76" s="114"/>
    </row>
    <row r="77" spans="1:9" ht="12.75" customHeight="1">
      <c r="A77" s="1" t="s">
        <v>184</v>
      </c>
      <c r="B77" s="1" t="s">
        <v>185</v>
      </c>
      <c r="D77" s="159">
        <v>44728.32</v>
      </c>
      <c r="E77" s="159">
        <f>VLOOKUP(A77,[2]Kolommenbalans!B$1:D$65536,3,FALSE)</f>
        <v>10335.44</v>
      </c>
      <c r="F77" s="159">
        <v>-167419.98000000001</v>
      </c>
      <c r="G77" s="156">
        <v>8776</v>
      </c>
      <c r="H77" s="114">
        <f t="shared" si="0"/>
        <v>-103580.22</v>
      </c>
      <c r="I77" s="114"/>
    </row>
    <row r="78" spans="1:9" ht="12.75" customHeight="1">
      <c r="A78" s="1" t="s">
        <v>186</v>
      </c>
      <c r="B78" s="1" t="s">
        <v>187</v>
      </c>
      <c r="D78" s="159">
        <v>95667.58</v>
      </c>
      <c r="E78" s="159">
        <f>VLOOKUP(A78,[2]Kolommenbalans!B$1:D$65536,3,FALSE)</f>
        <v>77542.210000000006</v>
      </c>
      <c r="F78" s="272">
        <v>-279511.09999999998</v>
      </c>
      <c r="G78" s="156">
        <v>131053</v>
      </c>
      <c r="H78" s="114">
        <f t="shared" si="0"/>
        <v>24751.690000000031</v>
      </c>
      <c r="I78" s="280" t="s">
        <v>697</v>
      </c>
    </row>
    <row r="79" spans="1:9" ht="12.75" customHeight="1">
      <c r="H79" s="114">
        <f t="shared" si="0"/>
        <v>0</v>
      </c>
      <c r="I79" s="114"/>
    </row>
    <row r="80" spans="1:9" ht="12.75" customHeight="1">
      <c r="A80" s="1" t="s">
        <v>198</v>
      </c>
      <c r="B80" s="1" t="s">
        <v>199</v>
      </c>
      <c r="D80" s="159">
        <v>130121.37</v>
      </c>
      <c r="E80" s="159">
        <f>VLOOKUP(A80,[2]Kolommenbalans!B$1:D$65536,3,FALSE)</f>
        <v>134133.54999999999</v>
      </c>
      <c r="F80" s="159">
        <v>135444.14000000001</v>
      </c>
      <c r="G80" s="159">
        <v>137751</v>
      </c>
      <c r="H80" s="114">
        <f t="shared" si="0"/>
        <v>537450.06000000006</v>
      </c>
      <c r="I80" s="114"/>
    </row>
    <row r="81" spans="1:10" ht="12.75" customHeight="1">
      <c r="H81" s="114">
        <f t="shared" si="0"/>
        <v>0</v>
      </c>
      <c r="I81" s="114"/>
    </row>
    <row r="82" spans="1:10" ht="12.75" customHeight="1">
      <c r="A82" s="1" t="s">
        <v>204</v>
      </c>
      <c r="B82" s="1" t="s">
        <v>650</v>
      </c>
      <c r="D82" s="159">
        <v>752120</v>
      </c>
      <c r="E82" s="159">
        <f>VLOOKUP(A82,[2]Kolommenbalans!B$1:D$65536,3,FALSE)</f>
        <v>762225</v>
      </c>
      <c r="F82" s="159">
        <v>793542</v>
      </c>
      <c r="G82" s="159">
        <v>811996</v>
      </c>
      <c r="H82" s="114">
        <f t="shared" ref="H82:H120" si="1">SUM(C82:G82)</f>
        <v>3119883</v>
      </c>
      <c r="I82" s="114"/>
    </row>
    <row r="83" spans="1:10" ht="12.75" customHeight="1">
      <c r="A83" s="1" t="s">
        <v>206</v>
      </c>
      <c r="B83" s="1" t="s">
        <v>651</v>
      </c>
      <c r="D83" s="159">
        <v>-903643</v>
      </c>
      <c r="E83" s="159">
        <f>VLOOKUP(A83,[2]Kolommenbalans!B$1:D$65536,3,FALSE)</f>
        <v>-963848</v>
      </c>
      <c r="F83" s="159">
        <v>0</v>
      </c>
      <c r="G83" s="159">
        <v>-1202123</v>
      </c>
      <c r="H83" s="114">
        <f t="shared" si="1"/>
        <v>-3069614</v>
      </c>
      <c r="I83" s="114"/>
    </row>
    <row r="84" spans="1:10" ht="12.75" customHeight="1">
      <c r="H84" s="114">
        <f t="shared" si="1"/>
        <v>0</v>
      </c>
      <c r="I84" s="114"/>
    </row>
    <row r="85" spans="1:10" ht="12.75" customHeight="1">
      <c r="A85" s="1" t="s">
        <v>210</v>
      </c>
      <c r="B85" s="1" t="s">
        <v>211</v>
      </c>
      <c r="D85" s="252">
        <v>329083</v>
      </c>
      <c r="E85" s="252">
        <v>216162</v>
      </c>
      <c r="F85" s="272">
        <v>320115.76</v>
      </c>
      <c r="G85" s="156">
        <v>335314</v>
      </c>
      <c r="H85" s="161">
        <f t="shared" si="1"/>
        <v>1200674.76</v>
      </c>
      <c r="I85" s="279" t="s">
        <v>690</v>
      </c>
    </row>
    <row r="86" spans="1:10" ht="12.75" customHeight="1">
      <c r="A86" s="1" t="s">
        <v>214</v>
      </c>
      <c r="B86" s="1" t="s">
        <v>215</v>
      </c>
      <c r="D86" s="159">
        <v>66177.88</v>
      </c>
      <c r="E86" s="159">
        <f>VLOOKUP(A86,[2]Kolommenbalans!B$1:D$65536,3,FALSE)</f>
        <v>66062.67</v>
      </c>
      <c r="F86" s="159">
        <v>69696.850000000006</v>
      </c>
      <c r="G86" s="156">
        <v>80016</v>
      </c>
      <c r="H86" s="114">
        <f t="shared" si="1"/>
        <v>281953.40000000002</v>
      </c>
      <c r="I86" s="114"/>
      <c r="J86" s="114"/>
    </row>
    <row r="87" spans="1:10" ht="12.75" customHeight="1">
      <c r="A87" s="1" t="s">
        <v>216</v>
      </c>
      <c r="B87" s="1" t="s">
        <v>652</v>
      </c>
      <c r="D87" s="159">
        <v>262945.32</v>
      </c>
      <c r="E87" s="159">
        <f>VLOOKUP(A87,[2]Kolommenbalans!B$1:D$65536,3,FALSE)</f>
        <v>188400.11</v>
      </c>
      <c r="F87" s="272">
        <v>180464.32</v>
      </c>
      <c r="G87" s="156">
        <v>199784</v>
      </c>
      <c r="H87" s="114">
        <f t="shared" si="1"/>
        <v>831593.75</v>
      </c>
      <c r="I87" s="279" t="s">
        <v>690</v>
      </c>
    </row>
    <row r="88" spans="1:10" ht="12.75" customHeight="1">
      <c r="A88" s="1" t="s">
        <v>212</v>
      </c>
      <c r="B88" s="1" t="s">
        <v>213</v>
      </c>
      <c r="G88" s="159">
        <v>63619</v>
      </c>
      <c r="H88" s="114">
        <f t="shared" si="1"/>
        <v>63619</v>
      </c>
      <c r="I88" s="114"/>
    </row>
    <row r="89" spans="1:10" ht="12.75" customHeight="1">
      <c r="A89" s="1" t="s">
        <v>218</v>
      </c>
      <c r="B89" s="1" t="s">
        <v>219</v>
      </c>
      <c r="D89" s="159">
        <v>23941.86</v>
      </c>
      <c r="E89" s="159">
        <f>VLOOKUP(A89,[2]Kolommenbalans!B$1:D$65536,3,FALSE)</f>
        <v>24496.54</v>
      </c>
      <c r="F89" s="272">
        <v>27115.88</v>
      </c>
      <c r="G89" s="156">
        <v>26493</v>
      </c>
      <c r="H89" s="114">
        <f t="shared" si="1"/>
        <v>102047.28</v>
      </c>
      <c r="I89" s="279" t="s">
        <v>690</v>
      </c>
      <c r="J89" s="114"/>
    </row>
    <row r="90" spans="1:10" ht="12.75" customHeight="1">
      <c r="A90" s="1" t="s">
        <v>220</v>
      </c>
      <c r="B90" s="1" t="s">
        <v>221</v>
      </c>
      <c r="D90" s="159">
        <v>48840.03</v>
      </c>
      <c r="E90" s="159">
        <f>VLOOKUP(A90,[2]Kolommenbalans!B$1:D$65536,3,FALSE)</f>
        <v>28932.33</v>
      </c>
      <c r="F90" s="272">
        <v>13307.02</v>
      </c>
      <c r="G90" s="156">
        <v>10678.06</v>
      </c>
      <c r="H90" s="114">
        <f t="shared" si="1"/>
        <v>101757.44</v>
      </c>
      <c r="I90" s="279" t="s">
        <v>690</v>
      </c>
    </row>
    <row r="91" spans="1:10" ht="12.75" customHeight="1">
      <c r="A91" s="1" t="s">
        <v>385</v>
      </c>
      <c r="B91" s="1" t="s">
        <v>386</v>
      </c>
      <c r="E91" s="159">
        <f>VLOOKUP(A91,[2]Kolommenbalans!B$1:D$65536,3,FALSE)</f>
        <v>0</v>
      </c>
      <c r="G91" s="159">
        <v>-765.02</v>
      </c>
      <c r="H91" s="114">
        <f t="shared" si="1"/>
        <v>-765.02</v>
      </c>
      <c r="I91" s="114"/>
    </row>
    <row r="92" spans="1:10" ht="12.75" customHeight="1">
      <c r="H92" s="114">
        <f t="shared" si="1"/>
        <v>0</v>
      </c>
      <c r="I92" s="114"/>
    </row>
    <row r="93" spans="1:10" ht="12.75" customHeight="1">
      <c r="A93" s="1" t="s">
        <v>434</v>
      </c>
      <c r="B93" s="1" t="s">
        <v>413</v>
      </c>
      <c r="F93" s="272">
        <v>81794.69</v>
      </c>
      <c r="G93" s="156"/>
      <c r="H93" s="114">
        <f t="shared" si="1"/>
        <v>81794.69</v>
      </c>
      <c r="I93" s="279" t="s">
        <v>692</v>
      </c>
    </row>
    <row r="94" spans="1:10" ht="12.75" customHeight="1">
      <c r="A94" s="1" t="s">
        <v>226</v>
      </c>
      <c r="B94" s="1" t="s">
        <v>227</v>
      </c>
      <c r="D94" s="159">
        <v>42503.08</v>
      </c>
      <c r="E94" s="159">
        <f>VLOOKUP(A94,[2]Kolommenbalans!B$1:D$65536,3,FALSE)</f>
        <v>10114.98</v>
      </c>
      <c r="F94" s="159">
        <v>10216.44</v>
      </c>
      <c r="G94" s="156">
        <v>311.29000000000002</v>
      </c>
      <c r="H94" s="114">
        <f t="shared" si="1"/>
        <v>63145.79</v>
      </c>
      <c r="I94" s="114"/>
    </row>
    <row r="95" spans="1:10" ht="12.75" customHeight="1">
      <c r="H95" s="114">
        <f t="shared" si="1"/>
        <v>0</v>
      </c>
      <c r="I95" s="114"/>
    </row>
    <row r="96" spans="1:10" ht="12.75" customHeight="1">
      <c r="A96" s="1" t="s">
        <v>604</v>
      </c>
      <c r="B96" s="1" t="s">
        <v>605</v>
      </c>
      <c r="F96" s="159">
        <v>36.630000000000003</v>
      </c>
      <c r="G96" s="156"/>
      <c r="H96" s="114">
        <f t="shared" si="1"/>
        <v>36.630000000000003</v>
      </c>
      <c r="I96" s="114"/>
    </row>
    <row r="97" spans="1:10" ht="12.75" customHeight="1">
      <c r="A97" s="1" t="s">
        <v>230</v>
      </c>
      <c r="B97" s="1" t="s">
        <v>231</v>
      </c>
      <c r="D97" s="159">
        <v>40</v>
      </c>
      <c r="E97" s="159">
        <f>VLOOKUP(A97,[2]Kolommenbalans!B$1:D$65536,3,FALSE)</f>
        <v>600</v>
      </c>
      <c r="F97" s="159">
        <v>500</v>
      </c>
      <c r="G97" s="156">
        <v>740</v>
      </c>
      <c r="H97" s="114">
        <f t="shared" si="1"/>
        <v>1880</v>
      </c>
      <c r="I97" s="114"/>
    </row>
    <row r="98" spans="1:10" ht="12.75" customHeight="1">
      <c r="H98" s="114">
        <f t="shared" si="1"/>
        <v>0</v>
      </c>
      <c r="I98" s="114"/>
    </row>
    <row r="99" spans="1:10" ht="12.75" customHeight="1">
      <c r="A99" s="1" t="s">
        <v>234</v>
      </c>
      <c r="B99" s="1" t="s">
        <v>235</v>
      </c>
      <c r="D99" s="159">
        <f>37420.71</f>
        <v>37420.71</v>
      </c>
      <c r="E99" s="159">
        <f>VLOOKUP(A99,[2]Kolommenbalans!B$1:D$65536,3,FALSE)</f>
        <v>21435</v>
      </c>
      <c r="F99" s="159">
        <v>18609.21</v>
      </c>
      <c r="G99" s="156">
        <v>29994.09</v>
      </c>
      <c r="H99" s="114">
        <f t="shared" si="1"/>
        <v>107459.01</v>
      </c>
      <c r="I99" s="114"/>
      <c r="J99" s="114"/>
    </row>
    <row r="100" spans="1:10" ht="12.75" customHeight="1">
      <c r="A100" s="1" t="s">
        <v>236</v>
      </c>
      <c r="B100" s="1" t="s">
        <v>237</v>
      </c>
      <c r="D100" s="159">
        <v>1500</v>
      </c>
      <c r="E100" s="159">
        <f>VLOOKUP(A100,[2]Kolommenbalans!B$1:D$65536,3,FALSE)</f>
        <v>1500</v>
      </c>
      <c r="F100" s="159">
        <v>1500</v>
      </c>
      <c r="G100" s="159">
        <v>1500</v>
      </c>
      <c r="H100" s="114">
        <f t="shared" si="1"/>
        <v>6000</v>
      </c>
      <c r="I100" s="114"/>
    </row>
    <row r="101" spans="1:10" ht="12.75" customHeight="1">
      <c r="A101" s="1" t="s">
        <v>238</v>
      </c>
      <c r="B101" s="1" t="s">
        <v>239</v>
      </c>
      <c r="D101" s="159">
        <v>19091</v>
      </c>
      <c r="E101" s="159">
        <f>VLOOKUP(A101,[2]Kolommenbalans!B$1:D$65536,3,FALSE)</f>
        <v>8698.33</v>
      </c>
      <c r="F101" s="272">
        <v>28685.98</v>
      </c>
      <c r="G101" s="156">
        <v>37717</v>
      </c>
      <c r="H101" s="114">
        <f t="shared" si="1"/>
        <v>94192.31</v>
      </c>
      <c r="I101" s="279" t="s">
        <v>690</v>
      </c>
    </row>
    <row r="102" spans="1:10" ht="12.75" customHeight="1">
      <c r="A102" s="1" t="s">
        <v>240</v>
      </c>
      <c r="B102" s="1" t="s">
        <v>241</v>
      </c>
      <c r="D102" s="159">
        <v>2825.35</v>
      </c>
      <c r="E102" s="159">
        <f>VLOOKUP(A102,[2]Kolommenbalans!B$1:D$65536,3,FALSE)</f>
        <v>1397.55</v>
      </c>
      <c r="F102" s="159">
        <v>1397.55</v>
      </c>
      <c r="G102" s="156"/>
      <c r="H102" s="114">
        <f t="shared" si="1"/>
        <v>5620.45</v>
      </c>
      <c r="I102" s="114"/>
    </row>
    <row r="103" spans="1:10" ht="12.75" customHeight="1">
      <c r="A103" s="1" t="s">
        <v>242</v>
      </c>
      <c r="B103" s="1" t="s">
        <v>562</v>
      </c>
      <c r="D103" s="159">
        <v>46357.1</v>
      </c>
      <c r="E103" s="159">
        <f>VLOOKUP(A103,[2]Kolommenbalans!B$1:D$65536,3,FALSE)</f>
        <v>47806.689999999995</v>
      </c>
      <c r="F103" s="272">
        <v>40046.620000000003</v>
      </c>
      <c r="G103" s="156">
        <v>62948.91</v>
      </c>
      <c r="H103" s="114">
        <f t="shared" si="1"/>
        <v>197159.32</v>
      </c>
      <c r="I103" s="279" t="s">
        <v>690</v>
      </c>
    </row>
    <row r="104" spans="1:10" ht="12.75" customHeight="1">
      <c r="A104" s="1" t="s">
        <v>244</v>
      </c>
      <c r="B104" s="1" t="s">
        <v>245</v>
      </c>
      <c r="D104" s="159">
        <v>7662.19</v>
      </c>
      <c r="E104" s="159">
        <f>VLOOKUP(A104,[2]Kolommenbalans!B$1:D$65536,3,FALSE)</f>
        <v>6967.14</v>
      </c>
      <c r="F104" s="272">
        <v>21661.23</v>
      </c>
      <c r="G104" s="156">
        <v>23359.27</v>
      </c>
      <c r="H104" s="114">
        <f t="shared" si="1"/>
        <v>59649.83</v>
      </c>
      <c r="I104" s="279" t="s">
        <v>690</v>
      </c>
    </row>
    <row r="105" spans="1:10" ht="12.75" customHeight="1">
      <c r="A105" s="1" t="s">
        <v>246</v>
      </c>
      <c r="B105" s="1" t="s">
        <v>247</v>
      </c>
      <c r="D105" s="159">
        <v>9900</v>
      </c>
      <c r="E105" s="159">
        <f>VLOOKUP(A105,[2]Kolommenbalans!B$1:D$65536,3,FALSE)</f>
        <v>100650</v>
      </c>
      <c r="F105" s="272">
        <v>35200</v>
      </c>
      <c r="G105" s="156">
        <v>11168</v>
      </c>
      <c r="H105" s="114">
        <f t="shared" si="1"/>
        <v>156918</v>
      </c>
      <c r="I105" s="279" t="s">
        <v>690</v>
      </c>
    </row>
    <row r="106" spans="1:10" ht="12.75" customHeight="1">
      <c r="A106" s="1" t="s">
        <v>248</v>
      </c>
      <c r="B106" s="1" t="s">
        <v>249</v>
      </c>
      <c r="D106" s="252">
        <v>30344</v>
      </c>
      <c r="E106" s="252">
        <v>30223</v>
      </c>
      <c r="F106" s="159">
        <v>30061.71</v>
      </c>
      <c r="G106" s="156">
        <v>30747</v>
      </c>
      <c r="H106" s="114">
        <f t="shared" si="1"/>
        <v>121375.70999999999</v>
      </c>
      <c r="I106" s="280"/>
    </row>
    <row r="107" spans="1:10" ht="12.75" customHeight="1">
      <c r="A107" s="1" t="s">
        <v>436</v>
      </c>
      <c r="B107" s="1" t="s">
        <v>653</v>
      </c>
      <c r="D107" s="159">
        <v>0</v>
      </c>
      <c r="E107" s="159">
        <f>VLOOKUP(A107,[2]Kolommenbalans!B$1:D$65536,3,FALSE)</f>
        <v>0</v>
      </c>
      <c r="F107" s="159">
        <v>40000</v>
      </c>
      <c r="G107" s="156"/>
      <c r="H107" s="114">
        <f t="shared" si="1"/>
        <v>40000</v>
      </c>
      <c r="I107" s="114"/>
    </row>
    <row r="108" spans="1:10" ht="12.75" customHeight="1">
      <c r="A108" s="1" t="s">
        <v>250</v>
      </c>
      <c r="B108" s="1" t="s">
        <v>251</v>
      </c>
      <c r="D108" s="159">
        <v>2438.6999999999998</v>
      </c>
      <c r="E108" s="159">
        <f>VLOOKUP(A108,[2]Kolommenbalans!B$1:D$65536,3,FALSE)</f>
        <v>-1507.82</v>
      </c>
      <c r="F108" s="272">
        <v>4048.3</v>
      </c>
      <c r="G108" s="156">
        <v>-812.48</v>
      </c>
      <c r="H108" s="114">
        <f t="shared" si="1"/>
        <v>4166.7000000000007</v>
      </c>
      <c r="I108" s="279" t="s">
        <v>699</v>
      </c>
    </row>
    <row r="109" spans="1:10" ht="12.75" customHeight="1">
      <c r="H109" s="114">
        <f t="shared" si="1"/>
        <v>0</v>
      </c>
      <c r="I109" s="114"/>
    </row>
    <row r="110" spans="1:10" ht="12.75" customHeight="1">
      <c r="A110" s="1" t="s">
        <v>654</v>
      </c>
      <c r="B110" s="1" t="s">
        <v>655</v>
      </c>
      <c r="H110" s="114">
        <f t="shared" si="1"/>
        <v>0</v>
      </c>
      <c r="I110" s="114"/>
    </row>
    <row r="111" spans="1:10" ht="12.75" customHeight="1">
      <c r="A111" s="1" t="s">
        <v>656</v>
      </c>
      <c r="B111" s="1" t="s">
        <v>477</v>
      </c>
      <c r="F111" s="272">
        <v>9557</v>
      </c>
      <c r="H111" s="114">
        <f t="shared" si="1"/>
        <v>9557</v>
      </c>
      <c r="I111" s="279" t="s">
        <v>695</v>
      </c>
    </row>
    <row r="112" spans="1:10" ht="12.75" customHeight="1">
      <c r="A112" s="136">
        <v>4613000</v>
      </c>
      <c r="B112" s="1" t="s">
        <v>700</v>
      </c>
      <c r="F112" s="272">
        <v>5000</v>
      </c>
      <c r="H112" s="114">
        <f t="shared" si="1"/>
        <v>5000</v>
      </c>
      <c r="I112" s="279" t="s">
        <v>695</v>
      </c>
    </row>
    <row r="113" spans="1:9" ht="12.75" customHeight="1">
      <c r="A113" s="1" t="s">
        <v>657</v>
      </c>
      <c r="B113" s="1" t="s">
        <v>658</v>
      </c>
      <c r="F113" s="159">
        <v>-10316</v>
      </c>
      <c r="G113" s="156">
        <v>88.36</v>
      </c>
      <c r="H113" s="114">
        <f t="shared" si="1"/>
        <v>-10227.64</v>
      </c>
      <c r="I113" s="114"/>
    </row>
    <row r="114" spans="1:9" ht="12.75" customHeight="1">
      <c r="A114" s="1" t="s">
        <v>260</v>
      </c>
      <c r="B114" s="1" t="s">
        <v>261</v>
      </c>
      <c r="D114" s="159">
        <v>1946836.3</v>
      </c>
      <c r="E114" s="272">
        <v>1924988.9</v>
      </c>
      <c r="F114" s="159">
        <v>1738638.91</v>
      </c>
      <c r="G114" s="159">
        <v>1484000.59</v>
      </c>
      <c r="H114" s="114">
        <f t="shared" si="1"/>
        <v>7094464.7000000002</v>
      </c>
      <c r="I114" s="279" t="s">
        <v>694</v>
      </c>
    </row>
    <row r="115" spans="1:9" ht="12.75" customHeight="1">
      <c r="A115" s="1" t="s">
        <v>266</v>
      </c>
      <c r="B115" s="281" t="s">
        <v>267</v>
      </c>
      <c r="D115" s="252">
        <v>-222008</v>
      </c>
      <c r="E115" s="252">
        <v>-181507</v>
      </c>
      <c r="F115" s="159">
        <v>-76671.34</v>
      </c>
      <c r="G115" s="159">
        <v>81808</v>
      </c>
      <c r="H115" s="114">
        <f t="shared" si="1"/>
        <v>-398378.33999999997</v>
      </c>
      <c r="I115" s="280"/>
    </row>
    <row r="116" spans="1:9" ht="12.75" customHeight="1">
      <c r="A116" s="1" t="s">
        <v>659</v>
      </c>
      <c r="B116" s="1" t="s">
        <v>660</v>
      </c>
      <c r="D116" s="252">
        <v>0</v>
      </c>
      <c r="E116" s="159">
        <f>VLOOKUP(A116,[2]Kolommenbalans!B$1:D$65536,3,FALSE)</f>
        <v>51.12</v>
      </c>
      <c r="F116" s="272">
        <v>0</v>
      </c>
      <c r="H116" s="114">
        <f t="shared" si="1"/>
        <v>51.12</v>
      </c>
      <c r="I116" s="280" t="s">
        <v>701</v>
      </c>
    </row>
    <row r="117" spans="1:9" ht="12.75" customHeight="1">
      <c r="A117" s="1" t="s">
        <v>661</v>
      </c>
      <c r="B117" s="281" t="s">
        <v>564</v>
      </c>
      <c r="D117" s="159">
        <v>-530364.23</v>
      </c>
      <c r="E117" s="159">
        <f>VLOOKUP(A117,[2]Kolommenbalans!B$1:D$65536,3,FALSE)</f>
        <v>-519493.62</v>
      </c>
      <c r="F117" s="272">
        <v>-468232.28</v>
      </c>
      <c r="G117" s="159">
        <v>-397476.14</v>
      </c>
      <c r="H117" s="114">
        <f t="shared" si="1"/>
        <v>-1915566.27</v>
      </c>
      <c r="I117" s="280" t="s">
        <v>701</v>
      </c>
    </row>
    <row r="118" spans="1:9" ht="12.75" customHeight="1">
      <c r="H118" s="114">
        <f t="shared" si="1"/>
        <v>0</v>
      </c>
      <c r="I118" s="114"/>
    </row>
    <row r="119" spans="1:9" ht="12.75" customHeight="1">
      <c r="A119" s="1" t="s">
        <v>662</v>
      </c>
      <c r="B119" s="1" t="s">
        <v>394</v>
      </c>
      <c r="F119" s="272">
        <v>2238775</v>
      </c>
      <c r="H119" s="114">
        <f t="shared" si="1"/>
        <v>2238775</v>
      </c>
      <c r="I119" s="280" t="s">
        <v>702</v>
      </c>
    </row>
    <row r="120" spans="1:9" ht="12.75" customHeight="1">
      <c r="A120" s="1" t="s">
        <v>272</v>
      </c>
      <c r="B120" s="1" t="s">
        <v>273</v>
      </c>
      <c r="D120" s="159">
        <v>-176734</v>
      </c>
      <c r="E120" s="159">
        <f>VLOOKUP(A120,[2]Kolommenbalans!B$1:D$65536,3,FALSE)</f>
        <v>-155489</v>
      </c>
      <c r="F120" s="272">
        <v>-920937</v>
      </c>
      <c r="G120" s="159">
        <v>-173840</v>
      </c>
      <c r="H120" s="114">
        <f t="shared" si="1"/>
        <v>-1427000</v>
      </c>
      <c r="I120" s="280" t="s">
        <v>691</v>
      </c>
    </row>
    <row r="121" spans="1:9" ht="12.75" customHeight="1">
      <c r="H121" s="114"/>
      <c r="I121" s="114"/>
    </row>
    <row r="122" spans="1:9" ht="12.75" customHeight="1">
      <c r="A122" s="1" t="s">
        <v>440</v>
      </c>
      <c r="D122" s="159">
        <f>SUM(D73:D120)</f>
        <v>-925445.15000000037</v>
      </c>
      <c r="E122" s="159">
        <f>SUM(E73:E120)</f>
        <v>-1312122.9900000002</v>
      </c>
      <c r="F122" s="159">
        <f>SUM(F73:F120)</f>
        <v>918873.87000000011</v>
      </c>
      <c r="G122" s="159">
        <f>SUM(G73:G120)</f>
        <v>-1270922.8599999999</v>
      </c>
      <c r="H122" s="114">
        <f>SUM(D122:G122)</f>
        <v>-2589617.1300000004</v>
      </c>
      <c r="I122" s="114"/>
    </row>
    <row r="124" spans="1:9" ht="12.75" customHeight="1">
      <c r="A124" s="1" t="s">
        <v>663</v>
      </c>
      <c r="D124" s="137">
        <f>SUM(D5:D120)</f>
        <v>-0.41999999969266355</v>
      </c>
      <c r="E124" s="137">
        <f>SUM(E5:E120)</f>
        <v>-0.21000000019557774</v>
      </c>
      <c r="F124" s="137">
        <f>SUM(F5:F120)</f>
        <v>-0.42000000132247806</v>
      </c>
      <c r="G124" s="137">
        <f>SUM(G5:G120)</f>
        <v>0.12000000034458935</v>
      </c>
      <c r="H124" s="137">
        <f>SUM(H5:H120)</f>
        <v>-0.92999997781589627</v>
      </c>
    </row>
    <row r="126" spans="1:9" ht="12.75" customHeight="1">
      <c r="A126" s="136" t="s">
        <v>579</v>
      </c>
      <c r="C126" s="246"/>
      <c r="D126" s="261">
        <f>36883.33*3</f>
        <v>110649.99</v>
      </c>
      <c r="E126" s="261">
        <f>36883.33*3</f>
        <v>110649.99</v>
      </c>
      <c r="F126" s="261">
        <f>36883.33*3</f>
        <v>110649.99</v>
      </c>
      <c r="G126" s="261">
        <f>36883.33*3</f>
        <v>110649.99</v>
      </c>
      <c r="H126" s="114"/>
    </row>
    <row r="127" spans="1:9" ht="12.75" customHeight="1">
      <c r="A127" s="136" t="s">
        <v>580</v>
      </c>
      <c r="C127" s="246"/>
      <c r="D127" s="246">
        <v>-332658.46999999997</v>
      </c>
      <c r="E127" s="274">
        <v>-292157.34000000003</v>
      </c>
      <c r="F127" s="274">
        <v>-187321.85</v>
      </c>
      <c r="G127" s="159">
        <v>-28841.62</v>
      </c>
      <c r="H127" s="114"/>
    </row>
    <row r="128" spans="1:9" ht="12.75" customHeight="1">
      <c r="A128" s="136"/>
      <c r="C128" s="246"/>
      <c r="D128" s="246"/>
      <c r="E128" s="246"/>
      <c r="F128" s="246"/>
      <c r="G128" s="246"/>
      <c r="H128" s="114"/>
    </row>
    <row r="129" spans="1:8" ht="12.75" customHeight="1">
      <c r="A129" s="136" t="s">
        <v>581</v>
      </c>
      <c r="C129" s="246"/>
      <c r="D129" s="246">
        <f>D114</f>
        <v>1946836.3</v>
      </c>
      <c r="E129" s="246">
        <f>E114</f>
        <v>1924988.9</v>
      </c>
      <c r="F129" s="246">
        <f>F114</f>
        <v>1738638.91</v>
      </c>
      <c r="G129" s="246">
        <f>G114</f>
        <v>1484000.59</v>
      </c>
      <c r="H129" s="246">
        <f>H114+H111+H113+H112</f>
        <v>7098794.0600000005</v>
      </c>
    </row>
    <row r="130" spans="1:8" ht="12.75" customHeight="1">
      <c r="A130" s="136" t="s">
        <v>582</v>
      </c>
      <c r="C130" s="246"/>
      <c r="D130" s="246">
        <f>D127</f>
        <v>-332658.46999999997</v>
      </c>
      <c r="E130" s="276">
        <f>E127</f>
        <v>-292157.34000000003</v>
      </c>
      <c r="F130" s="276">
        <f>F127</f>
        <v>-187321.85</v>
      </c>
      <c r="G130" s="276">
        <f>G127</f>
        <v>-28841.62</v>
      </c>
      <c r="H130" s="263">
        <f>SUM(D130:G130)</f>
        <v>-840979.28</v>
      </c>
    </row>
    <row r="131" spans="1:8" ht="12.75" customHeight="1">
      <c r="A131" s="136" t="s">
        <v>583</v>
      </c>
      <c r="C131" s="246"/>
      <c r="D131" s="246">
        <f>D126</f>
        <v>110649.99</v>
      </c>
      <c r="E131" s="276">
        <f>E126</f>
        <v>110649.99</v>
      </c>
      <c r="F131" s="276">
        <f>F126</f>
        <v>110649.99</v>
      </c>
      <c r="G131" s="276">
        <f>G126</f>
        <v>110649.99</v>
      </c>
      <c r="H131" s="263">
        <f>SUM(D131:G131)</f>
        <v>442599.96</v>
      </c>
    </row>
    <row r="132" spans="1:8" ht="12.75" customHeight="1">
      <c r="A132" s="136" t="s">
        <v>584</v>
      </c>
      <c r="C132" s="246"/>
      <c r="D132" s="246">
        <f>D112+D117</f>
        <v>-530364.23</v>
      </c>
      <c r="E132" s="246">
        <f>E112+E117</f>
        <v>-519493.62</v>
      </c>
      <c r="F132" s="246">
        <f>F112+F117</f>
        <v>-463232.28</v>
      </c>
      <c r="G132" s="246">
        <f>G112+G117</f>
        <v>-397476.14</v>
      </c>
      <c r="H132" s="114">
        <f>SUM(D132:G132)</f>
        <v>-1910566.27</v>
      </c>
    </row>
    <row r="133" spans="1:8" ht="12.75" customHeight="1">
      <c r="D133" s="246">
        <f>SUM(D129:D132)</f>
        <v>1194463.5900000001</v>
      </c>
      <c r="E133" s="246">
        <f>SUM(E129:E132)</f>
        <v>1223987.9299999997</v>
      </c>
      <c r="F133" s="246">
        <f>SUM(F129:F132)</f>
        <v>1198734.7699999998</v>
      </c>
      <c r="G133" s="246">
        <f>SUM(G129:G132)</f>
        <v>1168332.8199999998</v>
      </c>
      <c r="H133" s="114">
        <f>SUM(D133:G133)</f>
        <v>4785519.1099999994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8B59-1F41-4903-8F3A-06262605074D}">
  <dimension ref="A1:L133"/>
  <sheetViews>
    <sheetView topLeftCell="A82" zoomScaleNormal="100" workbookViewId="0">
      <selection activeCell="I121" sqref="I121"/>
    </sheetView>
  </sheetViews>
  <sheetFormatPr defaultRowHeight="12.75" customHeight="1"/>
  <cols>
    <col min="1" max="1" width="12.88671875" style="1" bestFit="1" customWidth="1"/>
    <col min="2" max="2" width="70" style="1" bestFit="1" customWidth="1"/>
    <col min="3" max="3" width="26" style="282" bestFit="1" customWidth="1"/>
    <col min="4" max="7" width="17.5546875" style="159" customWidth="1"/>
    <col min="8" max="8" width="20.44140625" style="1" bestFit="1" customWidth="1"/>
    <col min="9" max="9" width="11.33203125" style="1" bestFit="1" customWidth="1"/>
    <col min="10" max="10" width="9.109375" style="1"/>
    <col min="11" max="11" width="10.88671875" style="1" bestFit="1" customWidth="1"/>
    <col min="12" max="256" width="9.109375" style="1"/>
    <col min="257" max="257" width="12.88671875" style="1" bestFit="1" customWidth="1"/>
    <col min="258" max="258" width="70" style="1" bestFit="1" customWidth="1"/>
    <col min="259" max="259" width="26" style="1" bestFit="1" customWidth="1"/>
    <col min="260" max="263" width="17.5546875" style="1" customWidth="1"/>
    <col min="264" max="264" width="20.44140625" style="1" bestFit="1" customWidth="1"/>
    <col min="265" max="265" width="11.33203125" style="1" bestFit="1" customWidth="1"/>
    <col min="266" max="266" width="9.109375" style="1"/>
    <col min="267" max="267" width="10.88671875" style="1" bestFit="1" customWidth="1"/>
    <col min="268" max="512" width="9.109375" style="1"/>
    <col min="513" max="513" width="12.88671875" style="1" bestFit="1" customWidth="1"/>
    <col min="514" max="514" width="70" style="1" bestFit="1" customWidth="1"/>
    <col min="515" max="515" width="26" style="1" bestFit="1" customWidth="1"/>
    <col min="516" max="519" width="17.5546875" style="1" customWidth="1"/>
    <col min="520" max="520" width="20.44140625" style="1" bestFit="1" customWidth="1"/>
    <col min="521" max="521" width="11.33203125" style="1" bestFit="1" customWidth="1"/>
    <col min="522" max="522" width="9.109375" style="1"/>
    <col min="523" max="523" width="10.88671875" style="1" bestFit="1" customWidth="1"/>
    <col min="524" max="768" width="9.109375" style="1"/>
    <col min="769" max="769" width="12.88671875" style="1" bestFit="1" customWidth="1"/>
    <col min="770" max="770" width="70" style="1" bestFit="1" customWidth="1"/>
    <col min="771" max="771" width="26" style="1" bestFit="1" customWidth="1"/>
    <col min="772" max="775" width="17.5546875" style="1" customWidth="1"/>
    <col min="776" max="776" width="20.44140625" style="1" bestFit="1" customWidth="1"/>
    <col min="777" max="777" width="11.33203125" style="1" bestFit="1" customWidth="1"/>
    <col min="778" max="778" width="9.109375" style="1"/>
    <col min="779" max="779" width="10.88671875" style="1" bestFit="1" customWidth="1"/>
    <col min="780" max="1024" width="9.109375" style="1"/>
    <col min="1025" max="1025" width="12.88671875" style="1" bestFit="1" customWidth="1"/>
    <col min="1026" max="1026" width="70" style="1" bestFit="1" customWidth="1"/>
    <col min="1027" max="1027" width="26" style="1" bestFit="1" customWidth="1"/>
    <col min="1028" max="1031" width="17.5546875" style="1" customWidth="1"/>
    <col min="1032" max="1032" width="20.44140625" style="1" bestFit="1" customWidth="1"/>
    <col min="1033" max="1033" width="11.33203125" style="1" bestFit="1" customWidth="1"/>
    <col min="1034" max="1034" width="9.109375" style="1"/>
    <col min="1035" max="1035" width="10.88671875" style="1" bestFit="1" customWidth="1"/>
    <col min="1036" max="1280" width="9.109375" style="1"/>
    <col min="1281" max="1281" width="12.88671875" style="1" bestFit="1" customWidth="1"/>
    <col min="1282" max="1282" width="70" style="1" bestFit="1" customWidth="1"/>
    <col min="1283" max="1283" width="26" style="1" bestFit="1" customWidth="1"/>
    <col min="1284" max="1287" width="17.5546875" style="1" customWidth="1"/>
    <col min="1288" max="1288" width="20.44140625" style="1" bestFit="1" customWidth="1"/>
    <col min="1289" max="1289" width="11.33203125" style="1" bestFit="1" customWidth="1"/>
    <col min="1290" max="1290" width="9.109375" style="1"/>
    <col min="1291" max="1291" width="10.88671875" style="1" bestFit="1" customWidth="1"/>
    <col min="1292" max="1536" width="9.109375" style="1"/>
    <col min="1537" max="1537" width="12.88671875" style="1" bestFit="1" customWidth="1"/>
    <col min="1538" max="1538" width="70" style="1" bestFit="1" customWidth="1"/>
    <col min="1539" max="1539" width="26" style="1" bestFit="1" customWidth="1"/>
    <col min="1540" max="1543" width="17.5546875" style="1" customWidth="1"/>
    <col min="1544" max="1544" width="20.44140625" style="1" bestFit="1" customWidth="1"/>
    <col min="1545" max="1545" width="11.33203125" style="1" bestFit="1" customWidth="1"/>
    <col min="1546" max="1546" width="9.109375" style="1"/>
    <col min="1547" max="1547" width="10.88671875" style="1" bestFit="1" customWidth="1"/>
    <col min="1548" max="1792" width="9.109375" style="1"/>
    <col min="1793" max="1793" width="12.88671875" style="1" bestFit="1" customWidth="1"/>
    <col min="1794" max="1794" width="70" style="1" bestFit="1" customWidth="1"/>
    <col min="1795" max="1795" width="26" style="1" bestFit="1" customWidth="1"/>
    <col min="1796" max="1799" width="17.5546875" style="1" customWidth="1"/>
    <col min="1800" max="1800" width="20.44140625" style="1" bestFit="1" customWidth="1"/>
    <col min="1801" max="1801" width="11.33203125" style="1" bestFit="1" customWidth="1"/>
    <col min="1802" max="1802" width="9.109375" style="1"/>
    <col min="1803" max="1803" width="10.88671875" style="1" bestFit="1" customWidth="1"/>
    <col min="1804" max="2048" width="9.109375" style="1"/>
    <col min="2049" max="2049" width="12.88671875" style="1" bestFit="1" customWidth="1"/>
    <col min="2050" max="2050" width="70" style="1" bestFit="1" customWidth="1"/>
    <col min="2051" max="2051" width="26" style="1" bestFit="1" customWidth="1"/>
    <col min="2052" max="2055" width="17.5546875" style="1" customWidth="1"/>
    <col min="2056" max="2056" width="20.44140625" style="1" bestFit="1" customWidth="1"/>
    <col min="2057" max="2057" width="11.33203125" style="1" bestFit="1" customWidth="1"/>
    <col min="2058" max="2058" width="9.109375" style="1"/>
    <col min="2059" max="2059" width="10.88671875" style="1" bestFit="1" customWidth="1"/>
    <col min="2060" max="2304" width="9.109375" style="1"/>
    <col min="2305" max="2305" width="12.88671875" style="1" bestFit="1" customWidth="1"/>
    <col min="2306" max="2306" width="70" style="1" bestFit="1" customWidth="1"/>
    <col min="2307" max="2307" width="26" style="1" bestFit="1" customWidth="1"/>
    <col min="2308" max="2311" width="17.5546875" style="1" customWidth="1"/>
    <col min="2312" max="2312" width="20.44140625" style="1" bestFit="1" customWidth="1"/>
    <col min="2313" max="2313" width="11.33203125" style="1" bestFit="1" customWidth="1"/>
    <col min="2314" max="2314" width="9.109375" style="1"/>
    <col min="2315" max="2315" width="10.88671875" style="1" bestFit="1" customWidth="1"/>
    <col min="2316" max="2560" width="9.109375" style="1"/>
    <col min="2561" max="2561" width="12.88671875" style="1" bestFit="1" customWidth="1"/>
    <col min="2562" max="2562" width="70" style="1" bestFit="1" customWidth="1"/>
    <col min="2563" max="2563" width="26" style="1" bestFit="1" customWidth="1"/>
    <col min="2564" max="2567" width="17.5546875" style="1" customWidth="1"/>
    <col min="2568" max="2568" width="20.44140625" style="1" bestFit="1" customWidth="1"/>
    <col min="2569" max="2569" width="11.33203125" style="1" bestFit="1" customWidth="1"/>
    <col min="2570" max="2570" width="9.109375" style="1"/>
    <col min="2571" max="2571" width="10.88671875" style="1" bestFit="1" customWidth="1"/>
    <col min="2572" max="2816" width="9.109375" style="1"/>
    <col min="2817" max="2817" width="12.88671875" style="1" bestFit="1" customWidth="1"/>
    <col min="2818" max="2818" width="70" style="1" bestFit="1" customWidth="1"/>
    <col min="2819" max="2819" width="26" style="1" bestFit="1" customWidth="1"/>
    <col min="2820" max="2823" width="17.5546875" style="1" customWidth="1"/>
    <col min="2824" max="2824" width="20.44140625" style="1" bestFit="1" customWidth="1"/>
    <col min="2825" max="2825" width="11.33203125" style="1" bestFit="1" customWidth="1"/>
    <col min="2826" max="2826" width="9.109375" style="1"/>
    <col min="2827" max="2827" width="10.88671875" style="1" bestFit="1" customWidth="1"/>
    <col min="2828" max="3072" width="9.109375" style="1"/>
    <col min="3073" max="3073" width="12.88671875" style="1" bestFit="1" customWidth="1"/>
    <col min="3074" max="3074" width="70" style="1" bestFit="1" customWidth="1"/>
    <col min="3075" max="3075" width="26" style="1" bestFit="1" customWidth="1"/>
    <col min="3076" max="3079" width="17.5546875" style="1" customWidth="1"/>
    <col min="3080" max="3080" width="20.44140625" style="1" bestFit="1" customWidth="1"/>
    <col min="3081" max="3081" width="11.33203125" style="1" bestFit="1" customWidth="1"/>
    <col min="3082" max="3082" width="9.109375" style="1"/>
    <col min="3083" max="3083" width="10.88671875" style="1" bestFit="1" customWidth="1"/>
    <col min="3084" max="3328" width="9.109375" style="1"/>
    <col min="3329" max="3329" width="12.88671875" style="1" bestFit="1" customWidth="1"/>
    <col min="3330" max="3330" width="70" style="1" bestFit="1" customWidth="1"/>
    <col min="3331" max="3331" width="26" style="1" bestFit="1" customWidth="1"/>
    <col min="3332" max="3335" width="17.5546875" style="1" customWidth="1"/>
    <col min="3336" max="3336" width="20.44140625" style="1" bestFit="1" customWidth="1"/>
    <col min="3337" max="3337" width="11.33203125" style="1" bestFit="1" customWidth="1"/>
    <col min="3338" max="3338" width="9.109375" style="1"/>
    <col min="3339" max="3339" width="10.88671875" style="1" bestFit="1" customWidth="1"/>
    <col min="3340" max="3584" width="9.109375" style="1"/>
    <col min="3585" max="3585" width="12.88671875" style="1" bestFit="1" customWidth="1"/>
    <col min="3586" max="3586" width="70" style="1" bestFit="1" customWidth="1"/>
    <col min="3587" max="3587" width="26" style="1" bestFit="1" customWidth="1"/>
    <col min="3588" max="3591" width="17.5546875" style="1" customWidth="1"/>
    <col min="3592" max="3592" width="20.44140625" style="1" bestFit="1" customWidth="1"/>
    <col min="3593" max="3593" width="11.33203125" style="1" bestFit="1" customWidth="1"/>
    <col min="3594" max="3594" width="9.109375" style="1"/>
    <col min="3595" max="3595" width="10.88671875" style="1" bestFit="1" customWidth="1"/>
    <col min="3596" max="3840" width="9.109375" style="1"/>
    <col min="3841" max="3841" width="12.88671875" style="1" bestFit="1" customWidth="1"/>
    <col min="3842" max="3842" width="70" style="1" bestFit="1" customWidth="1"/>
    <col min="3843" max="3843" width="26" style="1" bestFit="1" customWidth="1"/>
    <col min="3844" max="3847" width="17.5546875" style="1" customWidth="1"/>
    <col min="3848" max="3848" width="20.44140625" style="1" bestFit="1" customWidth="1"/>
    <col min="3849" max="3849" width="11.33203125" style="1" bestFit="1" customWidth="1"/>
    <col min="3850" max="3850" width="9.109375" style="1"/>
    <col min="3851" max="3851" width="10.88671875" style="1" bestFit="1" customWidth="1"/>
    <col min="3852" max="4096" width="9.109375" style="1"/>
    <col min="4097" max="4097" width="12.88671875" style="1" bestFit="1" customWidth="1"/>
    <col min="4098" max="4098" width="70" style="1" bestFit="1" customWidth="1"/>
    <col min="4099" max="4099" width="26" style="1" bestFit="1" customWidth="1"/>
    <col min="4100" max="4103" width="17.5546875" style="1" customWidth="1"/>
    <col min="4104" max="4104" width="20.44140625" style="1" bestFit="1" customWidth="1"/>
    <col min="4105" max="4105" width="11.33203125" style="1" bestFit="1" customWidth="1"/>
    <col min="4106" max="4106" width="9.109375" style="1"/>
    <col min="4107" max="4107" width="10.88671875" style="1" bestFit="1" customWidth="1"/>
    <col min="4108" max="4352" width="9.109375" style="1"/>
    <col min="4353" max="4353" width="12.88671875" style="1" bestFit="1" customWidth="1"/>
    <col min="4354" max="4354" width="70" style="1" bestFit="1" customWidth="1"/>
    <col min="4355" max="4355" width="26" style="1" bestFit="1" customWidth="1"/>
    <col min="4356" max="4359" width="17.5546875" style="1" customWidth="1"/>
    <col min="4360" max="4360" width="20.44140625" style="1" bestFit="1" customWidth="1"/>
    <col min="4361" max="4361" width="11.33203125" style="1" bestFit="1" customWidth="1"/>
    <col min="4362" max="4362" width="9.109375" style="1"/>
    <col min="4363" max="4363" width="10.88671875" style="1" bestFit="1" customWidth="1"/>
    <col min="4364" max="4608" width="9.109375" style="1"/>
    <col min="4609" max="4609" width="12.88671875" style="1" bestFit="1" customWidth="1"/>
    <col min="4610" max="4610" width="70" style="1" bestFit="1" customWidth="1"/>
    <col min="4611" max="4611" width="26" style="1" bestFit="1" customWidth="1"/>
    <col min="4612" max="4615" width="17.5546875" style="1" customWidth="1"/>
    <col min="4616" max="4616" width="20.44140625" style="1" bestFit="1" customWidth="1"/>
    <col min="4617" max="4617" width="11.33203125" style="1" bestFit="1" customWidth="1"/>
    <col min="4618" max="4618" width="9.109375" style="1"/>
    <col min="4619" max="4619" width="10.88671875" style="1" bestFit="1" customWidth="1"/>
    <col min="4620" max="4864" width="9.109375" style="1"/>
    <col min="4865" max="4865" width="12.88671875" style="1" bestFit="1" customWidth="1"/>
    <col min="4866" max="4866" width="70" style="1" bestFit="1" customWidth="1"/>
    <col min="4867" max="4867" width="26" style="1" bestFit="1" customWidth="1"/>
    <col min="4868" max="4871" width="17.5546875" style="1" customWidth="1"/>
    <col min="4872" max="4872" width="20.44140625" style="1" bestFit="1" customWidth="1"/>
    <col min="4873" max="4873" width="11.33203125" style="1" bestFit="1" customWidth="1"/>
    <col min="4874" max="4874" width="9.109375" style="1"/>
    <col min="4875" max="4875" width="10.88671875" style="1" bestFit="1" customWidth="1"/>
    <col min="4876" max="5120" width="9.109375" style="1"/>
    <col min="5121" max="5121" width="12.88671875" style="1" bestFit="1" customWidth="1"/>
    <col min="5122" max="5122" width="70" style="1" bestFit="1" customWidth="1"/>
    <col min="5123" max="5123" width="26" style="1" bestFit="1" customWidth="1"/>
    <col min="5124" max="5127" width="17.5546875" style="1" customWidth="1"/>
    <col min="5128" max="5128" width="20.44140625" style="1" bestFit="1" customWidth="1"/>
    <col min="5129" max="5129" width="11.33203125" style="1" bestFit="1" customWidth="1"/>
    <col min="5130" max="5130" width="9.109375" style="1"/>
    <col min="5131" max="5131" width="10.88671875" style="1" bestFit="1" customWidth="1"/>
    <col min="5132" max="5376" width="9.109375" style="1"/>
    <col min="5377" max="5377" width="12.88671875" style="1" bestFit="1" customWidth="1"/>
    <col min="5378" max="5378" width="70" style="1" bestFit="1" customWidth="1"/>
    <col min="5379" max="5379" width="26" style="1" bestFit="1" customWidth="1"/>
    <col min="5380" max="5383" width="17.5546875" style="1" customWidth="1"/>
    <col min="5384" max="5384" width="20.44140625" style="1" bestFit="1" customWidth="1"/>
    <col min="5385" max="5385" width="11.33203125" style="1" bestFit="1" customWidth="1"/>
    <col min="5386" max="5386" width="9.109375" style="1"/>
    <col min="5387" max="5387" width="10.88671875" style="1" bestFit="1" customWidth="1"/>
    <col min="5388" max="5632" width="9.109375" style="1"/>
    <col min="5633" max="5633" width="12.88671875" style="1" bestFit="1" customWidth="1"/>
    <col min="5634" max="5634" width="70" style="1" bestFit="1" customWidth="1"/>
    <col min="5635" max="5635" width="26" style="1" bestFit="1" customWidth="1"/>
    <col min="5636" max="5639" width="17.5546875" style="1" customWidth="1"/>
    <col min="5640" max="5640" width="20.44140625" style="1" bestFit="1" customWidth="1"/>
    <col min="5641" max="5641" width="11.33203125" style="1" bestFit="1" customWidth="1"/>
    <col min="5642" max="5642" width="9.109375" style="1"/>
    <col min="5643" max="5643" width="10.88671875" style="1" bestFit="1" customWidth="1"/>
    <col min="5644" max="5888" width="9.109375" style="1"/>
    <col min="5889" max="5889" width="12.88671875" style="1" bestFit="1" customWidth="1"/>
    <col min="5890" max="5890" width="70" style="1" bestFit="1" customWidth="1"/>
    <col min="5891" max="5891" width="26" style="1" bestFit="1" customWidth="1"/>
    <col min="5892" max="5895" width="17.5546875" style="1" customWidth="1"/>
    <col min="5896" max="5896" width="20.44140625" style="1" bestFit="1" customWidth="1"/>
    <col min="5897" max="5897" width="11.33203125" style="1" bestFit="1" customWidth="1"/>
    <col min="5898" max="5898" width="9.109375" style="1"/>
    <col min="5899" max="5899" width="10.88671875" style="1" bestFit="1" customWidth="1"/>
    <col min="5900" max="6144" width="9.109375" style="1"/>
    <col min="6145" max="6145" width="12.88671875" style="1" bestFit="1" customWidth="1"/>
    <col min="6146" max="6146" width="70" style="1" bestFit="1" customWidth="1"/>
    <col min="6147" max="6147" width="26" style="1" bestFit="1" customWidth="1"/>
    <col min="6148" max="6151" width="17.5546875" style="1" customWidth="1"/>
    <col min="6152" max="6152" width="20.44140625" style="1" bestFit="1" customWidth="1"/>
    <col min="6153" max="6153" width="11.33203125" style="1" bestFit="1" customWidth="1"/>
    <col min="6154" max="6154" width="9.109375" style="1"/>
    <col min="6155" max="6155" width="10.88671875" style="1" bestFit="1" customWidth="1"/>
    <col min="6156" max="6400" width="9.109375" style="1"/>
    <col min="6401" max="6401" width="12.88671875" style="1" bestFit="1" customWidth="1"/>
    <col min="6402" max="6402" width="70" style="1" bestFit="1" customWidth="1"/>
    <col min="6403" max="6403" width="26" style="1" bestFit="1" customWidth="1"/>
    <col min="6404" max="6407" width="17.5546875" style="1" customWidth="1"/>
    <col min="6408" max="6408" width="20.44140625" style="1" bestFit="1" customWidth="1"/>
    <col min="6409" max="6409" width="11.33203125" style="1" bestFit="1" customWidth="1"/>
    <col min="6410" max="6410" width="9.109375" style="1"/>
    <col min="6411" max="6411" width="10.88671875" style="1" bestFit="1" customWidth="1"/>
    <col min="6412" max="6656" width="9.109375" style="1"/>
    <col min="6657" max="6657" width="12.88671875" style="1" bestFit="1" customWidth="1"/>
    <col min="6658" max="6658" width="70" style="1" bestFit="1" customWidth="1"/>
    <col min="6659" max="6659" width="26" style="1" bestFit="1" customWidth="1"/>
    <col min="6660" max="6663" width="17.5546875" style="1" customWidth="1"/>
    <col min="6664" max="6664" width="20.44140625" style="1" bestFit="1" customWidth="1"/>
    <col min="6665" max="6665" width="11.33203125" style="1" bestFit="1" customWidth="1"/>
    <col min="6666" max="6666" width="9.109375" style="1"/>
    <col min="6667" max="6667" width="10.88671875" style="1" bestFit="1" customWidth="1"/>
    <col min="6668" max="6912" width="9.109375" style="1"/>
    <col min="6913" max="6913" width="12.88671875" style="1" bestFit="1" customWidth="1"/>
    <col min="6914" max="6914" width="70" style="1" bestFit="1" customWidth="1"/>
    <col min="6915" max="6915" width="26" style="1" bestFit="1" customWidth="1"/>
    <col min="6916" max="6919" width="17.5546875" style="1" customWidth="1"/>
    <col min="6920" max="6920" width="20.44140625" style="1" bestFit="1" customWidth="1"/>
    <col min="6921" max="6921" width="11.33203125" style="1" bestFit="1" customWidth="1"/>
    <col min="6922" max="6922" width="9.109375" style="1"/>
    <col min="6923" max="6923" width="10.88671875" style="1" bestFit="1" customWidth="1"/>
    <col min="6924" max="7168" width="9.109375" style="1"/>
    <col min="7169" max="7169" width="12.88671875" style="1" bestFit="1" customWidth="1"/>
    <col min="7170" max="7170" width="70" style="1" bestFit="1" customWidth="1"/>
    <col min="7171" max="7171" width="26" style="1" bestFit="1" customWidth="1"/>
    <col min="7172" max="7175" width="17.5546875" style="1" customWidth="1"/>
    <col min="7176" max="7176" width="20.44140625" style="1" bestFit="1" customWidth="1"/>
    <col min="7177" max="7177" width="11.33203125" style="1" bestFit="1" customWidth="1"/>
    <col min="7178" max="7178" width="9.109375" style="1"/>
    <col min="7179" max="7179" width="10.88671875" style="1" bestFit="1" customWidth="1"/>
    <col min="7180" max="7424" width="9.109375" style="1"/>
    <col min="7425" max="7425" width="12.88671875" style="1" bestFit="1" customWidth="1"/>
    <col min="7426" max="7426" width="70" style="1" bestFit="1" customWidth="1"/>
    <col min="7427" max="7427" width="26" style="1" bestFit="1" customWidth="1"/>
    <col min="7428" max="7431" width="17.5546875" style="1" customWidth="1"/>
    <col min="7432" max="7432" width="20.44140625" style="1" bestFit="1" customWidth="1"/>
    <col min="7433" max="7433" width="11.33203125" style="1" bestFit="1" customWidth="1"/>
    <col min="7434" max="7434" width="9.109375" style="1"/>
    <col min="7435" max="7435" width="10.88671875" style="1" bestFit="1" customWidth="1"/>
    <col min="7436" max="7680" width="9.109375" style="1"/>
    <col min="7681" max="7681" width="12.88671875" style="1" bestFit="1" customWidth="1"/>
    <col min="7682" max="7682" width="70" style="1" bestFit="1" customWidth="1"/>
    <col min="7683" max="7683" width="26" style="1" bestFit="1" customWidth="1"/>
    <col min="7684" max="7687" width="17.5546875" style="1" customWidth="1"/>
    <col min="7688" max="7688" width="20.44140625" style="1" bestFit="1" customWidth="1"/>
    <col min="7689" max="7689" width="11.33203125" style="1" bestFit="1" customWidth="1"/>
    <col min="7690" max="7690" width="9.109375" style="1"/>
    <col min="7691" max="7691" width="10.88671875" style="1" bestFit="1" customWidth="1"/>
    <col min="7692" max="7936" width="9.109375" style="1"/>
    <col min="7937" max="7937" width="12.88671875" style="1" bestFit="1" customWidth="1"/>
    <col min="7938" max="7938" width="70" style="1" bestFit="1" customWidth="1"/>
    <col min="7939" max="7939" width="26" style="1" bestFit="1" customWidth="1"/>
    <col min="7940" max="7943" width="17.5546875" style="1" customWidth="1"/>
    <col min="7944" max="7944" width="20.44140625" style="1" bestFit="1" customWidth="1"/>
    <col min="7945" max="7945" width="11.33203125" style="1" bestFit="1" customWidth="1"/>
    <col min="7946" max="7946" width="9.109375" style="1"/>
    <col min="7947" max="7947" width="10.88671875" style="1" bestFit="1" customWidth="1"/>
    <col min="7948" max="8192" width="9.109375" style="1"/>
    <col min="8193" max="8193" width="12.88671875" style="1" bestFit="1" customWidth="1"/>
    <col min="8194" max="8194" width="70" style="1" bestFit="1" customWidth="1"/>
    <col min="8195" max="8195" width="26" style="1" bestFit="1" customWidth="1"/>
    <col min="8196" max="8199" width="17.5546875" style="1" customWidth="1"/>
    <col min="8200" max="8200" width="20.44140625" style="1" bestFit="1" customWidth="1"/>
    <col min="8201" max="8201" width="11.33203125" style="1" bestFit="1" customWidth="1"/>
    <col min="8202" max="8202" width="9.109375" style="1"/>
    <col min="8203" max="8203" width="10.88671875" style="1" bestFit="1" customWidth="1"/>
    <col min="8204" max="8448" width="9.109375" style="1"/>
    <col min="8449" max="8449" width="12.88671875" style="1" bestFit="1" customWidth="1"/>
    <col min="8450" max="8450" width="70" style="1" bestFit="1" customWidth="1"/>
    <col min="8451" max="8451" width="26" style="1" bestFit="1" customWidth="1"/>
    <col min="8452" max="8455" width="17.5546875" style="1" customWidth="1"/>
    <col min="8456" max="8456" width="20.44140625" style="1" bestFit="1" customWidth="1"/>
    <col min="8457" max="8457" width="11.33203125" style="1" bestFit="1" customWidth="1"/>
    <col min="8458" max="8458" width="9.109375" style="1"/>
    <col min="8459" max="8459" width="10.88671875" style="1" bestFit="1" customWidth="1"/>
    <col min="8460" max="8704" width="9.109375" style="1"/>
    <col min="8705" max="8705" width="12.88671875" style="1" bestFit="1" customWidth="1"/>
    <col min="8706" max="8706" width="70" style="1" bestFit="1" customWidth="1"/>
    <col min="8707" max="8707" width="26" style="1" bestFit="1" customWidth="1"/>
    <col min="8708" max="8711" width="17.5546875" style="1" customWidth="1"/>
    <col min="8712" max="8712" width="20.44140625" style="1" bestFit="1" customWidth="1"/>
    <col min="8713" max="8713" width="11.33203125" style="1" bestFit="1" customWidth="1"/>
    <col min="8714" max="8714" width="9.109375" style="1"/>
    <col min="8715" max="8715" width="10.88671875" style="1" bestFit="1" customWidth="1"/>
    <col min="8716" max="8960" width="9.109375" style="1"/>
    <col min="8961" max="8961" width="12.88671875" style="1" bestFit="1" customWidth="1"/>
    <col min="8962" max="8962" width="70" style="1" bestFit="1" customWidth="1"/>
    <col min="8963" max="8963" width="26" style="1" bestFit="1" customWidth="1"/>
    <col min="8964" max="8967" width="17.5546875" style="1" customWidth="1"/>
    <col min="8968" max="8968" width="20.44140625" style="1" bestFit="1" customWidth="1"/>
    <col min="8969" max="8969" width="11.33203125" style="1" bestFit="1" customWidth="1"/>
    <col min="8970" max="8970" width="9.109375" style="1"/>
    <col min="8971" max="8971" width="10.88671875" style="1" bestFit="1" customWidth="1"/>
    <col min="8972" max="9216" width="9.109375" style="1"/>
    <col min="9217" max="9217" width="12.88671875" style="1" bestFit="1" customWidth="1"/>
    <col min="9218" max="9218" width="70" style="1" bestFit="1" customWidth="1"/>
    <col min="9219" max="9219" width="26" style="1" bestFit="1" customWidth="1"/>
    <col min="9220" max="9223" width="17.5546875" style="1" customWidth="1"/>
    <col min="9224" max="9224" width="20.44140625" style="1" bestFit="1" customWidth="1"/>
    <col min="9225" max="9225" width="11.33203125" style="1" bestFit="1" customWidth="1"/>
    <col min="9226" max="9226" width="9.109375" style="1"/>
    <col min="9227" max="9227" width="10.88671875" style="1" bestFit="1" customWidth="1"/>
    <col min="9228" max="9472" width="9.109375" style="1"/>
    <col min="9473" max="9473" width="12.88671875" style="1" bestFit="1" customWidth="1"/>
    <col min="9474" max="9474" width="70" style="1" bestFit="1" customWidth="1"/>
    <col min="9475" max="9475" width="26" style="1" bestFit="1" customWidth="1"/>
    <col min="9476" max="9479" width="17.5546875" style="1" customWidth="1"/>
    <col min="9480" max="9480" width="20.44140625" style="1" bestFit="1" customWidth="1"/>
    <col min="9481" max="9481" width="11.33203125" style="1" bestFit="1" customWidth="1"/>
    <col min="9482" max="9482" width="9.109375" style="1"/>
    <col min="9483" max="9483" width="10.88671875" style="1" bestFit="1" customWidth="1"/>
    <col min="9484" max="9728" width="9.109375" style="1"/>
    <col min="9729" max="9729" width="12.88671875" style="1" bestFit="1" customWidth="1"/>
    <col min="9730" max="9730" width="70" style="1" bestFit="1" customWidth="1"/>
    <col min="9731" max="9731" width="26" style="1" bestFit="1" customWidth="1"/>
    <col min="9732" max="9735" width="17.5546875" style="1" customWidth="1"/>
    <col min="9736" max="9736" width="20.44140625" style="1" bestFit="1" customWidth="1"/>
    <col min="9737" max="9737" width="11.33203125" style="1" bestFit="1" customWidth="1"/>
    <col min="9738" max="9738" width="9.109375" style="1"/>
    <col min="9739" max="9739" width="10.88671875" style="1" bestFit="1" customWidth="1"/>
    <col min="9740" max="9984" width="9.109375" style="1"/>
    <col min="9985" max="9985" width="12.88671875" style="1" bestFit="1" customWidth="1"/>
    <col min="9986" max="9986" width="70" style="1" bestFit="1" customWidth="1"/>
    <col min="9987" max="9987" width="26" style="1" bestFit="1" customWidth="1"/>
    <col min="9988" max="9991" width="17.5546875" style="1" customWidth="1"/>
    <col min="9992" max="9992" width="20.44140625" style="1" bestFit="1" customWidth="1"/>
    <col min="9993" max="9993" width="11.33203125" style="1" bestFit="1" customWidth="1"/>
    <col min="9994" max="9994" width="9.109375" style="1"/>
    <col min="9995" max="9995" width="10.88671875" style="1" bestFit="1" customWidth="1"/>
    <col min="9996" max="10240" width="9.109375" style="1"/>
    <col min="10241" max="10241" width="12.88671875" style="1" bestFit="1" customWidth="1"/>
    <col min="10242" max="10242" width="70" style="1" bestFit="1" customWidth="1"/>
    <col min="10243" max="10243" width="26" style="1" bestFit="1" customWidth="1"/>
    <col min="10244" max="10247" width="17.5546875" style="1" customWidth="1"/>
    <col min="10248" max="10248" width="20.44140625" style="1" bestFit="1" customWidth="1"/>
    <col min="10249" max="10249" width="11.33203125" style="1" bestFit="1" customWidth="1"/>
    <col min="10250" max="10250" width="9.109375" style="1"/>
    <col min="10251" max="10251" width="10.88671875" style="1" bestFit="1" customWidth="1"/>
    <col min="10252" max="10496" width="9.109375" style="1"/>
    <col min="10497" max="10497" width="12.88671875" style="1" bestFit="1" customWidth="1"/>
    <col min="10498" max="10498" width="70" style="1" bestFit="1" customWidth="1"/>
    <col min="10499" max="10499" width="26" style="1" bestFit="1" customWidth="1"/>
    <col min="10500" max="10503" width="17.5546875" style="1" customWidth="1"/>
    <col min="10504" max="10504" width="20.44140625" style="1" bestFit="1" customWidth="1"/>
    <col min="10505" max="10505" width="11.33203125" style="1" bestFit="1" customWidth="1"/>
    <col min="10506" max="10506" width="9.109375" style="1"/>
    <col min="10507" max="10507" width="10.88671875" style="1" bestFit="1" customWidth="1"/>
    <col min="10508" max="10752" width="9.109375" style="1"/>
    <col min="10753" max="10753" width="12.88671875" style="1" bestFit="1" customWidth="1"/>
    <col min="10754" max="10754" width="70" style="1" bestFit="1" customWidth="1"/>
    <col min="10755" max="10755" width="26" style="1" bestFit="1" customWidth="1"/>
    <col min="10756" max="10759" width="17.5546875" style="1" customWidth="1"/>
    <col min="10760" max="10760" width="20.44140625" style="1" bestFit="1" customWidth="1"/>
    <col min="10761" max="10761" width="11.33203125" style="1" bestFit="1" customWidth="1"/>
    <col min="10762" max="10762" width="9.109375" style="1"/>
    <col min="10763" max="10763" width="10.88671875" style="1" bestFit="1" customWidth="1"/>
    <col min="10764" max="11008" width="9.109375" style="1"/>
    <col min="11009" max="11009" width="12.88671875" style="1" bestFit="1" customWidth="1"/>
    <col min="11010" max="11010" width="70" style="1" bestFit="1" customWidth="1"/>
    <col min="11011" max="11011" width="26" style="1" bestFit="1" customWidth="1"/>
    <col min="11012" max="11015" width="17.5546875" style="1" customWidth="1"/>
    <col min="11016" max="11016" width="20.44140625" style="1" bestFit="1" customWidth="1"/>
    <col min="11017" max="11017" width="11.33203125" style="1" bestFit="1" customWidth="1"/>
    <col min="11018" max="11018" width="9.109375" style="1"/>
    <col min="11019" max="11019" width="10.88671875" style="1" bestFit="1" customWidth="1"/>
    <col min="11020" max="11264" width="9.109375" style="1"/>
    <col min="11265" max="11265" width="12.88671875" style="1" bestFit="1" customWidth="1"/>
    <col min="11266" max="11266" width="70" style="1" bestFit="1" customWidth="1"/>
    <col min="11267" max="11267" width="26" style="1" bestFit="1" customWidth="1"/>
    <col min="11268" max="11271" width="17.5546875" style="1" customWidth="1"/>
    <col min="11272" max="11272" width="20.44140625" style="1" bestFit="1" customWidth="1"/>
    <col min="11273" max="11273" width="11.33203125" style="1" bestFit="1" customWidth="1"/>
    <col min="11274" max="11274" width="9.109375" style="1"/>
    <col min="11275" max="11275" width="10.88671875" style="1" bestFit="1" customWidth="1"/>
    <col min="11276" max="11520" width="9.109375" style="1"/>
    <col min="11521" max="11521" width="12.88671875" style="1" bestFit="1" customWidth="1"/>
    <col min="11522" max="11522" width="70" style="1" bestFit="1" customWidth="1"/>
    <col min="11523" max="11523" width="26" style="1" bestFit="1" customWidth="1"/>
    <col min="11524" max="11527" width="17.5546875" style="1" customWidth="1"/>
    <col min="11528" max="11528" width="20.44140625" style="1" bestFit="1" customWidth="1"/>
    <col min="11529" max="11529" width="11.33203125" style="1" bestFit="1" customWidth="1"/>
    <col min="11530" max="11530" width="9.109375" style="1"/>
    <col min="11531" max="11531" width="10.88671875" style="1" bestFit="1" customWidth="1"/>
    <col min="11532" max="11776" width="9.109375" style="1"/>
    <col min="11777" max="11777" width="12.88671875" style="1" bestFit="1" customWidth="1"/>
    <col min="11778" max="11778" width="70" style="1" bestFit="1" customWidth="1"/>
    <col min="11779" max="11779" width="26" style="1" bestFit="1" customWidth="1"/>
    <col min="11780" max="11783" width="17.5546875" style="1" customWidth="1"/>
    <col min="11784" max="11784" width="20.44140625" style="1" bestFit="1" customWidth="1"/>
    <col min="11785" max="11785" width="11.33203125" style="1" bestFit="1" customWidth="1"/>
    <col min="11786" max="11786" width="9.109375" style="1"/>
    <col min="11787" max="11787" width="10.88671875" style="1" bestFit="1" customWidth="1"/>
    <col min="11788" max="12032" width="9.109375" style="1"/>
    <col min="12033" max="12033" width="12.88671875" style="1" bestFit="1" customWidth="1"/>
    <col min="12034" max="12034" width="70" style="1" bestFit="1" customWidth="1"/>
    <col min="12035" max="12035" width="26" style="1" bestFit="1" customWidth="1"/>
    <col min="12036" max="12039" width="17.5546875" style="1" customWidth="1"/>
    <col min="12040" max="12040" width="20.44140625" style="1" bestFit="1" customWidth="1"/>
    <col min="12041" max="12041" width="11.33203125" style="1" bestFit="1" customWidth="1"/>
    <col min="12042" max="12042" width="9.109375" style="1"/>
    <col min="12043" max="12043" width="10.88671875" style="1" bestFit="1" customWidth="1"/>
    <col min="12044" max="12288" width="9.109375" style="1"/>
    <col min="12289" max="12289" width="12.88671875" style="1" bestFit="1" customWidth="1"/>
    <col min="12290" max="12290" width="70" style="1" bestFit="1" customWidth="1"/>
    <col min="12291" max="12291" width="26" style="1" bestFit="1" customWidth="1"/>
    <col min="12292" max="12295" width="17.5546875" style="1" customWidth="1"/>
    <col min="12296" max="12296" width="20.44140625" style="1" bestFit="1" customWidth="1"/>
    <col min="12297" max="12297" width="11.33203125" style="1" bestFit="1" customWidth="1"/>
    <col min="12298" max="12298" width="9.109375" style="1"/>
    <col min="12299" max="12299" width="10.88671875" style="1" bestFit="1" customWidth="1"/>
    <col min="12300" max="12544" width="9.109375" style="1"/>
    <col min="12545" max="12545" width="12.88671875" style="1" bestFit="1" customWidth="1"/>
    <col min="12546" max="12546" width="70" style="1" bestFit="1" customWidth="1"/>
    <col min="12547" max="12547" width="26" style="1" bestFit="1" customWidth="1"/>
    <col min="12548" max="12551" width="17.5546875" style="1" customWidth="1"/>
    <col min="12552" max="12552" width="20.44140625" style="1" bestFit="1" customWidth="1"/>
    <col min="12553" max="12553" width="11.33203125" style="1" bestFit="1" customWidth="1"/>
    <col min="12554" max="12554" width="9.109375" style="1"/>
    <col min="12555" max="12555" width="10.88671875" style="1" bestFit="1" customWidth="1"/>
    <col min="12556" max="12800" width="9.109375" style="1"/>
    <col min="12801" max="12801" width="12.88671875" style="1" bestFit="1" customWidth="1"/>
    <col min="12802" max="12802" width="70" style="1" bestFit="1" customWidth="1"/>
    <col min="12803" max="12803" width="26" style="1" bestFit="1" customWidth="1"/>
    <col min="12804" max="12807" width="17.5546875" style="1" customWidth="1"/>
    <col min="12808" max="12808" width="20.44140625" style="1" bestFit="1" customWidth="1"/>
    <col min="12809" max="12809" width="11.33203125" style="1" bestFit="1" customWidth="1"/>
    <col min="12810" max="12810" width="9.109375" style="1"/>
    <col min="12811" max="12811" width="10.88671875" style="1" bestFit="1" customWidth="1"/>
    <col min="12812" max="13056" width="9.109375" style="1"/>
    <col min="13057" max="13057" width="12.88671875" style="1" bestFit="1" customWidth="1"/>
    <col min="13058" max="13058" width="70" style="1" bestFit="1" customWidth="1"/>
    <col min="13059" max="13059" width="26" style="1" bestFit="1" customWidth="1"/>
    <col min="13060" max="13063" width="17.5546875" style="1" customWidth="1"/>
    <col min="13064" max="13064" width="20.44140625" style="1" bestFit="1" customWidth="1"/>
    <col min="13065" max="13065" width="11.33203125" style="1" bestFit="1" customWidth="1"/>
    <col min="13066" max="13066" width="9.109375" style="1"/>
    <col min="13067" max="13067" width="10.88671875" style="1" bestFit="1" customWidth="1"/>
    <col min="13068" max="13312" width="9.109375" style="1"/>
    <col min="13313" max="13313" width="12.88671875" style="1" bestFit="1" customWidth="1"/>
    <col min="13314" max="13314" width="70" style="1" bestFit="1" customWidth="1"/>
    <col min="13315" max="13315" width="26" style="1" bestFit="1" customWidth="1"/>
    <col min="13316" max="13319" width="17.5546875" style="1" customWidth="1"/>
    <col min="13320" max="13320" width="20.44140625" style="1" bestFit="1" customWidth="1"/>
    <col min="13321" max="13321" width="11.33203125" style="1" bestFit="1" customWidth="1"/>
    <col min="13322" max="13322" width="9.109375" style="1"/>
    <col min="13323" max="13323" width="10.88671875" style="1" bestFit="1" customWidth="1"/>
    <col min="13324" max="13568" width="9.109375" style="1"/>
    <col min="13569" max="13569" width="12.88671875" style="1" bestFit="1" customWidth="1"/>
    <col min="13570" max="13570" width="70" style="1" bestFit="1" customWidth="1"/>
    <col min="13571" max="13571" width="26" style="1" bestFit="1" customWidth="1"/>
    <col min="13572" max="13575" width="17.5546875" style="1" customWidth="1"/>
    <col min="13576" max="13576" width="20.44140625" style="1" bestFit="1" customWidth="1"/>
    <col min="13577" max="13577" width="11.33203125" style="1" bestFit="1" customWidth="1"/>
    <col min="13578" max="13578" width="9.109375" style="1"/>
    <col min="13579" max="13579" width="10.88671875" style="1" bestFit="1" customWidth="1"/>
    <col min="13580" max="13824" width="9.109375" style="1"/>
    <col min="13825" max="13825" width="12.88671875" style="1" bestFit="1" customWidth="1"/>
    <col min="13826" max="13826" width="70" style="1" bestFit="1" customWidth="1"/>
    <col min="13827" max="13827" width="26" style="1" bestFit="1" customWidth="1"/>
    <col min="13828" max="13831" width="17.5546875" style="1" customWidth="1"/>
    <col min="13832" max="13832" width="20.44140625" style="1" bestFit="1" customWidth="1"/>
    <col min="13833" max="13833" width="11.33203125" style="1" bestFit="1" customWidth="1"/>
    <col min="13834" max="13834" width="9.109375" style="1"/>
    <col min="13835" max="13835" width="10.88671875" style="1" bestFit="1" customWidth="1"/>
    <col min="13836" max="14080" width="9.109375" style="1"/>
    <col min="14081" max="14081" width="12.88671875" style="1" bestFit="1" customWidth="1"/>
    <col min="14082" max="14082" width="70" style="1" bestFit="1" customWidth="1"/>
    <col min="14083" max="14083" width="26" style="1" bestFit="1" customWidth="1"/>
    <col min="14084" max="14087" width="17.5546875" style="1" customWidth="1"/>
    <col min="14088" max="14088" width="20.44140625" style="1" bestFit="1" customWidth="1"/>
    <col min="14089" max="14089" width="11.33203125" style="1" bestFit="1" customWidth="1"/>
    <col min="14090" max="14090" width="9.109375" style="1"/>
    <col min="14091" max="14091" width="10.88671875" style="1" bestFit="1" customWidth="1"/>
    <col min="14092" max="14336" width="9.109375" style="1"/>
    <col min="14337" max="14337" width="12.88671875" style="1" bestFit="1" customWidth="1"/>
    <col min="14338" max="14338" width="70" style="1" bestFit="1" customWidth="1"/>
    <col min="14339" max="14339" width="26" style="1" bestFit="1" customWidth="1"/>
    <col min="14340" max="14343" width="17.5546875" style="1" customWidth="1"/>
    <col min="14344" max="14344" width="20.44140625" style="1" bestFit="1" customWidth="1"/>
    <col min="14345" max="14345" width="11.33203125" style="1" bestFit="1" customWidth="1"/>
    <col min="14346" max="14346" width="9.109375" style="1"/>
    <col min="14347" max="14347" width="10.88671875" style="1" bestFit="1" customWidth="1"/>
    <col min="14348" max="14592" width="9.109375" style="1"/>
    <col min="14593" max="14593" width="12.88671875" style="1" bestFit="1" customWidth="1"/>
    <col min="14594" max="14594" width="70" style="1" bestFit="1" customWidth="1"/>
    <col min="14595" max="14595" width="26" style="1" bestFit="1" customWidth="1"/>
    <col min="14596" max="14599" width="17.5546875" style="1" customWidth="1"/>
    <col min="14600" max="14600" width="20.44140625" style="1" bestFit="1" customWidth="1"/>
    <col min="14601" max="14601" width="11.33203125" style="1" bestFit="1" customWidth="1"/>
    <col min="14602" max="14602" width="9.109375" style="1"/>
    <col min="14603" max="14603" width="10.88671875" style="1" bestFit="1" customWidth="1"/>
    <col min="14604" max="14848" width="9.109375" style="1"/>
    <col min="14849" max="14849" width="12.88671875" style="1" bestFit="1" customWidth="1"/>
    <col min="14850" max="14850" width="70" style="1" bestFit="1" customWidth="1"/>
    <col min="14851" max="14851" width="26" style="1" bestFit="1" customWidth="1"/>
    <col min="14852" max="14855" width="17.5546875" style="1" customWidth="1"/>
    <col min="14856" max="14856" width="20.44140625" style="1" bestFit="1" customWidth="1"/>
    <col min="14857" max="14857" width="11.33203125" style="1" bestFit="1" customWidth="1"/>
    <col min="14858" max="14858" width="9.109375" style="1"/>
    <col min="14859" max="14859" width="10.88671875" style="1" bestFit="1" customWidth="1"/>
    <col min="14860" max="15104" width="9.109375" style="1"/>
    <col min="15105" max="15105" width="12.88671875" style="1" bestFit="1" customWidth="1"/>
    <col min="15106" max="15106" width="70" style="1" bestFit="1" customWidth="1"/>
    <col min="15107" max="15107" width="26" style="1" bestFit="1" customWidth="1"/>
    <col min="15108" max="15111" width="17.5546875" style="1" customWidth="1"/>
    <col min="15112" max="15112" width="20.44140625" style="1" bestFit="1" customWidth="1"/>
    <col min="15113" max="15113" width="11.33203125" style="1" bestFit="1" customWidth="1"/>
    <col min="15114" max="15114" width="9.109375" style="1"/>
    <col min="15115" max="15115" width="10.88671875" style="1" bestFit="1" customWidth="1"/>
    <col min="15116" max="15360" width="9.109375" style="1"/>
    <col min="15361" max="15361" width="12.88671875" style="1" bestFit="1" customWidth="1"/>
    <col min="15362" max="15362" width="70" style="1" bestFit="1" customWidth="1"/>
    <col min="15363" max="15363" width="26" style="1" bestFit="1" customWidth="1"/>
    <col min="15364" max="15367" width="17.5546875" style="1" customWidth="1"/>
    <col min="15368" max="15368" width="20.44140625" style="1" bestFit="1" customWidth="1"/>
    <col min="15369" max="15369" width="11.33203125" style="1" bestFit="1" customWidth="1"/>
    <col min="15370" max="15370" width="9.109375" style="1"/>
    <col min="15371" max="15371" width="10.88671875" style="1" bestFit="1" customWidth="1"/>
    <col min="15372" max="15616" width="9.109375" style="1"/>
    <col min="15617" max="15617" width="12.88671875" style="1" bestFit="1" customWidth="1"/>
    <col min="15618" max="15618" width="70" style="1" bestFit="1" customWidth="1"/>
    <col min="15619" max="15619" width="26" style="1" bestFit="1" customWidth="1"/>
    <col min="15620" max="15623" width="17.5546875" style="1" customWidth="1"/>
    <col min="15624" max="15624" width="20.44140625" style="1" bestFit="1" customWidth="1"/>
    <col min="15625" max="15625" width="11.33203125" style="1" bestFit="1" customWidth="1"/>
    <col min="15626" max="15626" width="9.109375" style="1"/>
    <col min="15627" max="15627" width="10.88671875" style="1" bestFit="1" customWidth="1"/>
    <col min="15628" max="15872" width="9.109375" style="1"/>
    <col min="15873" max="15873" width="12.88671875" style="1" bestFit="1" customWidth="1"/>
    <col min="15874" max="15874" width="70" style="1" bestFit="1" customWidth="1"/>
    <col min="15875" max="15875" width="26" style="1" bestFit="1" customWidth="1"/>
    <col min="15876" max="15879" width="17.5546875" style="1" customWidth="1"/>
    <col min="15880" max="15880" width="20.44140625" style="1" bestFit="1" customWidth="1"/>
    <col min="15881" max="15881" width="11.33203125" style="1" bestFit="1" customWidth="1"/>
    <col min="15882" max="15882" width="9.109375" style="1"/>
    <col min="15883" max="15883" width="10.88671875" style="1" bestFit="1" customWidth="1"/>
    <col min="15884" max="16128" width="9.109375" style="1"/>
    <col min="16129" max="16129" width="12.88671875" style="1" bestFit="1" customWidth="1"/>
    <col min="16130" max="16130" width="70" style="1" bestFit="1" customWidth="1"/>
    <col min="16131" max="16131" width="26" style="1" bestFit="1" customWidth="1"/>
    <col min="16132" max="16135" width="17.5546875" style="1" customWidth="1"/>
    <col min="16136" max="16136" width="20.44140625" style="1" bestFit="1" customWidth="1"/>
    <col min="16137" max="16137" width="11.33203125" style="1" bestFit="1" customWidth="1"/>
    <col min="16138" max="16138" width="9.109375" style="1"/>
    <col min="16139" max="16139" width="10.88671875" style="1" bestFit="1" customWidth="1"/>
    <col min="16140" max="16384" width="9.109375" style="1"/>
  </cols>
  <sheetData>
    <row r="1" spans="1:9" ht="12.75" customHeight="1">
      <c r="C1" s="266" t="s">
        <v>704</v>
      </c>
      <c r="D1" s="266" t="s">
        <v>674</v>
      </c>
      <c r="E1" s="266" t="s">
        <v>681</v>
      </c>
      <c r="F1" s="266" t="s">
        <v>689</v>
      </c>
      <c r="G1" s="266" t="s">
        <v>705</v>
      </c>
      <c r="H1" s="266" t="s">
        <v>706</v>
      </c>
    </row>
    <row r="3" spans="1:9" ht="12.75" customHeight="1">
      <c r="A3" s="138" t="s">
        <v>16</v>
      </c>
    </row>
    <row r="4" spans="1:9" ht="12.75" customHeight="1">
      <c r="A4" s="138"/>
    </row>
    <row r="5" spans="1:9" ht="12.75" customHeight="1">
      <c r="A5" s="138" t="s">
        <v>612</v>
      </c>
    </row>
    <row r="6" spans="1:9" ht="12.75" customHeight="1">
      <c r="A6" s="1" t="s">
        <v>21</v>
      </c>
      <c r="B6" s="1" t="s">
        <v>613</v>
      </c>
      <c r="C6" s="282">
        <v>125783606</v>
      </c>
      <c r="D6" s="252">
        <v>321640</v>
      </c>
      <c r="E6" s="252">
        <v>1811633.16</v>
      </c>
      <c r="F6" s="159">
        <v>758835</v>
      </c>
      <c r="G6" s="159">
        <v>400388</v>
      </c>
      <c r="H6" s="114">
        <f>SUM(C6:G6)</f>
        <v>129076102.16</v>
      </c>
      <c r="I6" s="279"/>
    </row>
    <row r="7" spans="1:9" ht="12.75" customHeight="1">
      <c r="A7" s="1" t="s">
        <v>23</v>
      </c>
      <c r="B7" s="1" t="s">
        <v>614</v>
      </c>
      <c r="C7" s="282">
        <v>-21569238</v>
      </c>
      <c r="D7" s="159">
        <f>VLOOKUP(A7,[3]Kolommenbalans!B$1:D$65536,3,FALSE)</f>
        <v>-762225</v>
      </c>
      <c r="E7" s="159">
        <v>-793542</v>
      </c>
      <c r="F7" s="159">
        <v>-811996</v>
      </c>
      <c r="G7" s="159">
        <v>-822632</v>
      </c>
      <c r="H7" s="114">
        <f t="shared" ref="H7:H69" si="0">SUM(C7:G7)</f>
        <v>-24759633</v>
      </c>
    </row>
    <row r="8" spans="1:9" ht="12.75" customHeight="1">
      <c r="A8" s="147" t="s">
        <v>615</v>
      </c>
      <c r="B8" s="147" t="s">
        <v>616</v>
      </c>
      <c r="C8" s="283">
        <v>-1344521</v>
      </c>
      <c r="D8" s="159">
        <f>VLOOKUP(A8,[3]Kolommenbalans!B$1:D$65536,3,FALSE)</f>
        <v>-556326</v>
      </c>
      <c r="E8" s="159">
        <v>0</v>
      </c>
      <c r="F8" s="159">
        <v>-677990</v>
      </c>
      <c r="G8" s="159">
        <v>-237202</v>
      </c>
      <c r="H8" s="114">
        <f t="shared" si="0"/>
        <v>-2816039</v>
      </c>
    </row>
    <row r="9" spans="1:9" ht="12.75" customHeight="1">
      <c r="A9" s="1" t="s">
        <v>427</v>
      </c>
      <c r="B9" s="1" t="s">
        <v>428</v>
      </c>
      <c r="C9" s="282">
        <v>226673</v>
      </c>
      <c r="D9" s="159">
        <f>VLOOKUP(A9,[3]Kolommenbalans!B$1:D$65536,3,FALSE)</f>
        <v>98174</v>
      </c>
      <c r="F9" s="159">
        <v>126494</v>
      </c>
      <c r="G9" s="159">
        <v>41678</v>
      </c>
      <c r="H9" s="114">
        <f t="shared" si="0"/>
        <v>493019</v>
      </c>
    </row>
    <row r="10" spans="1:9" ht="12.75" customHeight="1">
      <c r="A10" s="1" t="s">
        <v>25</v>
      </c>
      <c r="B10" s="1" t="s">
        <v>26</v>
      </c>
      <c r="C10" s="282">
        <v>0</v>
      </c>
      <c r="E10" s="159">
        <v>0</v>
      </c>
      <c r="H10" s="114">
        <f t="shared" si="0"/>
        <v>0</v>
      </c>
    </row>
    <row r="11" spans="1:9" ht="12.75" customHeight="1">
      <c r="H11" s="114">
        <f t="shared" si="0"/>
        <v>0</v>
      </c>
    </row>
    <row r="12" spans="1:9" ht="12.75" customHeight="1">
      <c r="A12" s="270" t="s">
        <v>617</v>
      </c>
      <c r="H12" s="114">
        <f t="shared" si="0"/>
        <v>0</v>
      </c>
    </row>
    <row r="13" spans="1:9" ht="12.75" customHeight="1">
      <c r="A13" s="1" t="s">
        <v>618</v>
      </c>
      <c r="B13" s="1" t="s">
        <v>619</v>
      </c>
      <c r="C13" s="282">
        <v>38320325</v>
      </c>
      <c r="H13" s="114">
        <f t="shared" si="0"/>
        <v>38320325</v>
      </c>
      <c r="I13" s="114"/>
    </row>
    <row r="14" spans="1:9" ht="12.75" customHeight="1">
      <c r="A14" s="1" t="s">
        <v>620</v>
      </c>
      <c r="B14" s="1" t="s">
        <v>621</v>
      </c>
      <c r="C14" s="282">
        <v>-2105582</v>
      </c>
      <c r="D14" s="159">
        <f>VLOOKUP(A14,[3]Kolommenbalans!B$1:D$65536,3,FALSE)</f>
        <v>-394151.1</v>
      </c>
      <c r="E14" s="159">
        <v>-95800</v>
      </c>
      <c r="F14" s="272">
        <v>-242786</v>
      </c>
      <c r="G14" s="159">
        <v>-243993</v>
      </c>
      <c r="H14" s="114">
        <f t="shared" si="0"/>
        <v>-3082312.1</v>
      </c>
      <c r="I14" s="279" t="s">
        <v>707</v>
      </c>
    </row>
    <row r="15" spans="1:9" ht="12.75" customHeight="1">
      <c r="A15" s="1" t="s">
        <v>622</v>
      </c>
      <c r="B15" s="1" t="s">
        <v>558</v>
      </c>
      <c r="C15" s="282">
        <v>1438455</v>
      </c>
      <c r="D15" s="159">
        <f>VLOOKUP(A15,[3]Kolommenbalans!B$1:D$65536,3,FALSE)</f>
        <v>-110650</v>
      </c>
      <c r="E15" s="159">
        <v>-110650</v>
      </c>
      <c r="F15" s="159">
        <f>-110650-5</f>
        <v>-110655</v>
      </c>
      <c r="G15" s="159">
        <v>-110650</v>
      </c>
      <c r="H15" s="114">
        <f t="shared" si="0"/>
        <v>995850</v>
      </c>
    </row>
    <row r="16" spans="1:9" ht="12.75" customHeight="1">
      <c r="A16" s="1" t="s">
        <v>35</v>
      </c>
      <c r="B16" s="1" t="s">
        <v>36</v>
      </c>
      <c r="C16" s="282">
        <v>6718380</v>
      </c>
      <c r="D16" s="159">
        <f>VLOOKUP(A16,[3]Kolommenbalans!B$1:D$65536,3,FALSE)</f>
        <v>155489</v>
      </c>
      <c r="E16" s="252">
        <v>920937</v>
      </c>
      <c r="F16" s="159">
        <v>173840</v>
      </c>
      <c r="G16" s="159">
        <v>200714</v>
      </c>
      <c r="H16" s="114">
        <f t="shared" si="0"/>
        <v>8169360</v>
      </c>
      <c r="I16" s="279"/>
    </row>
    <row r="17" spans="1:9" ht="12.75" customHeight="1">
      <c r="H17" s="114">
        <f t="shared" si="0"/>
        <v>0</v>
      </c>
    </row>
    <row r="18" spans="1:9" ht="12.75" customHeight="1">
      <c r="A18" s="270" t="s">
        <v>38</v>
      </c>
      <c r="H18" s="114">
        <f t="shared" si="0"/>
        <v>0</v>
      </c>
    </row>
    <row r="19" spans="1:9" ht="12.75" customHeight="1">
      <c r="A19" s="1" t="s">
        <v>41</v>
      </c>
      <c r="B19" s="1" t="s">
        <v>42</v>
      </c>
      <c r="C19" s="282">
        <v>5850977</v>
      </c>
      <c r="D19" s="159">
        <f>VLOOKUP(A19,[3]Kolommenbalans!B$1:D$65536,3,FALSE)</f>
        <v>423215.73</v>
      </c>
      <c r="E19" s="159">
        <v>-6054041</v>
      </c>
      <c r="F19" s="159">
        <v>334826</v>
      </c>
      <c r="G19" s="159">
        <v>-339181</v>
      </c>
      <c r="H19" s="114">
        <f t="shared" si="0"/>
        <v>215796.73000000045</v>
      </c>
      <c r="I19" s="279"/>
    </row>
    <row r="20" spans="1:9" ht="12.75" customHeight="1">
      <c r="A20" s="1" t="s">
        <v>623</v>
      </c>
      <c r="B20" s="1" t="s">
        <v>624</v>
      </c>
      <c r="C20" s="282">
        <v>0</v>
      </c>
      <c r="E20" s="159">
        <v>6675101</v>
      </c>
      <c r="F20" s="159">
        <v>493276</v>
      </c>
      <c r="G20" s="159">
        <v>-5914486</v>
      </c>
      <c r="H20" s="114">
        <f t="shared" si="0"/>
        <v>1253891</v>
      </c>
    </row>
    <row r="21" spans="1:9" ht="12.75" customHeight="1">
      <c r="A21" s="1" t="s">
        <v>43</v>
      </c>
      <c r="B21" s="1" t="s">
        <v>44</v>
      </c>
      <c r="C21" s="282">
        <v>-8374</v>
      </c>
      <c r="E21" s="252">
        <v>-81794.69</v>
      </c>
      <c r="F21" s="159">
        <v>0</v>
      </c>
      <c r="H21" s="114">
        <f t="shared" si="0"/>
        <v>-90168.69</v>
      </c>
      <c r="I21" s="279"/>
    </row>
    <row r="22" spans="1:9" ht="12.75" customHeight="1">
      <c r="A22" s="1" t="s">
        <v>594</v>
      </c>
      <c r="B22" s="1" t="s">
        <v>595</v>
      </c>
      <c r="C22" s="282">
        <v>0</v>
      </c>
      <c r="D22" s="159">
        <f>VLOOKUP(A22,[3]Kolommenbalans!B$1:D$65536,3,FALSE)</f>
        <v>0</v>
      </c>
      <c r="F22" s="159">
        <v>146986</v>
      </c>
      <c r="G22" s="159">
        <v>-146986</v>
      </c>
      <c r="H22" s="114">
        <f t="shared" si="0"/>
        <v>0</v>
      </c>
    </row>
    <row r="23" spans="1:9" ht="12.75" customHeight="1">
      <c r="A23" s="1" t="s">
        <v>625</v>
      </c>
      <c r="B23" s="1" t="s">
        <v>626</v>
      </c>
      <c r="C23" s="282">
        <v>5000</v>
      </c>
      <c r="H23" s="114">
        <f t="shared" si="0"/>
        <v>5000</v>
      </c>
    </row>
    <row r="24" spans="1:9" ht="12.75" customHeight="1">
      <c r="A24" s="1" t="s">
        <v>627</v>
      </c>
      <c r="B24" s="1" t="s">
        <v>490</v>
      </c>
      <c r="C24" s="282">
        <v>42867</v>
      </c>
      <c r="D24" s="159">
        <f>VLOOKUP(A24,[3]Kolommenbalans!B$1:D$65536,3,FALSE)</f>
        <v>-21435</v>
      </c>
      <c r="E24" s="159">
        <v>-21435</v>
      </c>
      <c r="F24" s="159">
        <v>89982.3</v>
      </c>
      <c r="G24" s="159">
        <v>-29994</v>
      </c>
      <c r="H24" s="114">
        <f t="shared" si="0"/>
        <v>59985.3</v>
      </c>
    </row>
    <row r="25" spans="1:9" ht="12.75" customHeight="1">
      <c r="A25" s="1" t="s">
        <v>55</v>
      </c>
      <c r="B25" s="1" t="s">
        <v>56</v>
      </c>
      <c r="C25" s="282">
        <v>178756</v>
      </c>
      <c r="D25" s="159">
        <f>VLOOKUP(A25,[3]Kolommenbalans!B$1:D$65536,3,FALSE)</f>
        <v>-89377.98</v>
      </c>
      <c r="E25" s="159">
        <v>-89378</v>
      </c>
      <c r="F25" s="159">
        <v>334004</v>
      </c>
      <c r="G25" s="159">
        <v>-111335</v>
      </c>
      <c r="H25" s="114">
        <f t="shared" si="0"/>
        <v>222669.02000000002</v>
      </c>
    </row>
    <row r="26" spans="1:9" ht="12.75" customHeight="1">
      <c r="H26" s="114">
        <f t="shared" si="0"/>
        <v>0</v>
      </c>
    </row>
    <row r="27" spans="1:9" ht="12.75" customHeight="1">
      <c r="A27" s="270" t="s">
        <v>58</v>
      </c>
      <c r="H27" s="114">
        <f t="shared" si="0"/>
        <v>0</v>
      </c>
    </row>
    <row r="28" spans="1:9" ht="12.75" customHeight="1">
      <c r="A28" s="1" t="s">
        <v>61</v>
      </c>
      <c r="B28" s="1" t="s">
        <v>62</v>
      </c>
      <c r="C28" s="282">
        <v>358000</v>
      </c>
      <c r="D28" s="159">
        <f>VLOOKUP(A28,[3]Kolommenbalans!B$1:D$65536,3,FALSE)</f>
        <v>-358000</v>
      </c>
      <c r="E28" s="252">
        <v>-0.48</v>
      </c>
      <c r="H28" s="114">
        <f t="shared" si="0"/>
        <v>-0.48</v>
      </c>
      <c r="I28" s="279"/>
    </row>
    <row r="29" spans="1:9" ht="12.75" customHeight="1">
      <c r="A29" s="1" t="s">
        <v>628</v>
      </c>
      <c r="B29" s="1" t="s">
        <v>596</v>
      </c>
      <c r="C29" s="282">
        <v>-3426</v>
      </c>
      <c r="D29" s="159">
        <f>VLOOKUP(A29,[3]Kolommenbalans!B$1:D$65536,3,FALSE)</f>
        <v>-1524.6</v>
      </c>
      <c r="E29" s="159">
        <v>4950</v>
      </c>
      <c r="F29" s="159">
        <v>4485</v>
      </c>
      <c r="G29" s="159">
        <v>3544</v>
      </c>
      <c r="H29" s="114">
        <f t="shared" si="0"/>
        <v>8028.4</v>
      </c>
    </row>
    <row r="30" spans="1:9" ht="12.75" customHeight="1">
      <c r="A30" s="1" t="s">
        <v>65</v>
      </c>
      <c r="B30" s="1" t="s">
        <v>66</v>
      </c>
      <c r="C30" s="282">
        <v>0</v>
      </c>
      <c r="D30" s="159">
        <f>VLOOKUP(A30,[3]Kolommenbalans!B$1:D$65536,3,FALSE)</f>
        <v>0</v>
      </c>
      <c r="E30" s="159">
        <v>0</v>
      </c>
      <c r="F30" s="159">
        <v>194000</v>
      </c>
      <c r="G30" s="159">
        <v>-194000</v>
      </c>
      <c r="H30" s="114">
        <f t="shared" si="0"/>
        <v>0</v>
      </c>
    </row>
    <row r="31" spans="1:9" ht="12.75" customHeight="1">
      <c r="A31" s="1" t="s">
        <v>67</v>
      </c>
      <c r="B31" s="1" t="s">
        <v>68</v>
      </c>
      <c r="C31" s="282">
        <v>7443</v>
      </c>
      <c r="D31" s="159">
        <f>VLOOKUP(A31,[3]Kolommenbalans!B$1:D$65536,3,FALSE)</f>
        <v>-9882.18</v>
      </c>
      <c r="E31" s="159">
        <v>-6577.5</v>
      </c>
      <c r="F31" s="159">
        <v>9940.5</v>
      </c>
      <c r="G31" s="159">
        <v>-118</v>
      </c>
      <c r="H31" s="114">
        <f t="shared" si="0"/>
        <v>805.81999999999971</v>
      </c>
    </row>
    <row r="32" spans="1:9" ht="12.75" customHeight="1">
      <c r="A32" s="1" t="s">
        <v>69</v>
      </c>
      <c r="B32" s="1" t="s">
        <v>70</v>
      </c>
      <c r="C32" s="282">
        <v>27</v>
      </c>
      <c r="D32" s="159">
        <f>VLOOKUP(A32,[3]Kolommenbalans!B$1:D$65536,3,FALSE)</f>
        <v>0</v>
      </c>
      <c r="H32" s="114">
        <f t="shared" si="0"/>
        <v>27</v>
      </c>
    </row>
    <row r="33" spans="1:9" ht="12.75" customHeight="1">
      <c r="A33" s="1" t="s">
        <v>71</v>
      </c>
      <c r="B33" s="1" t="s">
        <v>72</v>
      </c>
      <c r="C33" s="282">
        <v>743</v>
      </c>
      <c r="D33" s="159">
        <f>VLOOKUP(A33,[3]Kolommenbalans!B$1:D$65536,3,FALSE)</f>
        <v>949.76</v>
      </c>
      <c r="E33" s="159">
        <v>276826.61</v>
      </c>
      <c r="F33" s="159">
        <v>-271247.90000000002</v>
      </c>
      <c r="G33" s="159">
        <v>6686</v>
      </c>
      <c r="H33" s="114">
        <f t="shared" si="0"/>
        <v>13957.469999999972</v>
      </c>
    </row>
    <row r="34" spans="1:9" ht="12.75" customHeight="1">
      <c r="A34" s="1" t="s">
        <v>73</v>
      </c>
      <c r="B34" s="1" t="s">
        <v>74</v>
      </c>
      <c r="C34" s="282">
        <v>63077</v>
      </c>
      <c r="D34" s="159">
        <f>VLOOKUP(A34,[3]Kolommenbalans!B$1:D$65536,3,FALSE)</f>
        <v>169867.27</v>
      </c>
      <c r="E34" s="159">
        <v>22169.18</v>
      </c>
      <c r="F34" s="159">
        <f>92619.86+1</f>
        <v>92620.86</v>
      </c>
      <c r="G34" s="159">
        <v>-282612</v>
      </c>
      <c r="H34" s="114">
        <f t="shared" si="0"/>
        <v>65122.31</v>
      </c>
    </row>
    <row r="35" spans="1:9" ht="12.75" customHeight="1">
      <c r="A35" s="1" t="s">
        <v>75</v>
      </c>
      <c r="B35" s="1" t="s">
        <v>76</v>
      </c>
      <c r="C35" s="282">
        <v>311</v>
      </c>
      <c r="D35" s="159">
        <f>VLOOKUP(A35,[3]Kolommenbalans!B$1:D$65536,3,FALSE)</f>
        <v>2744.42</v>
      </c>
      <c r="E35" s="159">
        <v>-2980</v>
      </c>
      <c r="F35" s="159">
        <f>5966+1</f>
        <v>5967</v>
      </c>
      <c r="G35" s="159">
        <v>1207</v>
      </c>
      <c r="H35" s="114">
        <f t="shared" si="0"/>
        <v>7249.42</v>
      </c>
    </row>
    <row r="36" spans="1:9" ht="12.75" customHeight="1">
      <c r="A36" s="1" t="s">
        <v>629</v>
      </c>
      <c r="B36" s="1" t="s">
        <v>560</v>
      </c>
      <c r="C36" s="282">
        <v>-16</v>
      </c>
      <c r="F36" s="159">
        <v>0</v>
      </c>
      <c r="G36" s="159">
        <v>0</v>
      </c>
      <c r="H36" s="114">
        <f t="shared" si="0"/>
        <v>-16</v>
      </c>
    </row>
    <row r="37" spans="1:9" ht="12.75" customHeight="1">
      <c r="H37" s="114">
        <f t="shared" si="0"/>
        <v>0</v>
      </c>
    </row>
    <row r="38" spans="1:9" ht="12.75" customHeight="1">
      <c r="A38" s="270" t="s">
        <v>630</v>
      </c>
      <c r="H38" s="114">
        <f>SUM(C38:G38)</f>
        <v>0</v>
      </c>
    </row>
    <row r="39" spans="1:9" ht="12.75" customHeight="1">
      <c r="A39" s="1" t="s">
        <v>81</v>
      </c>
      <c r="B39" s="1" t="s">
        <v>82</v>
      </c>
      <c r="C39" s="282">
        <v>-1</v>
      </c>
      <c r="H39" s="114">
        <f t="shared" si="0"/>
        <v>-1</v>
      </c>
    </row>
    <row r="40" spans="1:9" ht="12.75" customHeight="1">
      <c r="A40" s="1" t="s">
        <v>87</v>
      </c>
      <c r="B40" s="1" t="s">
        <v>430</v>
      </c>
      <c r="C40" s="282">
        <v>-18931219</v>
      </c>
      <c r="G40" s="159">
        <v>4670958</v>
      </c>
      <c r="H40" s="114">
        <f t="shared" si="0"/>
        <v>-14260261</v>
      </c>
    </row>
    <row r="41" spans="1:9" ht="12.75" customHeight="1">
      <c r="A41" s="1" t="s">
        <v>93</v>
      </c>
      <c r="B41" s="1" t="s">
        <v>94</v>
      </c>
      <c r="C41" s="282">
        <v>2816797</v>
      </c>
      <c r="H41" s="114">
        <f t="shared" si="0"/>
        <v>2816797</v>
      </c>
    </row>
    <row r="42" spans="1:9" ht="12.75" customHeight="1">
      <c r="H42" s="114">
        <f t="shared" si="0"/>
        <v>0</v>
      </c>
    </row>
    <row r="43" spans="1:9" ht="12.75" customHeight="1">
      <c r="A43" s="270" t="s">
        <v>98</v>
      </c>
      <c r="H43" s="114">
        <f t="shared" si="0"/>
        <v>0</v>
      </c>
    </row>
    <row r="44" spans="1:9" ht="12.75" customHeight="1">
      <c r="A44" s="1" t="s">
        <v>103</v>
      </c>
      <c r="B44" s="1" t="s">
        <v>104</v>
      </c>
      <c r="C44" s="282">
        <v>-169535973</v>
      </c>
      <c r="E44" s="159">
        <v>-875164.8</v>
      </c>
      <c r="F44" s="159">
        <v>-670610.59</v>
      </c>
      <c r="H44" s="114">
        <f t="shared" si="0"/>
        <v>-171081748.39000002</v>
      </c>
    </row>
    <row r="45" spans="1:9" ht="12.75" customHeight="1">
      <c r="A45" s="1" t="s">
        <v>107</v>
      </c>
      <c r="B45" s="1" t="s">
        <v>108</v>
      </c>
      <c r="C45" s="282">
        <v>35499891</v>
      </c>
      <c r="D45" s="252">
        <v>1440000</v>
      </c>
      <c r="E45" s="159">
        <v>350000</v>
      </c>
      <c r="F45" s="159">
        <v>887000</v>
      </c>
      <c r="G45" s="159">
        <v>828967</v>
      </c>
      <c r="H45" s="114">
        <f t="shared" si="0"/>
        <v>39005858</v>
      </c>
      <c r="I45" s="279"/>
    </row>
    <row r="46" spans="1:9" ht="12.75" customHeight="1">
      <c r="A46" s="1" t="s">
        <v>631</v>
      </c>
      <c r="B46" s="1" t="s">
        <v>632</v>
      </c>
      <c r="C46" s="282">
        <v>377894</v>
      </c>
      <c r="D46" s="159">
        <f>VLOOKUP(A46,[3]Kolommenbalans!B$1:D$65536,3,FALSE)</f>
        <v>-29069.05</v>
      </c>
      <c r="E46" s="159">
        <v>-29069.06</v>
      </c>
      <c r="F46" s="159">
        <f>-29069.05+4</f>
        <v>-29065.05</v>
      </c>
      <c r="G46" s="159">
        <v>-29069</v>
      </c>
      <c r="H46" s="114">
        <f t="shared" si="0"/>
        <v>261621.84000000003</v>
      </c>
    </row>
    <row r="47" spans="1:9" ht="12.75" customHeight="1">
      <c r="H47" s="114">
        <f t="shared" si="0"/>
        <v>0</v>
      </c>
    </row>
    <row r="48" spans="1:9" ht="12.75" customHeight="1">
      <c r="A48" s="270" t="s">
        <v>118</v>
      </c>
      <c r="H48" s="114">
        <f t="shared" si="0"/>
        <v>0</v>
      </c>
    </row>
    <row r="49" spans="1:12" ht="12.75" customHeight="1">
      <c r="A49" s="1" t="s">
        <v>121</v>
      </c>
      <c r="B49" s="1" t="s">
        <v>122</v>
      </c>
      <c r="C49" s="282">
        <v>-282763</v>
      </c>
      <c r="D49" s="159">
        <f>VLOOKUP(A49,[3]Kolommenbalans!B$1:D$65536,3,FALSE)</f>
        <v>277315</v>
      </c>
      <c r="E49" s="159">
        <v>-319583.96000000002</v>
      </c>
      <c r="F49" s="159">
        <v>-521059</v>
      </c>
      <c r="G49" s="159">
        <v>548173</v>
      </c>
      <c r="H49" s="114">
        <f t="shared" si="0"/>
        <v>-297917.95999999996</v>
      </c>
    </row>
    <row r="50" spans="1:12" ht="12.75" customHeight="1">
      <c r="A50" s="1" t="s">
        <v>123</v>
      </c>
      <c r="B50" s="1" t="s">
        <v>124</v>
      </c>
      <c r="C50" s="282">
        <v>-932680</v>
      </c>
      <c r="D50" s="159">
        <f>VLOOKUP(A50,[3]Kolommenbalans!B$1:D$65536,3,FALSE)</f>
        <v>-9900</v>
      </c>
      <c r="E50" s="159">
        <v>0</v>
      </c>
      <c r="F50" s="159">
        <v>-12500</v>
      </c>
      <c r="G50" s="159">
        <v>942580</v>
      </c>
      <c r="H50" s="114">
        <f t="shared" si="0"/>
        <v>-12500</v>
      </c>
    </row>
    <row r="51" spans="1:12" ht="12.75" customHeight="1">
      <c r="A51" s="1" t="s">
        <v>633</v>
      </c>
      <c r="B51" s="1" t="s">
        <v>634</v>
      </c>
      <c r="C51" s="282">
        <v>-551205</v>
      </c>
      <c r="D51" s="159">
        <f>VLOOKUP(A51,[3]Kolommenbalans!B$1:D$65536,3,FALSE)</f>
        <v>0</v>
      </c>
      <c r="E51" s="252">
        <v>-9557</v>
      </c>
      <c r="H51" s="114">
        <f t="shared" si="0"/>
        <v>-560762</v>
      </c>
      <c r="I51" s="279"/>
    </row>
    <row r="52" spans="1:12" ht="12.75" customHeight="1">
      <c r="A52" s="1" t="s">
        <v>47</v>
      </c>
      <c r="B52" s="1" t="s">
        <v>48</v>
      </c>
      <c r="C52" s="282">
        <v>335335</v>
      </c>
      <c r="D52" s="159">
        <f>VLOOKUP(A52,[3]Kolommenbalans!B$1:D$65536,3,FALSE)</f>
        <v>485985</v>
      </c>
      <c r="E52" s="252">
        <v>-1742467</v>
      </c>
      <c r="F52" s="272">
        <v>365128</v>
      </c>
      <c r="G52" s="159">
        <v>1609255</v>
      </c>
      <c r="H52" s="114">
        <f t="shared" si="0"/>
        <v>1053236</v>
      </c>
      <c r="I52" s="279" t="s">
        <v>708</v>
      </c>
      <c r="L52" s="114"/>
    </row>
    <row r="53" spans="1:12" ht="12.75" customHeight="1">
      <c r="A53" s="136">
        <v>2650000</v>
      </c>
      <c r="B53" s="1" t="s">
        <v>670</v>
      </c>
      <c r="C53" s="282">
        <v>-500000</v>
      </c>
      <c r="E53" s="252">
        <v>-5000</v>
      </c>
      <c r="H53" s="114">
        <f t="shared" si="0"/>
        <v>-505000</v>
      </c>
      <c r="I53" s="279"/>
    </row>
    <row r="54" spans="1:12" ht="12.75" customHeight="1">
      <c r="A54" s="1" t="s">
        <v>129</v>
      </c>
      <c r="B54" s="1" t="s">
        <v>130</v>
      </c>
      <c r="C54" s="282">
        <v>-2451</v>
      </c>
      <c r="D54" s="159">
        <f>VLOOKUP(A54,[3]Kolommenbalans!B$1:D$65536,3,FALSE)</f>
        <v>-3177.21</v>
      </c>
      <c r="E54" s="159">
        <v>-2177</v>
      </c>
      <c r="F54" s="159">
        <f>3176-1</f>
        <v>3175</v>
      </c>
      <c r="G54" s="159">
        <v>-7316</v>
      </c>
      <c r="H54" s="114">
        <f t="shared" si="0"/>
        <v>-11946.21</v>
      </c>
    </row>
    <row r="55" spans="1:12" ht="12.75" customHeight="1">
      <c r="A55" s="1" t="s">
        <v>635</v>
      </c>
      <c r="B55" s="1" t="s">
        <v>636</v>
      </c>
      <c r="C55" s="282">
        <v>-947735</v>
      </c>
      <c r="D55" s="159">
        <f>VLOOKUP(A55,[3]Kolommenbalans!B$1:D$65536,3,FALSE)</f>
        <v>1145.22</v>
      </c>
      <c r="E55" s="159">
        <v>1511.29</v>
      </c>
      <c r="F55" s="159">
        <v>-127085</v>
      </c>
      <c r="G55" s="159">
        <v>-3870</v>
      </c>
      <c r="H55" s="114">
        <f t="shared" si="0"/>
        <v>-1076033.49</v>
      </c>
      <c r="I55" s="279"/>
    </row>
    <row r="56" spans="1:12" ht="12.75" customHeight="1">
      <c r="A56" s="1" t="s">
        <v>141</v>
      </c>
      <c r="B56" s="1" t="s">
        <v>142</v>
      </c>
      <c r="C56" s="282">
        <v>-962302</v>
      </c>
      <c r="D56" s="159">
        <f>VLOOKUP(A56,[3]Kolommenbalans!B$1:D$65536,3,FALSE)</f>
        <v>8472.82</v>
      </c>
      <c r="E56" s="159">
        <v>3736</v>
      </c>
      <c r="F56" s="159">
        <f>10637.04+1</f>
        <v>10638.04</v>
      </c>
      <c r="G56" s="159">
        <v>8876</v>
      </c>
      <c r="H56" s="114">
        <f t="shared" si="0"/>
        <v>-930579.14</v>
      </c>
    </row>
    <row r="57" spans="1:12" ht="12.75" customHeight="1">
      <c r="A57" s="1" t="s">
        <v>143</v>
      </c>
      <c r="B57" s="1" t="s">
        <v>144</v>
      </c>
      <c r="C57" s="282">
        <v>-45000</v>
      </c>
      <c r="H57" s="114">
        <f t="shared" si="0"/>
        <v>-45000</v>
      </c>
    </row>
    <row r="58" spans="1:12" ht="12.75" customHeight="1">
      <c r="A58" s="1" t="s">
        <v>147</v>
      </c>
      <c r="B58" s="1" t="s">
        <v>148</v>
      </c>
      <c r="C58" s="282">
        <v>1</v>
      </c>
      <c r="D58" s="159">
        <f>VLOOKUP(A58,[3]Kolommenbalans!B$1:D$65536,3,FALSE)</f>
        <v>0</v>
      </c>
      <c r="H58" s="114">
        <f t="shared" si="0"/>
        <v>1</v>
      </c>
    </row>
    <row r="59" spans="1:12" ht="12.75" customHeight="1">
      <c r="A59" s="1" t="s">
        <v>149</v>
      </c>
      <c r="B59" s="1" t="s">
        <v>637</v>
      </c>
      <c r="C59" s="282">
        <v>0</v>
      </c>
      <c r="H59" s="114">
        <f t="shared" si="0"/>
        <v>0</v>
      </c>
    </row>
    <row r="60" spans="1:12" ht="12.75" customHeight="1">
      <c r="A60" s="1" t="s">
        <v>155</v>
      </c>
      <c r="B60" s="1" t="s">
        <v>156</v>
      </c>
      <c r="C60" s="282">
        <v>-261801</v>
      </c>
      <c r="D60" s="159">
        <f>VLOOKUP(A60,[3]Kolommenbalans!B$1:D$65536,3,FALSE)</f>
        <v>216412.76</v>
      </c>
      <c r="E60" s="159">
        <v>-45993.21</v>
      </c>
      <c r="F60" s="159">
        <f>-140627-1</f>
        <v>-140628</v>
      </c>
      <c r="G60" s="159">
        <v>96028</v>
      </c>
      <c r="H60" s="114">
        <f t="shared" si="0"/>
        <v>-135981.44999999998</v>
      </c>
    </row>
    <row r="61" spans="1:12" ht="12.75" customHeight="1">
      <c r="A61" s="1" t="s">
        <v>159</v>
      </c>
      <c r="B61" s="1" t="s">
        <v>160</v>
      </c>
      <c r="C61" s="282">
        <v>30002</v>
      </c>
      <c r="D61" s="159">
        <f>VLOOKUP(A61,[3]Kolommenbalans!B$1:D$65536,3,FALSE)</f>
        <v>0</v>
      </c>
      <c r="E61" s="252">
        <v>-783782.38</v>
      </c>
      <c r="F61" s="159">
        <v>783782.38</v>
      </c>
      <c r="H61" s="114">
        <f t="shared" si="0"/>
        <v>30002</v>
      </c>
      <c r="I61" s="279"/>
    </row>
    <row r="62" spans="1:12" ht="12.75" customHeight="1">
      <c r="A62" s="1" t="s">
        <v>638</v>
      </c>
      <c r="B62" s="1" t="s">
        <v>639</v>
      </c>
      <c r="C62" s="282">
        <v>0</v>
      </c>
      <c r="D62" s="159">
        <f>VLOOKUP(A62,[3]Kolommenbalans!B$1:D$65536,3,FALSE)</f>
        <v>0</v>
      </c>
      <c r="H62" s="114">
        <f t="shared" si="0"/>
        <v>0</v>
      </c>
    </row>
    <row r="63" spans="1:12" ht="12.75" customHeight="1">
      <c r="A63" s="136" t="s">
        <v>641</v>
      </c>
      <c r="B63" s="1" t="s">
        <v>642</v>
      </c>
      <c r="C63" s="282">
        <v>0</v>
      </c>
      <c r="D63" s="159">
        <f>VLOOKUP(A63,[3]Kolommenbalans!B$1:D$65536,3,FALSE)</f>
        <v>0</v>
      </c>
      <c r="H63" s="114">
        <f t="shared" si="0"/>
        <v>0</v>
      </c>
    </row>
    <row r="64" spans="1:12" ht="12.75" customHeight="1">
      <c r="A64" s="136">
        <v>2502020</v>
      </c>
      <c r="B64" s="1" t="s">
        <v>643</v>
      </c>
      <c r="C64" s="282">
        <v>789</v>
      </c>
      <c r="E64" s="159">
        <v>-788.66</v>
      </c>
      <c r="H64" s="114">
        <f t="shared" si="0"/>
        <v>0.34000000000003183</v>
      </c>
      <c r="I64" s="114"/>
    </row>
    <row r="65" spans="1:9" ht="12.75" customHeight="1">
      <c r="A65" s="1" t="s">
        <v>676</v>
      </c>
      <c r="B65" s="1" t="s">
        <v>644</v>
      </c>
      <c r="C65" s="282">
        <v>-4520</v>
      </c>
      <c r="D65" s="159">
        <f>VLOOKUP(A65,[3]Kolommenbalans!B$1:D$65536,3,FALSE)</f>
        <v>0</v>
      </c>
      <c r="E65" s="252">
        <v>11164.33</v>
      </c>
      <c r="F65" s="159">
        <v>-5932.67</v>
      </c>
      <c r="H65" s="114">
        <f t="shared" si="0"/>
        <v>711.65999999999985</v>
      </c>
      <c r="I65" s="280"/>
    </row>
    <row r="66" spans="1:9" ht="12.75" customHeight="1">
      <c r="A66" s="1" t="s">
        <v>677</v>
      </c>
      <c r="B66" s="1" t="s">
        <v>645</v>
      </c>
      <c r="C66" s="282">
        <v>-81911</v>
      </c>
      <c r="D66" s="159">
        <f>VLOOKUP(A66,[3]Kolommenbalans!B$1:D$65536,3,FALSE)</f>
        <v>-516.84</v>
      </c>
      <c r="E66" s="252">
        <v>85939.7</v>
      </c>
      <c r="F66" s="159">
        <v>679.93</v>
      </c>
      <c r="H66" s="114">
        <f t="shared" si="0"/>
        <v>4191.7900000000009</v>
      </c>
      <c r="I66" s="280"/>
    </row>
    <row r="67" spans="1:9" ht="12.75" customHeight="1">
      <c r="A67" s="1" t="s">
        <v>678</v>
      </c>
      <c r="B67" s="1" t="s">
        <v>646</v>
      </c>
      <c r="C67" s="282">
        <v>-203037</v>
      </c>
      <c r="D67" s="159">
        <f>VLOOKUP(A67,[3]Kolommenbalans!B$1:D$65536,3,FALSE)</f>
        <v>7601.93</v>
      </c>
      <c r="E67" s="252">
        <v>174386.43</v>
      </c>
      <c r="F67" s="159">
        <v>-5964</v>
      </c>
      <c r="G67" s="159">
        <v>-3879</v>
      </c>
      <c r="H67" s="114">
        <f t="shared" si="0"/>
        <v>-30891.640000000014</v>
      </c>
      <c r="I67" s="280"/>
    </row>
    <row r="68" spans="1:9" ht="12.75" customHeight="1">
      <c r="A68" s="147" t="s">
        <v>647</v>
      </c>
      <c r="B68" s="147" t="s">
        <v>648</v>
      </c>
      <c r="C68" s="283">
        <v>218405</v>
      </c>
      <c r="D68" s="159">
        <f>VLOOKUP(A68,[3]Kolommenbalans!B$1:D$65536,3,FALSE)</f>
        <v>49344.83</v>
      </c>
      <c r="E68" s="159">
        <f>-187446.25-1</f>
        <v>-187447.25</v>
      </c>
      <c r="F68" s="159">
        <v>63895</v>
      </c>
      <c r="G68" s="159">
        <v>-288810</v>
      </c>
      <c r="H68" s="114">
        <f t="shared" si="0"/>
        <v>-144612.41999999998</v>
      </c>
    </row>
    <row r="69" spans="1:9" ht="12.75" customHeight="1">
      <c r="A69" s="147" t="s">
        <v>647</v>
      </c>
      <c r="B69" s="147" t="s">
        <v>698</v>
      </c>
      <c r="C69" s="283">
        <v>0</v>
      </c>
      <c r="F69" s="159">
        <f>23666+2</f>
        <v>23668</v>
      </c>
      <c r="G69" s="159">
        <v>-3049</v>
      </c>
      <c r="H69" s="114">
        <f t="shared" si="0"/>
        <v>20619</v>
      </c>
    </row>
    <row r="70" spans="1:9" ht="12.75" customHeight="1">
      <c r="H70" s="114"/>
    </row>
    <row r="71" spans="1:9" ht="12.75" customHeight="1">
      <c r="A71" s="138" t="s">
        <v>649</v>
      </c>
      <c r="H71" s="114"/>
    </row>
    <row r="72" spans="1:9" ht="12.75" customHeight="1">
      <c r="H72" s="114"/>
    </row>
    <row r="73" spans="1:9" ht="12.75" customHeight="1">
      <c r="A73" s="1" t="s">
        <v>174</v>
      </c>
      <c r="B73" s="1" t="s">
        <v>175</v>
      </c>
      <c r="D73" s="159">
        <f>VLOOKUP(A73,[3]Kolommenbalans!B$1:D$65536,3,FALSE)</f>
        <v>-3169839.55</v>
      </c>
      <c r="E73" s="159">
        <v>-3186800.49</v>
      </c>
      <c r="F73" s="159">
        <v>-3209085.09</v>
      </c>
      <c r="G73" s="159">
        <v>-3200539.89</v>
      </c>
      <c r="H73" s="114">
        <f t="shared" ref="H73:H74" si="1">SUM(C73:G73)</f>
        <v>-12766265.02</v>
      </c>
      <c r="I73" s="114"/>
    </row>
    <row r="74" spans="1:9" ht="12.75" customHeight="1">
      <c r="A74" s="1" t="s">
        <v>176</v>
      </c>
      <c r="B74" s="1" t="s">
        <v>177</v>
      </c>
      <c r="D74" s="159">
        <f>VLOOKUP(A74,[3]Kolommenbalans!B$1:D$65536,3,FALSE)</f>
        <v>93311.89</v>
      </c>
      <c r="E74" s="159">
        <v>106874.37</v>
      </c>
      <c r="F74" s="159">
        <v>143610.29999999999</v>
      </c>
      <c r="G74" s="159">
        <v>133088.46</v>
      </c>
      <c r="H74" s="114">
        <f t="shared" si="1"/>
        <v>476885.02</v>
      </c>
      <c r="I74" s="114"/>
    </row>
    <row r="75" spans="1:9" ht="12.75" customHeight="1">
      <c r="H75" s="114"/>
      <c r="I75" s="114"/>
    </row>
    <row r="76" spans="1:9" ht="12.75" customHeight="1">
      <c r="A76" s="1" t="s">
        <v>182</v>
      </c>
      <c r="B76" s="1" t="s">
        <v>183</v>
      </c>
      <c r="D76" s="159">
        <f>VLOOKUP(A76,[3]Kolommenbalans!B$1:D$65536,3,FALSE)</f>
        <v>-76472.45</v>
      </c>
      <c r="E76" s="159">
        <v>76472.45</v>
      </c>
      <c r="F76" s="159">
        <v>-294</v>
      </c>
      <c r="G76" s="159">
        <v>-301.7</v>
      </c>
      <c r="H76" s="114">
        <f t="shared" ref="H76:H78" si="2">SUM(C76:G76)</f>
        <v>-595.70000000000005</v>
      </c>
      <c r="I76" s="114"/>
    </row>
    <row r="77" spans="1:9" ht="12.75" customHeight="1">
      <c r="A77" s="1" t="s">
        <v>184</v>
      </c>
      <c r="B77" s="1" t="s">
        <v>185</v>
      </c>
      <c r="D77" s="159">
        <f>VLOOKUP(A77,[3]Kolommenbalans!B$1:D$65536,3,FALSE)</f>
        <v>10335.44</v>
      </c>
      <c r="E77" s="159">
        <v>-167419.98000000001</v>
      </c>
      <c r="F77" s="159">
        <v>8776</v>
      </c>
      <c r="G77" s="159">
        <v>6470.43</v>
      </c>
      <c r="H77" s="114">
        <f t="shared" si="2"/>
        <v>-141838.11000000002</v>
      </c>
      <c r="I77" s="114"/>
    </row>
    <row r="78" spans="1:9" ht="12.75" customHeight="1">
      <c r="A78" s="1" t="s">
        <v>186</v>
      </c>
      <c r="B78" s="1" t="s">
        <v>187</v>
      </c>
      <c r="D78" s="159">
        <f>VLOOKUP(A78,[3]Kolommenbalans!B$1:D$65536,3,FALSE)</f>
        <v>77542.210000000006</v>
      </c>
      <c r="E78" s="252">
        <v>-279511.09999999998</v>
      </c>
      <c r="F78" s="159">
        <v>131053</v>
      </c>
      <c r="G78" s="159">
        <v>164115.12</v>
      </c>
      <c r="H78" s="114">
        <f t="shared" si="2"/>
        <v>93199.23000000004</v>
      </c>
      <c r="I78" s="280"/>
    </row>
    <row r="79" spans="1:9" ht="12.75" customHeight="1">
      <c r="H79" s="114"/>
      <c r="I79" s="114"/>
    </row>
    <row r="80" spans="1:9" ht="12.75" customHeight="1">
      <c r="A80" s="1" t="s">
        <v>198</v>
      </c>
      <c r="B80" s="1" t="s">
        <v>199</v>
      </c>
      <c r="D80" s="159">
        <f>VLOOKUP(A80,[3]Kolommenbalans!B$1:D$65536,3,FALSE)</f>
        <v>134133.54999999999</v>
      </c>
      <c r="E80" s="159">
        <v>135444.14000000001</v>
      </c>
      <c r="F80" s="159">
        <v>137751</v>
      </c>
      <c r="G80" s="159">
        <v>135540.07</v>
      </c>
      <c r="H80" s="114">
        <f t="shared" ref="H80:H94" si="3">SUM(C80:G80)</f>
        <v>542868.76</v>
      </c>
      <c r="I80" s="114"/>
    </row>
    <row r="81" spans="1:10" ht="12.75" customHeight="1">
      <c r="H81" s="114"/>
      <c r="I81" s="114"/>
    </row>
    <row r="82" spans="1:10" ht="12.75" customHeight="1">
      <c r="A82" s="1" t="s">
        <v>204</v>
      </c>
      <c r="B82" s="1" t="s">
        <v>650</v>
      </c>
      <c r="D82" s="159">
        <f>VLOOKUP(A82,[3]Kolommenbalans!B$1:D$65536,3,FALSE)</f>
        <v>762225</v>
      </c>
      <c r="E82" s="159">
        <v>793542</v>
      </c>
      <c r="F82" s="159">
        <v>811996</v>
      </c>
      <c r="G82" s="159">
        <v>822632</v>
      </c>
      <c r="H82" s="114">
        <f t="shared" si="3"/>
        <v>3190395</v>
      </c>
      <c r="I82" s="114"/>
    </row>
    <row r="83" spans="1:10" ht="12.75" customHeight="1">
      <c r="A83" s="1" t="s">
        <v>206</v>
      </c>
      <c r="B83" s="1" t="s">
        <v>651</v>
      </c>
      <c r="D83" s="159">
        <f>VLOOKUP(A83,[3]Kolommenbalans!B$1:D$65536,3,FALSE)</f>
        <v>-963848</v>
      </c>
      <c r="E83" s="159">
        <v>0</v>
      </c>
      <c r="F83" s="159">
        <v>-1202123</v>
      </c>
      <c r="G83" s="159">
        <v>-566976</v>
      </c>
      <c r="H83" s="114">
        <f t="shared" si="3"/>
        <v>-2732947</v>
      </c>
      <c r="I83" s="114"/>
    </row>
    <row r="84" spans="1:10" ht="12.75" customHeight="1">
      <c r="H84" s="114"/>
      <c r="I84" s="114"/>
    </row>
    <row r="85" spans="1:10" ht="12.75" customHeight="1">
      <c r="A85" s="1" t="s">
        <v>210</v>
      </c>
      <c r="B85" s="1" t="s">
        <v>211</v>
      </c>
      <c r="D85" s="252">
        <v>216162</v>
      </c>
      <c r="E85" s="252">
        <v>320115.76</v>
      </c>
      <c r="F85" s="159">
        <v>335314</v>
      </c>
      <c r="G85" s="159">
        <v>297751.92</v>
      </c>
      <c r="H85" s="114">
        <f t="shared" si="3"/>
        <v>1169343.68</v>
      </c>
      <c r="I85" s="279"/>
    </row>
    <row r="86" spans="1:10" ht="12.75" customHeight="1">
      <c r="A86" s="1" t="s">
        <v>214</v>
      </c>
      <c r="B86" s="1" t="s">
        <v>215</v>
      </c>
      <c r="D86" s="159">
        <f>VLOOKUP(A86,[3]Kolommenbalans!B$1:D$65536,3,FALSE)</f>
        <v>66062.67</v>
      </c>
      <c r="E86" s="159">
        <v>69696.850000000006</v>
      </c>
      <c r="F86" s="159">
        <v>80016</v>
      </c>
      <c r="G86" s="159">
        <v>39003.589999999997</v>
      </c>
      <c r="H86" s="114">
        <f t="shared" si="3"/>
        <v>254779.11000000002</v>
      </c>
      <c r="I86" s="114"/>
      <c r="J86" s="114"/>
    </row>
    <row r="87" spans="1:10" ht="12.75" customHeight="1">
      <c r="A87" s="1" t="s">
        <v>216</v>
      </c>
      <c r="B87" s="1" t="s">
        <v>652</v>
      </c>
      <c r="D87" s="159">
        <f>VLOOKUP(A87,[3]Kolommenbalans!B$1:D$65536,3,FALSE)</f>
        <v>188400.11</v>
      </c>
      <c r="E87" s="252">
        <v>180464.32</v>
      </c>
      <c r="F87" s="159">
        <v>199784</v>
      </c>
      <c r="G87" s="159">
        <v>182457.86</v>
      </c>
      <c r="H87" s="114">
        <f t="shared" si="3"/>
        <v>751106.28999999992</v>
      </c>
      <c r="I87" s="279"/>
    </row>
    <row r="88" spans="1:10" ht="12.75" customHeight="1">
      <c r="A88" s="1" t="s">
        <v>212</v>
      </c>
      <c r="B88" s="1" t="s">
        <v>213</v>
      </c>
      <c r="F88" s="159">
        <v>63619</v>
      </c>
      <c r="G88" s="159">
        <v>63619.5</v>
      </c>
      <c r="H88" s="114">
        <f t="shared" si="3"/>
        <v>127238.5</v>
      </c>
      <c r="I88" s="114"/>
    </row>
    <row r="89" spans="1:10" ht="12.75" customHeight="1">
      <c r="A89" s="1" t="s">
        <v>218</v>
      </c>
      <c r="B89" s="1" t="s">
        <v>219</v>
      </c>
      <c r="D89" s="159">
        <f>VLOOKUP(A89,[3]Kolommenbalans!B$1:D$65536,3,FALSE)</f>
        <v>24496.54</v>
      </c>
      <c r="E89" s="252">
        <v>27115.88</v>
      </c>
      <c r="F89" s="159">
        <v>26493</v>
      </c>
      <c r="G89" s="159">
        <v>19625.900000000001</v>
      </c>
      <c r="H89" s="114">
        <f t="shared" si="3"/>
        <v>97731.32</v>
      </c>
      <c r="I89" s="279"/>
      <c r="J89" s="114"/>
    </row>
    <row r="90" spans="1:10" ht="12.75" customHeight="1">
      <c r="A90" s="1" t="s">
        <v>220</v>
      </c>
      <c r="B90" s="1" t="s">
        <v>221</v>
      </c>
      <c r="D90" s="159">
        <f>VLOOKUP(A90,[3]Kolommenbalans!B$1:D$65536,3,FALSE)</f>
        <v>28932.33</v>
      </c>
      <c r="E90" s="252">
        <v>13307.02</v>
      </c>
      <c r="F90" s="159">
        <v>10678.06</v>
      </c>
      <c r="G90" s="159">
        <v>82958.5</v>
      </c>
      <c r="H90" s="114">
        <f t="shared" si="3"/>
        <v>135875.91</v>
      </c>
      <c r="I90" s="279"/>
    </row>
    <row r="91" spans="1:10" ht="12.75" customHeight="1">
      <c r="A91" s="1" t="s">
        <v>385</v>
      </c>
      <c r="B91" s="1" t="s">
        <v>386</v>
      </c>
      <c r="D91" s="159">
        <f>VLOOKUP(A91,[3]Kolommenbalans!B$1:D$65536,3,FALSE)</f>
        <v>0</v>
      </c>
      <c r="F91" s="159">
        <v>-765.02</v>
      </c>
      <c r="G91" s="159">
        <v>-300.33999999999997</v>
      </c>
      <c r="H91" s="114">
        <f t="shared" si="3"/>
        <v>-1065.3599999999999</v>
      </c>
      <c r="I91" s="114"/>
    </row>
    <row r="92" spans="1:10" ht="12.75" customHeight="1">
      <c r="H92" s="114"/>
      <c r="I92" s="114"/>
    </row>
    <row r="93" spans="1:10" ht="12.75" customHeight="1">
      <c r="A93" s="1" t="s">
        <v>434</v>
      </c>
      <c r="B93" s="1" t="s">
        <v>413</v>
      </c>
      <c r="E93" s="252">
        <v>81794.69</v>
      </c>
      <c r="H93" s="114">
        <f t="shared" si="3"/>
        <v>81794.69</v>
      </c>
      <c r="I93" s="279"/>
    </row>
    <row r="94" spans="1:10" ht="12.75" customHeight="1">
      <c r="A94" s="1" t="s">
        <v>226</v>
      </c>
      <c r="B94" s="1" t="s">
        <v>227</v>
      </c>
      <c r="D94" s="159">
        <f>VLOOKUP(A94,[3]Kolommenbalans!B$1:D$65536,3,FALSE)</f>
        <v>10114.98</v>
      </c>
      <c r="E94" s="159">
        <v>10216.44</v>
      </c>
      <c r="F94" s="159">
        <v>311.29000000000002</v>
      </c>
      <c r="G94" s="159">
        <v>5045.3</v>
      </c>
      <c r="H94" s="114">
        <f t="shared" si="3"/>
        <v>25688.01</v>
      </c>
      <c r="I94" s="114"/>
    </row>
    <row r="95" spans="1:10" ht="12.75" customHeight="1">
      <c r="H95" s="114"/>
      <c r="I95" s="114"/>
    </row>
    <row r="96" spans="1:10" ht="12.75" customHeight="1">
      <c r="A96" s="1" t="s">
        <v>604</v>
      </c>
      <c r="B96" s="1" t="s">
        <v>605</v>
      </c>
      <c r="E96" s="159">
        <v>36.630000000000003</v>
      </c>
      <c r="H96" s="114">
        <f t="shared" ref="H96:H120" si="4">SUM(D96:G96)</f>
        <v>36.630000000000003</v>
      </c>
      <c r="I96" s="114"/>
    </row>
    <row r="97" spans="1:10" ht="12.75" customHeight="1">
      <c r="A97" s="1" t="s">
        <v>230</v>
      </c>
      <c r="B97" s="1" t="s">
        <v>231</v>
      </c>
      <c r="D97" s="159">
        <f>VLOOKUP(A97,[3]Kolommenbalans!B$1:D$65536,3,FALSE)</f>
        <v>600</v>
      </c>
      <c r="E97" s="159">
        <v>500</v>
      </c>
      <c r="F97" s="159">
        <v>740</v>
      </c>
      <c r="G97" s="159">
        <v>500</v>
      </c>
      <c r="H97" s="114">
        <f t="shared" si="4"/>
        <v>2340</v>
      </c>
      <c r="I97" s="114"/>
    </row>
    <row r="98" spans="1:10" ht="12.75" customHeight="1">
      <c r="H98" s="114"/>
      <c r="I98" s="114"/>
    </row>
    <row r="99" spans="1:10" ht="12.75" customHeight="1">
      <c r="A99" s="1" t="s">
        <v>234</v>
      </c>
      <c r="B99" s="1" t="s">
        <v>235</v>
      </c>
      <c r="D99" s="159">
        <f>VLOOKUP(A99,[3]Kolommenbalans!B$1:D$65536,3,FALSE)</f>
        <v>21435</v>
      </c>
      <c r="E99" s="159">
        <v>18609.21</v>
      </c>
      <c r="F99" s="159">
        <v>29994.09</v>
      </c>
      <c r="G99" s="159">
        <v>47533.15</v>
      </c>
      <c r="H99" s="114">
        <f t="shared" si="4"/>
        <v>117571.45000000001</v>
      </c>
      <c r="I99" s="114"/>
      <c r="J99" s="114"/>
    </row>
    <row r="100" spans="1:10" ht="12.75" customHeight="1">
      <c r="A100" s="1" t="s">
        <v>236</v>
      </c>
      <c r="B100" s="1" t="s">
        <v>237</v>
      </c>
      <c r="D100" s="159">
        <f>VLOOKUP(A100,[3]Kolommenbalans!B$1:D$65536,3,FALSE)</f>
        <v>1500</v>
      </c>
      <c r="E100" s="159">
        <v>1500</v>
      </c>
      <c r="F100" s="159">
        <v>1500</v>
      </c>
      <c r="G100" s="159">
        <v>1500</v>
      </c>
      <c r="H100" s="114">
        <f t="shared" si="4"/>
        <v>6000</v>
      </c>
      <c r="I100" s="114"/>
    </row>
    <row r="101" spans="1:10" ht="12.75" customHeight="1">
      <c r="A101" s="1" t="s">
        <v>238</v>
      </c>
      <c r="B101" s="1" t="s">
        <v>239</v>
      </c>
      <c r="D101" s="159">
        <f>VLOOKUP(A101,[3]Kolommenbalans!B$1:D$65536,3,FALSE)</f>
        <v>8698.33</v>
      </c>
      <c r="E101" s="252">
        <v>28685.98</v>
      </c>
      <c r="F101" s="272">
        <v>33105</v>
      </c>
      <c r="G101" s="159">
        <v>42192.41</v>
      </c>
      <c r="H101" s="114">
        <f t="shared" si="4"/>
        <v>112681.72</v>
      </c>
      <c r="I101" s="279" t="s">
        <v>709</v>
      </c>
    </row>
    <row r="102" spans="1:10" ht="12.75" customHeight="1">
      <c r="A102" s="1" t="s">
        <v>240</v>
      </c>
      <c r="B102" s="1" t="s">
        <v>241</v>
      </c>
      <c r="D102" s="159">
        <f>VLOOKUP(A102,[3]Kolommenbalans!B$1:D$65536,3,FALSE)</f>
        <v>1397.55</v>
      </c>
      <c r="E102" s="159">
        <v>1397.55</v>
      </c>
      <c r="G102" s="159">
        <v>2934.86</v>
      </c>
      <c r="H102" s="114">
        <f t="shared" si="4"/>
        <v>5729.96</v>
      </c>
      <c r="I102" s="114"/>
    </row>
    <row r="103" spans="1:10" ht="12.75" customHeight="1">
      <c r="A103" s="1" t="s">
        <v>242</v>
      </c>
      <c r="B103" s="1" t="s">
        <v>562</v>
      </c>
      <c r="D103" s="159">
        <f>VLOOKUP(A103,[3]Kolommenbalans!B$1:D$65536,3,FALSE)</f>
        <v>47806.689999999995</v>
      </c>
      <c r="E103" s="252">
        <v>40046.620000000003</v>
      </c>
      <c r="F103" s="159">
        <v>62948.91</v>
      </c>
      <c r="G103" s="159">
        <v>33708.660000000003</v>
      </c>
      <c r="H103" s="114">
        <f t="shared" si="4"/>
        <v>184510.88</v>
      </c>
      <c r="I103" s="279"/>
    </row>
    <row r="104" spans="1:10" ht="12.75" customHeight="1">
      <c r="A104" s="1" t="s">
        <v>244</v>
      </c>
      <c r="B104" s="1" t="s">
        <v>245</v>
      </c>
      <c r="D104" s="159">
        <f>VLOOKUP(A104,[3]Kolommenbalans!B$1:D$65536,3,FALSE)</f>
        <v>6967.14</v>
      </c>
      <c r="E104" s="252">
        <v>21661.23</v>
      </c>
      <c r="F104" s="159">
        <v>23359.27</v>
      </c>
      <c r="G104" s="159">
        <v>26403.759999999998</v>
      </c>
      <c r="H104" s="114">
        <f t="shared" si="4"/>
        <v>78391.399999999994</v>
      </c>
      <c r="I104" s="279"/>
    </row>
    <row r="105" spans="1:10" ht="12.75" customHeight="1">
      <c r="A105" s="1" t="s">
        <v>246</v>
      </c>
      <c r="B105" s="1" t="s">
        <v>247</v>
      </c>
      <c r="D105" s="159">
        <f>VLOOKUP(A105,[3]Kolommenbalans!B$1:D$65536,3,FALSE)</f>
        <v>100650</v>
      </c>
      <c r="E105" s="252">
        <v>35200</v>
      </c>
      <c r="F105" s="272">
        <v>11000</v>
      </c>
      <c r="G105" s="159">
        <v>66841.5</v>
      </c>
      <c r="H105" s="114">
        <f t="shared" si="4"/>
        <v>213691.5</v>
      </c>
      <c r="I105" s="279" t="s">
        <v>710</v>
      </c>
    </row>
    <row r="106" spans="1:10" ht="12.75" customHeight="1">
      <c r="A106" s="1" t="s">
        <v>248</v>
      </c>
      <c r="B106" s="1" t="s">
        <v>249</v>
      </c>
      <c r="D106" s="252">
        <v>30223</v>
      </c>
      <c r="E106" s="159">
        <v>30061.71</v>
      </c>
      <c r="F106" s="159">
        <v>30747</v>
      </c>
      <c r="G106" s="159">
        <v>30189.5</v>
      </c>
      <c r="H106" s="114">
        <f t="shared" si="4"/>
        <v>121221.20999999999</v>
      </c>
      <c r="I106" s="280"/>
    </row>
    <row r="107" spans="1:10" ht="12.75" customHeight="1">
      <c r="A107" s="1" t="s">
        <v>436</v>
      </c>
      <c r="B107" s="1" t="s">
        <v>653</v>
      </c>
      <c r="D107" s="159">
        <f>VLOOKUP(A107,[3]Kolommenbalans!B$1:D$65536,3,FALSE)</f>
        <v>0</v>
      </c>
      <c r="E107" s="159">
        <v>40000</v>
      </c>
      <c r="H107" s="114">
        <f t="shared" si="4"/>
        <v>40000</v>
      </c>
      <c r="I107" s="114"/>
    </row>
    <row r="108" spans="1:10" ht="12.75" customHeight="1">
      <c r="A108" s="1" t="s">
        <v>250</v>
      </c>
      <c r="B108" s="1" t="s">
        <v>251</v>
      </c>
      <c r="D108" s="159">
        <f>VLOOKUP(A108,[3]Kolommenbalans!B$1:D$65536,3,FALSE)</f>
        <v>-1507.82</v>
      </c>
      <c r="E108" s="252">
        <v>4048.3</v>
      </c>
      <c r="F108" s="159">
        <v>-812.48</v>
      </c>
      <c r="G108" s="159">
        <v>-12427.33</v>
      </c>
      <c r="H108" s="114">
        <f>SUM(D108:G108)</f>
        <v>-10699.33</v>
      </c>
      <c r="I108" s="279"/>
    </row>
    <row r="109" spans="1:10" ht="12.75" customHeight="1">
      <c r="H109" s="114"/>
      <c r="I109" s="114"/>
    </row>
    <row r="110" spans="1:10" ht="12.75" customHeight="1">
      <c r="A110" s="1" t="s">
        <v>654</v>
      </c>
      <c r="B110" s="1" t="s">
        <v>655</v>
      </c>
      <c r="H110" s="114">
        <f t="shared" si="4"/>
        <v>0</v>
      </c>
      <c r="I110" s="114"/>
    </row>
    <row r="111" spans="1:10" ht="12.75" customHeight="1">
      <c r="A111" s="1" t="s">
        <v>656</v>
      </c>
      <c r="B111" s="1" t="s">
        <v>477</v>
      </c>
      <c r="E111" s="252">
        <v>9557</v>
      </c>
      <c r="H111" s="114">
        <f t="shared" si="4"/>
        <v>9557</v>
      </c>
      <c r="I111" s="279"/>
    </row>
    <row r="112" spans="1:10" ht="12.75" customHeight="1">
      <c r="A112" s="136">
        <v>4613000</v>
      </c>
      <c r="B112" s="1" t="s">
        <v>700</v>
      </c>
      <c r="E112" s="252">
        <v>5000</v>
      </c>
      <c r="H112" s="114">
        <f t="shared" si="4"/>
        <v>5000</v>
      </c>
      <c r="I112" s="279"/>
    </row>
    <row r="113" spans="1:9" ht="12.75" customHeight="1">
      <c r="A113" s="1" t="s">
        <v>657</v>
      </c>
      <c r="B113" s="1" t="s">
        <v>658</v>
      </c>
      <c r="E113" s="159">
        <v>-10316</v>
      </c>
      <c r="F113" s="159">
        <v>88.36</v>
      </c>
      <c r="G113" s="159">
        <v>8.3800000000000008</v>
      </c>
      <c r="H113" s="114">
        <f t="shared" si="4"/>
        <v>-10219.26</v>
      </c>
      <c r="I113" s="114"/>
    </row>
    <row r="114" spans="1:9" ht="12.75" customHeight="1">
      <c r="A114" s="1" t="s">
        <v>260</v>
      </c>
      <c r="B114" s="1" t="s">
        <v>261</v>
      </c>
      <c r="D114" s="252">
        <v>1924988.9</v>
      </c>
      <c r="E114" s="159">
        <v>1738638.91</v>
      </c>
      <c r="F114" s="159">
        <v>1484000.59</v>
      </c>
      <c r="G114" s="159">
        <v>1384964.21</v>
      </c>
      <c r="H114" s="114">
        <f t="shared" si="4"/>
        <v>6532592.6099999994</v>
      </c>
      <c r="I114" s="279"/>
    </row>
    <row r="115" spans="1:9" ht="12.75" customHeight="1">
      <c r="A115" s="1" t="s">
        <v>266</v>
      </c>
      <c r="B115" s="1" t="s">
        <v>267</v>
      </c>
      <c r="D115" s="252">
        <v>-181507</v>
      </c>
      <c r="E115" s="159">
        <v>-76671.34</v>
      </c>
      <c r="F115" s="159">
        <v>81808</v>
      </c>
      <c r="G115" s="159">
        <v>171938.04</v>
      </c>
      <c r="H115" s="114">
        <f t="shared" si="4"/>
        <v>-4432.2999999999884</v>
      </c>
      <c r="I115" s="280"/>
    </row>
    <row r="116" spans="1:9" ht="12.75" customHeight="1">
      <c r="A116" s="1" t="s">
        <v>659</v>
      </c>
      <c r="B116" s="1" t="s">
        <v>660</v>
      </c>
      <c r="D116" s="159">
        <f>VLOOKUP(A116,[3]Kolommenbalans!B$1:D$65536,3,FALSE)</f>
        <v>51.12</v>
      </c>
      <c r="E116" s="252">
        <v>0</v>
      </c>
      <c r="H116" s="114">
        <f t="shared" si="4"/>
        <v>51.12</v>
      </c>
      <c r="I116" s="280"/>
    </row>
    <row r="117" spans="1:9" ht="12.75" customHeight="1">
      <c r="A117" s="1" t="s">
        <v>661</v>
      </c>
      <c r="B117" s="1" t="s">
        <v>564</v>
      </c>
      <c r="D117" s="159">
        <f>VLOOKUP(A117,[3]Kolommenbalans!B$1:D$65536,3,FALSE)</f>
        <v>-519493.62</v>
      </c>
      <c r="E117" s="252">
        <v>-468232.28</v>
      </c>
      <c r="F117" s="159">
        <v>-397476.14</v>
      </c>
      <c r="G117" s="159">
        <v>-369637.02</v>
      </c>
      <c r="H117" s="114">
        <f t="shared" si="4"/>
        <v>-1754839.06</v>
      </c>
      <c r="I117" s="280"/>
    </row>
    <row r="118" spans="1:9" ht="12.75" customHeight="1">
      <c r="H118" s="114"/>
      <c r="I118" s="114"/>
    </row>
    <row r="119" spans="1:9" ht="12.75" customHeight="1">
      <c r="A119" s="1" t="s">
        <v>662</v>
      </c>
      <c r="B119" s="1" t="s">
        <v>394</v>
      </c>
      <c r="E119" s="252">
        <v>2238775</v>
      </c>
      <c r="H119" s="114">
        <f t="shared" si="4"/>
        <v>2238775</v>
      </c>
      <c r="I119" s="280"/>
    </row>
    <row r="120" spans="1:9" ht="12.75" customHeight="1">
      <c r="A120" s="1" t="s">
        <v>272</v>
      </c>
      <c r="B120" s="1" t="s">
        <v>273</v>
      </c>
      <c r="D120" s="159">
        <f>VLOOKUP(A120,[3]Kolommenbalans!B$1:D$65536,3,FALSE)</f>
        <v>-155489</v>
      </c>
      <c r="E120" s="252">
        <v>-920937</v>
      </c>
      <c r="F120" s="159">
        <v>-173840</v>
      </c>
      <c r="G120" s="159">
        <v>-200714</v>
      </c>
      <c r="H120" s="114">
        <f t="shared" si="4"/>
        <v>-1450980</v>
      </c>
      <c r="I120" s="280"/>
    </row>
    <row r="121" spans="1:9" ht="12.75" customHeight="1">
      <c r="H121" s="114"/>
      <c r="I121" s="114"/>
    </row>
    <row r="122" spans="1:9" ht="12.75" customHeight="1">
      <c r="A122" s="1" t="s">
        <v>440</v>
      </c>
      <c r="D122" s="159">
        <f>SUM(D73:D120)</f>
        <v>-1312122.9900000002</v>
      </c>
      <c r="E122" s="159">
        <f>SUM(E73:E120)</f>
        <v>918873.87000000011</v>
      </c>
      <c r="F122" s="159">
        <f>SUM(F73:F120)</f>
        <v>-1275702.8599999999</v>
      </c>
      <c r="G122" s="159">
        <f>SUM(G73:G120)</f>
        <v>-589873.16000000108</v>
      </c>
      <c r="H122" s="114">
        <f>SUM(D122:G122)</f>
        <v>-2258825.1400000011</v>
      </c>
      <c r="I122" s="114"/>
    </row>
    <row r="124" spans="1:9" ht="12.75" customHeight="1">
      <c r="A124" s="1" t="s">
        <v>663</v>
      </c>
      <c r="D124" s="137">
        <f>SUM(D5:D120)</f>
        <v>-0.21000000019557774</v>
      </c>
      <c r="E124" s="159">
        <f>SUM(E5:E120)</f>
        <v>-0.42000000132247806</v>
      </c>
      <c r="F124" s="137">
        <f>SUM(F5:F120)</f>
        <v>0.94000000040978193</v>
      </c>
      <c r="G124" s="137">
        <f>SUM(G5:G120)</f>
        <v>-1.1600000003818423</v>
      </c>
      <c r="H124" s="137">
        <f>SUM(H5:H120)</f>
        <v>-1.849999999627471</v>
      </c>
    </row>
    <row r="126" spans="1:9" ht="12.75" customHeight="1">
      <c r="A126" s="136" t="s">
        <v>579</v>
      </c>
      <c r="C126" s="246"/>
      <c r="D126" s="261">
        <f>36883.33*3</f>
        <v>110649.99</v>
      </c>
      <c r="E126" s="261">
        <f>36883.33*3</f>
        <v>110649.99</v>
      </c>
      <c r="F126" s="261">
        <f>36883.33*3</f>
        <v>110649.99</v>
      </c>
      <c r="G126" s="261">
        <f>36883.33*3</f>
        <v>110649.99</v>
      </c>
      <c r="H126" s="114"/>
    </row>
    <row r="127" spans="1:9" ht="12.75" customHeight="1">
      <c r="A127" s="136" t="s">
        <v>580</v>
      </c>
      <c r="C127" s="246"/>
      <c r="D127" s="246">
        <v>-292157.34000000003</v>
      </c>
      <c r="E127" s="274">
        <v>-187321.85</v>
      </c>
      <c r="F127" s="274">
        <v>-28841.62</v>
      </c>
      <c r="G127" s="284">
        <v>61288.02</v>
      </c>
      <c r="H127" s="114"/>
    </row>
    <row r="128" spans="1:9" ht="12.75" customHeight="1">
      <c r="A128" s="136"/>
      <c r="C128" s="246"/>
      <c r="D128" s="246"/>
      <c r="E128" s="246"/>
      <c r="F128" s="246"/>
      <c r="G128" s="246"/>
      <c r="H128" s="114"/>
    </row>
    <row r="129" spans="1:8" ht="12.75" customHeight="1">
      <c r="A129" s="136" t="s">
        <v>581</v>
      </c>
      <c r="C129" s="246"/>
      <c r="D129" s="246">
        <f>D114</f>
        <v>1924988.9</v>
      </c>
      <c r="E129" s="246">
        <f>E114</f>
        <v>1738638.91</v>
      </c>
      <c r="F129" s="246">
        <f>F114</f>
        <v>1484000.59</v>
      </c>
      <c r="G129" s="246">
        <f>G114</f>
        <v>1384964.21</v>
      </c>
      <c r="H129" s="246">
        <f>H114+H111+H113+H112</f>
        <v>6536930.3499999996</v>
      </c>
    </row>
    <row r="130" spans="1:8" ht="12.75" customHeight="1">
      <c r="A130" s="136" t="s">
        <v>582</v>
      </c>
      <c r="C130" s="246"/>
      <c r="D130" s="246">
        <f>D127</f>
        <v>-292157.34000000003</v>
      </c>
      <c r="E130" s="276">
        <f>E127</f>
        <v>-187321.85</v>
      </c>
      <c r="F130" s="276">
        <f>F127</f>
        <v>-28841.62</v>
      </c>
      <c r="G130" s="276">
        <f>G127</f>
        <v>61288.02</v>
      </c>
      <c r="H130" s="263">
        <f>SUM(D130:G130)</f>
        <v>-447032.79000000004</v>
      </c>
    </row>
    <row r="131" spans="1:8" ht="12.75" customHeight="1">
      <c r="A131" s="136" t="s">
        <v>583</v>
      </c>
      <c r="C131" s="246"/>
      <c r="D131" s="246">
        <f>D126</f>
        <v>110649.99</v>
      </c>
      <c r="E131" s="276">
        <f>E126</f>
        <v>110649.99</v>
      </c>
      <c r="F131" s="276">
        <f>F126</f>
        <v>110649.99</v>
      </c>
      <c r="G131" s="276">
        <f>G126</f>
        <v>110649.99</v>
      </c>
      <c r="H131" s="263">
        <f>SUM(D131:G131)</f>
        <v>442599.96</v>
      </c>
    </row>
    <row r="132" spans="1:8" ht="12.75" customHeight="1">
      <c r="A132" s="136" t="s">
        <v>584</v>
      </c>
      <c r="C132" s="246"/>
      <c r="D132" s="246">
        <f>D112+D117</f>
        <v>-519493.62</v>
      </c>
      <c r="E132" s="246">
        <f>E112+E117</f>
        <v>-463232.28</v>
      </c>
      <c r="F132" s="246">
        <f>F112+F117</f>
        <v>-397476.14</v>
      </c>
      <c r="G132" s="246">
        <f>G112+G117</f>
        <v>-369637.02</v>
      </c>
      <c r="H132" s="114">
        <f>SUM(D132:G132)</f>
        <v>-1749839.06</v>
      </c>
    </row>
    <row r="133" spans="1:8" ht="12.75" customHeight="1">
      <c r="C133" s="137"/>
      <c r="D133" s="246">
        <f>SUM(D129:D132)</f>
        <v>1223987.9299999997</v>
      </c>
      <c r="E133" s="246">
        <f>SUM(E129:E132)</f>
        <v>1198734.7699999998</v>
      </c>
      <c r="F133" s="246">
        <f>SUM(F129:F132)</f>
        <v>1168332.8199999998</v>
      </c>
      <c r="G133" s="246">
        <f>SUM(G129:G132)</f>
        <v>1187265.2</v>
      </c>
      <c r="H133" s="114">
        <f>SUM(D133:G133)</f>
        <v>4778320.7199999988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121"/>
  <sheetViews>
    <sheetView showGridLines="0" tabSelected="1" view="pageBreakPreview" topLeftCell="P27" zoomScaleNormal="100" zoomScaleSheetLayoutView="100" workbookViewId="0">
      <selection activeCell="AB54" sqref="AB54"/>
    </sheetView>
  </sheetViews>
  <sheetFormatPr defaultRowHeight="14.4" outlineLevelRow="2" outlineLevelCol="1"/>
  <cols>
    <col min="1" max="1" width="55.33203125" bestFit="1" customWidth="1"/>
    <col min="2" max="2" width="11.33203125" customWidth="1" outlineLevel="1"/>
    <col min="3" max="5" width="23.109375" customWidth="1" outlineLevel="1"/>
    <col min="6" max="14" width="23.109375" customWidth="1" outlineLevel="1" collapsed="1"/>
    <col min="15" max="25" width="23.109375" customWidth="1" outlineLevel="1"/>
    <col min="26" max="27" width="23.109375" customWidth="1"/>
    <col min="28" max="28" width="15" customWidth="1"/>
    <col min="29" max="29" width="106" customWidth="1"/>
  </cols>
  <sheetData>
    <row r="1" spans="1:29" ht="15.6">
      <c r="A1" s="2" t="s">
        <v>712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9">
      <c r="A2" s="4" t="s">
        <v>274</v>
      </c>
      <c r="B2" s="4"/>
      <c r="C2" s="5">
        <v>43465</v>
      </c>
      <c r="D2" s="5"/>
      <c r="E2" s="6">
        <v>43555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18">
        <v>45838</v>
      </c>
      <c r="AB2" s="42"/>
      <c r="AC2" s="65" t="s">
        <v>406</v>
      </c>
    </row>
    <row r="3" spans="1:29">
      <c r="A3" s="7" t="s">
        <v>344</v>
      </c>
      <c r="B3" s="7"/>
      <c r="C3" s="87">
        <f>'BalansenWinstverlies - FY2018'!M6</f>
        <v>2022416.44</v>
      </c>
      <c r="D3" s="90"/>
      <c r="E3" s="84">
        <f>'Cijfers QSP - Q1 2019'!P9</f>
        <v>2220572.2199999997</v>
      </c>
      <c r="F3" s="123"/>
      <c r="AA3" s="84">
        <f>'BDO - Q2-25'!H16</f>
        <v>8169360</v>
      </c>
      <c r="AB3" s="43"/>
      <c r="AC3" s="66" t="s">
        <v>504</v>
      </c>
    </row>
    <row r="4" spans="1:29">
      <c r="A4" s="7" t="s">
        <v>275</v>
      </c>
      <c r="B4" s="7"/>
      <c r="C4" s="87">
        <f>SUM('BalansenWinstverlies - FY2018'!M2:M4)</f>
        <v>124497954.95</v>
      </c>
      <c r="D4" s="90"/>
      <c r="E4" s="84">
        <f>'Cijfers QSP - Q1 2019'!P7</f>
        <v>123197741.33</v>
      </c>
      <c r="F4" s="123"/>
      <c r="AA4" s="84">
        <f>SUM('BDO - Q2-25'!H6:H10)</f>
        <v>101993449.16</v>
      </c>
      <c r="AB4" s="43"/>
      <c r="AC4" s="66" t="s">
        <v>398</v>
      </c>
    </row>
    <row r="5" spans="1:29">
      <c r="A5" s="7" t="s">
        <v>547</v>
      </c>
      <c r="B5" s="7"/>
      <c r="C5" s="87"/>
      <c r="D5" s="90"/>
      <c r="E5" s="84"/>
      <c r="F5" s="123"/>
      <c r="AA5" s="84">
        <f>'BDO - Q2-25'!H13+'BDO - Q2-25'!H14+'BDO - Q2-25'!H15</f>
        <v>36233862.899999999</v>
      </c>
      <c r="AB5" s="43"/>
      <c r="AC5" s="66" t="s">
        <v>566</v>
      </c>
    </row>
    <row r="6" spans="1:29">
      <c r="A6" s="7" t="s">
        <v>276</v>
      </c>
      <c r="B6" s="7"/>
      <c r="C6" s="87">
        <f>'BalansenWinstverlies - FY2018'!M7+'BalansenWinstverlies - FY2018'!M8</f>
        <v>157593.69</v>
      </c>
      <c r="D6" s="90"/>
      <c r="E6" s="84">
        <f>'Cijfers QSP - Q1 2019'!P14</f>
        <v>315178.26</v>
      </c>
      <c r="F6" s="123"/>
      <c r="AA6" s="84">
        <f>'BDO - Q2-25'!H19+'BDO - Q2-25'!H21+'BDO - Q2-25'!H22</f>
        <v>125628.04000000044</v>
      </c>
      <c r="AB6" s="43"/>
      <c r="AC6" s="66"/>
    </row>
    <row r="7" spans="1:29">
      <c r="A7" s="7" t="s">
        <v>608</v>
      </c>
      <c r="B7" s="7"/>
      <c r="C7" s="87"/>
      <c r="D7" s="90"/>
      <c r="E7" s="84"/>
      <c r="F7" s="123"/>
      <c r="AA7" s="84">
        <f>SUM('BDO - Q2-25'!H64:H69)+'BDO - Q2-25'!H62+'BDO - Q2-25'!H58+'BDO - Q2-25'!H59</f>
        <v>-149980.26999999999</v>
      </c>
      <c r="AB7" s="43"/>
      <c r="AC7" s="66" t="s">
        <v>608</v>
      </c>
    </row>
    <row r="8" spans="1:29">
      <c r="A8" s="7" t="s">
        <v>277</v>
      </c>
      <c r="B8" s="7"/>
      <c r="C8" s="87">
        <v>0</v>
      </c>
      <c r="D8" s="90"/>
      <c r="E8" s="84">
        <f>'Cijfers QSP - Q1 2019'!P60+'Cijfers QSP - Q1 2019'!P54</f>
        <v>332349.43</v>
      </c>
      <c r="F8" s="123"/>
      <c r="AA8" s="84">
        <f>SUM('BDO - Q2-25'!H23:H25)+'BDO - Q2-25'!H29</f>
        <v>295682.72000000003</v>
      </c>
      <c r="AB8" s="43"/>
      <c r="AC8" s="66" t="s">
        <v>665</v>
      </c>
    </row>
    <row r="9" spans="1:29">
      <c r="A9" s="7" t="s">
        <v>278</v>
      </c>
      <c r="B9" s="7"/>
      <c r="C9" s="87">
        <f>SUM('BalansenWinstverlies - FY2018'!M14:M19)+'BalansenWinstverlies - FY2018'!M29</f>
        <v>2063318.95</v>
      </c>
      <c r="D9" s="90"/>
      <c r="E9" s="84">
        <f>'Cijfers QSP - Q1 2019'!P30</f>
        <v>4103102.5199999996</v>
      </c>
      <c r="F9" s="123"/>
      <c r="AA9" s="84">
        <f>SUM('BDO - Q2-25'!H30:H36)</f>
        <v>87146.019999999975</v>
      </c>
      <c r="AB9" s="43"/>
      <c r="AC9" s="66"/>
    </row>
    <row r="10" spans="1:29">
      <c r="A10" s="7" t="s">
        <v>279</v>
      </c>
      <c r="B10" s="7"/>
      <c r="C10" s="87">
        <f>SUM('BalansenWinstverlies - FY2018'!M20:M24)</f>
        <v>-1804577.1800000016</v>
      </c>
      <c r="D10" s="90"/>
      <c r="E10" s="84">
        <f>'Cijfers QSP - Q1 2019'!P36</f>
        <v>-2986172.4800000004</v>
      </c>
      <c r="F10" s="123"/>
      <c r="AA10" s="84">
        <f>SUM('BDO - Q2-25'!H39:H41)</f>
        <v>-11443465</v>
      </c>
      <c r="AB10" s="43"/>
      <c r="AC10" s="66"/>
    </row>
    <row r="11" spans="1:29">
      <c r="A11" s="7" t="s">
        <v>323</v>
      </c>
      <c r="B11" s="7"/>
      <c r="C11" s="87">
        <f>'BalansenWinstverlies - FY2018'!M9</f>
        <v>110497</v>
      </c>
      <c r="D11" s="90"/>
      <c r="E11" s="84">
        <f>'Cijfers QSP - Q1 2019'!P21</f>
        <v>110497</v>
      </c>
      <c r="F11" s="123"/>
      <c r="AA11" s="84">
        <f>'BDO - Q2-25'!H20</f>
        <v>1253891</v>
      </c>
      <c r="AB11" s="43"/>
      <c r="AC11" s="66" t="s">
        <v>481</v>
      </c>
    </row>
    <row r="12" spans="1:29">
      <c r="A12" s="7" t="s">
        <v>280</v>
      </c>
      <c r="B12" s="7"/>
      <c r="C12" s="87">
        <f>'BalansenWinstverlies - FY2018'!M26+'BalansenWinstverlies - FY2018'!M28</f>
        <v>-124929767.5</v>
      </c>
      <c r="D12" s="90"/>
      <c r="E12" s="84">
        <f>'Cijfers QSP - Q1 2019'!P45</f>
        <v>-124929767.5</v>
      </c>
      <c r="F12" s="123"/>
      <c r="AA12" s="84">
        <f>SUM('BDO - Q2-25'!H44:H45)</f>
        <v>-132075890.39000002</v>
      </c>
      <c r="AB12" s="43"/>
      <c r="AC12" s="66"/>
    </row>
    <row r="13" spans="1:29">
      <c r="A13" s="7" t="s">
        <v>570</v>
      </c>
      <c r="B13" s="7"/>
      <c r="C13" s="87"/>
      <c r="D13" s="90"/>
      <c r="E13" s="84"/>
      <c r="F13" s="123"/>
      <c r="AA13" s="84">
        <f>SUM('BDO - Q2-25'!H46)</f>
        <v>261621.84000000003</v>
      </c>
      <c r="AB13" s="43"/>
      <c r="AC13" s="66" t="s">
        <v>571</v>
      </c>
    </row>
    <row r="14" spans="1:29">
      <c r="A14" s="7" t="s">
        <v>281</v>
      </c>
      <c r="B14" s="7"/>
      <c r="C14" s="87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>-93974.95</v>
      </c>
      <c r="D14" s="90"/>
      <c r="E14" s="84">
        <f>'Cijfers QSP - Q1 2019'!P46+'Cijfers QSP - Q1 2019'!P58+'Cijfers QSP - Q1 2019'!P61+'Cijfers QSP - Q1 2019'!P65+'Cijfers QSP - Q1 2019'!P67+'Cijfers QSP - Q1 2019'!P68+'Cijfers QSP - Q1 2019'!P70</f>
        <v>-139636.62000000002</v>
      </c>
      <c r="F14" s="123"/>
      <c r="AA14" s="84">
        <f>'BDO - Q2-25'!H49+'BDO - Q2-25'!H57+'BDO - Q2-25'!H60+'BDO - Q2-25'!H61+'BDO - Q2-25'!H28</f>
        <v>-448897.8899999999</v>
      </c>
      <c r="AB14" s="43"/>
      <c r="AC14" s="66"/>
    </row>
    <row r="15" spans="1:29">
      <c r="A15" s="7" t="s">
        <v>546</v>
      </c>
      <c r="B15" s="7"/>
      <c r="C15" s="87"/>
      <c r="D15" s="90"/>
      <c r="E15" s="84"/>
      <c r="F15" s="123"/>
      <c r="AA15" s="84">
        <f>SUM('BDO - Q2-25'!H50:H53)</f>
        <v>-25026</v>
      </c>
      <c r="AB15" s="43"/>
      <c r="AC15" s="66" t="s">
        <v>548</v>
      </c>
    </row>
    <row r="16" spans="1:29">
      <c r="A16" s="7" t="s">
        <v>282</v>
      </c>
      <c r="B16" s="7"/>
      <c r="C16" s="87">
        <f>'BalansenWinstverlies - FY2018'!M34</f>
        <v>-6845.46</v>
      </c>
      <c r="D16" s="90"/>
      <c r="E16" s="84">
        <f>'Cijfers QSP - Q1 2019'!P51+'Cijfers QSP - Q1 2019'!P52</f>
        <v>2095.5100000000002</v>
      </c>
      <c r="F16" s="123"/>
      <c r="AA16" s="84">
        <f>'BDO - Q2-25'!H54</f>
        <v>-11946.21</v>
      </c>
      <c r="AB16" s="43"/>
      <c r="AC16" s="66"/>
    </row>
    <row r="17" spans="1:30">
      <c r="A17" s="7" t="s">
        <v>283</v>
      </c>
      <c r="B17" s="7"/>
      <c r="C17" s="87">
        <f>'BalansenWinstverlies - FY2018'!M37</f>
        <v>-666513.99</v>
      </c>
      <c r="D17" s="90"/>
      <c r="E17" s="84">
        <f>'Cijfers QSP - Q1 2019'!P57</f>
        <v>-678422.47</v>
      </c>
      <c r="F17" s="123"/>
      <c r="AA17" s="84">
        <f>'BDO - Q2-25'!H56</f>
        <v>-930579.14</v>
      </c>
      <c r="AB17" s="43"/>
      <c r="AC17" s="66"/>
    </row>
    <row r="18" spans="1:30">
      <c r="A18" s="8" t="s">
        <v>531</v>
      </c>
      <c r="B18" s="8"/>
      <c r="C18" s="88">
        <f>'BalansenWinstverlies - FY2018'!M48</f>
        <v>-146910.69</v>
      </c>
      <c r="D18" s="91"/>
      <c r="E18" s="85">
        <f>'Cijfers QSP - Q1 2019'!P69</f>
        <v>-120768.08</v>
      </c>
      <c r="F18" s="124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85">
        <f>'BDO - Q2-25'!H55</f>
        <v>-1076033.49</v>
      </c>
      <c r="AB18" s="241"/>
      <c r="AC18" s="66"/>
    </row>
    <row r="19" spans="1:30">
      <c r="A19" s="9" t="s">
        <v>345</v>
      </c>
      <c r="B19" s="9"/>
      <c r="C19" s="89">
        <f>SUM(C3:C18)</f>
        <v>1203191.2599999942</v>
      </c>
      <c r="D19" s="92"/>
      <c r="E19" s="86">
        <f>SUM(E3:E18)</f>
        <v>1426769.1200000008</v>
      </c>
      <c r="F19" s="92"/>
      <c r="AA19" s="86">
        <f>SUM(AA3:AA18)</f>
        <v>2258823.2899999777</v>
      </c>
      <c r="AB19" s="38"/>
      <c r="AC19" s="66" t="s">
        <v>565</v>
      </c>
    </row>
    <row r="20" spans="1:30">
      <c r="A20" s="3"/>
      <c r="B20" s="3"/>
      <c r="C20" s="10"/>
      <c r="D20" s="10"/>
      <c r="E20" s="10"/>
      <c r="F20" s="10"/>
      <c r="G20" s="173"/>
      <c r="H20" s="173"/>
      <c r="I20" s="172"/>
      <c r="J20" s="172"/>
      <c r="K20" s="222"/>
      <c r="L20" s="226"/>
      <c r="M20" s="226">
        <f>M23*4</f>
        <v>11480356</v>
      </c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10"/>
      <c r="AB20" s="3"/>
    </row>
    <row r="21" spans="1:30">
      <c r="A21" s="3"/>
      <c r="B21" s="10"/>
      <c r="C21" s="10"/>
      <c r="D21" s="10"/>
      <c r="E21" s="10"/>
      <c r="F21" s="172"/>
      <c r="G21" s="172"/>
      <c r="H21" s="172"/>
      <c r="I21" s="181"/>
      <c r="J21" s="181"/>
      <c r="K21" s="172"/>
      <c r="L21" s="236"/>
      <c r="M21" s="236"/>
      <c r="N21" s="236">
        <f>N23*4</f>
        <v>11485316.640000001</v>
      </c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10"/>
    </row>
    <row r="22" spans="1:30">
      <c r="A22" s="4" t="s">
        <v>285</v>
      </c>
      <c r="B22" s="4"/>
      <c r="C22" s="11" t="s">
        <v>322</v>
      </c>
      <c r="D22" s="11" t="s">
        <v>396</v>
      </c>
      <c r="E22" s="11" t="s">
        <v>397</v>
      </c>
      <c r="F22" s="11" t="s">
        <v>421</v>
      </c>
      <c r="G22" s="11" t="s">
        <v>441</v>
      </c>
      <c r="H22" s="11" t="s">
        <v>442</v>
      </c>
      <c r="I22" s="11" t="s">
        <v>451</v>
      </c>
      <c r="J22" s="11" t="s">
        <v>463</v>
      </c>
      <c r="K22" s="11" t="s">
        <v>485</v>
      </c>
      <c r="L22" s="11" t="s">
        <v>501</v>
      </c>
      <c r="M22" s="11" t="s">
        <v>517</v>
      </c>
      <c r="N22" s="11" t="s">
        <v>525</v>
      </c>
      <c r="O22" s="11" t="s">
        <v>530</v>
      </c>
      <c r="P22" s="11" t="s">
        <v>549</v>
      </c>
      <c r="Q22" s="11" t="s">
        <v>567</v>
      </c>
      <c r="R22" s="11" t="s">
        <v>572</v>
      </c>
      <c r="S22" s="11" t="s">
        <v>587</v>
      </c>
      <c r="T22" s="11" t="s">
        <v>599</v>
      </c>
      <c r="U22" s="11" t="s">
        <v>664</v>
      </c>
      <c r="V22" s="11" t="s">
        <v>672</v>
      </c>
      <c r="W22" s="11" t="s">
        <v>679</v>
      </c>
      <c r="X22" s="11" t="s">
        <v>687</v>
      </c>
      <c r="Y22" s="11" t="s">
        <v>703</v>
      </c>
      <c r="Z22" s="11" t="s">
        <v>711</v>
      </c>
      <c r="AA22" s="215" t="s">
        <v>713</v>
      </c>
      <c r="AB22" s="44"/>
      <c r="AC22" s="65" t="s">
        <v>341</v>
      </c>
    </row>
    <row r="23" spans="1:30">
      <c r="A23" s="12" t="s">
        <v>321</v>
      </c>
      <c r="B23" s="12"/>
      <c r="C23" s="93">
        <f>-'BalansenWinstverlies - FY2018'!M52</f>
        <v>11116814.02</v>
      </c>
      <c r="D23" s="56">
        <f>-'Cijfers QSP - Q1 2019'!P74</f>
        <v>2797626.07</v>
      </c>
      <c r="E23" s="100">
        <f>-'Cijfers QSP - Q1 2019'!R74</f>
        <v>11227638.52</v>
      </c>
      <c r="F23" s="131">
        <f>-'BDO - Q2 2019'!D71</f>
        <v>2785968</v>
      </c>
      <c r="G23" s="131">
        <f>-'BDO - Q3 2019'!H69</f>
        <v>2864512</v>
      </c>
      <c r="H23" s="164">
        <f>-'BDO Q4 2019'!G70</f>
        <v>2858133</v>
      </c>
      <c r="I23" s="131">
        <f>-'BDO - Q1 2020'!G70</f>
        <v>2847208</v>
      </c>
      <c r="J23" s="131">
        <f>-'BDO - Q3 2020'!G70</f>
        <v>2826464</v>
      </c>
      <c r="K23" s="131">
        <f>-'BDO - Q2 2021'!G69</f>
        <v>2863530</v>
      </c>
      <c r="L23" s="131">
        <f>-'BDO - Q4 2021'!G72</f>
        <v>2862440.42</v>
      </c>
      <c r="M23" s="131">
        <f>-'BDO - Q1-22'!G72</f>
        <v>2870089</v>
      </c>
      <c r="N23" s="131">
        <f>-'BDO - Q2-22'!G72</f>
        <v>2871329.16</v>
      </c>
      <c r="O23" s="131">
        <f>-'BDO - Q3-22'!G71</f>
        <v>2944242.41</v>
      </c>
      <c r="P23" s="131">
        <f>-'BDO - Q3-23'!D82</f>
        <v>2950963.19</v>
      </c>
      <c r="Q23" s="131">
        <f>-'BDO - Q3-23'!E82</f>
        <v>2959140.94</v>
      </c>
      <c r="R23" s="131">
        <f>-'BDO - Q3-23'!F82</f>
        <v>2984947.9</v>
      </c>
      <c r="S23" s="131">
        <f>-'BDO - Q3-23'!G82</f>
        <v>3069840.08</v>
      </c>
      <c r="T23" s="131">
        <f>-'BDO - Q4-23'!G82</f>
        <v>3070216.69</v>
      </c>
      <c r="U23" s="131">
        <f>-'BDO - Q1-24'!G71</f>
        <v>3068644</v>
      </c>
      <c r="V23" s="131">
        <f>-'BDO - Q2-24'!G72</f>
        <v>3065862.05</v>
      </c>
      <c r="W23" s="131">
        <f>-'BDO - Q3-24'!G72</f>
        <v>3169839.55</v>
      </c>
      <c r="X23" s="131">
        <f>-'BDO - Q4-24'!G72</f>
        <v>3186800.49</v>
      </c>
      <c r="Y23" s="131">
        <f>-'BDO - Q1-25'!G73</f>
        <v>3209085.09</v>
      </c>
      <c r="Z23" s="131">
        <f>-'BDO - Q2-25'!G73</f>
        <v>3200539.89</v>
      </c>
      <c r="AA23" s="101">
        <f>-'BDO - Q2-25'!H73</f>
        <v>12766265.02</v>
      </c>
      <c r="AB23" s="45"/>
      <c r="AC23" s="66"/>
    </row>
    <row r="24" spans="1:30">
      <c r="A24" s="14" t="s">
        <v>286</v>
      </c>
      <c r="B24" s="14"/>
      <c r="C24" s="94">
        <f>-'BalansenWinstverlies - FY2018'!M53</f>
        <v>-307315.71000000002</v>
      </c>
      <c r="D24" s="35">
        <f>-'Cijfers QSP - Q1 2019'!P75</f>
        <v>-69244.36</v>
      </c>
      <c r="E24" s="101">
        <f>-'Cijfers QSP - Q1 2019'!R75</f>
        <v>-306863.93999999994</v>
      </c>
      <c r="F24" s="133">
        <f>-'BDO - Q2 2019'!D72</f>
        <v>-52029</v>
      </c>
      <c r="G24" s="133">
        <f>-'BDO - Q3 2019'!H70</f>
        <v>-66870</v>
      </c>
      <c r="H24" s="165">
        <f>-'BDO Q4 2019'!G71</f>
        <v>-63771</v>
      </c>
      <c r="I24" s="131">
        <f>-'BDO - Q1 2020'!G71</f>
        <v>-69125</v>
      </c>
      <c r="J24" s="131">
        <f>-'BDO - Q3 2020'!G71</f>
        <v>-63061</v>
      </c>
      <c r="K24" s="131">
        <f>-'BDO - Q2 2021'!G70</f>
        <v>-62447</v>
      </c>
      <c r="L24" s="131">
        <f>-'BDO - Q4 2021'!G73</f>
        <v>-39631.629999999997</v>
      </c>
      <c r="M24" s="131">
        <f>-'BDO - Q1-22'!G73</f>
        <v>-32888</v>
      </c>
      <c r="N24" s="131">
        <f>-'BDO - Q2-22'!G73</f>
        <v>-39968.65</v>
      </c>
      <c r="O24" s="131">
        <f>-'BDO - Q3-22'!G72</f>
        <v>-55228.45</v>
      </c>
      <c r="P24" s="131">
        <f>-'BDO - Q3-23'!D83</f>
        <v>-59011.37</v>
      </c>
      <c r="Q24" s="131">
        <f>-'BDO - Q3-23'!E83</f>
        <v>-55162.54</v>
      </c>
      <c r="R24" s="131">
        <f>-'BDO - Q3-23'!F83</f>
        <v>-56558</v>
      </c>
      <c r="S24" s="131">
        <f>-'BDO - Q3-23'!G83</f>
        <v>-66841.789999999994</v>
      </c>
      <c r="T24" s="131">
        <f>-'BDO - Q4-23'!G83</f>
        <v>-59363.37999999999</v>
      </c>
      <c r="U24" s="131">
        <f>-'BDO - Q1-24'!G72</f>
        <v>-55043</v>
      </c>
      <c r="V24" s="131">
        <f>-'BDO - Q2-24'!G73</f>
        <v>-72337.34</v>
      </c>
      <c r="W24" s="131">
        <f>-'BDO - Q3-24'!G73</f>
        <v>-93311.89</v>
      </c>
      <c r="X24" s="131">
        <f>-'BDO - Q4-24'!G73</f>
        <v>-106874.37</v>
      </c>
      <c r="Y24" s="131">
        <f>-'BDO - Q1-25'!G74</f>
        <v>-143610.29999999999</v>
      </c>
      <c r="Z24" s="131">
        <f>-'BDO - Q2-25'!G74</f>
        <v>-133088.46</v>
      </c>
      <c r="AA24" s="101">
        <f>-'BDO - Q2-25'!H74</f>
        <v>-476885.02</v>
      </c>
      <c r="AB24" s="37"/>
      <c r="AC24" s="66"/>
    </row>
    <row r="25" spans="1:30">
      <c r="A25" s="12" t="s">
        <v>287</v>
      </c>
      <c r="B25" s="12"/>
      <c r="C25" s="95">
        <f>C24+C23</f>
        <v>10809498.309999999</v>
      </c>
      <c r="D25" s="13">
        <f>D24+D23</f>
        <v>2728381.71</v>
      </c>
      <c r="E25" s="102">
        <f>E24+E23</f>
        <v>10920774.58</v>
      </c>
      <c r="F25" s="49">
        <f>F24+F23</f>
        <v>2733939</v>
      </c>
      <c r="G25" s="49">
        <f>G24+G23</f>
        <v>2797642</v>
      </c>
      <c r="H25" s="166">
        <f>-'BDO Q4 2019'!G72</f>
        <v>2794362</v>
      </c>
      <c r="I25" s="49">
        <f>-'BDO - Q1 2020'!G72</f>
        <v>2778083</v>
      </c>
      <c r="J25" s="49">
        <f t="shared" ref="J25:AA25" si="0">SUM(J23:J24)</f>
        <v>2763403</v>
      </c>
      <c r="K25" s="49">
        <f t="shared" si="0"/>
        <v>2801083</v>
      </c>
      <c r="L25" s="49">
        <f t="shared" si="0"/>
        <v>2822808.79</v>
      </c>
      <c r="M25" s="49">
        <f t="shared" si="0"/>
        <v>2837201</v>
      </c>
      <c r="N25" s="49">
        <f t="shared" si="0"/>
        <v>2831360.5100000002</v>
      </c>
      <c r="O25" s="49">
        <f t="shared" si="0"/>
        <v>2889013.96</v>
      </c>
      <c r="P25" s="49">
        <f t="shared" si="0"/>
        <v>2891951.82</v>
      </c>
      <c r="Q25" s="49">
        <f t="shared" si="0"/>
        <v>2903978.4</v>
      </c>
      <c r="R25" s="49">
        <f t="shared" si="0"/>
        <v>2928389.9</v>
      </c>
      <c r="S25" s="49">
        <f t="shared" si="0"/>
        <v>3002998.29</v>
      </c>
      <c r="T25" s="49">
        <f t="shared" si="0"/>
        <v>3010853.31</v>
      </c>
      <c r="U25" s="49">
        <f t="shared" si="0"/>
        <v>3013601</v>
      </c>
      <c r="V25" s="49">
        <f t="shared" si="0"/>
        <v>2993524.71</v>
      </c>
      <c r="W25" s="49">
        <f t="shared" si="0"/>
        <v>3076527.6599999997</v>
      </c>
      <c r="X25" s="49">
        <f t="shared" si="0"/>
        <v>3079926.12</v>
      </c>
      <c r="Y25" s="49">
        <f t="shared" si="0"/>
        <v>3065474.79</v>
      </c>
      <c r="Z25" s="49">
        <f t="shared" ref="Z25" si="1">SUM(Z23:Z24)</f>
        <v>3067451.43</v>
      </c>
      <c r="AA25" s="102">
        <f t="shared" si="0"/>
        <v>12289380</v>
      </c>
      <c r="AB25" s="212"/>
      <c r="AC25" s="66"/>
      <c r="AD25" s="55"/>
    </row>
    <row r="26" spans="1:30">
      <c r="A26" s="12"/>
      <c r="B26" s="12"/>
      <c r="C26" s="96"/>
      <c r="D26" s="16">
        <f>D24/D23</f>
        <v>-2.4751113360907451E-2</v>
      </c>
      <c r="E26" s="103"/>
      <c r="F26" s="132"/>
      <c r="G26" s="132"/>
      <c r="H26" s="167">
        <f>H25/H23</f>
        <v>0.97768788226440129</v>
      </c>
      <c r="I26" s="132"/>
      <c r="J26" s="132"/>
      <c r="K26" s="132"/>
      <c r="L26" s="234">
        <f t="shared" ref="L26:AA26" si="2">L25/L23-1</f>
        <v>-1.3845399094804534E-2</v>
      </c>
      <c r="M26" s="234">
        <f t="shared" si="2"/>
        <v>-1.1458878104476877E-2</v>
      </c>
      <c r="N26" s="234">
        <f t="shared" si="2"/>
        <v>-1.3919912268086976E-2</v>
      </c>
      <c r="O26" s="234">
        <f t="shared" si="2"/>
        <v>-1.8758119172667009E-2</v>
      </c>
      <c r="P26" s="234">
        <f t="shared" si="2"/>
        <v>-1.9997325008991429E-2</v>
      </c>
      <c r="Q26" s="234">
        <f t="shared" si="2"/>
        <v>-1.8641403406760348E-2</v>
      </c>
      <c r="R26" s="234">
        <f t="shared" si="2"/>
        <v>-1.8947734397642302E-2</v>
      </c>
      <c r="S26" s="234">
        <f t="shared" si="2"/>
        <v>-2.1773704251069614E-2</v>
      </c>
      <c r="T26" s="234">
        <f t="shared" si="2"/>
        <v>-1.9335241122671376E-2</v>
      </c>
      <c r="U26" s="234">
        <f t="shared" si="2"/>
        <v>-1.7937238728246041E-2</v>
      </c>
      <c r="V26" s="234">
        <f t="shared" si="2"/>
        <v>-2.3594453638251522E-2</v>
      </c>
      <c r="W26" s="234">
        <f t="shared" si="2"/>
        <v>-2.9437417423856749E-2</v>
      </c>
      <c r="X26" s="234">
        <f t="shared" si="2"/>
        <v>-3.353657385687181E-2</v>
      </c>
      <c r="Y26" s="234">
        <f t="shared" si="2"/>
        <v>-4.4751166133771725E-2</v>
      </c>
      <c r="Z26" s="234">
        <f t="shared" ref="Z26" si="3">Z25/Z23-1</f>
        <v>-4.1583128026565497E-2</v>
      </c>
      <c r="AA26" s="235">
        <f t="shared" si="2"/>
        <v>-3.7355093228355951E-2</v>
      </c>
      <c r="AB26" s="37"/>
      <c r="AC26" s="66"/>
    </row>
    <row r="27" spans="1:30">
      <c r="A27" s="17" t="s">
        <v>288</v>
      </c>
      <c r="B27" s="17"/>
      <c r="C27" s="94">
        <f>-'BalansenWinstverlies - FY2018'!M55</f>
        <v>681254.98</v>
      </c>
      <c r="D27" s="35">
        <f>-'Cijfers QSP - Q1 2019'!P78</f>
        <v>174607.96</v>
      </c>
      <c r="E27" s="101">
        <f>-'Cijfers QSP - Q1 2019'!R78</f>
        <v>656029.34999999986</v>
      </c>
      <c r="F27" s="133">
        <f>-'BDO - Q2 2019'!D75</f>
        <v>175044</v>
      </c>
      <c r="G27" s="133">
        <f>-'BDO - Q3 2019'!H73</f>
        <v>173416</v>
      </c>
      <c r="H27" s="165">
        <f>-'BDO Q4 2019'!G74</f>
        <v>173087</v>
      </c>
      <c r="I27" s="133">
        <f>-'BDO - Q1 2020'!G74</f>
        <v>172417</v>
      </c>
      <c r="J27" s="133">
        <f>-'BDO - Q3 2020'!G74</f>
        <v>172398</v>
      </c>
      <c r="K27" s="133">
        <f>-'BDO - Q2 2021'!G73</f>
        <v>164913</v>
      </c>
      <c r="L27" s="133">
        <f>-'BDO - Q4 2021'!G76</f>
        <v>165060.65</v>
      </c>
      <c r="M27" s="133">
        <f>-'BDO - Q1-22'!G76-'BDO - Q1-22'!G77</f>
        <v>177773</v>
      </c>
      <c r="N27" s="133">
        <f>-'BDO - Q2-22'!G76-'BDO - Q2-22'!G77</f>
        <v>164598.62</v>
      </c>
      <c r="O27" s="133">
        <f>-'BDO - Q3-22'!G75-'BDO - Q3-22'!G76</f>
        <v>350659.51</v>
      </c>
      <c r="P27" s="133">
        <f>-'BDO - Q4-22'!G80-'BDO - Q4-22'!G81</f>
        <v>165044.01999999999</v>
      </c>
      <c r="Q27" s="133">
        <f>-'BDO - Q1-23'!G83-'BDO - Q1-23'!G84</f>
        <v>165745.84</v>
      </c>
      <c r="R27" s="133">
        <f>-'BDO - Q2-23'!H84-'BDO - Q2-23'!G85</f>
        <v>166072.95000000001</v>
      </c>
      <c r="S27" s="133">
        <f>-'BDO - Q1-24'!E74</f>
        <v>165720</v>
      </c>
      <c r="T27" s="133">
        <f>-'BDO - Q1-24'!F74</f>
        <v>158682</v>
      </c>
      <c r="U27" s="133">
        <f>-'BDO - Q1-24'!G74</f>
        <v>284</v>
      </c>
      <c r="V27" s="133">
        <f>-'BDO - Q2-24'!G75</f>
        <v>-285</v>
      </c>
      <c r="W27" s="133">
        <f>-'BDO - Q3-24'!G75</f>
        <v>76472.45</v>
      </c>
      <c r="X27" s="133">
        <f>-'BDO - Q4-24'!G75</f>
        <v>-76472.45</v>
      </c>
      <c r="Y27" s="133">
        <f>-'BDO - Q1-25'!G76</f>
        <v>294</v>
      </c>
      <c r="Z27" s="133">
        <f>-'BDO - Q2-25'!G76</f>
        <v>301.7</v>
      </c>
      <c r="AA27" s="101">
        <f>-'BDO - Q2-25'!H76</f>
        <v>595.70000000000005</v>
      </c>
      <c r="AB27" s="37"/>
      <c r="AC27" s="66"/>
    </row>
    <row r="28" spans="1:30">
      <c r="A28" s="17" t="s">
        <v>289</v>
      </c>
      <c r="B28" s="17"/>
      <c r="C28" s="94">
        <f>-'BalansenWinstverlies - FY2018'!M56</f>
        <v>-74071.97</v>
      </c>
      <c r="D28" s="35">
        <f>-'Cijfers QSP - Q1 2019'!P79-'Cijfers QSP - Q1 2019'!P96</f>
        <v>-10048.35</v>
      </c>
      <c r="E28" s="101">
        <f>-'Cijfers QSP - Q1 2019'!R79-'Cijfers QSP - Q1 2019'!R96</f>
        <v>-91381.01</v>
      </c>
      <c r="F28" s="133">
        <f>-'BDO - Q2 2019'!D76-'BDO - Q2 2019'!D93</f>
        <v>-50226</v>
      </c>
      <c r="G28" s="133">
        <f>-'BDO - Q3 2019'!H74-'BDO - Q3 2019'!H91</f>
        <v>-18630</v>
      </c>
      <c r="H28" s="165">
        <f>-'BDO Q4 2019'!G75-'BDO Q4 2019'!G92</f>
        <v>-28457</v>
      </c>
      <c r="I28" s="133">
        <f>-('BDO - Q1 2020'!G75+'BDO - Q1 2020'!G92)</f>
        <v>-9968</v>
      </c>
      <c r="J28" s="133">
        <f>-('BDO - Q3 2020'!G75+'BDO - Q3 2020'!G92)</f>
        <v>-52711</v>
      </c>
      <c r="K28" s="133">
        <f>-('BDO - Q2 2021'!G91+'BDO - Q2 2021'!G74)</f>
        <v>-4974</v>
      </c>
      <c r="L28" s="133">
        <f>-('BDO - Q4 2021'!G94+'BDO - Q4 2021'!G77)</f>
        <v>-5139.71</v>
      </c>
      <c r="M28" s="133">
        <f>-'BDO - Q1-22'!G78</f>
        <v>-1453</v>
      </c>
      <c r="N28" s="133">
        <f>-'BDO - Q2-22'!G78</f>
        <v>-6011.91</v>
      </c>
      <c r="O28" s="133">
        <f>-'BDO - Q3-22'!G77</f>
        <v>-7008.0439999999999</v>
      </c>
      <c r="P28" s="133">
        <f>-'BDO - Q3-23'!D88</f>
        <v>-3789.4</v>
      </c>
      <c r="Q28" s="133">
        <f>-'BDO - Q3-23'!E88</f>
        <v>-9522.0300000000007</v>
      </c>
      <c r="R28" s="133">
        <f>-'BDO - Q3-23'!F88</f>
        <v>-9644.39</v>
      </c>
      <c r="S28" s="133">
        <f>-'BDO - Q3-23'!G88</f>
        <v>-8306.41</v>
      </c>
      <c r="T28" s="133">
        <f>-'BDO - Q1-24'!F75</f>
        <v>-6138</v>
      </c>
      <c r="U28" s="133">
        <f>-'BDO - Q1-24'!G75</f>
        <v>-13194</v>
      </c>
      <c r="V28" s="133">
        <f>-'BDO - Q2-24'!G76</f>
        <v>-44728.32</v>
      </c>
      <c r="W28" s="133">
        <f>-'BDO - Q3-24'!G76</f>
        <v>-10335.44</v>
      </c>
      <c r="X28" s="133">
        <f>-'BDO - Q4-24'!G76</f>
        <v>167419.98000000001</v>
      </c>
      <c r="Y28" s="133">
        <f>-'BDO - Q1-25'!G77</f>
        <v>-8776</v>
      </c>
      <c r="Z28" s="133">
        <f>-'BDO - Q2-25'!G77</f>
        <v>-6470.43</v>
      </c>
      <c r="AA28" s="101">
        <f>-'BDO - Q2-25'!H77</f>
        <v>141838.11000000002</v>
      </c>
      <c r="AB28" s="37"/>
      <c r="AC28" s="66"/>
      <c r="AD28" s="17"/>
    </row>
    <row r="29" spans="1:30">
      <c r="A29" s="17" t="s">
        <v>343</v>
      </c>
      <c r="B29" s="17"/>
      <c r="C29" s="94">
        <f>-'BalansenWinstverlies - FY2018'!M57</f>
        <v>-561128.36</v>
      </c>
      <c r="D29" s="35">
        <f>-'Cijfers QSP - Q1 2019'!P80</f>
        <v>-173160.71</v>
      </c>
      <c r="E29" s="101">
        <f>-'Cijfers QSP - Q1 2019'!R80</f>
        <v>-599127.80000000005</v>
      </c>
      <c r="F29" s="133">
        <f>-'BDO - Q2 2019'!D77</f>
        <v>-178493</v>
      </c>
      <c r="G29" s="133">
        <f>-'BDO - Q3 2019'!H75</f>
        <v>-162849</v>
      </c>
      <c r="H29" s="165">
        <f>-'BDO Q4 2019'!G76</f>
        <v>-74503</v>
      </c>
      <c r="I29" s="133">
        <f>-'BDO - Q1 2020'!G76</f>
        <v>-133343</v>
      </c>
      <c r="J29" s="133">
        <f>-'BDO - Q3 2020'!G76</f>
        <v>-127725</v>
      </c>
      <c r="K29" s="133">
        <f>-'BDO - Q2 2021'!G75</f>
        <v>-155500</v>
      </c>
      <c r="L29" s="133">
        <f>-'BDO - Q4 2021'!G78</f>
        <v>-191433.77</v>
      </c>
      <c r="M29" s="133">
        <f>-'BDO - Q1-22'!G79</f>
        <v>-271928</v>
      </c>
      <c r="N29" s="133">
        <f>-'BDO - Q2-22'!G79</f>
        <v>-195259.97</v>
      </c>
      <c r="O29" s="133">
        <f>-'BDO - Q3-22'!G78</f>
        <v>-239859.03</v>
      </c>
      <c r="P29" s="133">
        <f>-'BDO - Q3-23'!D89</f>
        <v>-220949.51</v>
      </c>
      <c r="Q29" s="133">
        <f>-'BDO - Q3-23'!E89</f>
        <v>-173718.65000000002</v>
      </c>
      <c r="R29" s="133">
        <f>-'BDO - Q3-23'!F89</f>
        <v>-167954.63</v>
      </c>
      <c r="S29" s="133">
        <f>-'BDO - Q3-23'!G89</f>
        <v>-235052.43</v>
      </c>
      <c r="T29" s="133">
        <f>-'BDO - Q1-24'!F76</f>
        <v>302594</v>
      </c>
      <c r="U29" s="133">
        <f>-'BDO - Q1-24'!G76</f>
        <v>43221</v>
      </c>
      <c r="V29" s="133">
        <f>-'BDO - Q2-24'!G77</f>
        <v>-95667.579999999987</v>
      </c>
      <c r="W29" s="133">
        <f>-'BDO - Q3-24'!G77</f>
        <v>-77542.210000000006</v>
      </c>
      <c r="X29" s="133">
        <f>-'BDO - Q4-24'!G77</f>
        <v>140632.70000000001</v>
      </c>
      <c r="Y29" s="133">
        <f>-'BDO - Q1-25'!G78</f>
        <v>-131053</v>
      </c>
      <c r="Z29" s="133">
        <f>-'BDO - Q2-25'!G78</f>
        <v>-164115.12</v>
      </c>
      <c r="AA29" s="101">
        <f>-'BDO - Q2-25'!H78</f>
        <v>-93199.23000000004</v>
      </c>
      <c r="AB29" s="46"/>
      <c r="AC29" s="66"/>
    </row>
    <row r="30" spans="1:30">
      <c r="A30" s="18" t="s">
        <v>290</v>
      </c>
      <c r="B30" s="18"/>
      <c r="C30" s="95">
        <f t="shared" ref="C30:AA30" si="4">SUM(C27:C29)</f>
        <v>46054.650000000023</v>
      </c>
      <c r="D30" s="13">
        <f t="shared" si="4"/>
        <v>-8601.1000000000058</v>
      </c>
      <c r="E30" s="102">
        <f t="shared" si="4"/>
        <v>-34479.460000000196</v>
      </c>
      <c r="F30" s="49">
        <f t="shared" si="4"/>
        <v>-53675</v>
      </c>
      <c r="G30" s="49">
        <f t="shared" si="4"/>
        <v>-8063</v>
      </c>
      <c r="H30" s="166">
        <f t="shared" si="4"/>
        <v>70127</v>
      </c>
      <c r="I30" s="49">
        <f t="shared" si="4"/>
        <v>29106</v>
      </c>
      <c r="J30" s="49">
        <f t="shared" si="4"/>
        <v>-8038</v>
      </c>
      <c r="K30" s="49">
        <f t="shared" si="4"/>
        <v>4439</v>
      </c>
      <c r="L30" s="49">
        <f t="shared" si="4"/>
        <v>-31512.829999999987</v>
      </c>
      <c r="M30" s="49">
        <f t="shared" si="4"/>
        <v>-95608</v>
      </c>
      <c r="N30" s="49">
        <f t="shared" si="4"/>
        <v>-36673.260000000009</v>
      </c>
      <c r="O30" s="49">
        <f t="shared" si="4"/>
        <v>103792.43600000002</v>
      </c>
      <c r="P30" s="49">
        <f t="shared" si="4"/>
        <v>-59694.890000000014</v>
      </c>
      <c r="Q30" s="49">
        <f t="shared" si="4"/>
        <v>-17494.840000000026</v>
      </c>
      <c r="R30" s="49">
        <f t="shared" si="4"/>
        <v>-11526.070000000007</v>
      </c>
      <c r="S30" s="49">
        <f t="shared" si="4"/>
        <v>-77638.84</v>
      </c>
      <c r="T30" s="49">
        <f t="shared" si="4"/>
        <v>455138</v>
      </c>
      <c r="U30" s="49">
        <f t="shared" si="4"/>
        <v>30311</v>
      </c>
      <c r="V30" s="49">
        <f t="shared" si="4"/>
        <v>-140680.9</v>
      </c>
      <c r="W30" s="49">
        <f t="shared" si="4"/>
        <v>-11405.200000000012</v>
      </c>
      <c r="X30" s="49">
        <f t="shared" si="4"/>
        <v>231580.23000000004</v>
      </c>
      <c r="Y30" s="49">
        <f t="shared" si="4"/>
        <v>-139535</v>
      </c>
      <c r="Z30" s="49">
        <f t="shared" ref="Z30" si="5">SUM(Z27:Z29)</f>
        <v>-170283.85</v>
      </c>
      <c r="AA30" s="102">
        <f t="shared" si="4"/>
        <v>49234.579999999987</v>
      </c>
      <c r="AB30" s="46"/>
      <c r="AC30" s="66"/>
    </row>
    <row r="31" spans="1:30">
      <c r="A31" s="18"/>
      <c r="B31" s="18"/>
      <c r="C31" s="97"/>
      <c r="D31" s="15"/>
      <c r="E31" s="104"/>
      <c r="F31" s="48"/>
      <c r="G31" s="48"/>
      <c r="H31" s="16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101"/>
      <c r="AB31" s="47"/>
      <c r="AC31" s="66"/>
    </row>
    <row r="32" spans="1:30">
      <c r="A32" s="17" t="s">
        <v>291</v>
      </c>
      <c r="B32" s="17"/>
      <c r="C32" s="94">
        <f>-'BalansenWinstverlies - FY2018'!M62</f>
        <v>-1015338.54</v>
      </c>
      <c r="D32" s="35">
        <f>-'Cijfers QSP - Q1 2019'!P90</f>
        <v>-292677.44</v>
      </c>
      <c r="E32" s="101">
        <f>-'Cijfers QSP - Q1 2019'!R90</f>
        <v>-1320737.6499999999</v>
      </c>
      <c r="F32" s="133">
        <f>-'BDO - Q2 2019'!D87</f>
        <v>-364950</v>
      </c>
      <c r="G32" s="133">
        <f>-'BDO - Q3 2019'!H85</f>
        <v>-473207</v>
      </c>
      <c r="H32" s="165">
        <f>-'BDO Q4 2019'!G86</f>
        <v>-578341</v>
      </c>
      <c r="I32" s="133">
        <f>-'BDO - Q1 2020'!G86</f>
        <v>-491958</v>
      </c>
      <c r="J32" s="133">
        <f>-'BDO - Q3 2020'!G86</f>
        <v>-204327</v>
      </c>
      <c r="K32" s="133">
        <f>-'BDO - Q2 2021'!G85</f>
        <v>-433307</v>
      </c>
      <c r="L32" s="133">
        <f>-'BDO - Q4 2021'!G88</f>
        <v>-1043800.81</v>
      </c>
      <c r="M32" s="133">
        <f>-'BDO - Q4-22'!D93</f>
        <v>-178607</v>
      </c>
      <c r="N32" s="133">
        <f>-'BDO - Q4-22'!E93</f>
        <v>-230456.52</v>
      </c>
      <c r="O32" s="133">
        <f>-'BDO - Q4-22'!F93</f>
        <v>-205277.39</v>
      </c>
      <c r="P32" s="133">
        <f>-'BDO - Q1-23'!F96</f>
        <v>-324266.13</v>
      </c>
      <c r="Q32" s="133">
        <f>-'BDO - Q1-23'!G96</f>
        <v>-183914.03</v>
      </c>
      <c r="R32" s="133">
        <f>-'BDO - Q2-23'!G97</f>
        <v>-180973.26</v>
      </c>
      <c r="S32" s="133">
        <f>-'BDO - Q3-23'!G99</f>
        <v>-244924.96</v>
      </c>
      <c r="T32" s="133">
        <f>-'BDO - Q4-23'!G99</f>
        <v>-423015.44000000006</v>
      </c>
      <c r="U32" s="133">
        <f>-'BDO - Q1-24'!G83</f>
        <v>-242739</v>
      </c>
      <c r="V32" s="133">
        <f>-'BDO - Q2-24'!G84</f>
        <v>-353142.98</v>
      </c>
      <c r="W32" s="133">
        <f>-'BDO - Q3-24'!G84</f>
        <v>-308364.09000000003</v>
      </c>
      <c r="X32" s="133">
        <f>-'BDO - Q4-24'!G84</f>
        <v>-245165.18</v>
      </c>
      <c r="Y32" s="133">
        <f>-'BDO - Q1-25'!G85</f>
        <v>-335314</v>
      </c>
      <c r="Z32" s="133">
        <f>-'BDO - Q2-25'!G85</f>
        <v>-297751.92</v>
      </c>
      <c r="AA32" s="101">
        <f>-'BDO - Q2-25'!H85</f>
        <v>-1169343.68</v>
      </c>
      <c r="AB32" s="47"/>
      <c r="AC32" s="66"/>
    </row>
    <row r="33" spans="1:29">
      <c r="A33" s="17" t="s">
        <v>292</v>
      </c>
      <c r="B33" s="17"/>
      <c r="C33" s="94">
        <f>-'BalansenWinstverlies - FY2018'!M65</f>
        <v>-630780.63</v>
      </c>
      <c r="D33" s="35">
        <f>-'Cijfers QSP - Q1 2019'!P93</f>
        <v>-132836.79999999999</v>
      </c>
      <c r="E33" s="101">
        <f>-'Cijfers QSP - Q1 2019'!R93</f>
        <v>-553015.62</v>
      </c>
      <c r="F33" s="133">
        <f>-'BDO - Q2 2019'!D90</f>
        <v>-169899</v>
      </c>
      <c r="G33" s="133">
        <f>-'BDO - Q3 2019'!H88</f>
        <v>-143177</v>
      </c>
      <c r="H33" s="165">
        <f>-'BDO Q4 2019'!G89</f>
        <v>-9198</v>
      </c>
      <c r="I33" s="133">
        <f>-'BDO - Q1 2020'!G89</f>
        <v>-96652</v>
      </c>
      <c r="J33" s="133">
        <f>-'BDO - Q3 2020'!G89</f>
        <v>-136830</v>
      </c>
      <c r="K33" s="133">
        <f>-'BDO - Q2 2021'!G88</f>
        <v>-157568</v>
      </c>
      <c r="L33" s="133">
        <f>-'BDO - Q4 2021'!G91</f>
        <v>-186235.55</v>
      </c>
      <c r="M33" s="133">
        <f>-'BDO - Q1-22'!G92</f>
        <v>-167096</v>
      </c>
      <c r="N33" s="133">
        <f>-'BDO - Q2-22'!G92</f>
        <v>-146899.4</v>
      </c>
      <c r="O33" s="133">
        <f>-'BDO - Q3-22'!G91</f>
        <v>-135095.91</v>
      </c>
      <c r="P33" s="133">
        <f>-'BDO - Q1-23'!F99</f>
        <v>-109128.17</v>
      </c>
      <c r="Q33" s="133">
        <f>-'BDO - Q1-23'!G99</f>
        <v>-146200.38</v>
      </c>
      <c r="R33" s="133">
        <f>-'BDO - Q2-23'!G100-'BDO - Q2-23'!G103</f>
        <v>-179786.31</v>
      </c>
      <c r="S33" s="133">
        <f>-'BDO - Q3-23'!G102-'BDO - Q3-23'!G105</f>
        <v>-187097.61000000002</v>
      </c>
      <c r="T33" s="133">
        <f>-'BDO - Q4-23'!G102-'BDO - Q4-23'!G105</f>
        <v>-160678.75999999998</v>
      </c>
      <c r="U33" s="133">
        <f>-'BDO - Q1-24'!G85</f>
        <v>-178643</v>
      </c>
      <c r="V33" s="133">
        <f>-'BDO - Q2-24'!G86</f>
        <v>-262945.32</v>
      </c>
      <c r="W33" s="133">
        <f>-'BDO - Q3-24'!G86</f>
        <v>-188400.11</v>
      </c>
      <c r="X33" s="133">
        <f>-'BDO - Q4-24'!G86</f>
        <v>-168201.35</v>
      </c>
      <c r="Y33" s="133">
        <f>-'BDO - Q1-25'!G87</f>
        <v>-199784</v>
      </c>
      <c r="Z33" s="133">
        <f>-'BDO - Q2-25'!G87</f>
        <v>-182457.86</v>
      </c>
      <c r="AA33" s="101">
        <f>-'BDO - Q2-25'!H87</f>
        <v>-751106.28999999992</v>
      </c>
      <c r="AB33" s="47"/>
      <c r="AC33" s="66"/>
    </row>
    <row r="34" spans="1:29">
      <c r="A34" s="17" t="s">
        <v>293</v>
      </c>
      <c r="B34" s="17"/>
      <c r="C34" s="94">
        <f>-'BalansenWinstverlies - FY2018'!M71</f>
        <v>-85028.99</v>
      </c>
      <c r="D34" s="35">
        <f>-'Cijfers QSP - Q1 2019'!P106</f>
        <v>-17390.79</v>
      </c>
      <c r="E34" s="101">
        <f>-'Cijfers QSP - Q1 2019'!R106</f>
        <v>-44690.520000000011</v>
      </c>
      <c r="F34" s="133">
        <f>-'BDO - Q2 2019'!D105</f>
        <v>-28966</v>
      </c>
      <c r="G34" s="133">
        <f>-'BDO - Q3 2019'!H104</f>
        <v>-28072</v>
      </c>
      <c r="H34" s="165">
        <f>-'BDO Q4 2019'!G105</f>
        <v>-13908</v>
      </c>
      <c r="I34" s="133">
        <f>-'BDO - Q1 2020'!G105</f>
        <v>-321</v>
      </c>
      <c r="J34" s="133">
        <f>-'BDO - Q3 2020'!G105</f>
        <v>-25980</v>
      </c>
      <c r="K34" s="133">
        <f>-'BDO - Q2 2021'!G104</f>
        <v>-28130</v>
      </c>
      <c r="L34" s="133">
        <f>-'BDO - Q4 2021'!G107</f>
        <v>-29692.1</v>
      </c>
      <c r="M34" s="133">
        <f>-'BDO - Q4-22'!D112</f>
        <v>-29598.07</v>
      </c>
      <c r="N34" s="133">
        <f>-'BDO - Q2-22'!G108</f>
        <v>-29220.54</v>
      </c>
      <c r="O34" s="133">
        <f>-'BDO - Q3-22'!G107</f>
        <v>-29220.560000000001</v>
      </c>
      <c r="P34" s="133">
        <f>-'BDO - Q4-22'!G112</f>
        <v>-27618.03</v>
      </c>
      <c r="Q34" s="133">
        <f>-'BDO - Q1-23'!G115</f>
        <v>-29190.65</v>
      </c>
      <c r="R34" s="133">
        <f>-'BDO - Q2-23'!G116</f>
        <v>-44010.87</v>
      </c>
      <c r="S34" s="133">
        <f>-'BDO - Q3-23'!G118</f>
        <v>-28766.3</v>
      </c>
      <c r="T34" s="133">
        <f>-'BDO - Q4-23'!G119</f>
        <v>-38354.789999999994</v>
      </c>
      <c r="U34" s="133">
        <f>-'BDO - Q1-24'!G97</f>
        <v>-28580</v>
      </c>
      <c r="V34" s="133">
        <f>-'BDO - Q2-24'!G98</f>
        <v>-37420.71</v>
      </c>
      <c r="W34" s="133">
        <f>-'BDO - Q3-24'!G98</f>
        <v>-21435</v>
      </c>
      <c r="X34" s="133">
        <f>-'BDO - Q4-24'!G98</f>
        <v>-18609.21</v>
      </c>
      <c r="Y34" s="133">
        <f>-'BDO - Q1-25'!G99</f>
        <v>-29994.09</v>
      </c>
      <c r="Z34" s="133">
        <f>-'BDO - Q2-25'!G99</f>
        <v>-47533.15</v>
      </c>
      <c r="AA34" s="101">
        <f>-'BDO - Q2-25'!H99</f>
        <v>-117571.45000000001</v>
      </c>
      <c r="AB34" s="47"/>
      <c r="AC34" s="66"/>
    </row>
    <row r="35" spans="1:29">
      <c r="A35" s="17" t="s">
        <v>452</v>
      </c>
      <c r="B35" s="17"/>
      <c r="C35" s="94">
        <f>-'BalansenWinstverlies - FY2018'!M63</f>
        <v>-568182</v>
      </c>
      <c r="D35" s="35">
        <f>-'Cijfers QSP - Q1 2019'!P91</f>
        <v>0</v>
      </c>
      <c r="E35" s="101">
        <f>-'Cijfers QSP - Q1 2019'!R91</f>
        <v>-568182</v>
      </c>
      <c r="F35" s="133">
        <f>-'BDO - Q2 2019'!D88</f>
        <v>-671</v>
      </c>
      <c r="G35" s="133">
        <f>-'BDO - Q3 2019'!H86</f>
        <v>-526216</v>
      </c>
      <c r="H35" s="165">
        <f>-'BDO Q4 2019'!G87</f>
        <v>0</v>
      </c>
      <c r="I35" s="133">
        <f>-'BDO - Q1 2020'!G87</f>
        <v>0</v>
      </c>
      <c r="J35" s="133">
        <f>-'BDO - Q3 2020'!G87</f>
        <v>-531958</v>
      </c>
      <c r="K35" s="133">
        <f>-'BDO - Q2 2021'!G86</f>
        <v>0</v>
      </c>
      <c r="L35" s="133">
        <f>-'BDO - Q4 2021'!G89</f>
        <v>-129402.49</v>
      </c>
      <c r="M35" s="133">
        <f>-'BDO - Q4-22'!D94</f>
        <v>-119943.21</v>
      </c>
      <c r="N35" s="133">
        <f>-'BDO - Q4-22'!E94</f>
        <v>-119943.22</v>
      </c>
      <c r="O35" s="133">
        <f>-'BDO - Q3-22'!G89</f>
        <v>-119943.23</v>
      </c>
      <c r="P35" s="133">
        <f>-'BDO - Q4-22'!G94</f>
        <v>-119943.23</v>
      </c>
      <c r="Q35" s="133">
        <f>-'BDO - Q1-23'!G97</f>
        <v>0</v>
      </c>
      <c r="R35" s="133">
        <f>-'BDO - Q2-23'!G98</f>
        <v>6167</v>
      </c>
      <c r="S35" s="133">
        <f>-'BDO - Q3-23'!G100</f>
        <v>0</v>
      </c>
      <c r="T35" s="133">
        <f>-'BDO - Q4-23'!G100</f>
        <v>0</v>
      </c>
      <c r="U35" s="133">
        <f>-'BDO - Q1-24'!G86</f>
        <v>0</v>
      </c>
      <c r="V35" s="133">
        <f>-'BDO - Q2-24'!G87</f>
        <v>0</v>
      </c>
      <c r="W35" s="133">
        <f>-'BDO - Q3-24'!G87</f>
        <v>0</v>
      </c>
      <c r="X35" s="133">
        <f>-'BDO - Q4-24'!G87</f>
        <v>0</v>
      </c>
      <c r="Y35" s="133">
        <v>0</v>
      </c>
      <c r="Z35" s="133">
        <v>0</v>
      </c>
      <c r="AA35" s="101">
        <v>0</v>
      </c>
      <c r="AB35" s="47"/>
      <c r="AC35" s="66"/>
    </row>
    <row r="36" spans="1:29">
      <c r="A36" s="17" t="s">
        <v>295</v>
      </c>
      <c r="B36" s="17"/>
      <c r="C36" s="94">
        <f>-'BalansenWinstverlies - FY2018'!M64</f>
        <v>-316136.09999999998</v>
      </c>
      <c r="D36" s="35">
        <f>-'Cijfers QSP - Q1 2019'!P92</f>
        <v>-98935.71</v>
      </c>
      <c r="E36" s="101">
        <f>-'Cijfers QSP - Q1 2019'!R92</f>
        <v>-97284.89</v>
      </c>
      <c r="F36" s="133">
        <f>-'BDO - Q2 2019'!D89</f>
        <v>-82857</v>
      </c>
      <c r="G36" s="133">
        <f>-'BDO - Q3 2019'!H87</f>
        <v>-65301</v>
      </c>
      <c r="H36" s="165">
        <f>-'BDO Q4 2019'!G88</f>
        <v>-65007</v>
      </c>
      <c r="I36" s="133">
        <f>-'BDO - Q1 2020'!G88</f>
        <v>-47461</v>
      </c>
      <c r="J36" s="133">
        <f>-'BDO - Q3 2020'!G88</f>
        <v>-78467</v>
      </c>
      <c r="K36" s="133">
        <f>-'BDO - Q2 2021'!G87</f>
        <v>-80091</v>
      </c>
      <c r="L36" s="133">
        <f>-'BDO - Q4 2021'!G90</f>
        <v>-82972.460000000006</v>
      </c>
      <c r="M36" s="133">
        <f>-'BDO - Q1-22'!G91</f>
        <v>-54979.46</v>
      </c>
      <c r="N36" s="133">
        <f>-'BDO - Q2-22'!G91</f>
        <v>-61017.04</v>
      </c>
      <c r="O36" s="133">
        <f>-'BDO - Q3-22'!G90</f>
        <v>-70988.5</v>
      </c>
      <c r="P36" s="133">
        <f>-'BDO - Q3-23'!D101</f>
        <v>-57028.11</v>
      </c>
      <c r="Q36" s="133">
        <f>-'BDO - Q3-23'!E101</f>
        <v>-85118.19</v>
      </c>
      <c r="R36" s="133">
        <f>-'BDO - Q3-23'!F101</f>
        <v>-80511.73</v>
      </c>
      <c r="S36" s="133">
        <f>-'BDO - Q3-23'!G101</f>
        <v>-85689.26</v>
      </c>
      <c r="T36" s="133">
        <f>-'BDO - Q4-23'!G101</f>
        <v>-81195.069999999992</v>
      </c>
      <c r="U36" s="133">
        <f>-'BDO - Q1-24'!G84</f>
        <v>-87160</v>
      </c>
      <c r="V36" s="133">
        <f>-'BDO - Q2-24'!G85</f>
        <v>-66177.88</v>
      </c>
      <c r="W36" s="133">
        <f>-'BDO - Q3-24'!G85</f>
        <v>-66062.67</v>
      </c>
      <c r="X36" s="133">
        <f>-'BDO - Q4-24'!G85</f>
        <v>-69696.850000000006</v>
      </c>
      <c r="Y36" s="133">
        <f>-'BDO - Q1-25'!G86</f>
        <v>-80016</v>
      </c>
      <c r="Z36" s="133">
        <f>-'BDO - Q2-25'!G86</f>
        <v>-39003.589999999997</v>
      </c>
      <c r="AA36" s="101">
        <f>-'BDO - Q2-25'!H86</f>
        <v>-254779.11000000002</v>
      </c>
      <c r="AB36" s="47"/>
      <c r="AC36" s="66"/>
    </row>
    <row r="37" spans="1:29">
      <c r="A37" s="17" t="s">
        <v>296</v>
      </c>
      <c r="B37" s="17"/>
      <c r="C37" s="94">
        <f>-'BalansenWinstverlies - FY2018'!M67-'BalansenWinstverlies - FY2018'!M66</f>
        <v>-117497.35</v>
      </c>
      <c r="D37" s="35">
        <f>-'Cijfers QSP - Q1 2019'!P95-'Cijfers QSP - Q1 2019'!P94</f>
        <v>-32634.86</v>
      </c>
      <c r="E37" s="101">
        <f>-'Cijfers QSP - Q1 2019'!R95-'Cijfers QSP - Q1 2019'!R94</f>
        <v>-57510.350000000006</v>
      </c>
      <c r="F37" s="133">
        <f>-('BDO - Q2 2019'!D91+'BDO - Q2 2019'!D92)</f>
        <v>-89442</v>
      </c>
      <c r="G37" s="133">
        <f>-('BDO - Q3 2019'!H90+'BDO - Q3 2019'!H89)</f>
        <v>-47488</v>
      </c>
      <c r="H37" s="165">
        <f>-'BDO Q4 2019'!G91-'BDO Q4 2019'!G90</f>
        <v>-30955</v>
      </c>
      <c r="I37" s="133">
        <f>-('BDO - Q1 2020'!G90+'BDO - Q1 2020'!G91)</f>
        <v>-39642</v>
      </c>
      <c r="J37" s="133">
        <f>-('BDO - Q3 2020'!G90+'BDO - Q3 2020'!G91)</f>
        <v>-51289</v>
      </c>
      <c r="K37" s="133">
        <f>-('BDO - Q2 2021'!G90+'BDO - Q2 2021'!G89)</f>
        <v>-40442</v>
      </c>
      <c r="L37" s="133">
        <f>-'BDO - Q4 2021'!G93-'BDO - Q4 2021'!G92</f>
        <v>-47116.89</v>
      </c>
      <c r="M37" s="133">
        <f>-'BDO - Q4-22'!D97-'BDO - Q4-22'!D98</f>
        <v>-32328.04</v>
      </c>
      <c r="N37" s="133">
        <f>-'BDO - Q2-22'!G93-'BDO - Q2-22'!G94</f>
        <v>-46591.86</v>
      </c>
      <c r="O37" s="133">
        <f>-'BDO - Q3-22'!G92-'BDO - Q3-22'!G93</f>
        <v>-54734.09</v>
      </c>
      <c r="P37" s="133">
        <f>-'BDO - Q1-23'!F100-'BDO - Q1-23'!F101</f>
        <v>-36123.56</v>
      </c>
      <c r="Q37" s="133">
        <f>-'BDO - Q1-23'!G100-'BDO - Q1-23'!G101</f>
        <v>-103696.88</v>
      </c>
      <c r="R37" s="133">
        <f>-'BDO - Q2-23'!G101-'BDO - Q2-23'!G102</f>
        <v>-53572.590000000004</v>
      </c>
      <c r="S37" s="133">
        <f>-'BDO - Q3-23'!G103-'BDO - Q3-23'!G104</f>
        <v>-44642.33</v>
      </c>
      <c r="T37" s="133">
        <f>-'BDO - Q4-23'!G103-'BDO - Q4-23'!G104</f>
        <v>-3224.63</v>
      </c>
      <c r="U37" s="133">
        <f>-'BDO - Q1-24'!G87-'BDO - Q1-24'!G88</f>
        <v>-40756</v>
      </c>
      <c r="V37" s="133">
        <f>-'BDO - Q2-24'!G88-'BDO - Q2-24'!G89</f>
        <v>-72781.890000000014</v>
      </c>
      <c r="W37" s="133">
        <f>-'BDO - Q3-24'!G88-'BDO - Q3-24'!G89</f>
        <v>-53428.87</v>
      </c>
      <c r="X37" s="133">
        <f>-'BDO - Q4-24'!G88-'BDO - Q4-24'!G89</f>
        <v>-40063.18</v>
      </c>
      <c r="Y37" s="133">
        <f>-'BDO - Q1-25'!G89-'BDO - Q1-25'!G90-'BDO - Q1-25'!G88</f>
        <v>-100790.06</v>
      </c>
      <c r="Z37" s="133">
        <f>-'BDO - Q2-25'!G89-'BDO - Q2-25'!G90-'BDO - Q2-25'!G88</f>
        <v>-166203.9</v>
      </c>
      <c r="AA37" s="101">
        <f>-'BDO - Q2-25'!H89-'BDO - Q2-25'!H90-'BDO - Q2-25'!H88-3</f>
        <v>-360848.73</v>
      </c>
      <c r="AB37" s="47"/>
      <c r="AC37" s="66"/>
    </row>
    <row r="38" spans="1:29">
      <c r="A38" s="17" t="s">
        <v>297</v>
      </c>
      <c r="B38" s="17"/>
      <c r="C38" s="94">
        <v>0</v>
      </c>
      <c r="D38" s="35">
        <v>0</v>
      </c>
      <c r="E38" s="101"/>
      <c r="F38" s="133"/>
      <c r="G38" s="133">
        <f>-'BDO - Q3 2019'!H112</f>
        <v>-20000</v>
      </c>
      <c r="H38" s="165">
        <f>-'BDO Q4 2019'!G113</f>
        <v>0</v>
      </c>
      <c r="I38" s="133">
        <f>-'BDO - Q1 2020'!G113</f>
        <v>0</v>
      </c>
      <c r="J38" s="133">
        <f>-'BDO - Q3 2020'!G113</f>
        <v>-20000</v>
      </c>
      <c r="K38" s="133">
        <f>-'BDO - Q2 2021'!G112</f>
        <v>-20000</v>
      </c>
      <c r="L38" s="133">
        <f>-'BDO - Q4 2021'!G115</f>
        <v>0</v>
      </c>
      <c r="M38" s="133">
        <f>-'BDO - Q1-22'!G116</f>
        <v>0</v>
      </c>
      <c r="N38" s="133">
        <f>-'BDO - Q2-22'!G116</f>
        <v>-20000</v>
      </c>
      <c r="O38" s="133">
        <f>-'BDO - Q3-22'!G115</f>
        <v>-20000</v>
      </c>
      <c r="P38" s="133">
        <f>-'BDO - Q1-23'!F124</f>
        <v>0</v>
      </c>
      <c r="Q38" s="133">
        <f>-'BDO - Q1-23'!G124</f>
        <v>0</v>
      </c>
      <c r="R38" s="133">
        <f>-'BDO - Q2-23'!G125</f>
        <v>0</v>
      </c>
      <c r="S38" s="133">
        <f>-'BDO - Q3-23'!G127</f>
        <v>-40000</v>
      </c>
      <c r="T38" s="133">
        <f>-'BDO - Q4-23'!G127</f>
        <v>0</v>
      </c>
      <c r="U38" s="133">
        <f>-'BDO - Q1-24'!G105</f>
        <v>0</v>
      </c>
      <c r="V38" s="133">
        <f>-'BDO - Q2-24'!G106</f>
        <v>0</v>
      </c>
      <c r="W38" s="133">
        <f>-'BDO - Q3-24'!G106</f>
        <v>0</v>
      </c>
      <c r="X38" s="133">
        <f>-'BDO - Q4-24'!G106</f>
        <v>-40000</v>
      </c>
      <c r="Y38" s="133">
        <f>-'BDO - Q1-25'!G107</f>
        <v>0</v>
      </c>
      <c r="Z38" s="133">
        <f>-'BDO - Q2-25'!G107</f>
        <v>0</v>
      </c>
      <c r="AA38" s="101">
        <f>-'BDO - Q2-25'!H107</f>
        <v>-40000</v>
      </c>
      <c r="AB38" s="47"/>
      <c r="AC38" s="66"/>
    </row>
    <row r="39" spans="1:29">
      <c r="A39" s="17" t="s">
        <v>304</v>
      </c>
      <c r="B39" s="17"/>
      <c r="C39" s="94">
        <f>-'BalansenWinstverlies - FY2018'!M75</f>
        <v>-157427.41</v>
      </c>
      <c r="D39" s="35">
        <f>-'Cijfers QSP - Q1 2019'!P110</f>
        <v>-68270.429999999993</v>
      </c>
      <c r="E39" s="101">
        <f>-'Cijfers QSP - Q1 2019'!R110</f>
        <v>-253034.61000000002</v>
      </c>
      <c r="F39" s="133">
        <f>-'BDO - Q2 2019'!D109</f>
        <v>-85400</v>
      </c>
      <c r="G39" s="133">
        <f>-'BDO - Q3 2019'!H108</f>
        <v>-39079</v>
      </c>
      <c r="H39" s="165">
        <f>-'BDO Q4 2019'!G109</f>
        <v>-53976</v>
      </c>
      <c r="I39" s="133">
        <f>-'BDO - Q1 2020'!G109</f>
        <v>-62550</v>
      </c>
      <c r="J39" s="133">
        <f>-'BDO - Q3 2020'!G109</f>
        <v>-61064</v>
      </c>
      <c r="K39" s="133">
        <f>-'BDO - Q2 2021'!G108</f>
        <v>-63411</v>
      </c>
      <c r="L39" s="133">
        <f>-'BDO - Q4 2021'!G111</f>
        <v>-88242.28</v>
      </c>
      <c r="M39" s="133">
        <f>-'BDO - Q1-22'!G112</f>
        <v>-41825</v>
      </c>
      <c r="N39" s="133">
        <f>-'BDO - Q2-22'!G112</f>
        <v>-56676.4</v>
      </c>
      <c r="O39" s="133">
        <f>-'BDO - Q3-22'!G111</f>
        <v>-51142.69</v>
      </c>
      <c r="P39" s="133">
        <f>-'BDO - Q4-22'!G116</f>
        <v>-61678.68</v>
      </c>
      <c r="Q39" s="133">
        <f>-'BDO - Q4-23'!D123</f>
        <v>-39350.699999999997</v>
      </c>
      <c r="R39" s="133">
        <f>-'BDO - Q4-23'!E123</f>
        <v>-42090.02</v>
      </c>
      <c r="S39" s="133">
        <f>-'BDO - Q4-23'!F123</f>
        <v>-56784.23</v>
      </c>
      <c r="T39" s="133">
        <f>-'BDO - Q4-23'!G123</f>
        <v>-80380.91</v>
      </c>
      <c r="U39" s="133">
        <f>-'BDO - Q1-24'!G101</f>
        <v>-56181</v>
      </c>
      <c r="V39" s="133">
        <f>-'BDO - Q2-24'!G102</f>
        <v>-46357.1</v>
      </c>
      <c r="W39" s="133">
        <f>-'BDO - Q3-24'!G102</f>
        <v>-47806.689999999995</v>
      </c>
      <c r="X39" s="133">
        <f>-'BDO - Q4-24'!G102</f>
        <v>-31243.87</v>
      </c>
      <c r="Y39" s="133">
        <f>-'BDO - Q1-25'!G103</f>
        <v>-62948.91</v>
      </c>
      <c r="Z39" s="133">
        <f>-'BDO - Q2-25'!G103</f>
        <v>-33708.660000000003</v>
      </c>
      <c r="AA39" s="101">
        <f>-'BDO - Q2-25'!H103</f>
        <v>-184510.88</v>
      </c>
      <c r="AB39" s="47"/>
      <c r="AC39" s="66"/>
    </row>
    <row r="40" spans="1:29">
      <c r="A40" s="17" t="s">
        <v>298</v>
      </c>
      <c r="B40" s="17"/>
      <c r="C40" s="94">
        <f>-SUM('BalansenWinstverlies - FY2018'!M69:M70)-SUM('BalansenWinstverlies - FY2018'!M74)-SUM('BalansenWinstverlies - FY2018'!M76)-SUM('BalansenWinstverlies - FY2018'!M78:M79)</f>
        <v>-105671.95</v>
      </c>
      <c r="D40" s="35">
        <f>-'Cijfers QSP - Q1 2019'!P113-'Cijfers QSP - Q1 2019'!P114-'Cijfers QSP - Q1 2019'!P104-'Cijfers QSP - Q1 2019'!P101-'Cijfers QSP - Q1 2019'!P111</f>
        <v>-40798.339999999997</v>
      </c>
      <c r="E40" s="101">
        <f>-'Cijfers QSP - Q1 2019'!R113-'Cijfers QSP - Q1 2019'!R114-'Cijfers QSP - Q1 2019'!R104-'Cijfers QSP - Q1 2019'!R101-'Cijfers QSP - Q1 2019'!R111</f>
        <v>-79692.680000000008</v>
      </c>
      <c r="F40" s="133">
        <f>-('BDO - Q2 2019'!D104+'BDO - Q2 2019'!D110++'BDO - Q2 2019'!D112+'BDO - Q2 2019'!D113+'BDO - Q2 2019'!D101+'BDO - Q2 2019'!D99+'BDO - Q2 2019'!D94)</f>
        <v>-52792</v>
      </c>
      <c r="G40" s="133">
        <f>-('BDO - Q3 2019'!H103+'BDO - Q3 2019'!H101+'BDO - Q3 2019'!H107+'BDO - Q3 2019'!H111+'BDO - Q3 2019'!H113+'BDO - Q3 2019'!H95+'BDO - Q3 2019'!H97)</f>
        <v>-9083</v>
      </c>
      <c r="H40" s="165">
        <f>-('BDO Q4 2019'!G93+'BDO Q4 2019'!G96+'BDO Q4 2019'!G98+'BDO Q4 2019'!G102+'BDO Q4 2019'!G104+'BDO Q4 2019'!G108+'BDO Q4 2019'!G112+'BDO Q4 2019'!G114)</f>
        <v>-32796</v>
      </c>
      <c r="I40" s="133">
        <f>-('BDO - Q1 2020'!G93+'BDO - Q1 2020'!G96+'BDO - Q1 2020'!G98+'BDO - Q1 2020'!G102+'BDO - Q1 2020'!G104+'BDO - Q1 2020'!G108+'BDO - Q1 2020'!G112+'BDO - Q1 2020'!G114)</f>
        <v>-6671</v>
      </c>
      <c r="J40" s="133">
        <f>-('BDO - Q3 2020'!G93+'BDO - Q3 2020'!G96+'BDO - Q3 2020'!G98+'BDO - Q3 2020'!G102+'BDO - Q3 2020'!G104+'BDO - Q3 2020'!G108+'BDO - Q3 2020'!G112+'BDO - Q3 2020'!G114+'BDO - Q3 2020'!G97)</f>
        <v>-9272</v>
      </c>
      <c r="K40" s="133">
        <f>-('BDO - Q2 2021'!G98+'BDO - Q2 2021'!G92+'BDO - Q2 2021'!G111+'BDO - Q2 2021'!G113+'BDO - Q2 2021'!G103+'BDO - Q2 2021'!G107+'BDO - Q2 2021'!G101)</f>
        <v>-11240</v>
      </c>
      <c r="L40" s="133">
        <f>-('BDO - Q4 2021'!G101+'BDO - Q4 2021'!G104+'BDO - Q4 2021'!G110+'BDO - Q4 2021'!G112+'BDO - Q4 2021'!G116)</f>
        <v>-9571.7099999999991</v>
      </c>
      <c r="M40" s="133">
        <f>-('BDO - Q1-22'!G102+'BDO - Q1-22'!G105+'BDO - Q1-22'!G111+'BDO - Q1-22'!G117+'BDO - Q1-22'!G113+'BDO - Q1-22'!G115)</f>
        <v>-2295</v>
      </c>
      <c r="N40" s="133">
        <f>-('BDO - Q2-22'!G102+'BDO - Q2-22'!G105+'BDO - Q2-22'!G111+'BDO - Q2-22'!G117+'BDO - Q2-22'!G113+'BDO - Q2-22'!G115)</f>
        <v>-21584.87</v>
      </c>
      <c r="O40" s="133">
        <f>-('BDO - Q3-22'!G101+'BDO - Q3-22'!G104+'BDO - Q3-22'!G110+'BDO - Q3-22'!G116+'BDO - Q3-22'!G112+'BDO - Q3-22'!G114)</f>
        <v>-18344.329999999998</v>
      </c>
      <c r="P40" s="133">
        <f>-('BDO - Q3-23'!D112+'BDO - Q3-23'!D115+'BDO - Q3-23'!D121+'BDO - Q3-23'!D128+'BDO - Q3-23'!D123+'BDO - Q3-23'!D126+'BDO - Q3-23'!D124)</f>
        <v>-323707.83</v>
      </c>
      <c r="Q40" s="133">
        <f>-('BDO - Q3-23'!E112+'BDO - Q3-23'!E115+'BDO - Q3-23'!E121+'BDO - Q3-23'!E128+'BDO - Q3-23'!E123+'BDO - Q3-23'!E126+'BDO - Q3-23'!E124)</f>
        <v>-101636.62999999999</v>
      </c>
      <c r="R40" s="133">
        <f>-('BDO - Q3-23'!F112+'BDO - Q3-23'!F115+'BDO - Q3-23'!F121+'BDO - Q3-23'!F128+'BDO - Q3-23'!F123+'BDO - Q3-23'!F126+'BDO - Q3-23'!F124)</f>
        <v>-101456.84</v>
      </c>
      <c r="S40" s="133">
        <f>-('BDO - Q3-23'!G112+'BDO - Q3-23'!G115+'BDO - Q3-23'!G121+'BDO - Q3-23'!G128+'BDO - Q3-23'!G123+'BDO - Q3-23'!G126+'BDO - Q3-23'!G124)</f>
        <v>-109267.86</v>
      </c>
      <c r="T40" s="133">
        <f>-('BDO - Q4-23'!G112+'BDO - Q4-23'!G115+'BDO - Q4-23'!G128+'BDO - Q4-23'!G126+'BDO - Q4-23'!G124+'BDO - Q4-23'!G122+'BDO - Q4-23'!G120+'BDO - Q4-23'!G114)</f>
        <v>-141846.22000000003</v>
      </c>
      <c r="U40" s="133">
        <f>-'BDO - Q1-24'!G91-'BDO - Q1-24'!G92-'BDO - Q1-24'!G94-'BDO - Q1-24'!G95-'BDO - Q1-24'!G100-'BDO - Q1-24'!G102-'BDO - Q1-24'!G104-'BDO - Q1-24'!G106</f>
        <v>-68647</v>
      </c>
      <c r="V40" s="133">
        <f>-'BDO - Q2-24'!G92-'BDO - Q2-24'!G93-'BDO - Q2-24'!G95-'BDO - Q2-24'!G96-'BDO - Q2-24'!G101-'BDO - Q2-24'!G103-'BDO - Q2-24'!G105-'BDO - Q2-24'!G107</f>
        <v>-64063.360000000001</v>
      </c>
      <c r="W40" s="133">
        <f>-'BDO - Q3-24'!G92-'BDO - Q3-24'!G93-'BDO - Q3-24'!G95-'BDO - Q3-24'!G96-'BDO - Q3-24'!G101-'BDO - Q3-24'!G103-'BDO - Q3-24'!G105-'BDO - Q3-24'!G107</f>
        <v>-26045.119999999999</v>
      </c>
      <c r="X40" s="133">
        <f>-'BDO - Q4-24'!G92-'BDO - Q4-24'!G93-'BDO - Q4-24'!G95-'BDO - Q4-24'!G96-'BDO - Q4-24'!G101-'BDO - Q4-24'!G103-'BDO - Q4-24'!G105-'BDO - Q4-24'!G107</f>
        <v>-58596.479999999996</v>
      </c>
      <c r="Y40" s="133">
        <f>-'BDO - Q1-25'!G93-'BDO - Q1-25'!G94-'BDO - Q1-25'!G96-'BDO - Q1-25'!G97-'BDO - Q1-25'!G102-'BDO - Q1-25'!G104-'BDO - Q1-25'!G106-'BDO - Q1-25'!G108-'BDO - Q1-25'!G91</f>
        <v>-53580.06</v>
      </c>
      <c r="Z40" s="133">
        <f>-'BDO - Q2-25'!G93-'BDO - Q2-25'!G94-'BDO - Q2-25'!G96-'BDO - Q2-25'!G97-'BDO - Q2-25'!G102-'BDO - Q2-25'!G104-'BDO - Q2-25'!G106-'BDO - Q2-25'!G108-'BDO - Q2-25'!G91</f>
        <v>-52345.75</v>
      </c>
      <c r="AA40" s="101">
        <f>-'BDO - Q2-25'!H93-'BDO - Q2-25'!H94-'BDO - Q2-25'!H96-'BDO - Q2-25'!H97-'BDO - Q2-25'!H102-'BDO - Q2-25'!H104-'BDO - Q2-25'!H106-'BDO - Q2-25'!H108-'BDO - Q2-25'!H91</f>
        <v>-303437.21000000002</v>
      </c>
      <c r="AB40" s="47"/>
      <c r="AC40" s="66"/>
    </row>
    <row r="41" spans="1:29">
      <c r="A41" s="17" t="s">
        <v>324</v>
      </c>
      <c r="B41" s="17"/>
      <c r="C41" s="94">
        <f>-'BalansenWinstverlies - FY2018'!M73</f>
        <v>-122608.27</v>
      </c>
      <c r="D41" s="35">
        <f>-'Cijfers QSP - Q1 2019'!P108-'Cijfers QSP - Q1 2019'!P109</f>
        <v>-8710</v>
      </c>
      <c r="E41" s="101">
        <f>-'Cijfers QSP - Q1 2019'!R108-'Cijfers QSP - Q1 2019'!R109</f>
        <v>-87394.66</v>
      </c>
      <c r="F41" s="133">
        <f>-('BDO - Q2 2019'!D107+'BDO - Q2 2019'!D108)</f>
        <v>-21363</v>
      </c>
      <c r="G41" s="133">
        <f>-'BDO - Q3 2019'!H106</f>
        <v>-16927</v>
      </c>
      <c r="H41" s="165">
        <f>-'BDO Q4 2019'!G107</f>
        <v>-21556</v>
      </c>
      <c r="I41" s="133">
        <f>-'BDO - Q1 2020'!G107</f>
        <v>-6339</v>
      </c>
      <c r="J41" s="133">
        <f>-'BDO - Q3 2020'!G107</f>
        <v>-24945</v>
      </c>
      <c r="K41" s="133">
        <f>-'BDO - Q2 2021'!G106</f>
        <v>-31660</v>
      </c>
      <c r="L41" s="133">
        <f>-'BDO - Q4 2021'!G109</f>
        <v>-2612.6</v>
      </c>
      <c r="M41" s="133">
        <f>-'BDO - Q1-22'!G110</f>
        <v>-4564</v>
      </c>
      <c r="N41" s="133">
        <f>-'BDO - Q2-22'!G110</f>
        <v>-17202.63</v>
      </c>
      <c r="O41" s="133">
        <f>-'BDO - Q3-22'!G109</f>
        <v>-25189.79</v>
      </c>
      <c r="P41" s="133">
        <f>-'BDO - Q1-23'!F117</f>
        <v>-48042.38</v>
      </c>
      <c r="Q41" s="133">
        <f>-'BDO - Q1-23'!G117</f>
        <v>-5734.87</v>
      </c>
      <c r="R41" s="133">
        <f>-'BDO - Q2-23'!G118</f>
        <v>-52124.26</v>
      </c>
      <c r="S41" s="133">
        <f>-'BDO - Q3-23'!G120</f>
        <v>-3122.8</v>
      </c>
      <c r="T41" s="133">
        <f>-'BDO - Q4-23'!G121</f>
        <v>-24818.14</v>
      </c>
      <c r="U41" s="133">
        <f>-'BDO - Q1-24'!G99</f>
        <v>-39840</v>
      </c>
      <c r="V41" s="133">
        <f>-'BDO - Q2-24'!G100</f>
        <v>-43290.89</v>
      </c>
      <c r="W41" s="133">
        <f>-'BDO - Q3-24'!G100</f>
        <v>-8698.33</v>
      </c>
      <c r="X41" s="133">
        <f>-'BDO - Q4-24'!G100</f>
        <v>-10535.98</v>
      </c>
      <c r="Y41" s="133">
        <f>-'BDO - Q1-25'!G101</f>
        <v>-37717</v>
      </c>
      <c r="Z41" s="133">
        <f>-'BDO - Q2-25'!G101</f>
        <v>-42192.41</v>
      </c>
      <c r="AA41" s="101">
        <f>-'BDO - Q2-25'!H101</f>
        <v>-112681.72</v>
      </c>
      <c r="AB41" s="47"/>
      <c r="AC41" s="66"/>
    </row>
    <row r="42" spans="1:29">
      <c r="A42" s="17" t="s">
        <v>325</v>
      </c>
      <c r="B42" s="17"/>
      <c r="C42" s="94">
        <f>-'BalansenWinstverlies - FY2018'!M77</f>
        <v>-165684.92000000001</v>
      </c>
      <c r="D42" s="35">
        <f>-'Cijfers QSP - Q1 2019'!P112</f>
        <v>0</v>
      </c>
      <c r="E42" s="101">
        <f>-'Cijfers QSP - Q1 2019'!R112</f>
        <v>-10890</v>
      </c>
      <c r="F42" s="133">
        <f>-'BDO - Q2 2019'!D111</f>
        <v>0</v>
      </c>
      <c r="G42" s="133">
        <f>-('BDO - Q3 2019'!H110++'BDO - Q3 2019'!H109)</f>
        <v>-37004</v>
      </c>
      <c r="H42" s="165">
        <f>-('BDO Q4 2019'!G110+'BDO Q4 2019'!G111)</f>
        <v>-6268</v>
      </c>
      <c r="I42" s="133">
        <f>-('BDO - Q1 2020'!G110+'BDO - Q1 2020'!G111)</f>
        <v>-4418</v>
      </c>
      <c r="J42" s="133">
        <f>-('BDO - Q3 2020'!G110+'BDO - Q3 2020'!G111)</f>
        <v>2123</v>
      </c>
      <c r="K42" s="133">
        <f>-('BDO - Q2 2021'!G109+'BDO - Q2 2021'!G110)</f>
        <v>-8170</v>
      </c>
      <c r="L42" s="133">
        <f>-'BDO - Q4 2021'!G113-'BDO - Q4 2021'!G114</f>
        <v>-1225.96</v>
      </c>
      <c r="M42" s="133">
        <f>-'BDO - Q1-22'!G114</f>
        <v>-12100</v>
      </c>
      <c r="N42" s="133">
        <f>-'BDO - Q2-22'!G114</f>
        <v>-10587.5</v>
      </c>
      <c r="O42" s="133">
        <f>-'BDO - Q3-22'!G113</f>
        <v>-24200</v>
      </c>
      <c r="P42" s="133">
        <f>-'BDO - Q4-22'!G118</f>
        <v>-9680</v>
      </c>
      <c r="Q42" s="133">
        <f>-'BDO - Q1-23'!G122</f>
        <v>-11000</v>
      </c>
      <c r="R42" s="133">
        <f>-'BDO - Q2-23'!G123</f>
        <v>-13200</v>
      </c>
      <c r="S42" s="133">
        <f>-'BDO - Q3-23'!G125</f>
        <v>-8800</v>
      </c>
      <c r="T42" s="133">
        <f>-'BDO - Q4-23'!G125</f>
        <v>-11000</v>
      </c>
      <c r="U42" s="133">
        <f>-'BDO - Q1-24'!G103</f>
        <v>-13200</v>
      </c>
      <c r="V42" s="133">
        <f>-'BDO - Q2-24'!G104</f>
        <v>-9900</v>
      </c>
      <c r="W42" s="133">
        <f>-'BDO - Q3-24'!G104</f>
        <v>-100650</v>
      </c>
      <c r="X42" s="133">
        <f>-'BDO - Q4-24'!G104</f>
        <v>-11000</v>
      </c>
      <c r="Y42" s="133">
        <f>-'BDO - Q1-25'!G105</f>
        <v>-11168</v>
      </c>
      <c r="Z42" s="133">
        <f>-'BDO - Q2-25'!G105</f>
        <v>-66841.5</v>
      </c>
      <c r="AA42" s="101">
        <f>-'BDO - Q2-25'!H105</f>
        <v>-213691.5</v>
      </c>
      <c r="AB42" s="232"/>
      <c r="AC42" s="66"/>
    </row>
    <row r="43" spans="1:29">
      <c r="A43" s="17" t="s">
        <v>552</v>
      </c>
      <c r="B43" s="17"/>
      <c r="C43" s="94"/>
      <c r="D43" s="35"/>
      <c r="E43" s="101"/>
      <c r="F43" s="133"/>
      <c r="G43" s="133"/>
      <c r="H43" s="165"/>
      <c r="I43" s="133"/>
      <c r="J43" s="133"/>
      <c r="K43" s="133"/>
      <c r="L43" s="133"/>
      <c r="M43" s="133"/>
      <c r="N43" s="133"/>
      <c r="O43" s="133"/>
      <c r="P43" s="133">
        <f>-'BDO - Q4-22'!M119</f>
        <v>-847000</v>
      </c>
      <c r="Q43" s="133">
        <v>0</v>
      </c>
      <c r="R43" s="133">
        <v>0</v>
      </c>
      <c r="S43" s="133">
        <v>0</v>
      </c>
      <c r="T43" s="133">
        <v>0</v>
      </c>
      <c r="U43" s="133">
        <v>0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01">
        <v>0</v>
      </c>
      <c r="AB43" s="232"/>
      <c r="AC43" s="66"/>
    </row>
    <row r="44" spans="1:29">
      <c r="A44" s="18" t="s">
        <v>299</v>
      </c>
      <c r="B44" s="18"/>
      <c r="C44" s="95">
        <f>SUM(C32:C42)</f>
        <v>-3284356.1600000006</v>
      </c>
      <c r="D44" s="13">
        <f>SUM(D32:D42)</f>
        <v>-692254.37</v>
      </c>
      <c r="E44" s="102">
        <f>SUM(E32:E42)</f>
        <v>-3072432.9800000004</v>
      </c>
      <c r="F44" s="49">
        <f>SUM(F32:F42)</f>
        <v>-896340</v>
      </c>
      <c r="G44" s="49">
        <f>SUM(G32:G42)</f>
        <v>-1405554</v>
      </c>
      <c r="H44" s="166">
        <f t="shared" ref="H44:M44" si="6">SUM(H32:H42)</f>
        <v>-812005</v>
      </c>
      <c r="I44" s="49">
        <f t="shared" si="6"/>
        <v>-756012</v>
      </c>
      <c r="J44" s="49">
        <f t="shared" si="6"/>
        <v>-1142009</v>
      </c>
      <c r="K44" s="49">
        <f t="shared" si="6"/>
        <v>-874019</v>
      </c>
      <c r="L44" s="49">
        <f t="shared" si="6"/>
        <v>-1620872.85</v>
      </c>
      <c r="M44" s="49">
        <f t="shared" si="6"/>
        <v>-643335.78</v>
      </c>
      <c r="N44" s="49">
        <f>SUM(N32:N42)</f>
        <v>-760179.98</v>
      </c>
      <c r="O44" s="49">
        <f>SUM(O32:O42)</f>
        <v>-754136.49000000011</v>
      </c>
      <c r="P44" s="49">
        <f t="shared" ref="P44:AA44" si="7">SUM(P32:P43)</f>
        <v>-1964216.1199999999</v>
      </c>
      <c r="Q44" s="49">
        <f t="shared" si="7"/>
        <v>-705842.33000000007</v>
      </c>
      <c r="R44" s="49">
        <f t="shared" si="7"/>
        <v>-741558.88</v>
      </c>
      <c r="S44" s="49">
        <f t="shared" si="7"/>
        <v>-809095.35</v>
      </c>
      <c r="T44" s="49">
        <f t="shared" si="7"/>
        <v>-964513.96000000008</v>
      </c>
      <c r="U44" s="49">
        <f t="shared" si="7"/>
        <v>-755746</v>
      </c>
      <c r="V44" s="49">
        <f t="shared" si="7"/>
        <v>-956080.13</v>
      </c>
      <c r="W44" s="49">
        <f t="shared" si="7"/>
        <v>-820890.87999999989</v>
      </c>
      <c r="X44" s="49">
        <f t="shared" si="7"/>
        <v>-693112.10000000009</v>
      </c>
      <c r="Y44" s="49">
        <f t="shared" si="7"/>
        <v>-911312.11999999988</v>
      </c>
      <c r="Z44" s="49">
        <f t="shared" ref="Z44" si="8">SUM(Z32:Z43)</f>
        <v>-928038.74</v>
      </c>
      <c r="AA44" s="102">
        <f t="shared" si="7"/>
        <v>-3507970.57</v>
      </c>
      <c r="AB44" s="47"/>
      <c r="AC44" s="66"/>
    </row>
    <row r="45" spans="1:29">
      <c r="A45" s="12" t="s">
        <v>300</v>
      </c>
      <c r="B45" s="12"/>
      <c r="C45" s="95">
        <f>C25+C30+C44</f>
        <v>7571196.7999999989</v>
      </c>
      <c r="D45" s="13">
        <f>D25+D30+D44</f>
        <v>2027526.2399999998</v>
      </c>
      <c r="E45" s="102">
        <f>E25+E30+E44</f>
        <v>7813862.1399999987</v>
      </c>
      <c r="F45" s="49">
        <f>F25+F30+F44</f>
        <v>1783924</v>
      </c>
      <c r="G45" s="49">
        <f>G25+G30+G44</f>
        <v>1384025</v>
      </c>
      <c r="H45" s="166">
        <f t="shared" ref="H45:M45" si="9">H25+H30+H44</f>
        <v>2052484</v>
      </c>
      <c r="I45" s="49">
        <f t="shared" si="9"/>
        <v>2051177</v>
      </c>
      <c r="J45" s="49">
        <f t="shared" si="9"/>
        <v>1613356</v>
      </c>
      <c r="K45" s="49">
        <f t="shared" si="9"/>
        <v>1931503</v>
      </c>
      <c r="L45" s="49">
        <f t="shared" si="9"/>
        <v>1170423.1099999999</v>
      </c>
      <c r="M45" s="49">
        <f t="shared" si="9"/>
        <v>2098257.2199999997</v>
      </c>
      <c r="N45" s="49">
        <f t="shared" ref="N45:AA45" si="10">N25+N30+N44</f>
        <v>2034507.27</v>
      </c>
      <c r="O45" s="49">
        <f t="shared" si="10"/>
        <v>2238669.906</v>
      </c>
      <c r="P45" s="49">
        <f t="shared" si="10"/>
        <v>868040.80999999982</v>
      </c>
      <c r="Q45" s="49">
        <f t="shared" si="10"/>
        <v>2180641.23</v>
      </c>
      <c r="R45" s="49">
        <f t="shared" si="10"/>
        <v>2175304.9500000002</v>
      </c>
      <c r="S45" s="49">
        <f t="shared" si="10"/>
        <v>2116264.1</v>
      </c>
      <c r="T45" s="49">
        <f t="shared" si="10"/>
        <v>2501477.35</v>
      </c>
      <c r="U45" s="49">
        <f t="shared" si="10"/>
        <v>2288166</v>
      </c>
      <c r="V45" s="49">
        <f t="shared" si="10"/>
        <v>1896763.6800000002</v>
      </c>
      <c r="W45" s="49">
        <f t="shared" si="10"/>
        <v>2244231.5799999996</v>
      </c>
      <c r="X45" s="49">
        <f t="shared" si="10"/>
        <v>2618394.25</v>
      </c>
      <c r="Y45" s="49">
        <f t="shared" si="10"/>
        <v>2014627.6700000002</v>
      </c>
      <c r="Z45" s="49">
        <f t="shared" ref="Z45" si="11">Z25+Z30+Z44</f>
        <v>1969128.84</v>
      </c>
      <c r="AA45" s="102">
        <f t="shared" si="10"/>
        <v>8830644.0099999998</v>
      </c>
      <c r="AB45" s="45"/>
      <c r="AC45" s="66"/>
    </row>
    <row r="46" spans="1:29">
      <c r="A46" s="14" t="s">
        <v>301</v>
      </c>
      <c r="B46" s="14"/>
      <c r="C46" s="94">
        <f>-'BalansenWinstverlies - FY2018'!M59</f>
        <v>-472384.16</v>
      </c>
      <c r="D46" s="35">
        <f>-'Cijfers QSP - Q1 2019'!P97</f>
        <v>-119182.54</v>
      </c>
      <c r="E46" s="101">
        <f>-'Cijfers QSP - Q1 2019'!R97</f>
        <v>-477298.54000000004</v>
      </c>
      <c r="F46" s="133">
        <f>-'BDO - Q2 2019'!D80</f>
        <v>-118277</v>
      </c>
      <c r="G46" s="133">
        <f>-'BDO - Q3 2019'!H78</f>
        <v>-121669</v>
      </c>
      <c r="H46" s="165">
        <f>-'BDO Q4 2019'!G79</f>
        <v>-121336</v>
      </c>
      <c r="I46" s="133">
        <f>-'BDO - Q1 2020'!G80</f>
        <v>-120736</v>
      </c>
      <c r="J46" s="133">
        <f>-'BDO - Q3 2020'!G80</f>
        <v>-119839</v>
      </c>
      <c r="K46" s="133">
        <f>-'BDO - Q2 2021'!G78</f>
        <v>-121422</v>
      </c>
      <c r="L46" s="133">
        <f>-'BDO - Q4 2021'!G81</f>
        <v>-121294.6</v>
      </c>
      <c r="M46" s="133">
        <f>-'BDO - Q1-22'!G82</f>
        <v>-121679.67999999999</v>
      </c>
      <c r="N46" s="133">
        <f>-'BDO - Q2-22'!G82</f>
        <v>-121956.77</v>
      </c>
      <c r="O46" s="133">
        <f>-'BDO - Q3-22'!G81</f>
        <v>-124885.89</v>
      </c>
      <c r="P46" s="133">
        <f>-'BDO - Q3-23'!D92</f>
        <v>-125402.18</v>
      </c>
      <c r="Q46" s="133">
        <f>-'BDO - Q3-23'!E92</f>
        <v>-126034.62</v>
      </c>
      <c r="R46" s="133">
        <f>-'BDO - Q3-23'!F92</f>
        <v>-126358.08</v>
      </c>
      <c r="S46" s="133">
        <f>-'BDO - Q3-23'!G92</f>
        <v>-130076.16</v>
      </c>
      <c r="T46" s="133">
        <f>-'BDO - Q4-23'!G92</f>
        <v>-129917.19</v>
      </c>
      <c r="U46" s="133">
        <f>-'BDO - Q1-24'!G78</f>
        <v>-129820</v>
      </c>
      <c r="V46" s="133">
        <f>-'BDO - Q2-24'!G79</f>
        <v>-130121.37</v>
      </c>
      <c r="W46" s="133">
        <f>-'BDO - Q3-24'!G79</f>
        <v>-134133.54999999999</v>
      </c>
      <c r="X46" s="133">
        <f>-'BDO - Q4-24'!G79</f>
        <v>-135444.14000000001</v>
      </c>
      <c r="Y46" s="133">
        <f>-'BDO - Q1-25'!G80</f>
        <v>-137751</v>
      </c>
      <c r="Z46" s="133">
        <f>-'BDO - Q2-25'!G80</f>
        <v>-135540.07</v>
      </c>
      <c r="AA46" s="101">
        <f>-'BDO - Q2-25'!H80</f>
        <v>-542868.76</v>
      </c>
      <c r="AB46" s="37"/>
      <c r="AC46" s="66"/>
    </row>
    <row r="47" spans="1:29">
      <c r="A47" s="14" t="s">
        <v>326</v>
      </c>
      <c r="B47" s="14"/>
      <c r="C47" s="94">
        <f>-'BalansenWinstverlies - FY2018'!M72</f>
        <v>-16335</v>
      </c>
      <c r="D47" s="35">
        <f>-'Cijfers QSP - Q1 2019'!P107</f>
        <v>-4500</v>
      </c>
      <c r="E47" s="101">
        <f>-'Cijfers QSP - Q1 2019'!R107</f>
        <v>-20835</v>
      </c>
      <c r="F47" s="133">
        <f>-'BDO - Q2 2019'!D106</f>
        <v>-5445</v>
      </c>
      <c r="G47" s="133">
        <f>-'BDO - Q3 2019'!H105</f>
        <v>-5445</v>
      </c>
      <c r="H47" s="165">
        <f>-'BDO Q4 2019'!G106</f>
        <v>-5445</v>
      </c>
      <c r="I47" s="133">
        <f>-'BDO - Q1 2020'!G106</f>
        <v>-5445</v>
      </c>
      <c r="J47" s="133">
        <f>-'BDO - Q3 2020'!G106</f>
        <v>-5445</v>
      </c>
      <c r="K47" s="133">
        <f>-'BDO - Q2 2021'!G105</f>
        <v>-5445</v>
      </c>
      <c r="L47" s="133">
        <f>-'BDO - Q4 2021'!G108</f>
        <v>-5445</v>
      </c>
      <c r="M47" s="133">
        <f>-'BDO - Q1-22'!G109</f>
        <v>-5445</v>
      </c>
      <c r="N47" s="133">
        <f>-'BDO - Q2-22'!G109</f>
        <v>-1815</v>
      </c>
      <c r="O47" s="133">
        <f>-'BDO - Q3-22'!G108</f>
        <v>-1815</v>
      </c>
      <c r="P47" s="133">
        <f>-'BDO - Q4-22'!G113</f>
        <v>-1815</v>
      </c>
      <c r="Q47" s="133">
        <f>-'BDO - Q1-23'!G116</f>
        <v>-1500</v>
      </c>
      <c r="R47" s="133">
        <f>-'BDO - Q2-23'!G117</f>
        <v>-1500</v>
      </c>
      <c r="S47" s="133">
        <f>-'BDO - Q3-23'!G119</f>
        <v>-1500</v>
      </c>
      <c r="T47" s="133">
        <f>-'BDO - Q4-23'!G117</f>
        <v>0</v>
      </c>
      <c r="U47" s="133">
        <f>-'BDO - Q1-24'!G98</f>
        <v>-1500</v>
      </c>
      <c r="V47" s="133">
        <f>-'BDO - Q2-24'!G99</f>
        <v>-1500</v>
      </c>
      <c r="W47" s="133">
        <f>-'BDO - Q3-24'!G99</f>
        <v>-1500</v>
      </c>
      <c r="X47" s="133">
        <f>-'BDO - Q4-24'!G99</f>
        <v>-1500</v>
      </c>
      <c r="Y47" s="133">
        <f>-'BDO - Q1-25'!G100</f>
        <v>-1500</v>
      </c>
      <c r="Z47" s="133">
        <f>-'BDO - Q2-25'!G100</f>
        <v>-1500</v>
      </c>
      <c r="AA47" s="101">
        <f>-'BDO - Q2-25'!H100</f>
        <v>-6000</v>
      </c>
      <c r="AB47" s="37"/>
      <c r="AC47" s="66"/>
    </row>
    <row r="48" spans="1:29">
      <c r="A48" s="12" t="s">
        <v>342</v>
      </c>
      <c r="B48" s="12"/>
      <c r="C48" s="95">
        <f>C47+C46+C45</f>
        <v>7082477.6399999987</v>
      </c>
      <c r="D48" s="13">
        <f>D47+D46+D45</f>
        <v>1903843.6999999997</v>
      </c>
      <c r="E48" s="102">
        <f>E47+E46+E45</f>
        <v>7315728.5999999987</v>
      </c>
      <c r="F48" s="49">
        <f>F47+F46+F45</f>
        <v>1660202</v>
      </c>
      <c r="G48" s="49">
        <f>G47+G46+G45</f>
        <v>1256911</v>
      </c>
      <c r="H48" s="166">
        <f t="shared" ref="H48:M48" si="12">H47+H46+H45</f>
        <v>1925703</v>
      </c>
      <c r="I48" s="49">
        <f t="shared" si="12"/>
        <v>1924996</v>
      </c>
      <c r="J48" s="49">
        <f t="shared" si="12"/>
        <v>1488072</v>
      </c>
      <c r="K48" s="49">
        <f t="shared" si="12"/>
        <v>1804636</v>
      </c>
      <c r="L48" s="49">
        <f t="shared" si="12"/>
        <v>1043683.5099999999</v>
      </c>
      <c r="M48" s="49">
        <f t="shared" si="12"/>
        <v>1971132.5399999998</v>
      </c>
      <c r="N48" s="49">
        <f t="shared" ref="N48:AA48" si="13">N47+N46+N45</f>
        <v>1910735.5</v>
      </c>
      <c r="O48" s="49">
        <f t="shared" si="13"/>
        <v>2111969.0159999998</v>
      </c>
      <c r="P48" s="49">
        <f t="shared" si="13"/>
        <v>740823.62999999989</v>
      </c>
      <c r="Q48" s="49">
        <f t="shared" si="13"/>
        <v>2053106.6099999999</v>
      </c>
      <c r="R48" s="49">
        <f t="shared" si="13"/>
        <v>2047446.87</v>
      </c>
      <c r="S48" s="49">
        <f t="shared" ref="S48:Y48" si="14">S47+S46+S45</f>
        <v>1984687.9400000002</v>
      </c>
      <c r="T48" s="49">
        <f t="shared" si="14"/>
        <v>2371560.16</v>
      </c>
      <c r="U48" s="49">
        <f t="shared" si="14"/>
        <v>2156846</v>
      </c>
      <c r="V48" s="49">
        <f t="shared" si="14"/>
        <v>1765142.31</v>
      </c>
      <c r="W48" s="49">
        <f t="shared" si="14"/>
        <v>2108598.0299999998</v>
      </c>
      <c r="X48" s="49">
        <f t="shared" si="14"/>
        <v>2481450.11</v>
      </c>
      <c r="Y48" s="49">
        <f t="shared" si="14"/>
        <v>1875376.6700000002</v>
      </c>
      <c r="Z48" s="49">
        <f t="shared" ref="Z48" si="15">Z47+Z46+Z45</f>
        <v>1832088.77</v>
      </c>
      <c r="AA48" s="102">
        <f t="shared" si="13"/>
        <v>8281775.25</v>
      </c>
      <c r="AB48" s="45"/>
      <c r="AC48" s="66"/>
    </row>
    <row r="49" spans="1:29">
      <c r="A49" s="3"/>
      <c r="B49" s="3"/>
      <c r="C49" s="97"/>
      <c r="D49" s="15"/>
      <c r="E49" s="104"/>
      <c r="F49" s="48"/>
      <c r="G49" s="4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04"/>
      <c r="AB49" s="37"/>
      <c r="AC49" s="66"/>
    </row>
    <row r="50" spans="1:29">
      <c r="A50" s="14" t="s">
        <v>302</v>
      </c>
      <c r="B50" s="14"/>
      <c r="C50" s="98">
        <v>3561500</v>
      </c>
      <c r="D50" s="60">
        <v>1019250</v>
      </c>
      <c r="E50" s="105">
        <v>4580750</v>
      </c>
      <c r="F50" s="134">
        <v>1930000</v>
      </c>
      <c r="G50" s="134">
        <v>914000</v>
      </c>
      <c r="H50" s="169">
        <v>2385500</v>
      </c>
      <c r="I50" s="169">
        <v>2073000</v>
      </c>
      <c r="J50" s="169">
        <v>1493253</v>
      </c>
      <c r="K50" s="169">
        <v>3405253</v>
      </c>
      <c r="L50" s="169">
        <v>2116000</v>
      </c>
      <c r="M50" s="169">
        <v>781000</v>
      </c>
      <c r="N50" s="134">
        <v>664000</v>
      </c>
      <c r="O50" s="134">
        <v>858500</v>
      </c>
      <c r="P50" s="134">
        <v>275000</v>
      </c>
      <c r="Q50" s="134">
        <v>215000</v>
      </c>
      <c r="R50" s="134">
        <v>490007</v>
      </c>
      <c r="S50" s="134">
        <v>1303664</v>
      </c>
      <c r="T50" s="134">
        <v>2171300</v>
      </c>
      <c r="U50" s="134">
        <v>1593500</v>
      </c>
      <c r="V50" s="134">
        <v>1418500</v>
      </c>
      <c r="W50" s="134">
        <v>1422000</v>
      </c>
      <c r="X50" s="134">
        <v>0</v>
      </c>
      <c r="Y50" s="134">
        <v>1753119</v>
      </c>
      <c r="Z50" s="134">
        <v>762500</v>
      </c>
      <c r="AA50" s="105">
        <f>SUM(W50:Z50)</f>
        <v>3937619</v>
      </c>
      <c r="AB50" s="129"/>
      <c r="AC50" s="66"/>
    </row>
    <row r="51" spans="1:29">
      <c r="A51" s="14" t="s">
        <v>303</v>
      </c>
      <c r="B51" s="14"/>
      <c r="C51" s="98">
        <v>-2341968</v>
      </c>
      <c r="D51" s="83">
        <f>E51-C51</f>
        <v>-625566</v>
      </c>
      <c r="E51" s="101">
        <f>'Cijfers QSP - Q1 2019'!P6</f>
        <v>-2967534</v>
      </c>
      <c r="F51" s="133">
        <f t="shared" ref="F51:N51" si="16">-(F50-F53)</f>
        <v>-1030018</v>
      </c>
      <c r="G51" s="133">
        <f t="shared" si="16"/>
        <v>-428353</v>
      </c>
      <c r="H51" s="165">
        <f t="shared" si="16"/>
        <v>-1326917</v>
      </c>
      <c r="I51" s="165">
        <f t="shared" si="16"/>
        <v>-1085567</v>
      </c>
      <c r="J51" s="165">
        <f t="shared" si="16"/>
        <v>-857011</v>
      </c>
      <c r="K51" s="165">
        <f t="shared" si="16"/>
        <v>-1427070</v>
      </c>
      <c r="L51" s="165">
        <f t="shared" si="16"/>
        <v>-753527</v>
      </c>
      <c r="M51" s="165">
        <f t="shared" si="16"/>
        <v>-290543</v>
      </c>
      <c r="N51" s="165">
        <f t="shared" si="16"/>
        <v>-240042</v>
      </c>
      <c r="O51" s="165">
        <f t="shared" ref="O51:AA51" si="17">-(O50-O53)</f>
        <v>-313904</v>
      </c>
      <c r="P51" s="165">
        <f t="shared" si="17"/>
        <v>-93015</v>
      </c>
      <c r="Q51" s="165">
        <f t="shared" si="17"/>
        <v>-100337</v>
      </c>
      <c r="R51" s="165">
        <f t="shared" si="17"/>
        <v>-174131</v>
      </c>
      <c r="S51" s="165">
        <f t="shared" si="17"/>
        <v>-579455</v>
      </c>
      <c r="T51" s="165">
        <f t="shared" si="17"/>
        <v>-748685</v>
      </c>
      <c r="U51" s="165">
        <f t="shared" si="17"/>
        <v>-602991</v>
      </c>
      <c r="V51" s="165">
        <f t="shared" si="17"/>
        <v>-514857</v>
      </c>
      <c r="W51" s="165">
        <f t="shared" si="17"/>
        <v>-458152</v>
      </c>
      <c r="X51" s="165">
        <f t="shared" si="17"/>
        <v>0</v>
      </c>
      <c r="Y51" s="165">
        <f t="shared" si="17"/>
        <v>-550996</v>
      </c>
      <c r="Z51" s="133">
        <f t="shared" ref="Z51" si="18">-(Z50-Z53)</f>
        <v>-195524</v>
      </c>
      <c r="AA51" s="101">
        <f t="shared" si="17"/>
        <v>-1204672</v>
      </c>
      <c r="AB51" s="129"/>
      <c r="AC51" s="66"/>
    </row>
    <row r="52" spans="1:29">
      <c r="A52" s="14" t="s">
        <v>304</v>
      </c>
      <c r="B52" s="14"/>
      <c r="C52" s="99" t="s">
        <v>328</v>
      </c>
      <c r="D52" s="57" t="s">
        <v>328</v>
      </c>
      <c r="E52" s="106" t="s">
        <v>328</v>
      </c>
      <c r="F52" s="135" t="s">
        <v>417</v>
      </c>
      <c r="G52" s="135" t="s">
        <v>417</v>
      </c>
      <c r="H52" s="170" t="s">
        <v>417</v>
      </c>
      <c r="I52" s="170" t="s">
        <v>417</v>
      </c>
      <c r="J52" s="170" t="s">
        <v>417</v>
      </c>
      <c r="K52" s="170" t="s">
        <v>417</v>
      </c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35"/>
      <c r="AA52" s="102"/>
      <c r="AB52" s="48"/>
      <c r="AC52" s="66"/>
    </row>
    <row r="53" spans="1:29">
      <c r="A53" s="12" t="s">
        <v>327</v>
      </c>
      <c r="B53" s="12"/>
      <c r="C53" s="95">
        <f>C51+C50</f>
        <v>1219532</v>
      </c>
      <c r="D53" s="13">
        <f>-'Cijfers QSP - Q1 2019'!P87</f>
        <v>393684</v>
      </c>
      <c r="E53" s="102">
        <f>E50+E51</f>
        <v>1613216</v>
      </c>
      <c r="F53" s="49">
        <f>-'BDO - Q2 2019'!D84</f>
        <v>899982</v>
      </c>
      <c r="G53" s="49">
        <f>-'BDO - Q3 2019'!H82</f>
        <v>485647</v>
      </c>
      <c r="H53" s="166">
        <f>-'BDO Q4 2019'!G83</f>
        <v>1058583</v>
      </c>
      <c r="I53" s="49">
        <f>-'BDO - Q1 2020'!G83</f>
        <v>987433</v>
      </c>
      <c r="J53" s="49">
        <f>-'BDO - Q3 2020'!G83</f>
        <v>636242</v>
      </c>
      <c r="K53" s="49">
        <f>-'BDO - Q2 2021'!G82</f>
        <v>1978183</v>
      </c>
      <c r="L53" s="49">
        <f>-'BDO - Q4 2021'!G85</f>
        <v>1362473</v>
      </c>
      <c r="M53" s="49">
        <f>-'BDO - Q1-22'!G86</f>
        <v>490457</v>
      </c>
      <c r="N53" s="49">
        <f>-'BDO - Q2-22'!G86</f>
        <v>423958</v>
      </c>
      <c r="O53" s="49">
        <f>-'BDO - Q3-22'!G85</f>
        <v>544596</v>
      </c>
      <c r="P53" s="49">
        <f>-'BDO - Q4-22'!G90</f>
        <v>181985</v>
      </c>
      <c r="Q53" s="49">
        <f>-'BDO - Q1-23'!G93</f>
        <v>114663</v>
      </c>
      <c r="R53" s="49">
        <f>-'BDO - Q2-23'!G94</f>
        <v>315876</v>
      </c>
      <c r="S53" s="49">
        <f>-'BDO - Q3-23'!G96</f>
        <v>724209</v>
      </c>
      <c r="T53" s="49">
        <f>-'BDO - Q4-23'!G96</f>
        <v>1422615</v>
      </c>
      <c r="U53" s="49">
        <f>-'BDO - Q1-24'!G81</f>
        <v>990509</v>
      </c>
      <c r="V53" s="49">
        <f>-'BDO - Q2-24'!G82</f>
        <v>903643</v>
      </c>
      <c r="W53" s="49">
        <f>-'BDO - Q3-24'!G82</f>
        <v>963848</v>
      </c>
      <c r="X53" s="49">
        <f>-'BDO - Q4-24'!G82</f>
        <v>0</v>
      </c>
      <c r="Y53" s="49">
        <f>-'BDO - Q1-25'!G83</f>
        <v>1202123</v>
      </c>
      <c r="Z53" s="49">
        <f>-'BDO - Q2-25'!G83</f>
        <v>566976</v>
      </c>
      <c r="AA53" s="102">
        <f>-'BDO - Q2-25'!H83</f>
        <v>2732947</v>
      </c>
      <c r="AB53" s="49"/>
      <c r="AC53" s="66"/>
    </row>
    <row r="54" spans="1:29">
      <c r="A54" s="14"/>
      <c r="B54" s="14"/>
      <c r="C54" s="97"/>
      <c r="D54" s="15"/>
      <c r="E54" s="104"/>
      <c r="F54" s="48"/>
      <c r="G54" s="48"/>
      <c r="H54" s="16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104"/>
      <c r="AB54" s="37"/>
      <c r="AC54" s="66"/>
    </row>
    <row r="55" spans="1:29">
      <c r="A55" s="12" t="s">
        <v>329</v>
      </c>
      <c r="B55" s="12"/>
      <c r="C55" s="95">
        <f>C53+C48</f>
        <v>8302009.6399999987</v>
      </c>
      <c r="D55" s="13">
        <f>D53+D48</f>
        <v>2297527.6999999997</v>
      </c>
      <c r="E55" s="102">
        <f>E53+E48</f>
        <v>8928944.5999999978</v>
      </c>
      <c r="F55" s="49">
        <f>F53+F48</f>
        <v>2560184</v>
      </c>
      <c r="G55" s="49">
        <f>G53+G48</f>
        <v>1742558</v>
      </c>
      <c r="H55" s="166">
        <f t="shared" ref="H55:M55" si="19">H53+H48</f>
        <v>2984286</v>
      </c>
      <c r="I55" s="49">
        <f t="shared" si="19"/>
        <v>2912429</v>
      </c>
      <c r="J55" s="49">
        <f t="shared" si="19"/>
        <v>2124314</v>
      </c>
      <c r="K55" s="49">
        <f t="shared" si="19"/>
        <v>3782819</v>
      </c>
      <c r="L55" s="49">
        <f t="shared" si="19"/>
        <v>2406156.5099999998</v>
      </c>
      <c r="M55" s="49">
        <f t="shared" si="19"/>
        <v>2461589.54</v>
      </c>
      <c r="N55" s="49">
        <f t="shared" ref="N55:AA55" si="20">N53+N48</f>
        <v>2334693.5</v>
      </c>
      <c r="O55" s="49">
        <f t="shared" si="20"/>
        <v>2656565.0159999998</v>
      </c>
      <c r="P55" s="49">
        <f t="shared" si="20"/>
        <v>922808.62999999989</v>
      </c>
      <c r="Q55" s="49">
        <f t="shared" si="20"/>
        <v>2167769.61</v>
      </c>
      <c r="R55" s="49">
        <f t="shared" si="20"/>
        <v>2363322.87</v>
      </c>
      <c r="S55" s="49">
        <f t="shared" si="20"/>
        <v>2708896.9400000004</v>
      </c>
      <c r="T55" s="49">
        <f t="shared" si="20"/>
        <v>3794175.16</v>
      </c>
      <c r="U55" s="49">
        <f t="shared" si="20"/>
        <v>3147355</v>
      </c>
      <c r="V55" s="49">
        <f t="shared" si="20"/>
        <v>2668785.31</v>
      </c>
      <c r="W55" s="49">
        <f t="shared" si="20"/>
        <v>3072446.03</v>
      </c>
      <c r="X55" s="49">
        <f t="shared" si="20"/>
        <v>2481450.11</v>
      </c>
      <c r="Y55" s="49">
        <f t="shared" si="20"/>
        <v>3077499.67</v>
      </c>
      <c r="Z55" s="49">
        <f t="shared" ref="Z55" si="21">Z53+Z48</f>
        <v>2399064.77</v>
      </c>
      <c r="AA55" s="102">
        <f t="shared" si="20"/>
        <v>11014722.25</v>
      </c>
      <c r="AB55" s="45"/>
      <c r="AC55" s="66"/>
    </row>
    <row r="56" spans="1:29">
      <c r="A56" s="14" t="s">
        <v>330</v>
      </c>
      <c r="B56" s="12"/>
      <c r="C56" s="94">
        <f>-'BalansenWinstverlies - FY2018'!M60</f>
        <v>-2698591.67</v>
      </c>
      <c r="D56" s="35">
        <f>-'Cijfers QSP - Q1 2019'!P86</f>
        <v>-674648</v>
      </c>
      <c r="E56" s="101">
        <f>-'Cijfers QSP - Q1 2019'!R86</f>
        <v>-3052516.8899999997</v>
      </c>
      <c r="F56" s="133">
        <f>-'BDO - Q2 2019'!D83</f>
        <v>-650161</v>
      </c>
      <c r="G56" s="133">
        <f>-'BDO - Q3 2019'!H81</f>
        <v>-653662</v>
      </c>
      <c r="H56" s="165">
        <f>-'BDO Q4 2019'!G82</f>
        <v>-656408</v>
      </c>
      <c r="I56" s="133">
        <f>-'BDO - Q1 2020'!G82</f>
        <v>-642938</v>
      </c>
      <c r="J56" s="133">
        <f>-'BDO - Q3 2020'!G82</f>
        <v>-653151</v>
      </c>
      <c r="K56" s="133">
        <f>-'BDO - Q2 2021'!G81</f>
        <v>-667313</v>
      </c>
      <c r="L56" s="133">
        <f>-'BDO - Q4 2021'!G84</f>
        <v>-679632</v>
      </c>
      <c r="M56" s="133">
        <f>-'BDO - Q1-22'!G85</f>
        <v>-682456</v>
      </c>
      <c r="N56" s="133">
        <f>-'BDO - Q2-22'!G85</f>
        <v>-682714</v>
      </c>
      <c r="O56" s="133">
        <f>-'BDO - Q3-22'!G84</f>
        <v>-695326</v>
      </c>
      <c r="P56" s="133">
        <f>-'BDO - Q3-23'!D95</f>
        <v>-707759</v>
      </c>
      <c r="Q56" s="133">
        <f>-'BDO - Q3-23'!E95</f>
        <v>-707631</v>
      </c>
      <c r="R56" s="133">
        <f>-'BDO - Q3-23'!F95</f>
        <v>-706154</v>
      </c>
      <c r="S56" s="133">
        <f>-'BDO - Q3-23'!G95</f>
        <v>-722958</v>
      </c>
      <c r="T56" s="133">
        <f>-'BDO - Q4-23'!G95</f>
        <v>-747378</v>
      </c>
      <c r="U56" s="133">
        <f>-'BDO - Q1-24'!G80</f>
        <v>-753602</v>
      </c>
      <c r="V56" s="133">
        <f>-'BDO - Q2-24'!G81</f>
        <v>-752120</v>
      </c>
      <c r="W56" s="133">
        <f>-'BDO - Q3-24'!G81</f>
        <v>-762225</v>
      </c>
      <c r="X56" s="133">
        <f>-'BDO - Q4-24'!G81</f>
        <v>-793542</v>
      </c>
      <c r="Y56" s="133">
        <f>-'BDO - Q1-25'!G82</f>
        <v>-811996</v>
      </c>
      <c r="Z56" s="133">
        <f>-'BDO - Q2-25'!G82</f>
        <v>-822632</v>
      </c>
      <c r="AA56" s="101">
        <f>-'BDO - Q2-25'!H82</f>
        <v>-3190395</v>
      </c>
      <c r="AB56" s="45"/>
      <c r="AC56" s="66"/>
    </row>
    <row r="57" spans="1:29">
      <c r="A57" s="12" t="s">
        <v>331</v>
      </c>
      <c r="B57" s="12"/>
      <c r="C57" s="95">
        <f>C56+C55</f>
        <v>5603417.9699999988</v>
      </c>
      <c r="D57" s="13">
        <f>D56+D55</f>
        <v>1622879.6999999997</v>
      </c>
      <c r="E57" s="102">
        <f>E56+E55</f>
        <v>5876427.7099999981</v>
      </c>
      <c r="F57" s="49">
        <f t="shared" ref="F57:M57" si="22">F56+F55</f>
        <v>1910023</v>
      </c>
      <c r="G57" s="49">
        <f t="shared" si="22"/>
        <v>1088896</v>
      </c>
      <c r="H57" s="166">
        <f t="shared" si="22"/>
        <v>2327878</v>
      </c>
      <c r="I57" s="49">
        <f t="shared" si="22"/>
        <v>2269491</v>
      </c>
      <c r="J57" s="49">
        <f t="shared" si="22"/>
        <v>1471163</v>
      </c>
      <c r="K57" s="49">
        <f t="shared" si="22"/>
        <v>3115506</v>
      </c>
      <c r="L57" s="49">
        <f t="shared" si="22"/>
        <v>1726524.5099999998</v>
      </c>
      <c r="M57" s="49">
        <f t="shared" si="22"/>
        <v>1779133.54</v>
      </c>
      <c r="N57" s="49">
        <f t="shared" ref="N57:AA57" si="23">N56+N55</f>
        <v>1651979.5</v>
      </c>
      <c r="O57" s="49">
        <f t="shared" si="23"/>
        <v>1961239.0159999998</v>
      </c>
      <c r="P57" s="49">
        <f t="shared" si="23"/>
        <v>215049.62999999989</v>
      </c>
      <c r="Q57" s="49">
        <f t="shared" si="23"/>
        <v>1460138.6099999999</v>
      </c>
      <c r="R57" s="49">
        <f t="shared" si="23"/>
        <v>1657168.87</v>
      </c>
      <c r="S57" s="49">
        <f t="shared" si="23"/>
        <v>1985938.9400000004</v>
      </c>
      <c r="T57" s="49">
        <f t="shared" si="23"/>
        <v>3046797.16</v>
      </c>
      <c r="U57" s="49">
        <f t="shared" si="23"/>
        <v>2393753</v>
      </c>
      <c r="V57" s="49">
        <f t="shared" si="23"/>
        <v>1916665.31</v>
      </c>
      <c r="W57" s="49">
        <f t="shared" si="23"/>
        <v>2310221.0299999998</v>
      </c>
      <c r="X57" s="49">
        <f t="shared" si="23"/>
        <v>1687908.1099999999</v>
      </c>
      <c r="Y57" s="49">
        <f t="shared" si="23"/>
        <v>2265503.67</v>
      </c>
      <c r="Z57" s="49">
        <f t="shared" ref="Z57" si="24">Z56+Z55</f>
        <v>1576432.77</v>
      </c>
      <c r="AA57" s="102">
        <f t="shared" si="23"/>
        <v>7824327.25</v>
      </c>
      <c r="AB57" s="45"/>
      <c r="AC57" s="66"/>
    </row>
    <row r="58" spans="1:29">
      <c r="A58" s="12"/>
      <c r="B58" s="12"/>
      <c r="C58" s="95"/>
      <c r="D58" s="13"/>
      <c r="E58" s="102"/>
      <c r="F58" s="49"/>
      <c r="G58" s="49"/>
      <c r="H58" s="166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102"/>
      <c r="AB58" s="45"/>
      <c r="AC58" s="66"/>
    </row>
    <row r="59" spans="1:29">
      <c r="A59" s="14"/>
      <c r="B59" s="14"/>
      <c r="C59" s="94">
        <f>-'BalansenWinstverlies - FY2018'!M80</f>
        <v>-832383.46</v>
      </c>
      <c r="E59" s="107"/>
      <c r="H59" s="171"/>
      <c r="AA59" s="107"/>
      <c r="AB59" s="37"/>
      <c r="AC59" s="66"/>
    </row>
    <row r="60" spans="1:29">
      <c r="A60" s="14" t="s">
        <v>333</v>
      </c>
      <c r="B60" s="14"/>
      <c r="C60" s="94">
        <f>-'BalansenWinstverlies - FY2018'!M81+845000</f>
        <v>-1632628.48</v>
      </c>
      <c r="D60" s="35">
        <f>-'Cijfers QSP - Q1 2019'!P118</f>
        <v>-503883.39</v>
      </c>
      <c r="E60" s="101">
        <f>-'Cijfers QSP - Q1 2019'!R118</f>
        <v>-2133987.48</v>
      </c>
      <c r="F60" s="133">
        <f>-'BDO - Q2 2019'!D117</f>
        <v>-513800</v>
      </c>
      <c r="G60" s="133">
        <f>-'BDO - Q3 2019'!H117</f>
        <v>-486625</v>
      </c>
      <c r="H60" s="165">
        <f>-'BDO Q4 2019'!G118</f>
        <v>-473890</v>
      </c>
      <c r="I60" s="133">
        <f>-'BDO - Q1 2020'!G118</f>
        <v>-457533</v>
      </c>
      <c r="J60" s="133">
        <f>-'BDO - Q3 2020'!G118</f>
        <v>-448423</v>
      </c>
      <c r="K60" s="133">
        <f>-'BDO - Q2 2021'!G116</f>
        <v>-424302</v>
      </c>
      <c r="L60" s="133">
        <f>-'BDO - Q4 2021'!G119</f>
        <v>-416515.02</v>
      </c>
      <c r="M60" s="133">
        <f>-'BDO - Q1-22'!G120</f>
        <v>-401338</v>
      </c>
      <c r="N60" s="133">
        <f>-'BDO - Q2-22'!G120</f>
        <v>-401959.7</v>
      </c>
      <c r="O60" s="133">
        <f>-'BDO - Q3-22'!G119</f>
        <v>-402764.5</v>
      </c>
      <c r="P60" s="133">
        <f>-'BDO - Q3-23'!D132-'BDO - Q3-23'!D131</f>
        <v>-1046415.41</v>
      </c>
      <c r="Q60" s="133">
        <f>-'BDO - Q3-23'!E132-'BDO - Q3-23'!E131</f>
        <v>-1389731.3900000001</v>
      </c>
      <c r="R60" s="133">
        <f>-'BDO - Q3-23'!F132-'BDO - Q3-23'!F131</f>
        <v>-1669589.5799999998</v>
      </c>
      <c r="S60" s="133">
        <f>-'BDO - Q3-23'!G132-'BDO - Q3-23'!G131</f>
        <v>-1865023.71</v>
      </c>
      <c r="T60" s="133">
        <f>-'BDO - Q4-23'!G132-'BDO - Q4-23'!G131</f>
        <v>-1976297.0899999999</v>
      </c>
      <c r="U60" s="133">
        <f>-'BDO - Q1-24'!G111-'BDO - Q1-24'!G108-'BDO - Q1-24'!G109-'BDO - Q1-24'!G110-'BDO - Q1-24'!G113</f>
        <v>-1936756</v>
      </c>
      <c r="V60" s="133">
        <f>-'BDO - Q2-24'!G112-'BDO - Q2-24'!G109-'BDO - Q2-24'!G110-'BDO - Q2-24'!G111-'BDO - Q2-24'!G114</f>
        <v>-1614177.83</v>
      </c>
      <c r="W60" s="133">
        <f>-'BDO - Q3-24'!G112-'BDO - Q3-24'!G109-'BDO - Q3-24'!G110-'BDO - Q3-24'!G111-'BDO - Q3-24'!G114-21750</f>
        <v>-1936908.6600000001</v>
      </c>
      <c r="X60" s="133">
        <f>-'BDO - Q4-24'!G112-'BDO - Q4-24'!G109-'BDO - Q4-24'!G110-'BDO - Q4-24'!G111-'BDO - Q4-24'!G114-21750</f>
        <v>-1760389.91</v>
      </c>
      <c r="Y60" s="133">
        <f>-'BDO - Q1-25'!G111-'BDO - Q1-25'!G112-'BDO - Q1-25'!G113-'BDO - Q1-25'!G114-'BDO - Q1-25'!G116</f>
        <v>-1484088.9500000002</v>
      </c>
      <c r="Z60" s="133">
        <f>-'BDO - Q2-25'!G111-'BDO - Q2-25'!G112-'BDO - Q2-25'!G113-'BDO - Q2-25'!G114-'BDO - Q2-25'!G116</f>
        <v>-1384972.5899999999</v>
      </c>
      <c r="AA60" s="101">
        <f>-'BDO - Q2-25'!H111-'BDO - Q2-25'!H112-'BDO - Q2-25'!H113-'BDO - Q2-25'!H114-'BDO - Q2-25'!H116</f>
        <v>-6536981.4699999997</v>
      </c>
      <c r="AB60" s="37"/>
      <c r="AC60" s="66"/>
    </row>
    <row r="61" spans="1:29">
      <c r="A61" s="14" t="s">
        <v>585</v>
      </c>
      <c r="B61" s="14"/>
      <c r="C61" s="94">
        <f>-845000</f>
        <v>-845000</v>
      </c>
      <c r="D61" s="35">
        <v>0</v>
      </c>
      <c r="E61" s="101">
        <v>0</v>
      </c>
      <c r="F61" s="133" t="s">
        <v>418</v>
      </c>
      <c r="G61" s="133"/>
      <c r="H61" s="165"/>
      <c r="I61" s="133"/>
      <c r="J61" s="133"/>
      <c r="K61" s="133"/>
      <c r="L61" s="133"/>
      <c r="M61" s="133"/>
      <c r="N61" s="133"/>
      <c r="O61" s="133"/>
      <c r="P61" s="133">
        <f>-'BDO - Q3-23'!D154</f>
        <v>-110649.99</v>
      </c>
      <c r="Q61" s="133">
        <f>-'BDO - Q3-23'!E154</f>
        <v>-110649.99</v>
      </c>
      <c r="R61" s="133">
        <f>-'BDO - Q3-23'!F154</f>
        <v>-110649.99</v>
      </c>
      <c r="S61" s="133">
        <f>-'BDO - Q3-23'!G154</f>
        <v>-110649.99</v>
      </c>
      <c r="T61" s="133">
        <f>-'BDO - Q4-23'!G154</f>
        <v>-110649.99</v>
      </c>
      <c r="U61" s="133">
        <f>-'BDO - Q1-24'!G128</f>
        <v>-110649.99</v>
      </c>
      <c r="V61" s="133">
        <f>-'BDO - Q2-24'!G129</f>
        <v>-110649.99</v>
      </c>
      <c r="W61" s="133">
        <f>-'BDO - Q3-24'!G129</f>
        <v>-110649.99</v>
      </c>
      <c r="X61" s="133">
        <f>-'BDO - Q4-24'!G129</f>
        <v>-110649.99</v>
      </c>
      <c r="Y61" s="133">
        <f>-'BDO - Q1-25'!G131</f>
        <v>-110649.99</v>
      </c>
      <c r="Z61" s="133">
        <f>-'BDO - Q2-25'!G131</f>
        <v>-110649.99</v>
      </c>
      <c r="AA61" s="101">
        <f>-'BDO - Q2-25'!H131</f>
        <v>-442599.96</v>
      </c>
      <c r="AB61" s="37"/>
      <c r="AC61" s="66" t="s">
        <v>586</v>
      </c>
    </row>
    <row r="62" spans="1:29" hidden="1" outlineLevel="1">
      <c r="A62" s="14" t="s">
        <v>332</v>
      </c>
      <c r="B62" s="14"/>
      <c r="C62" s="94">
        <f>-'BalansenWinstverlies - FY2018'!M82</f>
        <v>-872526.94</v>
      </c>
      <c r="D62" s="35">
        <v>0</v>
      </c>
      <c r="E62" s="101">
        <v>0</v>
      </c>
      <c r="F62" s="133" t="s">
        <v>418</v>
      </c>
      <c r="G62" s="133"/>
      <c r="H62" s="165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01"/>
      <c r="AB62" s="37"/>
      <c r="AC62" s="66"/>
    </row>
    <row r="63" spans="1:29" hidden="1" outlineLevel="1" collapsed="1">
      <c r="A63" s="14" t="s">
        <v>478</v>
      </c>
      <c r="B63" s="14"/>
      <c r="C63" s="94">
        <f>-'BalansenWinstverlies - FY2018'!M83</f>
        <v>-18603</v>
      </c>
      <c r="D63" s="35">
        <v>0</v>
      </c>
      <c r="E63" s="101">
        <v>0</v>
      </c>
      <c r="F63" s="133" t="s">
        <v>418</v>
      </c>
      <c r="G63" s="133"/>
      <c r="H63" s="165"/>
      <c r="I63" s="133"/>
      <c r="J63" s="133">
        <f>-('BDO - Q3 2020'!G120+'BDO - Q3 2020'!G122)</f>
        <v>-11231</v>
      </c>
      <c r="K63" s="133">
        <f>-'BDO - Q2 2021'!G117-'BDO - Q2 2021'!G117-'BDO - Q2 2021'!G120</f>
        <v>-3574</v>
      </c>
      <c r="L63" s="133">
        <f>-'BDO - Q4 2021'!G120-'BDO - Q4 2021'!G121-'BDO - Q4 2021'!G123</f>
        <v>-7150.43</v>
      </c>
      <c r="M63" s="133">
        <f>-('BDO - Q1-22'!G124-'BDO - Q1-22'!G126-'BDO - Q1-22'!G127)</f>
        <v>0</v>
      </c>
      <c r="N63" s="133">
        <f>-('BDO - Q2-22'!G124-'BDO - Q2-22'!G126-'BDO - Q2-22'!G127)</f>
        <v>0</v>
      </c>
      <c r="O63" s="133">
        <f>-('BDO - Q3-22'!G123-'BDO - Q3-22'!G125-'BDO - Q3-22'!G126)</f>
        <v>0</v>
      </c>
      <c r="P63" s="133">
        <f>-('BDO - Q1-23'!F128-'BDO - Q1-23'!F131)</f>
        <v>-0.12</v>
      </c>
      <c r="Q63" s="133">
        <f>-('BDO - Q1-23'!G128-'BDO - Q1-23'!G131)</f>
        <v>-29.09</v>
      </c>
      <c r="R63" s="133"/>
      <c r="S63" s="133"/>
      <c r="T63" s="133"/>
      <c r="U63" s="133"/>
      <c r="V63" s="133"/>
      <c r="W63" s="133"/>
      <c r="X63" s="133"/>
      <c r="Y63" s="133"/>
      <c r="Z63" s="133"/>
      <c r="AA63" s="101"/>
      <c r="AB63" s="37"/>
      <c r="AC63" s="66"/>
    </row>
    <row r="64" spans="1:29" collapsed="1">
      <c r="A64" s="14" t="s">
        <v>334</v>
      </c>
      <c r="B64" s="14"/>
      <c r="C64" s="94">
        <f>-'BalansenWinstverlies - FY2018'!M84</f>
        <v>-337456.51</v>
      </c>
      <c r="D64" s="35">
        <f>-'Cijfers QSP - Q1 2019'!P121</f>
        <v>-105862.7</v>
      </c>
      <c r="E64" s="101">
        <f>-'Cijfers QSP - Q1 2019'!R121</f>
        <v>-444330.64</v>
      </c>
      <c r="F64" s="133">
        <f>-'BDO - Q2 2019'!D120</f>
        <v>-108774</v>
      </c>
      <c r="G64" s="133">
        <f>-'BDO - Q3 2019'!H120</f>
        <v>-111640</v>
      </c>
      <c r="H64" s="165">
        <f>-'BDO Q4 2019'!G121</f>
        <v>-108560</v>
      </c>
      <c r="I64" s="133">
        <f>-'BDO - Q1 2020'!G121</f>
        <v>-106683</v>
      </c>
      <c r="J64" s="133">
        <f>-'BDO - Q3 2020'!G121</f>
        <v>-106445</v>
      </c>
      <c r="K64" s="133">
        <f>-'BDO - Q2 2021'!G119</f>
        <v>-103265</v>
      </c>
      <c r="L64" s="133">
        <f>-'BDO - Q4 2021'!G122</f>
        <v>-102995.06</v>
      </c>
      <c r="M64" s="133">
        <f>-'BDO - Q1-22'!G123</f>
        <v>-100023.25</v>
      </c>
      <c r="N64" s="133">
        <f>-'BDO - Q2-22'!G123</f>
        <v>-100452.6</v>
      </c>
      <c r="O64" s="133">
        <f>-'BDO - Q3-22'!G122</f>
        <v>-100805.57</v>
      </c>
      <c r="P64" s="133">
        <f>-'BDO - Q3-23'!D153</f>
        <v>70783.300000000017</v>
      </c>
      <c r="Q64" s="133">
        <f>-'BDO - Q3-23'!E153</f>
        <v>319459.64</v>
      </c>
      <c r="R64" s="133">
        <f>-'BDO - Q3-23'!F153</f>
        <v>100655.86</v>
      </c>
      <c r="S64" s="133">
        <f>-'BDO - Q3-23'!G153</f>
        <v>254135.88</v>
      </c>
      <c r="T64" s="133">
        <f>-'BDO - Q4-23'!G153</f>
        <v>348493.15</v>
      </c>
      <c r="U64" s="133">
        <f>-'BDO - Q1-24'!G127</f>
        <v>332016.32</v>
      </c>
      <c r="V64" s="133">
        <f>-'BDO - Q2-24'!G128</f>
        <v>332658</v>
      </c>
      <c r="W64" s="133">
        <f>-'BDO - Q3-24'!G128</f>
        <v>292157.34000000003</v>
      </c>
      <c r="X64" s="133">
        <f>-'BDO - Q4-24'!G128</f>
        <v>187321.85</v>
      </c>
      <c r="Y64" s="133">
        <f>-'BDO - Q1-25'!G130</f>
        <v>28841.62</v>
      </c>
      <c r="Z64" s="133">
        <f>-'BDO - Q2-25'!G130</f>
        <v>-61288.02</v>
      </c>
      <c r="AA64" s="101">
        <f>-'BDO - Q2-25'!H130</f>
        <v>447032.79000000004</v>
      </c>
      <c r="AB64" s="37"/>
      <c r="AC64" s="66"/>
    </row>
    <row r="65" spans="1:29">
      <c r="A65" s="14" t="s">
        <v>568</v>
      </c>
      <c r="B65" s="14"/>
      <c r="C65" s="94"/>
      <c r="D65" s="35"/>
      <c r="E65" s="101"/>
      <c r="F65" s="133"/>
      <c r="G65" s="133"/>
      <c r="H65" s="165"/>
      <c r="I65" s="133"/>
      <c r="J65" s="133"/>
      <c r="K65" s="133"/>
      <c r="L65" s="133"/>
      <c r="M65" s="133"/>
      <c r="N65" s="133"/>
      <c r="O65" s="133"/>
      <c r="P65" s="133">
        <f>-'BDO - Q1-23'!F130-'BDO - Q1-23'!F132</f>
        <v>317537</v>
      </c>
      <c r="Q65" s="133">
        <f>-'BDO - Q1-23'!G130-'BDO - Q1-23'!G132</f>
        <v>380384.59</v>
      </c>
      <c r="R65" s="133">
        <f>-'BDO - Q2-23'!G131-'BDO - Q2-23'!G133</f>
        <v>456978.46</v>
      </c>
      <c r="S65" s="133">
        <f>-'BDO - Q3-23'!G133-'BDO - Q3-23'!G135</f>
        <v>510488</v>
      </c>
      <c r="T65" s="133">
        <f>-'BDO - Q4-23'!G133-'BDO - Q4-23'!G135</f>
        <v>540930.78</v>
      </c>
      <c r="U65" s="133">
        <f>-'BDO - Q1-24'!G109-'BDO - Q1-24'!G114</f>
        <v>524297</v>
      </c>
      <c r="V65" s="133">
        <f>-'BDO - Q2-24'!G110-'BDO - Q2-24'!G115</f>
        <v>530364.23</v>
      </c>
      <c r="W65" s="133">
        <f>-'BDO - Q3-24'!G110-'BDO - Q3-24'!G115</f>
        <v>519493.62</v>
      </c>
      <c r="X65" s="133">
        <f>-'BDO - Q4-24'!G110-'BDO - Q4-24'!G115</f>
        <v>468232.28</v>
      </c>
      <c r="Y65" s="133">
        <f>-'BDO - Q1-25'!G117</f>
        <v>397476.14</v>
      </c>
      <c r="Z65" s="133">
        <f>-'BDO - Q2-25'!G117</f>
        <v>369637.02</v>
      </c>
      <c r="AA65" s="101">
        <f>-'BDO - Q2-25'!H117</f>
        <v>1754839.06</v>
      </c>
      <c r="AB65" s="37"/>
      <c r="AC65" s="66" t="s">
        <v>569</v>
      </c>
    </row>
    <row r="66" spans="1:29">
      <c r="A66" s="12" t="s">
        <v>306</v>
      </c>
      <c r="B66" s="12"/>
      <c r="C66" s="95">
        <f>SUM(C57:C64)</f>
        <v>1064819.5799999989</v>
      </c>
      <c r="D66" s="13">
        <f>SUM(D57:D64)</f>
        <v>1013133.6099999996</v>
      </c>
      <c r="E66" s="102">
        <f>SUM(E57:E64)</f>
        <v>3298109.589999998</v>
      </c>
      <c r="F66" s="49">
        <f>SUM(F57:F64)</f>
        <v>1287449</v>
      </c>
      <c r="G66" s="49">
        <f t="shared" ref="G66:M66" si="25">SUM(G57:G64)</f>
        <v>490631</v>
      </c>
      <c r="H66" s="166">
        <f t="shared" si="25"/>
        <v>1745428</v>
      </c>
      <c r="I66" s="49">
        <f t="shared" si="25"/>
        <v>1705275</v>
      </c>
      <c r="J66" s="49">
        <f t="shared" si="25"/>
        <v>905064</v>
      </c>
      <c r="K66" s="49">
        <f t="shared" si="25"/>
        <v>2584365</v>
      </c>
      <c r="L66" s="49">
        <f t="shared" si="25"/>
        <v>1199863.9999999998</v>
      </c>
      <c r="M66" s="49">
        <f t="shared" si="25"/>
        <v>1277772.29</v>
      </c>
      <c r="N66" s="49">
        <f>SUM(N57:N64)</f>
        <v>1149567.2</v>
      </c>
      <c r="O66" s="49">
        <f>SUM(O57:O64)</f>
        <v>1457668.9459999998</v>
      </c>
      <c r="P66" s="49">
        <f t="shared" ref="P66:AA66" si="26">SUM(P57:P65)</f>
        <v>-553695.59000000008</v>
      </c>
      <c r="Q66" s="49">
        <f t="shared" si="26"/>
        <v>659572.36999999976</v>
      </c>
      <c r="R66" s="49">
        <f t="shared" si="26"/>
        <v>434563.62000000029</v>
      </c>
      <c r="S66" s="49">
        <f t="shared" si="26"/>
        <v>774889.12000000046</v>
      </c>
      <c r="T66" s="49">
        <f t="shared" si="26"/>
        <v>1849274.0100000005</v>
      </c>
      <c r="U66" s="49">
        <f t="shared" si="26"/>
        <v>1202660.33</v>
      </c>
      <c r="V66" s="49">
        <f t="shared" si="26"/>
        <v>1054859.72</v>
      </c>
      <c r="W66" s="49">
        <f t="shared" si="26"/>
        <v>1074313.3399999999</v>
      </c>
      <c r="X66" s="49">
        <f t="shared" si="26"/>
        <v>472422.33999999997</v>
      </c>
      <c r="Y66" s="49">
        <f t="shared" si="26"/>
        <v>1097082.4899999998</v>
      </c>
      <c r="Z66" s="49">
        <f t="shared" ref="Z66" si="27">SUM(Z57:Z65)</f>
        <v>389159.19000000018</v>
      </c>
      <c r="AA66" s="102">
        <f t="shared" si="26"/>
        <v>3046617.6700000004</v>
      </c>
      <c r="AB66" s="45"/>
      <c r="AC66" s="66"/>
    </row>
    <row r="67" spans="1:29">
      <c r="A67" s="201" t="s">
        <v>458</v>
      </c>
      <c r="B67" s="201"/>
      <c r="C67" s="202">
        <f>-'BalansenWinstverlies - FY2018'!M85</f>
        <v>674648.44</v>
      </c>
      <c r="D67" s="203">
        <f>-'Cijfers QSP - Q1 2019'!P125</f>
        <v>168662</v>
      </c>
      <c r="E67" s="204">
        <f>-'Cijfers QSP - Q1 2019'!R125</f>
        <v>1100454.22</v>
      </c>
      <c r="F67" s="205">
        <f>-'BDO - Q2 2019'!D123</f>
        <v>142232</v>
      </c>
      <c r="G67" s="205">
        <f>-'BDO - Q3 2019'!H125</f>
        <v>153794</v>
      </c>
      <c r="H67" s="206">
        <f>-'BDO Q4 2019'!G126</f>
        <v>129418</v>
      </c>
      <c r="I67" s="205">
        <f>-'BDO - Q1 2020'!G126</f>
        <v>-293081</v>
      </c>
      <c r="J67" s="205">
        <f>-'BDO - Q3 2020'!G128</f>
        <v>64986</v>
      </c>
      <c r="K67" s="205">
        <f>-'BDO - Q2 2021'!G125</f>
        <v>120923</v>
      </c>
      <c r="L67" s="205">
        <f>-'BDO - Q4 2021'!G128-'BDO - Q4 2021'!G127</f>
        <v>140246.20000000001</v>
      </c>
      <c r="M67" s="205">
        <f>-'BDO - Q1-22'!G130</f>
        <v>237434</v>
      </c>
      <c r="N67" s="205">
        <f>-'BDO - Q2-22'!G130</f>
        <v>121128</v>
      </c>
      <c r="O67" s="205">
        <f>-'BDO - Q3-22'!G129</f>
        <v>165568</v>
      </c>
      <c r="P67" s="205">
        <f>-'BDO - Q3-23'!D143</f>
        <v>-1592981</v>
      </c>
      <c r="Q67" s="205">
        <f>-'BDO - Q3-23'!E143</f>
        <v>181734</v>
      </c>
      <c r="R67" s="205">
        <f>-'BDO - Q3-23'!F143</f>
        <v>172942</v>
      </c>
      <c r="S67" s="205">
        <f>-'BDO - Q3-23'!G143</f>
        <v>146161</v>
      </c>
      <c r="T67" s="205">
        <f>-'BDO - Q4-23'!G143</f>
        <v>153491</v>
      </c>
      <c r="U67" s="205">
        <f>-'BDO - Q1-24'!G116-'BDO - Q1-24'!G117</f>
        <v>160838</v>
      </c>
      <c r="V67" s="205">
        <f>-'BDO - Q2-24'!G117-'BDO - Q2-24'!G118</f>
        <v>176734</v>
      </c>
      <c r="W67" s="205">
        <f>-'BDO - Q3-24'!G117-'BDO - Q3-24'!G118</f>
        <v>155489</v>
      </c>
      <c r="X67" s="205">
        <f>-'BDO - Q4-24'!G117-'BDO - Q4-24'!G118</f>
        <v>202710</v>
      </c>
      <c r="Y67" s="205">
        <f>-'BDO - Q1-25'!G119-'BDO - Q1-25'!G120</f>
        <v>173840</v>
      </c>
      <c r="Z67" s="205">
        <f>-'BDO - Q2-25'!G119-'BDO - Q2-25'!G120</f>
        <v>200714</v>
      </c>
      <c r="AA67" s="101">
        <f>-'BDO - Q2-25'!H119-'BDO - Q2-25'!H120</f>
        <v>-787795</v>
      </c>
      <c r="AB67" s="37"/>
      <c r="AC67" s="207"/>
    </row>
    <row r="68" spans="1:29">
      <c r="A68" s="12" t="s">
        <v>307</v>
      </c>
      <c r="B68" s="12"/>
      <c r="C68" s="95">
        <f>C67+C66</f>
        <v>1739468.0199999989</v>
      </c>
      <c r="D68" s="13">
        <f>D67+D66</f>
        <v>1181795.6099999996</v>
      </c>
      <c r="E68" s="102">
        <f>E67+E66</f>
        <v>4398563.8099999977</v>
      </c>
      <c r="F68" s="49">
        <f>F67+F66</f>
        <v>1429681</v>
      </c>
      <c r="G68" s="148">
        <f t="shared" ref="G68:M68" si="28">G67+G66</f>
        <v>644425</v>
      </c>
      <c r="H68" s="166">
        <f t="shared" si="28"/>
        <v>1874846</v>
      </c>
      <c r="I68" s="49">
        <f t="shared" si="28"/>
        <v>1412194</v>
      </c>
      <c r="J68" s="49">
        <f t="shared" si="28"/>
        <v>970050</v>
      </c>
      <c r="K68" s="49">
        <f t="shared" si="28"/>
        <v>2705288</v>
      </c>
      <c r="L68" s="49">
        <f t="shared" si="28"/>
        <v>1340110.1999999997</v>
      </c>
      <c r="M68" s="49">
        <f t="shared" si="28"/>
        <v>1515206.29</v>
      </c>
      <c r="N68" s="49">
        <f t="shared" ref="N68:AA68" si="29">N67+N66</f>
        <v>1270695.2</v>
      </c>
      <c r="O68" s="49">
        <f t="shared" si="29"/>
        <v>1623236.9459999998</v>
      </c>
      <c r="P68" s="49">
        <f t="shared" si="29"/>
        <v>-2146676.59</v>
      </c>
      <c r="Q68" s="49">
        <f t="shared" si="29"/>
        <v>841306.36999999976</v>
      </c>
      <c r="R68" s="49">
        <f t="shared" si="29"/>
        <v>607505.62000000034</v>
      </c>
      <c r="S68" s="49">
        <f t="shared" ref="S68:Y68" si="30">S67+S66</f>
        <v>921050.12000000046</v>
      </c>
      <c r="T68" s="49">
        <f t="shared" si="30"/>
        <v>2002765.0100000005</v>
      </c>
      <c r="U68" s="49">
        <f t="shared" si="30"/>
        <v>1363498.33</v>
      </c>
      <c r="V68" s="49">
        <f t="shared" si="30"/>
        <v>1231593.72</v>
      </c>
      <c r="W68" s="49">
        <f t="shared" si="30"/>
        <v>1229802.3399999999</v>
      </c>
      <c r="X68" s="49">
        <f t="shared" si="30"/>
        <v>675132.34</v>
      </c>
      <c r="Y68" s="49">
        <f t="shared" si="30"/>
        <v>1270922.4899999998</v>
      </c>
      <c r="Z68" s="49">
        <f t="shared" ref="Z68" si="31">Z67+Z66</f>
        <v>589873.19000000018</v>
      </c>
      <c r="AA68" s="102">
        <f t="shared" si="29"/>
        <v>2258822.6700000004</v>
      </c>
      <c r="AB68" s="45"/>
      <c r="AC68" s="66"/>
    </row>
    <row r="69" spans="1:29">
      <c r="A69" s="12"/>
      <c r="B69" s="12"/>
      <c r="C69" s="19"/>
      <c r="D69" s="19"/>
      <c r="E69" s="19"/>
      <c r="F69" s="19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277"/>
      <c r="AB69" s="3"/>
    </row>
    <row r="70" spans="1:29">
      <c r="A70" s="3"/>
      <c r="B70" s="3"/>
      <c r="C70" s="19"/>
      <c r="D70" s="19"/>
      <c r="E70" s="19"/>
      <c r="F70" s="128"/>
      <c r="G70" s="128"/>
      <c r="H70" s="128"/>
      <c r="I70" s="128"/>
      <c r="J70" s="211">
        <f>J68+'BDO - Q4 2020'!G130</f>
        <v>970050</v>
      </c>
      <c r="K70" s="211">
        <f>K68+'BDO - Q2 2021'!G128</f>
        <v>0</v>
      </c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53"/>
      <c r="AB70" s="3"/>
    </row>
    <row r="71" spans="1:29" hidden="1" outlineLevel="2">
      <c r="A71" s="4" t="s">
        <v>308</v>
      </c>
      <c r="B71" s="4"/>
      <c r="C71" s="11" t="s">
        <v>322</v>
      </c>
      <c r="D71" s="11" t="s">
        <v>396</v>
      </c>
      <c r="E71" s="11" t="s">
        <v>397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44"/>
      <c r="AC71" s="65" t="s">
        <v>341</v>
      </c>
    </row>
    <row r="72" spans="1:29" hidden="1" outlineLevel="2">
      <c r="A72" s="20" t="s">
        <v>309</v>
      </c>
      <c r="B72" s="20"/>
      <c r="C72" s="61">
        <f>C25</f>
        <v>10809498.309999999</v>
      </c>
      <c r="D72" s="22">
        <f>D25</f>
        <v>2728381.71</v>
      </c>
      <c r="E72" s="22">
        <f>E25</f>
        <v>10920774.58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50"/>
      <c r="AC72" s="66"/>
    </row>
    <row r="73" spans="1:29" hidden="1" outlineLevel="2">
      <c r="A73" s="20" t="s">
        <v>335</v>
      </c>
      <c r="B73" s="3"/>
      <c r="C73" s="61">
        <f>C30</f>
        <v>46054.650000000023</v>
      </c>
      <c r="D73" s="22">
        <f>D30</f>
        <v>-8601.1000000000058</v>
      </c>
      <c r="E73" s="22">
        <f>E30</f>
        <v>-34479.460000000196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1"/>
      <c r="AC73" s="66"/>
    </row>
    <row r="74" spans="1:29" hidden="1" outlineLevel="2">
      <c r="A74" s="17" t="s">
        <v>291</v>
      </c>
      <c r="B74" s="17"/>
      <c r="C74" s="62">
        <f t="shared" ref="C74:E76" si="32">C32</f>
        <v>-1015338.54</v>
      </c>
      <c r="D74" s="23">
        <f t="shared" si="32"/>
        <v>-292677.44</v>
      </c>
      <c r="E74" s="23">
        <f t="shared" si="32"/>
        <v>-1320737.6499999999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1"/>
      <c r="AC74" s="66"/>
    </row>
    <row r="75" spans="1:29" hidden="1" outlineLevel="2">
      <c r="A75" s="17" t="s">
        <v>292</v>
      </c>
      <c r="B75" s="17"/>
      <c r="C75" s="62">
        <f t="shared" si="32"/>
        <v>-630780.63</v>
      </c>
      <c r="D75" s="23">
        <f t="shared" si="32"/>
        <v>-132836.79999999999</v>
      </c>
      <c r="E75" s="23">
        <f t="shared" si="32"/>
        <v>-553015.62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1"/>
      <c r="AC75" s="66"/>
    </row>
    <row r="76" spans="1:29" hidden="1" outlineLevel="2">
      <c r="A76" s="17" t="s">
        <v>293</v>
      </c>
      <c r="B76" s="17"/>
      <c r="C76" s="62">
        <f t="shared" si="32"/>
        <v>-85028.99</v>
      </c>
      <c r="D76" s="21">
        <f t="shared" si="32"/>
        <v>-17390.79</v>
      </c>
      <c r="E76" s="23">
        <f t="shared" si="32"/>
        <v>-44690.520000000011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1"/>
      <c r="AC76" s="66" t="s">
        <v>404</v>
      </c>
    </row>
    <row r="77" spans="1:29" hidden="1" outlineLevel="2">
      <c r="A77" s="17" t="s">
        <v>294</v>
      </c>
      <c r="B77" s="17"/>
      <c r="C77" s="62">
        <f t="shared" ref="C77:C84" si="33">C35</f>
        <v>-568182</v>
      </c>
      <c r="D77" s="21">
        <f t="shared" ref="D77:E84" si="34">D35</f>
        <v>0</v>
      </c>
      <c r="E77" s="23">
        <f t="shared" si="34"/>
        <v>-568182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1"/>
      <c r="AC77" s="66"/>
    </row>
    <row r="78" spans="1:29" hidden="1" outlineLevel="2">
      <c r="A78" s="17" t="s">
        <v>295</v>
      </c>
      <c r="B78" s="17"/>
      <c r="C78" s="62">
        <f t="shared" si="33"/>
        <v>-316136.09999999998</v>
      </c>
      <c r="D78" s="21">
        <f t="shared" si="34"/>
        <v>-98935.71</v>
      </c>
      <c r="E78" s="23">
        <f t="shared" si="34"/>
        <v>-97284.89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1"/>
      <c r="AC78" s="66" t="s">
        <v>404</v>
      </c>
    </row>
    <row r="79" spans="1:29" hidden="1" outlineLevel="2">
      <c r="A79" s="17" t="s">
        <v>296</v>
      </c>
      <c r="B79" s="17"/>
      <c r="C79" s="62">
        <f t="shared" si="33"/>
        <v>-117497.35</v>
      </c>
      <c r="D79" s="21">
        <f t="shared" si="34"/>
        <v>-32634.86</v>
      </c>
      <c r="E79" s="23">
        <f t="shared" si="34"/>
        <v>-57510.350000000006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1"/>
      <c r="AC79" s="66"/>
    </row>
    <row r="80" spans="1:29" hidden="1" outlineLevel="2">
      <c r="A80" s="17" t="s">
        <v>297</v>
      </c>
      <c r="B80" s="17"/>
      <c r="C80" s="62">
        <f t="shared" si="33"/>
        <v>0</v>
      </c>
      <c r="D80" s="23">
        <f t="shared" si="34"/>
        <v>0</v>
      </c>
      <c r="E80" s="23">
        <f t="shared" si="34"/>
        <v>0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1"/>
      <c r="AC80" s="66"/>
    </row>
    <row r="81" spans="1:29" hidden="1" outlineLevel="2">
      <c r="A81" s="17" t="s">
        <v>304</v>
      </c>
      <c r="B81" s="17"/>
      <c r="C81" s="62">
        <f t="shared" si="33"/>
        <v>-157427.41</v>
      </c>
      <c r="D81" s="23">
        <f t="shared" si="34"/>
        <v>-68270.429999999993</v>
      </c>
      <c r="E81" s="23">
        <f t="shared" si="34"/>
        <v>-253034.61000000002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1"/>
      <c r="AC81" s="66"/>
    </row>
    <row r="82" spans="1:29" hidden="1" outlineLevel="2">
      <c r="A82" s="17" t="s">
        <v>298</v>
      </c>
      <c r="B82" s="17"/>
      <c r="C82" s="62">
        <f t="shared" si="33"/>
        <v>-105671.95</v>
      </c>
      <c r="D82" s="23">
        <f t="shared" si="34"/>
        <v>-40798.339999999997</v>
      </c>
      <c r="E82" s="23">
        <f t="shared" si="34"/>
        <v>-79692.680000000008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1"/>
      <c r="AC82" s="66"/>
    </row>
    <row r="83" spans="1:29" hidden="1" outlineLevel="2">
      <c r="A83" s="17" t="s">
        <v>324</v>
      </c>
      <c r="B83" s="17"/>
      <c r="C83" s="62">
        <f t="shared" si="33"/>
        <v>-122608.27</v>
      </c>
      <c r="D83" s="23">
        <f t="shared" si="34"/>
        <v>-8710</v>
      </c>
      <c r="E83" s="23">
        <f t="shared" si="34"/>
        <v>-87394.66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1"/>
      <c r="AC83" s="66"/>
    </row>
    <row r="84" spans="1:29" hidden="1" outlineLevel="2">
      <c r="A84" s="17" t="s">
        <v>325</v>
      </c>
      <c r="B84" s="17"/>
      <c r="C84" s="62">
        <f t="shared" si="33"/>
        <v>-165684.92000000001</v>
      </c>
      <c r="D84" s="23">
        <f t="shared" si="34"/>
        <v>0</v>
      </c>
      <c r="E84" s="23">
        <f t="shared" si="34"/>
        <v>-10890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1"/>
      <c r="AC84" s="66"/>
    </row>
    <row r="85" spans="1:29" hidden="1" outlineLevel="2">
      <c r="A85" s="17" t="s">
        <v>301</v>
      </c>
      <c r="B85" s="17"/>
      <c r="C85" s="62">
        <f t="shared" ref="C85:E86" si="35">C46</f>
        <v>-472384.16</v>
      </c>
      <c r="D85" s="23">
        <f t="shared" si="35"/>
        <v>-119182.54</v>
      </c>
      <c r="E85" s="23">
        <f t="shared" si="35"/>
        <v>-477298.54000000004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1"/>
      <c r="AC85" s="66"/>
    </row>
    <row r="86" spans="1:29" hidden="1" outlineLevel="2">
      <c r="A86" s="17" t="s">
        <v>326</v>
      </c>
      <c r="B86" s="17"/>
      <c r="C86" s="62">
        <f t="shared" si="35"/>
        <v>-16335</v>
      </c>
      <c r="D86" s="23">
        <f t="shared" si="35"/>
        <v>-4500</v>
      </c>
      <c r="E86" s="23">
        <f t="shared" si="35"/>
        <v>-20835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1"/>
      <c r="AC86" s="66"/>
    </row>
    <row r="87" spans="1:29" hidden="1" outlineLevel="2">
      <c r="A87" s="18" t="s">
        <v>336</v>
      </c>
      <c r="B87" s="18"/>
      <c r="C87" s="61">
        <f>SUM(C72:C86)</f>
        <v>7082477.6399999978</v>
      </c>
      <c r="D87" s="22">
        <f>SUM(D72:D86)</f>
        <v>1903843.7000000002</v>
      </c>
      <c r="E87" s="22">
        <f>SUM(E72:E86)</f>
        <v>7315728.6000000006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50"/>
      <c r="AC87" s="66"/>
    </row>
    <row r="88" spans="1:29" hidden="1" outlineLevel="2">
      <c r="A88" s="18"/>
      <c r="B88" s="18"/>
      <c r="C88" s="6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50"/>
      <c r="AC88" s="66"/>
    </row>
    <row r="89" spans="1:29" hidden="1" outlineLevel="2">
      <c r="A89" s="18" t="s">
        <v>310</v>
      </c>
      <c r="B89" s="18"/>
      <c r="C89" s="61">
        <f>C50</f>
        <v>3561500</v>
      </c>
      <c r="D89" s="112">
        <f>D50</f>
        <v>1019250</v>
      </c>
      <c r="E89" s="112">
        <f>E50</f>
        <v>4580750</v>
      </c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50"/>
      <c r="AC89" s="66"/>
    </row>
    <row r="90" spans="1:29" hidden="1" outlineLevel="2">
      <c r="A90" s="18"/>
      <c r="B90" s="18"/>
      <c r="C90" s="6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50"/>
      <c r="AC90" s="66"/>
    </row>
    <row r="91" spans="1:29" hidden="1" outlineLevel="2">
      <c r="A91" s="18" t="s">
        <v>311</v>
      </c>
      <c r="B91" s="18"/>
      <c r="C91" s="61">
        <f>C89+C87</f>
        <v>10643977.639999997</v>
      </c>
      <c r="D91" s="22">
        <f>D89+D87</f>
        <v>2923093.7</v>
      </c>
      <c r="E91" s="22">
        <f>E89+E87</f>
        <v>11896478.600000001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50"/>
      <c r="AC91" s="66"/>
    </row>
    <row r="92" spans="1:29" hidden="1" outlineLevel="2">
      <c r="A92" s="18"/>
      <c r="B92" s="18"/>
      <c r="C92" s="6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50"/>
      <c r="AC92" s="66"/>
    </row>
    <row r="93" spans="1:29" ht="15.75" hidden="1" customHeight="1" outlineLevel="2">
      <c r="A93" s="14" t="s">
        <v>305</v>
      </c>
      <c r="B93" s="14"/>
      <c r="C93" s="62">
        <f>SUM(C59:C64)</f>
        <v>-4538598.3899999997</v>
      </c>
      <c r="D93" s="23">
        <f>SUM(D59:D64)</f>
        <v>-609746.09</v>
      </c>
      <c r="E93" s="23">
        <f>SUM(E59:E64)</f>
        <v>-2578318.12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1"/>
      <c r="AC93" s="66"/>
    </row>
    <row r="94" spans="1:29" ht="15.75" hidden="1" customHeight="1" outlineLevel="2">
      <c r="A94" s="14" t="s">
        <v>338</v>
      </c>
      <c r="B94" s="14"/>
      <c r="C94" s="62">
        <f>-'BalansenWinstverlies - FY2018'!M28-C95</f>
        <v>-2437500.6332667498</v>
      </c>
      <c r="D94" s="58">
        <v>0</v>
      </c>
      <c r="E94" s="113">
        <f>C94</f>
        <v>-2437500.6332667498</v>
      </c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21"/>
      <c r="AC94" s="66" t="s">
        <v>402</v>
      </c>
    </row>
    <row r="95" spans="1:29" hidden="1" outlineLevel="2">
      <c r="A95" s="14" t="s">
        <v>337</v>
      </c>
      <c r="B95" s="14"/>
      <c r="C95" s="63">
        <v>-2632731.8667332502</v>
      </c>
      <c r="D95" s="58">
        <v>0</v>
      </c>
      <c r="E95" s="113">
        <f>C95</f>
        <v>-2632731.8667332502</v>
      </c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21"/>
      <c r="AC95" s="66" t="s">
        <v>403</v>
      </c>
    </row>
    <row r="96" spans="1:29" hidden="1" outlineLevel="2">
      <c r="A96" s="14" t="s">
        <v>339</v>
      </c>
      <c r="B96" s="14"/>
      <c r="C96" s="64">
        <f>-(SUM(C91:C95)-C103)</f>
        <v>-56648.809999997262</v>
      </c>
      <c r="D96" s="36">
        <f>-(SUM(D91:D95)-D103)</f>
        <v>-273564.03000000073</v>
      </c>
      <c r="E96" s="116">
        <f>-(SUM(E91:E95)-E103)</f>
        <v>-580631.73000000091</v>
      </c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21"/>
      <c r="AC96" s="66" t="s">
        <v>401</v>
      </c>
    </row>
    <row r="97" spans="1:29" hidden="1" outlineLevel="2">
      <c r="A97" s="12" t="s">
        <v>312</v>
      </c>
      <c r="B97" s="12"/>
      <c r="C97" s="61">
        <f>SUM(C91:C96)</f>
        <v>978497.94</v>
      </c>
      <c r="D97" s="22">
        <f>SUM(D91:D96)</f>
        <v>2039783.5799999996</v>
      </c>
      <c r="E97" s="22">
        <f>SUM(E91:E96)</f>
        <v>3667296.2499999995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50"/>
      <c r="AC97" s="66" t="s">
        <v>401</v>
      </c>
    </row>
    <row r="98" spans="1:29" hidden="1" outlineLevel="2">
      <c r="A98" s="12"/>
      <c r="B98" s="12"/>
      <c r="C98" s="6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50"/>
      <c r="AC98" s="115"/>
    </row>
    <row r="99" spans="1:29" hidden="1" outlineLevel="2">
      <c r="A99" s="12"/>
      <c r="B99" s="12"/>
      <c r="C99" s="6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50"/>
    </row>
    <row r="100" spans="1:29" hidden="1" outlineLevel="2">
      <c r="A100" s="12"/>
      <c r="B100" s="12"/>
      <c r="C100" s="6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50"/>
    </row>
    <row r="101" spans="1:29" hidden="1" outlineLevel="2">
      <c r="A101" s="3"/>
      <c r="B101" s="3"/>
      <c r="C101" s="6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9" hidden="1" outlineLevel="2">
      <c r="A102" s="24" t="s">
        <v>313</v>
      </c>
      <c r="B102" s="25"/>
      <c r="C102" s="108">
        <v>1084821</v>
      </c>
      <c r="D102" s="59">
        <f>C104</f>
        <v>2063318.94</v>
      </c>
      <c r="E102" s="59">
        <f>'Cijfers QSP - Q1 2019'!C30</f>
        <v>435806.26999999996</v>
      </c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21"/>
    </row>
    <row r="103" spans="1:29" hidden="1" outlineLevel="2">
      <c r="A103" s="26" t="s">
        <v>314</v>
      </c>
      <c r="B103" s="27"/>
      <c r="C103" s="109">
        <f>C104-C102</f>
        <v>978497.94</v>
      </c>
      <c r="D103" s="28">
        <f>D104-D102</f>
        <v>2039783.5799999996</v>
      </c>
      <c r="E103" s="28">
        <f>E104-E102</f>
        <v>3667296.2499999995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1"/>
    </row>
    <row r="104" spans="1:29" hidden="1" outlineLevel="2">
      <c r="A104" s="29" t="s">
        <v>315</v>
      </c>
      <c r="B104" s="30"/>
      <c r="C104" s="110">
        <f>C114</f>
        <v>2063318.94</v>
      </c>
      <c r="D104" s="31">
        <f>E9</f>
        <v>4103102.5199999996</v>
      </c>
      <c r="E104" s="31">
        <f>D104</f>
        <v>4103102.5199999996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50"/>
    </row>
    <row r="105" spans="1:29" outlineLevel="1" collapsed="1">
      <c r="A105" s="3"/>
      <c r="B105" s="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21"/>
      <c r="AB105" s="21"/>
    </row>
    <row r="106" spans="1:29" outlineLevel="1">
      <c r="A106" s="30" t="s">
        <v>405</v>
      </c>
      <c r="B106" s="30"/>
      <c r="C106" s="32" t="s">
        <v>340</v>
      </c>
      <c r="D106" s="32" t="s">
        <v>399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151" t="s">
        <v>714</v>
      </c>
      <c r="AB106" s="51"/>
    </row>
    <row r="107" spans="1:29" outlineLevel="1">
      <c r="A107" s="3" t="s">
        <v>400</v>
      </c>
      <c r="B107" s="3"/>
      <c r="C107" s="40">
        <v>415424.01</v>
      </c>
      <c r="D107" s="52">
        <f>'Cijfers QSP - Q1 2019'!P28</f>
        <v>499735.94999999995</v>
      </c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152">
        <f>'BDO - Q2-25'!H30+'BDO - Q2-25'!H35</f>
        <v>7249.42</v>
      </c>
      <c r="AB107" s="52"/>
    </row>
    <row r="108" spans="1:29" outlineLevel="1">
      <c r="A108" s="3" t="s">
        <v>316</v>
      </c>
      <c r="B108" s="3"/>
      <c r="C108" s="40">
        <v>491535.05</v>
      </c>
      <c r="D108" s="52">
        <f>'Cijfers QSP - Q1 2019'!P27</f>
        <v>601349.86</v>
      </c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153">
        <f>'BDO - Q2-25'!H34</f>
        <v>65122.31</v>
      </c>
      <c r="AB108" s="52"/>
    </row>
    <row r="109" spans="1:29" outlineLevel="1">
      <c r="A109" s="3" t="s">
        <v>317</v>
      </c>
      <c r="B109" s="3"/>
      <c r="C109" s="40">
        <v>275171.20000000001</v>
      </c>
      <c r="D109" s="52">
        <f>'Cijfers QSP - Q1 2019'!P29+'Cijfers QSP - Q1 2019'!P23</f>
        <v>58811.340000000011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153">
        <f>'BDO - Q2-25'!H36</f>
        <v>-16</v>
      </c>
      <c r="AB109" s="52"/>
    </row>
    <row r="110" spans="1:29" outlineLevel="1">
      <c r="A110" s="3" t="s">
        <v>318</v>
      </c>
      <c r="B110" s="3"/>
      <c r="C110" s="40">
        <v>191789.65</v>
      </c>
      <c r="D110" s="52">
        <f>'Cijfers QSP - Q1 2019'!P26</f>
        <v>1034628.1499999999</v>
      </c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153">
        <f>'BDO - Q2-25'!H32</f>
        <v>27</v>
      </c>
      <c r="AB110" s="52"/>
    </row>
    <row r="111" spans="1:29" outlineLevel="1">
      <c r="A111" s="3" t="s">
        <v>319</v>
      </c>
      <c r="B111" s="3"/>
      <c r="C111" s="111">
        <v>9648.09</v>
      </c>
      <c r="D111" s="53">
        <f>'Cijfers QSP - Q1 2019'!P25</f>
        <v>1369615.4000000001</v>
      </c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153">
        <f>'BDO - Q2-25'!H33</f>
        <v>13957.469999999972</v>
      </c>
      <c r="AB111" s="52"/>
    </row>
    <row r="112" spans="1:29" outlineLevel="1">
      <c r="A112" s="3" t="s">
        <v>550</v>
      </c>
      <c r="B112" s="3"/>
      <c r="C112" s="111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153">
        <f>'BDO - Q2-25'!H37</f>
        <v>0</v>
      </c>
      <c r="AB112" s="52"/>
    </row>
    <row r="113" spans="1:28" outlineLevel="1">
      <c r="A113" s="27" t="s">
        <v>320</v>
      </c>
      <c r="B113" s="27"/>
      <c r="C113" s="41">
        <v>679750.94</v>
      </c>
      <c r="D113" s="67">
        <f>'Cijfers QSP - Q1 2019'!P24</f>
        <v>538961.8199999996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154">
        <f>'BDO - Q2-25'!H31</f>
        <v>805.81999999999971</v>
      </c>
      <c r="AB113" s="53"/>
    </row>
    <row r="114" spans="1:28" outlineLevel="1">
      <c r="A114" s="20" t="s">
        <v>284</v>
      </c>
      <c r="B114" s="20"/>
      <c r="C114" s="33">
        <f>SUM(C107:C113)</f>
        <v>2063318.94</v>
      </c>
      <c r="D114" s="33">
        <f>SUM(D107:D113)</f>
        <v>4103102.5199999996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155">
        <f>SUM(AA107:AA113)</f>
        <v>87146.01999999996</v>
      </c>
      <c r="AB114" s="54"/>
    </row>
    <row r="116" spans="1:28">
      <c r="A116" s="39"/>
    </row>
    <row r="117" spans="1:28">
      <c r="A117" s="39"/>
      <c r="AA117" s="242"/>
    </row>
    <row r="118" spans="1:28">
      <c r="A118" s="39"/>
    </row>
    <row r="119" spans="1:28">
      <c r="A119" s="39"/>
    </row>
    <row r="120" spans="1:28">
      <c r="A120" s="39"/>
    </row>
    <row r="121" spans="1:28">
      <c r="A121" s="39"/>
    </row>
  </sheetData>
  <pageMargins left="0.25" right="0.25" top="0.75" bottom="0.75" header="0.3" footer="0.3"/>
  <pageSetup paperSize="9" scale="18" orientation="landscape" r:id="rId1"/>
  <ignoredErrors>
    <ignoredError sqref="Q66 Z30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eba90aec8ca966340e08935ee833c8cc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56db47df3d369b1330e1493e9658cba3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f7e5f2-7bff-48cb-9d5f-c2d3a1e49a36">PZ6C3HYYRRJX-187418651-114681</_dlc_DocId>
    <_dlc_DocIdUrl xmlns="43f7e5f2-7bff-48cb-9d5f-c2d3a1e49a36">
      <Url>https://dmequity.sharepoint.com/sites/DME/_layouts/15/DocIdRedir.aspx?ID=PZ6C3HYYRRJX-187418651-114681</Url>
      <Description>PZ6C3HYYRRJX-187418651-114681</Description>
    </_dlc_DocIdUrl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5F160-E793-4D52-A82C-E4C13825F0E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0BD32DB-CA13-4E13-A4BE-007E2885E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D99113-2ECF-4318-82E7-A219D77F0E9C}">
  <ds:schemaRefs>
    <ds:schemaRef ds:uri="http://purl.org/dc/terms/"/>
    <ds:schemaRef ds:uri="http://purl.org/dc/dcmitype/"/>
    <ds:schemaRef ds:uri="43f7e5f2-7bff-48cb-9d5f-c2d3a1e49a36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ad47cc6-ee06-428f-a109-95e0cd5f2128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470A296D-32C8-41DC-B8FF-C45740AEF3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BalansenWinstverlies - FY2018</vt:lpstr>
      <vt:lpstr>Cijfers QSP - Q1 2019</vt:lpstr>
      <vt:lpstr>BDO - Q2 2019</vt:lpstr>
      <vt:lpstr>BDO - Q3 2019</vt:lpstr>
      <vt:lpstr>BDO Q4 2019</vt:lpstr>
      <vt:lpstr>BDO - Q1 2020</vt:lpstr>
      <vt:lpstr>BDO - Q2 2020</vt:lpstr>
      <vt:lpstr>BDO - Q3 2020</vt:lpstr>
      <vt:lpstr>BDO - Q4 2020</vt:lpstr>
      <vt:lpstr>BDO - Q1 2021</vt:lpstr>
      <vt:lpstr>BDO - Q2 2021</vt:lpstr>
      <vt:lpstr>BDO - Q3 2021</vt:lpstr>
      <vt:lpstr>BDO - Q4 2021</vt:lpstr>
      <vt:lpstr>BDO - Q1-22</vt:lpstr>
      <vt:lpstr>BDO - Q2-22</vt:lpstr>
      <vt:lpstr>BDO - Q3-22</vt:lpstr>
      <vt:lpstr>BDO - Q4-22</vt:lpstr>
      <vt:lpstr>BDO - Q1-23</vt:lpstr>
      <vt:lpstr>BDO - Q2-23</vt:lpstr>
      <vt:lpstr>BDO - Q3-23</vt:lpstr>
      <vt:lpstr>BDO - Q4-23</vt:lpstr>
      <vt:lpstr>BDO - Q1-24</vt:lpstr>
      <vt:lpstr>BDO - Q2-24</vt:lpstr>
      <vt:lpstr>BDO - Q3-24</vt:lpstr>
      <vt:lpstr>BDO - Q4-24</vt:lpstr>
      <vt:lpstr>BDO - Q1-25</vt:lpstr>
      <vt:lpstr>BDO - Q2-25</vt:lpstr>
      <vt:lpstr>Management Cijfers - Q2 2025</vt:lpstr>
    </vt:vector>
  </TitlesOfParts>
  <Company>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van Rooijen</dc:creator>
  <cp:lastModifiedBy>Quinten Visser</cp:lastModifiedBy>
  <cp:lastPrinted>2025-07-16T10:56:07Z</cp:lastPrinted>
  <dcterms:created xsi:type="dcterms:W3CDTF">2019-01-25T10:03:20Z</dcterms:created>
  <dcterms:modified xsi:type="dcterms:W3CDTF">2025-10-20T15:10:14Z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0x010100B702D542F7F0E847AEA531E2E1FAD41A</vt:lpwstr>
  </property>
  <property fmtid="{D5CDD505-2E9C-101B-9397-08002B2CF9AE}" pid="3" name="Order">
    <vt:r8>1111400</vt:r8>
  </property>
  <property fmtid="{D5CDD505-2E9C-101B-9397-08002B2CF9AE}" pid="4" name="_dlc_DocIdItemGuid">
    <vt:lpwstr>665f3504-c755-4c35-8720-bffe7cb045bf</vt:lpwstr>
  </property>
  <property fmtid="{D5CDD505-2E9C-101B-9397-08002B2CF9AE}" pid="5" name="MediaServiceImageTags">
    <vt:lpwstr/>
  </property>
</Properties>
</file>