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mequity.sharepoint.com/sites/DME/03 Portfolio Companies/I0014 - QSP ESS BV/02. Investment Management/03. Quarterly Reporting ABN/2025 Q3/Models/"/>
    </mc:Choice>
  </mc:AlternateContent>
  <xr:revisionPtr revIDLastSave="0" documentId="8_{7AF006F4-1ABF-4C98-87E8-36302335056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Blad1" sheetId="1" r:id="rId1"/>
  </sheets>
  <definedNames>
    <definedName name="_xlnm._FilterDatabase" localSheetId="0" hidden="1">Blad1!$B$4:$M$174</definedName>
    <definedName name="_xlnm.Print_Area" localSheetId="0">Blad1!$A$1:$M$176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6" i="1" l="1"/>
  <c r="E176" i="1"/>
  <c r="D176" i="1"/>
  <c r="F175" i="1"/>
  <c r="E175" i="1"/>
  <c r="D175" i="1"/>
  <c r="D174" i="1"/>
  <c r="E174" i="1"/>
  <c r="F174" i="1"/>
  <c r="J174" i="1"/>
  <c r="I174" i="1"/>
  <c r="J173" i="1"/>
  <c r="I173" i="1"/>
  <c r="G173" i="1"/>
  <c r="G175" i="1" l="1"/>
  <c r="J172" i="1"/>
  <c r="J171" i="1"/>
  <c r="J170" i="1"/>
  <c r="G176" i="1" l="1"/>
  <c r="I172" i="1"/>
  <c r="G172" i="1"/>
  <c r="J169" i="1"/>
  <c r="J168" i="1"/>
  <c r="J165" i="1"/>
  <c r="G171" i="1"/>
  <c r="I171" i="1"/>
  <c r="G170" i="1" l="1"/>
  <c r="I170" i="1"/>
  <c r="J166" i="1" l="1"/>
  <c r="J167" i="1"/>
  <c r="J164" i="1"/>
  <c r="G169" i="1"/>
  <c r="I169" i="1"/>
  <c r="G168" i="1" l="1"/>
  <c r="I168" i="1"/>
  <c r="G167" i="1" l="1"/>
  <c r="I167" i="1" l="1"/>
  <c r="J163" i="1"/>
  <c r="G166" i="1"/>
  <c r="I166" i="1"/>
  <c r="G165" i="1"/>
  <c r="I165" i="1"/>
  <c r="I162" i="1" l="1"/>
  <c r="J162" i="1"/>
  <c r="J8" i="1"/>
  <c r="G164" i="1"/>
  <c r="I164" i="1"/>
  <c r="G163" i="1" l="1"/>
  <c r="J121" i="1"/>
  <c r="J5" i="1"/>
  <c r="I163" i="1" l="1"/>
  <c r="G162" i="1"/>
  <c r="G161" i="1"/>
  <c r="G160" i="1" l="1"/>
  <c r="I160" i="1"/>
  <c r="I161" i="1"/>
  <c r="G159" i="1"/>
  <c r="I159" i="1"/>
  <c r="G158" i="1"/>
  <c r="I158" i="1"/>
  <c r="G157" i="1" l="1"/>
  <c r="I157" i="1"/>
  <c r="G156" i="1"/>
  <c r="I156" i="1"/>
  <c r="G155" i="1"/>
  <c r="I155" i="1"/>
  <c r="G154" i="1"/>
  <c r="I154" i="1"/>
  <c r="G153" i="1"/>
  <c r="I153" i="1"/>
  <c r="I151" i="1" l="1"/>
  <c r="I152" i="1"/>
  <c r="G151" i="1"/>
  <c r="G152" i="1"/>
  <c r="G150" i="1"/>
  <c r="I150" i="1"/>
  <c r="G149" i="1"/>
  <c r="I149" i="1"/>
  <c r="G147" i="1" l="1"/>
  <c r="I147" i="1"/>
  <c r="G146" i="1"/>
  <c r="I146" i="1"/>
  <c r="B139" i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G140" i="1" l="1"/>
  <c r="I140" i="1"/>
  <c r="G145" i="1"/>
  <c r="I145" i="1"/>
  <c r="G142" i="1"/>
  <c r="I142" i="1"/>
  <c r="I141" i="1" l="1"/>
  <c r="G141" i="1"/>
  <c r="G138" i="1" l="1"/>
  <c r="I138" i="1"/>
  <c r="G143" i="1"/>
  <c r="G148" i="1"/>
  <c r="I148" i="1"/>
  <c r="I144" i="1"/>
  <c r="G144" i="1"/>
  <c r="I143" i="1"/>
  <c r="G139" i="1"/>
  <c r="I139" i="1"/>
  <c r="G136" i="1"/>
  <c r="I136" i="1"/>
  <c r="I137" i="1"/>
  <c r="G137" i="1"/>
  <c r="I135" i="1"/>
  <c r="G135" i="1"/>
  <c r="I134" i="1"/>
  <c r="G134" i="1"/>
  <c r="G133" i="1" l="1"/>
  <c r="G132" i="1"/>
  <c r="I133" i="1"/>
  <c r="G131" i="1" l="1"/>
  <c r="G130" i="1"/>
  <c r="I130" i="1"/>
  <c r="I131" i="1"/>
  <c r="I132" i="1"/>
  <c r="G129" i="1"/>
  <c r="I129" i="1"/>
  <c r="G127" i="1"/>
  <c r="I127" i="1"/>
  <c r="I128" i="1"/>
  <c r="G128" i="1"/>
  <c r="I126" i="1"/>
  <c r="J116" i="1"/>
  <c r="J120" i="1"/>
  <c r="J123" i="1"/>
  <c r="G126" i="1"/>
  <c r="I125" i="1" l="1"/>
  <c r="I124" i="1" l="1"/>
  <c r="G124" i="1"/>
  <c r="G125" i="1"/>
  <c r="J122" i="1"/>
  <c r="J119" i="1"/>
  <c r="G122" i="1"/>
  <c r="J117" i="1"/>
  <c r="J118" i="1"/>
  <c r="I120" i="1"/>
  <c r="I123" i="1"/>
  <c r="I122" i="1"/>
  <c r="I121" i="1"/>
  <c r="G123" i="1"/>
  <c r="I119" i="1"/>
  <c r="I117" i="1"/>
  <c r="G121" i="1"/>
  <c r="G120" i="1"/>
  <c r="G119" i="1"/>
  <c r="G117" i="1"/>
  <c r="J115" i="1" l="1"/>
  <c r="J114" i="1"/>
  <c r="J113" i="1"/>
  <c r="I118" i="1"/>
  <c r="G118" i="1"/>
  <c r="I115" i="1" l="1"/>
  <c r="I116" i="1"/>
  <c r="G115" i="1"/>
  <c r="G116" i="1"/>
  <c r="G113" i="1" l="1"/>
  <c r="G114" i="1"/>
  <c r="I113" i="1"/>
  <c r="I114" i="1"/>
  <c r="J109" i="1"/>
  <c r="I108" i="1"/>
  <c r="J108" i="1"/>
  <c r="J112" i="1"/>
  <c r="G112" i="1"/>
  <c r="I112" i="1"/>
  <c r="J111" i="1" l="1"/>
  <c r="J110" i="1"/>
  <c r="J107" i="1"/>
  <c r="J106" i="1"/>
  <c r="J105" i="1"/>
  <c r="I106" i="1"/>
  <c r="G106" i="1"/>
  <c r="G104" i="1"/>
  <c r="J104" i="1" l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6" i="1"/>
  <c r="I95" i="1"/>
  <c r="I97" i="1"/>
  <c r="I98" i="1"/>
  <c r="I99" i="1"/>
  <c r="I100" i="1"/>
  <c r="I101" i="1"/>
  <c r="I102" i="1"/>
  <c r="I104" i="1"/>
  <c r="I105" i="1"/>
  <c r="I109" i="1"/>
  <c r="I110" i="1"/>
  <c r="I107" i="1"/>
  <c r="I111" i="1"/>
  <c r="G111" i="1"/>
  <c r="G107" i="1"/>
  <c r="G110" i="1" l="1"/>
  <c r="G109" i="1"/>
  <c r="G108" i="1"/>
  <c r="G105" i="1"/>
  <c r="D103" i="1"/>
  <c r="E103" i="1"/>
  <c r="G174" i="1" l="1"/>
  <c r="G103" i="1"/>
  <c r="J103" i="1"/>
  <c r="I103" i="1"/>
  <c r="J102" i="1"/>
  <c r="J101" i="1"/>
  <c r="J95" i="1"/>
  <c r="J100" i="1" l="1"/>
  <c r="G100" i="1"/>
  <c r="G102" i="1"/>
  <c r="G101" i="1"/>
  <c r="J99" i="1" l="1"/>
  <c r="J98" i="1" l="1"/>
  <c r="J97" i="1" l="1"/>
  <c r="J96" i="1"/>
  <c r="J92" i="1" l="1"/>
  <c r="G99" i="1" l="1"/>
  <c r="G93" i="1" l="1"/>
  <c r="G92" i="1"/>
  <c r="G91" i="1"/>
  <c r="G97" i="1"/>
  <c r="G95" i="1"/>
  <c r="G98" i="1"/>
  <c r="G96" i="1"/>
  <c r="G94" i="1"/>
  <c r="J94" i="1" l="1"/>
  <c r="G90" i="1" l="1"/>
  <c r="G89" i="1"/>
  <c r="J91" i="1"/>
  <c r="J93" i="1" l="1"/>
  <c r="J90" i="1" l="1"/>
  <c r="J89" i="1"/>
  <c r="J88" i="1" l="1"/>
  <c r="G88" i="1" l="1"/>
  <c r="J87" i="1" l="1"/>
  <c r="J86" i="1" l="1"/>
  <c r="G87" i="1" l="1"/>
  <c r="J85" i="1" l="1"/>
  <c r="G85" i="1" l="1"/>
  <c r="G86" i="1"/>
  <c r="J83" i="1" l="1"/>
  <c r="J84" i="1" l="1"/>
  <c r="J82" i="1" l="1"/>
  <c r="J81" i="1" l="1"/>
  <c r="J80" i="1"/>
  <c r="J79" i="1" l="1"/>
  <c r="G81" i="1" l="1"/>
  <c r="G84" i="1"/>
  <c r="G83" i="1"/>
  <c r="G80" i="1"/>
  <c r="J78" i="1" l="1"/>
  <c r="J77" i="1" l="1"/>
  <c r="J76" i="1" l="1"/>
  <c r="J75" i="1" l="1"/>
  <c r="J74" i="1" l="1"/>
  <c r="J73" i="1" l="1"/>
  <c r="I73" i="1"/>
  <c r="G73" i="1"/>
  <c r="G78" i="1" l="1"/>
  <c r="G82" i="1"/>
  <c r="G77" i="1"/>
  <c r="G75" i="1" l="1"/>
  <c r="J72" i="1" l="1"/>
  <c r="J71" i="1" l="1"/>
  <c r="J70" i="1" l="1"/>
  <c r="J69" i="1" l="1"/>
  <c r="J68" i="1" l="1"/>
  <c r="G79" i="1"/>
  <c r="I74" i="1"/>
  <c r="G74" i="1"/>
  <c r="J67" i="1" l="1"/>
  <c r="G76" i="1" l="1"/>
  <c r="J66" i="1" l="1"/>
  <c r="I72" i="1" l="1"/>
  <c r="G72" i="1"/>
  <c r="I66" i="1"/>
  <c r="G66" i="1"/>
  <c r="J65" i="1" l="1"/>
  <c r="J64" i="1" l="1"/>
  <c r="J63" i="1" l="1"/>
  <c r="I64" i="1" l="1"/>
  <c r="G64" i="1"/>
  <c r="I67" i="1" l="1"/>
  <c r="G67" i="1"/>
  <c r="I69" i="1"/>
  <c r="G69" i="1"/>
  <c r="I68" i="1" l="1"/>
  <c r="G68" i="1"/>
  <c r="I71" i="1" l="1"/>
  <c r="G71" i="1"/>
  <c r="I70" i="1"/>
  <c r="G70" i="1"/>
  <c r="J62" i="1" l="1"/>
  <c r="I62" i="1"/>
  <c r="G62" i="1"/>
  <c r="J61" i="1" l="1"/>
  <c r="J60" i="1" l="1"/>
  <c r="J59" i="1"/>
  <c r="J58" i="1" l="1"/>
  <c r="I63" i="1" l="1"/>
  <c r="G63" i="1"/>
  <c r="I58" i="1"/>
  <c r="G58" i="1"/>
  <c r="I60" i="1" l="1"/>
  <c r="G60" i="1"/>
  <c r="J57" i="1"/>
  <c r="I65" i="1" l="1"/>
  <c r="G65" i="1"/>
  <c r="J56" i="1"/>
  <c r="J55" i="1" l="1"/>
  <c r="J53" i="1" l="1"/>
  <c r="J52" i="1" l="1"/>
  <c r="J51" i="1" l="1"/>
  <c r="I59" i="1" l="1"/>
  <c r="G59" i="1"/>
  <c r="I61" i="1" l="1"/>
  <c r="G61" i="1"/>
  <c r="I57" i="1" l="1"/>
  <c r="G57" i="1"/>
  <c r="I53" i="1" l="1"/>
  <c r="G53" i="1"/>
  <c r="I52" i="1"/>
  <c r="G52" i="1"/>
  <c r="J50" i="1" l="1"/>
  <c r="J48" i="1" l="1"/>
  <c r="I56" i="1" l="1"/>
  <c r="G56" i="1"/>
  <c r="J47" i="1"/>
  <c r="J46" i="1" l="1"/>
  <c r="I55" i="1" l="1"/>
  <c r="G55" i="1"/>
  <c r="I47" i="1"/>
  <c r="G47" i="1"/>
  <c r="J45" i="1" l="1"/>
  <c r="I48" i="1"/>
  <c r="G48" i="1"/>
  <c r="I50" i="1" l="1"/>
  <c r="G50" i="1"/>
  <c r="J44" i="1" l="1"/>
  <c r="I51" i="1" l="1"/>
  <c r="G51" i="1"/>
  <c r="J41" i="1" l="1"/>
  <c r="J43" i="1" l="1"/>
  <c r="I46" i="1" l="1"/>
  <c r="G46" i="1"/>
  <c r="I41" i="1" l="1"/>
  <c r="G41" i="1"/>
  <c r="J40" i="1" l="1"/>
  <c r="I45" i="1" l="1"/>
  <c r="G45" i="1"/>
  <c r="J39" i="1" l="1"/>
  <c r="J38" i="1" l="1"/>
  <c r="I44" i="1" l="1"/>
  <c r="G44" i="1"/>
  <c r="I43" i="1" l="1"/>
  <c r="G43" i="1"/>
  <c r="I40" i="1" l="1"/>
  <c r="G40" i="1"/>
  <c r="J36" i="1"/>
  <c r="J37" i="1" l="1"/>
  <c r="I38" i="1" l="1"/>
  <c r="G38" i="1"/>
  <c r="J33" i="1" l="1"/>
  <c r="J34" i="1" l="1"/>
  <c r="J30" i="1" l="1"/>
  <c r="J31" i="1"/>
  <c r="J35" i="1"/>
  <c r="J32" i="1"/>
  <c r="I39" i="1" l="1"/>
  <c r="G39" i="1"/>
  <c r="I37" i="1" l="1"/>
  <c r="G37" i="1"/>
  <c r="I36" i="1"/>
  <c r="G36" i="1"/>
  <c r="I35" i="1" l="1"/>
  <c r="G35" i="1"/>
  <c r="I34" i="1"/>
  <c r="G34" i="1"/>
  <c r="I33" i="1"/>
  <c r="G33" i="1"/>
  <c r="I32" i="1"/>
  <c r="G32" i="1"/>
  <c r="I31" i="1" l="1"/>
  <c r="G31" i="1"/>
  <c r="B31" i="1"/>
  <c r="B32" i="1" s="1"/>
  <c r="B33" i="1" s="1"/>
  <c r="B34" i="1" s="1"/>
  <c r="B35" i="1" s="1"/>
  <c r="J29" i="1" l="1"/>
  <c r="I30" i="1" l="1"/>
  <c r="G30" i="1"/>
  <c r="J28" i="1"/>
  <c r="G12" i="1"/>
  <c r="I29" i="1"/>
  <c r="G29" i="1"/>
  <c r="I28" i="1"/>
  <c r="G28" i="1"/>
  <c r="J25" i="1"/>
  <c r="J27" i="1"/>
  <c r="J15" i="1"/>
  <c r="J23" i="1"/>
  <c r="J12" i="1"/>
  <c r="I12" i="1"/>
  <c r="I27" i="1"/>
  <c r="G27" i="1"/>
  <c r="J22" i="1"/>
  <c r="J24" i="1"/>
  <c r="J26" i="1"/>
  <c r="J17" i="1"/>
  <c r="J16" i="1"/>
  <c r="I26" i="1"/>
  <c r="G26" i="1"/>
  <c r="J20" i="1"/>
  <c r="I25" i="1"/>
  <c r="G25" i="1"/>
  <c r="I24" i="1"/>
  <c r="G24" i="1"/>
  <c r="I23" i="1"/>
  <c r="G23" i="1"/>
  <c r="J6" i="1"/>
  <c r="J21" i="1"/>
  <c r="J18" i="1"/>
  <c r="J19" i="1"/>
  <c r="J14" i="1"/>
  <c r="I22" i="1"/>
  <c r="G22" i="1"/>
  <c r="I21" i="1"/>
  <c r="G21" i="1"/>
  <c r="I20" i="1"/>
  <c r="G20" i="1"/>
  <c r="I19" i="1"/>
  <c r="G19" i="1"/>
  <c r="J10" i="1"/>
  <c r="J9" i="1"/>
  <c r="I10" i="1"/>
  <c r="J7" i="1"/>
  <c r="I18" i="1"/>
  <c r="G18" i="1"/>
  <c r="I17" i="1"/>
  <c r="G17" i="1"/>
  <c r="G16" i="1"/>
  <c r="I16" i="1"/>
  <c r="B6" i="1"/>
  <c r="B7" i="1" s="1"/>
  <c r="B8" i="1" s="1"/>
  <c r="B9" i="1" s="1"/>
  <c r="B10" i="1" s="1"/>
  <c r="B11" i="1" s="1"/>
  <c r="B12" i="1" s="1"/>
  <c r="B13" i="1" s="1"/>
  <c r="B14" i="1" s="1"/>
  <c r="B15" i="1" s="1"/>
  <c r="G10" i="1"/>
  <c r="I15" i="1"/>
  <c r="G15" i="1"/>
  <c r="I14" i="1"/>
  <c r="G14" i="1"/>
  <c r="I9" i="1"/>
  <c r="G9" i="1"/>
  <c r="I8" i="1"/>
  <c r="G8" i="1"/>
  <c r="I7" i="1"/>
  <c r="G7" i="1"/>
  <c r="I6" i="1"/>
  <c r="G6" i="1"/>
  <c r="I5" i="1"/>
  <c r="G5" i="1"/>
  <c r="B16" i="1" l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tc={B1996705-8642-4EBB-9A44-F6241601BA79}</author>
    <author>dm equity</author>
  </authors>
  <commentList>
    <comment ref="J4" authorId="0" shapeId="0" xr:uid="{B1996705-8642-4EBB-9A44-F6241601BA79}">
      <text>
        <t>[Threaded comment]
Your version of Excel allows you to read this threaded comment; however, any edits to it will get removed if the file is opened in a newer version of Excel. Learn more: https://go.microsoft.com/fwlink/?linkid=870924
Comment:
    Bedrag NvA</t>
      </text>
    </comment>
    <comment ref="F10" authorId="1" shapeId="0" xr:uid="{00000000-0006-0000-0000-000001000000}">
      <text>
        <r>
          <rPr>
            <b/>
            <sz val="10"/>
            <color rgb="FF000000"/>
            <rFont val="Tahoma"/>
            <family val="2"/>
          </rPr>
          <t>dm equity: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Joint Sale</t>
        </r>
      </text>
    </comment>
  </commentList>
</comments>
</file>

<file path=xl/sharedStrings.xml><?xml version="1.0" encoding="utf-8"?>
<sst xmlns="http://schemas.openxmlformats.org/spreadsheetml/2006/main" count="679" uniqueCount="189">
  <si>
    <t>ALA 120%</t>
  </si>
  <si>
    <t>Teteringenstraat 129</t>
  </si>
  <si>
    <t>Sleggeplantsoen 62</t>
  </si>
  <si>
    <t>Approved</t>
  </si>
  <si>
    <t>Victor de Stuerslaan 5</t>
  </si>
  <si>
    <t>’t Bakhuys 16</t>
  </si>
  <si>
    <t>Eindhovensingel 274</t>
  </si>
  <si>
    <t>Eindhovensingel 276</t>
  </si>
  <si>
    <t xml:space="preserve">Victor de Stuerslaan 13 </t>
  </si>
  <si>
    <t>Dr. Schaepmanlaan 90</t>
  </si>
  <si>
    <t>Unit</t>
  </si>
  <si>
    <t>Valuation JLL</t>
  </si>
  <si>
    <t>Sale price per APA</t>
  </si>
  <si>
    <t>Δ Valuation / Sales price</t>
  </si>
  <si>
    <t>Closing date</t>
  </si>
  <si>
    <t>Total</t>
  </si>
  <si>
    <t>PF Cash QSP (pre sales costs)</t>
  </si>
  <si>
    <t>Nr.</t>
  </si>
  <si>
    <t xml:space="preserve"> </t>
  </si>
  <si>
    <t xml:space="preserve">’t Bakhuys 18 </t>
  </si>
  <si>
    <t>Winschotenstraat 37</t>
  </si>
  <si>
    <t>Lacomblestraat 18</t>
  </si>
  <si>
    <t>Sleggeplantsoen 49</t>
  </si>
  <si>
    <t>Actual cash received</t>
  </si>
  <si>
    <t>Status Sales Price</t>
  </si>
  <si>
    <t>Status APA</t>
  </si>
  <si>
    <t>Status notarial transfer</t>
  </si>
  <si>
    <t>Schoener 16-75</t>
  </si>
  <si>
    <t>Butterwoud 77</t>
  </si>
  <si>
    <t>Nieuw Schoonoord 59</t>
  </si>
  <si>
    <t>Schoener 15-2</t>
  </si>
  <si>
    <t>Nieuw Schoonoord 57</t>
  </si>
  <si>
    <t>’t Biezenweitje 11</t>
  </si>
  <si>
    <t>Meerlandpad 18</t>
  </si>
  <si>
    <t>Lacomblestraat 26</t>
  </si>
  <si>
    <t>Sleggeplantsoen 67</t>
  </si>
  <si>
    <t>Victor de Stuerslaan 17</t>
  </si>
  <si>
    <t>Victor de Stuerslaan 26</t>
  </si>
  <si>
    <t>Nieuw Schoonoord 51</t>
  </si>
  <si>
    <t>Dr. Schaepmanlaan 84</t>
  </si>
  <si>
    <t>Winschotenstraat 38</t>
  </si>
  <si>
    <t>Eindhovensingel 258</t>
  </si>
  <si>
    <t>Haagbeukhof 172</t>
  </si>
  <si>
    <t>Kasteel Tongelaerstraat 20 GAR</t>
  </si>
  <si>
    <t>Maarhuizenpad 4</t>
  </si>
  <si>
    <t>Oudeschanspad 25</t>
  </si>
  <si>
    <t>Nieuwstraat 8</t>
  </si>
  <si>
    <t>Sleggeplantsoen 22</t>
  </si>
  <si>
    <t>Schoener 12-01</t>
  </si>
  <si>
    <t>Nieuwstraat 8 D</t>
  </si>
  <si>
    <t>Speenkruidstraat 19</t>
  </si>
  <si>
    <t>Nieuw-Schoonoord 65</t>
  </si>
  <si>
    <t>Dr. Schaepmanlaan 88</t>
  </si>
  <si>
    <t>Nieuw Schoonoord 363</t>
  </si>
  <si>
    <t>Nieuw Schoonoord PP 35</t>
  </si>
  <si>
    <t>Schoener 15-16</t>
  </si>
  <si>
    <t>Nieuwstraat 8 A</t>
  </si>
  <si>
    <t>De Clossei 41</t>
  </si>
  <si>
    <t>Nieuw Schoonoord 157</t>
  </si>
  <si>
    <t>Nieuw Schoonoord PP 11</t>
  </si>
  <si>
    <t>Waterkers 8</t>
  </si>
  <si>
    <t>Ruigezandplantsoen 10</t>
  </si>
  <si>
    <t>Oldorphof 4</t>
  </si>
  <si>
    <t>Schoener 16-43</t>
  </si>
  <si>
    <t>Nieuw Schoonoord 60</t>
  </si>
  <si>
    <t>Nieuw Schoonoord PP 20</t>
  </si>
  <si>
    <t>Meerlandpad 2</t>
  </si>
  <si>
    <t>Vecht 69</t>
  </si>
  <si>
    <t>Winschotenstraat 13</t>
  </si>
  <si>
    <t xml:space="preserve">Vlagtweddepad 2 </t>
  </si>
  <si>
    <t>Niehoveplantsoen 7</t>
  </si>
  <si>
    <t>Muntendampad 9</t>
  </si>
  <si>
    <t>Teteringenstraat 7</t>
  </si>
  <si>
    <t>Sleggeplantsoen 44</t>
  </si>
  <si>
    <t>Nieuw Schoonoord PP 33</t>
  </si>
  <si>
    <t>Butterwoud 35</t>
  </si>
  <si>
    <t>Binnenes 11</t>
  </si>
  <si>
    <t>Nieuw-Schoonoord 153</t>
  </si>
  <si>
    <t>Uithuizenpad 10</t>
  </si>
  <si>
    <t>Aalburgstraat 148</t>
  </si>
  <si>
    <t>Nieuw-Schoonoord 52</t>
  </si>
  <si>
    <t>Marumplantsoen 20</t>
  </si>
  <si>
    <t>Uithuizenpad 24</t>
  </si>
  <si>
    <t>Ruigezandplantsoen 14</t>
  </si>
  <si>
    <t>Dr. Schaepmanlaan 96</t>
  </si>
  <si>
    <t>Sleggeplantsoen 51</t>
  </si>
  <si>
    <t>Oldorphof 13</t>
  </si>
  <si>
    <t>Niehoveplantsoen 5</t>
  </si>
  <si>
    <t>Oudeschanspad 35</t>
  </si>
  <si>
    <t>Vlagtweddepad 18</t>
  </si>
  <si>
    <t xml:space="preserve">Victor de Stuerslaan 18 </t>
  </si>
  <si>
    <t>Victor de Stuerslaan 21</t>
  </si>
  <si>
    <t>Sleggeplantsoen 38</t>
  </si>
  <si>
    <t>Sleggeplantsoen 47</t>
  </si>
  <si>
    <t>Finsterwoldepad 52</t>
  </si>
  <si>
    <t>Ulrumpad 48</t>
  </si>
  <si>
    <t>Sleggeplantsoen 4</t>
  </si>
  <si>
    <t>Butterwoud 76</t>
  </si>
  <si>
    <t>Ruigezandplantsoen 4</t>
  </si>
  <si>
    <t>Marumplantsoen 18</t>
  </si>
  <si>
    <t>Muntendampad 23</t>
  </si>
  <si>
    <t>Maarhuizenpad 10</t>
  </si>
  <si>
    <t>Sleggeplantsoen 45</t>
  </si>
  <si>
    <t>Vlagtweddepad 12</t>
  </si>
  <si>
    <t>Muntendampad 13</t>
  </si>
  <si>
    <t>Termuntenpad 20</t>
  </si>
  <si>
    <t>Sleggeplantsoen 66</t>
  </si>
  <si>
    <t>Schoener 16-51</t>
  </si>
  <si>
    <t>Schoener 16-71</t>
  </si>
  <si>
    <t>Nieuw Schoonoord 161</t>
  </si>
  <si>
    <t>Nieuw Schoonoord 353</t>
  </si>
  <si>
    <t>Nieuw Schoonoord 64</t>
  </si>
  <si>
    <t xml:space="preserve">T Bakhuys 26 </t>
  </si>
  <si>
    <t>Teteringenstraat 9</t>
  </si>
  <si>
    <t>Slochterenweg 3</t>
  </si>
  <si>
    <t>Aalburgstraat 88</t>
  </si>
  <si>
    <t>T Bakhuys 22</t>
  </si>
  <si>
    <t>Wilhelminastraat 2 B t/m 2G en Sonsbeeksingel 25-5, 25-6, 26-5, 27-7</t>
  </si>
  <si>
    <t xml:space="preserve">Imbosch 7 </t>
  </si>
  <si>
    <t>Marumplantsoen 10</t>
  </si>
  <si>
    <t>Nieuw Schoonoord 66</t>
  </si>
  <si>
    <t>Nieuw Schoonoord 54</t>
  </si>
  <si>
    <t>Schoener 15-26</t>
  </si>
  <si>
    <t>Nieuwstraat 8 B</t>
  </si>
  <si>
    <t xml:space="preserve">Simonsveen 24 </t>
  </si>
  <si>
    <t>Oudeschanspad 27</t>
  </si>
  <si>
    <t>Sleggeplantsoen 50</t>
  </si>
  <si>
    <t>Winschotenstraat 3</t>
  </si>
  <si>
    <t>Slochterenweg 19</t>
  </si>
  <si>
    <t xml:space="preserve">Lacomblestraat 30 </t>
  </si>
  <si>
    <t>Nieuw-Schoonoord 164</t>
  </si>
  <si>
    <t>Sleggeplantsoen 40</t>
  </si>
  <si>
    <t>Sleggeplantsoen 43</t>
  </si>
  <si>
    <t>Muntendampad 11</t>
  </si>
  <si>
    <t>Ulrumpad 18</t>
  </si>
  <si>
    <t xml:space="preserve">Ruigezandplantsoen 7 </t>
  </si>
  <si>
    <t>Vlagtweddepad 10</t>
  </si>
  <si>
    <t>Finsterwoldepad 76</t>
  </si>
  <si>
    <t>Victor de Stuerslaan 7</t>
  </si>
  <si>
    <t>Schoener 14-2</t>
  </si>
  <si>
    <t>Slochterenweg 23</t>
  </si>
  <si>
    <t>Winschotenstraat 28</t>
  </si>
  <si>
    <t>Loplein 44</t>
  </si>
  <si>
    <t>Loplein 50</t>
  </si>
  <si>
    <t>Marco Pololaan 287</t>
  </si>
  <si>
    <t>Smalleveen 6</t>
  </si>
  <si>
    <t xml:space="preserve">Termuntenpad 26 </t>
  </si>
  <si>
    <t>Marco Pololaan 345</t>
  </si>
  <si>
    <t>Victor de Stuerslaan 27</t>
  </si>
  <si>
    <t>Sleggeplantsoen 6</t>
  </si>
  <si>
    <t>Teteringenstraat 107</t>
  </si>
  <si>
    <t>Munnikenwoud 30</t>
  </si>
  <si>
    <t>Kasteel Twikkelstraat 15</t>
  </si>
  <si>
    <t>Eindhovensingel 288</t>
  </si>
  <si>
    <t>Finsterwoldepad 42</t>
  </si>
  <si>
    <t>Lacombléstraat 34</t>
  </si>
  <si>
    <t>Slochterenweg 17</t>
  </si>
  <si>
    <t>Victor de Stuerslaan 1</t>
  </si>
  <si>
    <t>Oudeschanspad 47</t>
  </si>
  <si>
    <t>Termuntenpad 24</t>
  </si>
  <si>
    <t>Finsterwoldepad 60</t>
  </si>
  <si>
    <t>Sleggeplantsoen 37</t>
  </si>
  <si>
    <t>Dukenburg 4</t>
  </si>
  <si>
    <t>t Bakhuys 24</t>
  </si>
  <si>
    <t>Oldorphof 6</t>
  </si>
  <si>
    <t>Ulrumpad 24</t>
  </si>
  <si>
    <t>Sleggeplantsoen 19</t>
  </si>
  <si>
    <t>Marco Pololaan 215</t>
  </si>
  <si>
    <t>3-62024</t>
  </si>
  <si>
    <t>Ruigezandplantsoen 28</t>
  </si>
  <si>
    <t>Sleggeplantsoen 7</t>
  </si>
  <si>
    <t>Winschotenstraat 40</t>
  </si>
  <si>
    <t>Winschotenstraat 25</t>
  </si>
  <si>
    <t>Marco Pololaan 217</t>
  </si>
  <si>
    <t>Geitstraat 55</t>
  </si>
  <si>
    <t>QSP ESS B.V. - Disposals Overview 2018/2019/2020/2021/2022/2023/2024/2025</t>
  </si>
  <si>
    <t>Roelof Kranenburgplein 44</t>
  </si>
  <si>
    <t>Marco Pololaan 333</t>
  </si>
  <si>
    <t>approved</t>
  </si>
  <si>
    <t>Richtersweg 314</t>
  </si>
  <si>
    <t>Van Hogendorplaan 46 B</t>
  </si>
  <si>
    <t>Wannerplein 16</t>
  </si>
  <si>
    <t>Kaldenkerkerweg 199</t>
  </si>
  <si>
    <t>Marco Pololaan 347</t>
  </si>
  <si>
    <t>Vorsterstraat 34</t>
  </si>
  <si>
    <t>Kaldenkerkerweg 167</t>
  </si>
  <si>
    <t>Last 4 Quarters</t>
  </si>
  <si>
    <t>Richtersweg 344</t>
  </si>
  <si>
    <t>Q3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</si>
</sst>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%"/>
    <numFmt numFmtId="166" formatCode="_(* #,##0_);_(* \(#,##0\);_(* &quot;-&quot;??_);_(@_)"/>
  </numFmts>
  <fonts count="10">
    <font>
      <sz val="12"/>
      <color theme="1"/>
      <name val="Avenir"/>
      <family val="2"/>
    </font>
    <font>
      <sz val="12"/>
      <color theme="1"/>
      <name val="Avenir"/>
      <family val="2"/>
    </font>
    <font>
      <b/>
      <sz val="12"/>
      <color theme="1"/>
      <name val="Avenir"/>
      <family val="2"/>
    </font>
    <font>
      <sz val="12"/>
      <color theme="0"/>
      <name val="Avenir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4"/>
      <color theme="1"/>
      <name val="Avenir"/>
      <family val="2"/>
    </font>
    <font>
      <sz val="12"/>
      <name val="Avenir"/>
      <family val="2"/>
    </font>
    <font>
      <sz val="8"/>
      <name val="Avenir"/>
      <family val="2"/>
    </font>
    <font>
      <b/>
      <sz val="12"/>
      <color theme="1"/>
      <name val="Aveni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3">
    <border>
      <left/>
      <right/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medium">
        <color indexed="64"/>
      </bottom>
      <diagonal/>
    </border>
    <border>
      <left/>
      <right style="hair">
        <color theme="0"/>
      </right>
      <top/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hair">
        <color theme="0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hair">
        <color theme="0"/>
      </right>
      <top style="thin">
        <color theme="2"/>
      </top>
      <bottom style="thin">
        <color theme="2"/>
      </bottom>
      <diagonal/>
    </border>
    <border>
      <left/>
      <right style="hair">
        <color theme="0"/>
      </right>
      <top style="thin">
        <color theme="2"/>
      </top>
      <bottom/>
      <diagonal/>
    </border>
    <border>
      <left style="hair">
        <color theme="0"/>
      </left>
      <right/>
      <top style="thin">
        <color theme="2"/>
      </top>
      <bottom style="thin">
        <color theme="2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thin">
        <color theme="2"/>
      </bottom>
      <diagonal/>
    </border>
    <border>
      <left style="hair">
        <color theme="0"/>
      </left>
      <right style="hair">
        <color theme="0"/>
      </right>
      <top style="thin">
        <color theme="2"/>
      </top>
      <bottom style="thin">
        <color theme="2"/>
      </bottom>
      <diagonal/>
    </border>
    <border>
      <left/>
      <right/>
      <top style="medium">
        <color indexed="64"/>
      </top>
      <bottom/>
      <diagonal/>
    </border>
    <border>
      <left style="thin">
        <color theme="2"/>
      </left>
      <right/>
      <top style="thin">
        <color theme="2"/>
      </top>
      <bottom style="hair">
        <color theme="0"/>
      </bottom>
      <diagonal/>
    </border>
    <border>
      <left style="thin">
        <color theme="2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hair">
        <color theme="0"/>
      </right>
      <top style="hair">
        <color theme="0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hair">
        <color theme="0"/>
      </left>
      <right style="thin">
        <color theme="2"/>
      </right>
      <top style="thin">
        <color theme="2"/>
      </top>
      <bottom/>
      <diagonal/>
    </border>
    <border>
      <left style="hair">
        <color theme="0"/>
      </left>
      <right style="hair">
        <color theme="0"/>
      </right>
      <top style="thin">
        <color theme="2"/>
      </top>
      <bottom/>
      <diagonal/>
    </border>
    <border>
      <left/>
      <right/>
      <top style="thin">
        <color theme="2"/>
      </top>
      <bottom style="medium">
        <color indexed="64"/>
      </bottom>
      <diagonal/>
    </border>
    <border>
      <left style="hair">
        <color theme="0"/>
      </left>
      <right/>
      <top style="thin">
        <color theme="2"/>
      </top>
      <bottom style="medium">
        <color indexed="64"/>
      </bottom>
      <diagonal/>
    </border>
    <border>
      <left/>
      <right style="hair">
        <color theme="0"/>
      </right>
      <top style="thin">
        <color theme="2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2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2"/>
      </bottom>
      <diagonal/>
    </border>
    <border>
      <left/>
      <right style="hair">
        <color theme="0"/>
      </right>
      <top style="thin">
        <color theme="0"/>
      </top>
      <bottom/>
      <diagonal/>
    </border>
    <border>
      <left style="thin">
        <color theme="0"/>
      </left>
      <right style="hair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0"/>
      </right>
      <top style="hair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2"/>
      </right>
      <top style="thin">
        <color theme="2"/>
      </top>
      <bottom style="thin">
        <color theme="0"/>
      </bottom>
      <diagonal/>
    </border>
    <border>
      <left style="hair">
        <color theme="0"/>
      </left>
      <right style="thin">
        <color theme="0"/>
      </right>
      <top/>
      <bottom style="hair">
        <color theme="0"/>
      </bottom>
      <diagonal/>
    </border>
    <border>
      <left/>
      <right style="thin">
        <color theme="0"/>
      </right>
      <top/>
      <bottom style="hair">
        <color theme="0"/>
      </bottom>
      <diagonal/>
    </border>
    <border>
      <left/>
      <right style="thin">
        <color theme="0"/>
      </right>
      <top style="thin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/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hair">
        <color theme="0"/>
      </left>
      <right style="thin">
        <color theme="0"/>
      </right>
      <top style="hair">
        <color theme="0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medium">
        <color indexed="64"/>
      </bottom>
      <diagonal/>
    </border>
    <border>
      <left style="thin">
        <color theme="2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hair">
        <color theme="0"/>
      </right>
      <top style="thin">
        <color theme="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hair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9" tint="-0.499984740745262"/>
      </left>
      <right/>
      <top/>
      <bottom/>
      <diagonal/>
    </border>
    <border>
      <left style="thin">
        <color theme="0"/>
      </left>
      <right style="hair">
        <color theme="0"/>
      </right>
      <top style="thin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2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/>
      <diagonal/>
    </border>
    <border>
      <left style="hair">
        <color theme="0"/>
      </left>
      <right style="hair">
        <color theme="0"/>
      </right>
      <top style="medium">
        <color indexed="64"/>
      </top>
      <bottom style="hair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 style="hair">
        <color theme="0"/>
      </right>
      <top/>
      <bottom/>
      <diagonal/>
    </border>
    <border>
      <left/>
      <right style="hair">
        <color theme="0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9">
    <xf numFmtId="0" fontId="0" fillId="0" borderId="0" xfId="0"/>
    <xf numFmtId="0" fontId="0" fillId="0" borderId="0" xfId="0" applyAlignment="1">
      <alignment horizontal="left"/>
    </xf>
    <xf numFmtId="165" fontId="0" fillId="4" borderId="1" xfId="2" applyNumberFormat="1" applyFont="1" applyFill="1" applyBorder="1" applyAlignment="1">
      <alignment horizontal="right"/>
    </xf>
    <xf numFmtId="0" fontId="2" fillId="3" borderId="1" xfId="0" applyFont="1" applyFill="1" applyBorder="1"/>
    <xf numFmtId="14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3" fillId="6" borderId="0" xfId="0" applyFont="1" applyFill="1"/>
    <xf numFmtId="165" fontId="3" fillId="6" borderId="0" xfId="2" applyNumberFormat="1" applyFont="1" applyFill="1" applyAlignment="1">
      <alignment horizontal="right"/>
    </xf>
    <xf numFmtId="166" fontId="0" fillId="3" borderId="1" xfId="1" applyNumberFormat="1" applyFont="1" applyFill="1" applyBorder="1" applyAlignment="1">
      <alignment horizontal="right"/>
    </xf>
    <xf numFmtId="166" fontId="3" fillId="6" borderId="0" xfId="1" applyNumberFormat="1" applyFont="1" applyFill="1" applyAlignment="1">
      <alignment horizontal="right"/>
    </xf>
    <xf numFmtId="0" fontId="3" fillId="6" borderId="0" xfId="0" applyFont="1" applyFill="1" applyAlignment="1">
      <alignment horizontal="right"/>
    </xf>
    <xf numFmtId="166" fontId="3" fillId="6" borderId="0" xfId="0" applyNumberFormat="1" applyFont="1" applyFill="1" applyAlignment="1">
      <alignment horizontal="right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6" fillId="0" borderId="0" xfId="0" applyFont="1"/>
    <xf numFmtId="164" fontId="0" fillId="5" borderId="1" xfId="1" applyFont="1" applyFill="1" applyBorder="1" applyAlignment="1">
      <alignment horizontal="right"/>
    </xf>
    <xf numFmtId="164" fontId="0" fillId="0" borderId="0" xfId="0" applyNumberFormat="1"/>
    <xf numFmtId="0" fontId="2" fillId="3" borderId="3" xfId="0" applyFont="1" applyFill="1" applyBorder="1"/>
    <xf numFmtId="166" fontId="0" fillId="3" borderId="3" xfId="1" applyNumberFormat="1" applyFont="1" applyFill="1" applyBorder="1" applyAlignment="1">
      <alignment horizontal="right"/>
    </xf>
    <xf numFmtId="165" fontId="0" fillId="4" borderId="3" xfId="2" applyNumberFormat="1" applyFont="1" applyFill="1" applyBorder="1" applyAlignment="1">
      <alignment horizontal="right"/>
    </xf>
    <xf numFmtId="14" fontId="0" fillId="3" borderId="3" xfId="0" applyNumberFormat="1" applyFill="1" applyBorder="1" applyAlignment="1">
      <alignment horizontal="right"/>
    </xf>
    <xf numFmtId="164" fontId="0" fillId="5" borderId="3" xfId="1" applyFont="1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2" fillId="3" borderId="4" xfId="0" applyFont="1" applyFill="1" applyBorder="1"/>
    <xf numFmtId="166" fontId="0" fillId="3" borderId="4" xfId="1" applyNumberFormat="1" applyFont="1" applyFill="1" applyBorder="1" applyAlignment="1">
      <alignment horizontal="right"/>
    </xf>
    <xf numFmtId="165" fontId="0" fillId="4" borderId="4" xfId="2" applyNumberFormat="1" applyFont="1" applyFill="1" applyBorder="1" applyAlignment="1">
      <alignment horizontal="right"/>
    </xf>
    <xf numFmtId="14" fontId="0" fillId="3" borderId="4" xfId="0" applyNumberFormat="1" applyFill="1" applyBorder="1" applyAlignment="1">
      <alignment horizontal="right"/>
    </xf>
    <xf numFmtId="164" fontId="0" fillId="5" borderId="4" xfId="1" applyFont="1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164" fontId="0" fillId="5" borderId="0" xfId="1" applyFont="1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14" fontId="0" fillId="8" borderId="1" xfId="0" applyNumberFormat="1" applyFill="1" applyBorder="1" applyAlignment="1">
      <alignment horizontal="right"/>
    </xf>
    <xf numFmtId="166" fontId="0" fillId="3" borderId="8" xfId="1" applyNumberFormat="1" applyFont="1" applyFill="1" applyBorder="1" applyAlignment="1">
      <alignment horizontal="right"/>
    </xf>
    <xf numFmtId="165" fontId="0" fillId="4" borderId="8" xfId="2" applyNumberFormat="1" applyFont="1" applyFill="1" applyBorder="1" applyAlignment="1">
      <alignment horizontal="right"/>
    </xf>
    <xf numFmtId="0" fontId="2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5" fontId="0" fillId="4" borderId="0" xfId="2" applyNumberFormat="1" applyFont="1" applyFill="1" applyBorder="1" applyAlignment="1">
      <alignment horizontal="right"/>
    </xf>
    <xf numFmtId="14" fontId="0" fillId="3" borderId="0" xfId="0" applyNumberFormat="1" applyFill="1" applyAlignment="1">
      <alignment horizontal="right"/>
    </xf>
    <xf numFmtId="0" fontId="0" fillId="7" borderId="0" xfId="0" applyFill="1"/>
    <xf numFmtId="0" fontId="2" fillId="3" borderId="10" xfId="0" applyFont="1" applyFill="1" applyBorder="1"/>
    <xf numFmtId="166" fontId="0" fillId="3" borderId="7" xfId="1" applyNumberFormat="1" applyFont="1" applyFill="1" applyBorder="1" applyAlignment="1">
      <alignment horizontal="right"/>
    </xf>
    <xf numFmtId="0" fontId="2" fillId="3" borderId="2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9" xfId="0" applyFont="1" applyFill="1" applyBorder="1"/>
    <xf numFmtId="0" fontId="0" fillId="0" borderId="13" xfId="0" applyBorder="1"/>
    <xf numFmtId="0" fontId="2" fillId="3" borderId="14" xfId="0" applyFont="1" applyFill="1" applyBorder="1"/>
    <xf numFmtId="0" fontId="2" fillId="3" borderId="13" xfId="0" applyFont="1" applyFill="1" applyBorder="1"/>
    <xf numFmtId="166" fontId="0" fillId="3" borderId="15" xfId="1" applyNumberFormat="1" applyFont="1" applyFill="1" applyBorder="1" applyAlignment="1">
      <alignment horizontal="right"/>
    </xf>
    <xf numFmtId="0" fontId="2" fillId="3" borderId="17" xfId="0" applyFont="1" applyFill="1" applyBorder="1"/>
    <xf numFmtId="165" fontId="0" fillId="4" borderId="19" xfId="2" applyNumberFormat="1" applyFont="1" applyFill="1" applyBorder="1" applyAlignment="1">
      <alignment horizontal="right"/>
    </xf>
    <xf numFmtId="166" fontId="0" fillId="3" borderId="20" xfId="1" applyNumberFormat="1" applyFont="1" applyFill="1" applyBorder="1" applyAlignment="1">
      <alignment horizontal="right"/>
    </xf>
    <xf numFmtId="166" fontId="0" fillId="3" borderId="14" xfId="1" applyNumberFormat="1" applyFont="1" applyFill="1" applyBorder="1" applyAlignment="1">
      <alignment horizontal="right"/>
    </xf>
    <xf numFmtId="165" fontId="0" fillId="4" borderId="14" xfId="2" applyNumberFormat="1" applyFont="1" applyFill="1" applyBorder="1" applyAlignment="1">
      <alignment horizontal="right"/>
    </xf>
    <xf numFmtId="14" fontId="0" fillId="3" borderId="21" xfId="0" applyNumberFormat="1" applyFill="1" applyBorder="1" applyAlignment="1">
      <alignment horizontal="right"/>
    </xf>
    <xf numFmtId="14" fontId="0" fillId="3" borderId="17" xfId="0" applyNumberFormat="1" applyFill="1" applyBorder="1" applyAlignment="1">
      <alignment horizontal="right"/>
    </xf>
    <xf numFmtId="14" fontId="0" fillId="3" borderId="14" xfId="0" applyNumberFormat="1" applyFill="1" applyBorder="1" applyAlignment="1">
      <alignment horizontal="right"/>
    </xf>
    <xf numFmtId="164" fontId="0" fillId="5" borderId="17" xfId="1" applyFont="1" applyFill="1" applyBorder="1" applyAlignment="1">
      <alignment horizontal="right"/>
    </xf>
    <xf numFmtId="164" fontId="0" fillId="5" borderId="22" xfId="1" applyFont="1" applyFill="1" applyBorder="1" applyAlignment="1">
      <alignment horizontal="right"/>
    </xf>
    <xf numFmtId="14" fontId="0" fillId="3" borderId="6" xfId="0" applyNumberFormat="1" applyFill="1" applyBorder="1" applyAlignment="1">
      <alignment horizontal="right"/>
    </xf>
    <xf numFmtId="14" fontId="7" fillId="3" borderId="6" xfId="0" applyNumberFormat="1" applyFont="1" applyFill="1" applyBorder="1" applyAlignment="1">
      <alignment horizontal="right"/>
    </xf>
    <xf numFmtId="164" fontId="0" fillId="5" borderId="10" xfId="1" applyFont="1" applyFill="1" applyBorder="1" applyAlignment="1">
      <alignment horizontal="right"/>
    </xf>
    <xf numFmtId="164" fontId="0" fillId="5" borderId="23" xfId="1" applyFont="1" applyFill="1" applyBorder="1" applyAlignment="1">
      <alignment horizontal="right"/>
    </xf>
    <xf numFmtId="164" fontId="0" fillId="5" borderId="24" xfId="1" applyFont="1" applyFill="1" applyBorder="1" applyAlignment="1">
      <alignment horizontal="right"/>
    </xf>
    <xf numFmtId="164" fontId="0" fillId="5" borderId="16" xfId="1" applyFont="1" applyFill="1" applyBorder="1" applyAlignment="1">
      <alignment horizontal="right"/>
    </xf>
    <xf numFmtId="164" fontId="0" fillId="5" borderId="25" xfId="1" applyFont="1" applyFill="1" applyBorder="1" applyAlignment="1">
      <alignment horizontal="right"/>
    </xf>
    <xf numFmtId="164" fontId="0" fillId="5" borderId="26" xfId="1" applyFont="1" applyFill="1" applyBorder="1" applyAlignment="1">
      <alignment horizontal="right"/>
    </xf>
    <xf numFmtId="164" fontId="0" fillId="5" borderId="27" xfId="1" applyFont="1" applyFill="1" applyBorder="1" applyAlignment="1">
      <alignment horizontal="right"/>
    </xf>
    <xf numFmtId="164" fontId="0" fillId="5" borderId="28" xfId="1" applyFont="1" applyFill="1" applyBorder="1" applyAlignment="1">
      <alignment horizontal="right"/>
    </xf>
    <xf numFmtId="164" fontId="0" fillId="5" borderId="29" xfId="1" applyFont="1" applyFill="1" applyBorder="1" applyAlignment="1">
      <alignment horizontal="right"/>
    </xf>
    <xf numFmtId="164" fontId="0" fillId="5" borderId="30" xfId="1" applyFont="1" applyFill="1" applyBorder="1" applyAlignment="1">
      <alignment horizontal="right"/>
    </xf>
    <xf numFmtId="164" fontId="0" fillId="5" borderId="31" xfId="1" applyFont="1" applyFill="1" applyBorder="1" applyAlignment="1">
      <alignment horizontal="right"/>
    </xf>
    <xf numFmtId="164" fontId="0" fillId="5" borderId="18" xfId="1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165" fontId="0" fillId="4" borderId="17" xfId="2" applyNumberFormat="1" applyFont="1" applyFill="1" applyBorder="1" applyAlignment="1">
      <alignment horizontal="right"/>
    </xf>
    <xf numFmtId="166" fontId="0" fillId="3" borderId="33" xfId="1" applyNumberFormat="1" applyFont="1" applyFill="1" applyBorder="1" applyAlignment="1">
      <alignment horizontal="right"/>
    </xf>
    <xf numFmtId="164" fontId="0" fillId="5" borderId="32" xfId="1" applyFont="1" applyFill="1" applyBorder="1" applyAlignment="1">
      <alignment horizontal="right"/>
    </xf>
    <xf numFmtId="0" fontId="0" fillId="3" borderId="0" xfId="0" applyFill="1" applyAlignment="1">
      <alignment horizontal="right"/>
    </xf>
    <xf numFmtId="165" fontId="0" fillId="4" borderId="23" xfId="2" applyNumberFormat="1" applyFont="1" applyFill="1" applyBorder="1" applyAlignment="1">
      <alignment horizontal="right"/>
    </xf>
    <xf numFmtId="164" fontId="0" fillId="5" borderId="8" xfId="1" applyFont="1" applyFill="1" applyBorder="1" applyAlignment="1">
      <alignment horizontal="right"/>
    </xf>
    <xf numFmtId="14" fontId="0" fillId="3" borderId="34" xfId="0" applyNumberFormat="1" applyFill="1" applyBorder="1" applyAlignment="1">
      <alignment horizontal="right"/>
    </xf>
    <xf numFmtId="166" fontId="0" fillId="3" borderId="23" xfId="1" applyNumberFormat="1" applyFont="1" applyFill="1" applyBorder="1" applyAlignment="1">
      <alignment horizontal="right"/>
    </xf>
    <xf numFmtId="0" fontId="2" fillId="3" borderId="37" xfId="0" applyFont="1" applyFill="1" applyBorder="1"/>
    <xf numFmtId="166" fontId="0" fillId="3" borderId="38" xfId="1" applyNumberFormat="1" applyFont="1" applyFill="1" applyBorder="1" applyAlignment="1">
      <alignment horizontal="right"/>
    </xf>
    <xf numFmtId="0" fontId="2" fillId="3" borderId="39" xfId="0" applyFont="1" applyFill="1" applyBorder="1"/>
    <xf numFmtId="166" fontId="0" fillId="3" borderId="41" xfId="1" applyNumberFormat="1" applyFont="1" applyFill="1" applyBorder="1" applyAlignment="1">
      <alignment horizontal="right"/>
    </xf>
    <xf numFmtId="0" fontId="2" fillId="3" borderId="42" xfId="0" applyFont="1" applyFill="1" applyBorder="1"/>
    <xf numFmtId="166" fontId="0" fillId="3" borderId="43" xfId="1" applyNumberFormat="1" applyFont="1" applyFill="1" applyBorder="1" applyAlignment="1">
      <alignment horizontal="right"/>
    </xf>
    <xf numFmtId="166" fontId="0" fillId="3" borderId="42" xfId="1" applyNumberFormat="1" applyFont="1" applyFill="1" applyBorder="1" applyAlignment="1">
      <alignment horizontal="right"/>
    </xf>
    <xf numFmtId="166" fontId="0" fillId="3" borderId="44" xfId="1" applyNumberFormat="1" applyFont="1" applyFill="1" applyBorder="1" applyAlignment="1">
      <alignment horizontal="right"/>
    </xf>
    <xf numFmtId="0" fontId="2" fillId="3" borderId="46" xfId="0" applyFont="1" applyFill="1" applyBorder="1"/>
    <xf numFmtId="0" fontId="2" fillId="3" borderId="45" xfId="0" quotePrefix="1" applyFont="1" applyFill="1" applyBorder="1"/>
    <xf numFmtId="0" fontId="2" fillId="3" borderId="47" xfId="0" applyFont="1" applyFill="1" applyBorder="1"/>
    <xf numFmtId="0" fontId="2" fillId="3" borderId="48" xfId="0" applyFont="1" applyFill="1" applyBorder="1"/>
    <xf numFmtId="166" fontId="0" fillId="3" borderId="49" xfId="1" applyNumberFormat="1" applyFont="1" applyFill="1" applyBorder="1" applyAlignment="1">
      <alignment horizontal="right"/>
    </xf>
    <xf numFmtId="166" fontId="0" fillId="3" borderId="50" xfId="1" applyNumberFormat="1" applyFont="1" applyFill="1" applyBorder="1" applyAlignment="1">
      <alignment horizontal="right"/>
    </xf>
    <xf numFmtId="0" fontId="2" fillId="3" borderId="38" xfId="0" quotePrefix="1" applyFont="1" applyFill="1" applyBorder="1"/>
    <xf numFmtId="166" fontId="0" fillId="3" borderId="51" xfId="1" applyNumberFormat="1" applyFont="1" applyFill="1" applyBorder="1" applyAlignment="1">
      <alignment horizontal="right"/>
    </xf>
    <xf numFmtId="166" fontId="0" fillId="3" borderId="36" xfId="1" applyNumberFormat="1" applyFont="1" applyFill="1" applyBorder="1" applyAlignment="1">
      <alignment horizontal="right"/>
    </xf>
    <xf numFmtId="166" fontId="0" fillId="3" borderId="47" xfId="1" applyNumberFormat="1" applyFont="1" applyFill="1" applyBorder="1" applyAlignment="1">
      <alignment horizontal="right"/>
    </xf>
    <xf numFmtId="166" fontId="0" fillId="3" borderId="52" xfId="1" applyNumberFormat="1" applyFont="1" applyFill="1" applyBorder="1" applyAlignment="1">
      <alignment horizontal="right"/>
    </xf>
    <xf numFmtId="166" fontId="0" fillId="3" borderId="39" xfId="1" applyNumberFormat="1" applyFont="1" applyFill="1" applyBorder="1" applyAlignment="1">
      <alignment horizontal="right"/>
    </xf>
    <xf numFmtId="166" fontId="0" fillId="3" borderId="35" xfId="1" applyNumberFormat="1" applyFont="1" applyFill="1" applyBorder="1" applyAlignment="1">
      <alignment horizontal="right"/>
    </xf>
    <xf numFmtId="0" fontId="2" fillId="3" borderId="43" xfId="0" quotePrefix="1" applyFont="1" applyFill="1" applyBorder="1"/>
    <xf numFmtId="0" fontId="2" fillId="3" borderId="41" xfId="0" quotePrefix="1" applyFont="1" applyFill="1" applyBorder="1"/>
    <xf numFmtId="0" fontId="2" fillId="3" borderId="53" xfId="0" applyFont="1" applyFill="1" applyBorder="1"/>
    <xf numFmtId="0" fontId="2" fillId="3" borderId="37" xfId="0" applyFont="1" applyFill="1" applyBorder="1" applyAlignment="1">
      <alignment vertical="top"/>
    </xf>
    <xf numFmtId="0" fontId="2" fillId="3" borderId="38" xfId="0" applyFont="1" applyFill="1" applyBorder="1"/>
    <xf numFmtId="166" fontId="0" fillId="3" borderId="37" xfId="1" applyNumberFormat="1" applyFont="1" applyFill="1" applyBorder="1" applyAlignment="1">
      <alignment horizontal="right"/>
    </xf>
    <xf numFmtId="166" fontId="0" fillId="3" borderId="40" xfId="1" applyNumberFormat="1" applyFont="1" applyFill="1" applyBorder="1" applyAlignment="1">
      <alignment horizontal="right"/>
    </xf>
    <xf numFmtId="166" fontId="0" fillId="3" borderId="45" xfId="1" applyNumberFormat="1" applyFont="1" applyFill="1" applyBorder="1" applyAlignment="1">
      <alignment horizontal="right"/>
    </xf>
    <xf numFmtId="166" fontId="0" fillId="3" borderId="6" xfId="1" applyNumberFormat="1" applyFont="1" applyFill="1" applyBorder="1" applyAlignment="1">
      <alignment horizontal="right"/>
    </xf>
    <xf numFmtId="165" fontId="0" fillId="4" borderId="37" xfId="2" applyNumberFormat="1" applyFont="1" applyFill="1" applyBorder="1" applyAlignment="1">
      <alignment horizontal="right"/>
    </xf>
    <xf numFmtId="164" fontId="0" fillId="5" borderId="54" xfId="1" applyFont="1" applyFill="1" applyBorder="1" applyAlignment="1">
      <alignment horizontal="right"/>
    </xf>
    <xf numFmtId="165" fontId="0" fillId="4" borderId="40" xfId="2" applyNumberFormat="1" applyFont="1" applyFill="1" applyBorder="1" applyAlignment="1">
      <alignment horizontal="right"/>
    </xf>
    <xf numFmtId="164" fontId="0" fillId="5" borderId="55" xfId="1" applyFont="1" applyFill="1" applyBorder="1" applyAlignment="1">
      <alignment horizontal="right"/>
    </xf>
    <xf numFmtId="14" fontId="0" fillId="3" borderId="38" xfId="0" applyNumberFormat="1" applyFill="1" applyBorder="1" applyAlignment="1">
      <alignment horizontal="right"/>
    </xf>
    <xf numFmtId="14" fontId="0" fillId="3" borderId="45" xfId="0" applyNumberFormat="1" applyFill="1" applyBorder="1" applyAlignment="1">
      <alignment horizontal="right"/>
    </xf>
    <xf numFmtId="14" fontId="0" fillId="3" borderId="41" xfId="0" applyNumberFormat="1" applyFill="1" applyBorder="1" applyAlignment="1">
      <alignment horizontal="right"/>
    </xf>
    <xf numFmtId="164" fontId="0" fillId="5" borderId="56" xfId="1" applyFont="1" applyFill="1" applyBorder="1" applyAlignment="1">
      <alignment horizontal="right"/>
    </xf>
    <xf numFmtId="165" fontId="0" fillId="4" borderId="42" xfId="2" applyNumberFormat="1" applyFont="1" applyFill="1" applyBorder="1" applyAlignment="1">
      <alignment horizontal="right"/>
    </xf>
    <xf numFmtId="14" fontId="0" fillId="3" borderId="43" xfId="0" applyNumberFormat="1" applyFill="1" applyBorder="1" applyAlignment="1">
      <alignment horizontal="right"/>
    </xf>
    <xf numFmtId="165" fontId="0" fillId="4" borderId="52" xfId="2" applyNumberFormat="1" applyFont="1" applyFill="1" applyBorder="1" applyAlignment="1">
      <alignment horizontal="right"/>
    </xf>
    <xf numFmtId="164" fontId="0" fillId="5" borderId="41" xfId="1" applyFont="1" applyFill="1" applyBorder="1" applyAlignment="1">
      <alignment horizontal="right"/>
    </xf>
    <xf numFmtId="164" fontId="0" fillId="5" borderId="5" xfId="1" applyFont="1" applyFill="1" applyBorder="1" applyAlignment="1">
      <alignment horizontal="right"/>
    </xf>
    <xf numFmtId="165" fontId="0" fillId="4" borderId="39" xfId="2" applyNumberFormat="1" applyFont="1" applyFill="1" applyBorder="1" applyAlignment="1">
      <alignment horizontal="right"/>
    </xf>
    <xf numFmtId="0" fontId="0" fillId="3" borderId="40" xfId="0" applyFill="1" applyBorder="1" applyAlignment="1">
      <alignment horizontal="right"/>
    </xf>
    <xf numFmtId="0" fontId="0" fillId="3" borderId="35" xfId="0" applyFill="1" applyBorder="1" applyAlignment="1">
      <alignment horizontal="right"/>
    </xf>
    <xf numFmtId="0" fontId="0" fillId="3" borderId="39" xfId="0" applyFill="1" applyBorder="1" applyAlignment="1">
      <alignment horizontal="right"/>
    </xf>
    <xf numFmtId="0" fontId="0" fillId="3" borderId="42" xfId="0" applyFill="1" applyBorder="1" applyAlignment="1">
      <alignment horizontal="right"/>
    </xf>
    <xf numFmtId="0" fontId="0" fillId="3" borderId="57" xfId="0" applyFill="1" applyBorder="1" applyAlignment="1">
      <alignment horizontal="right"/>
    </xf>
    <xf numFmtId="0" fontId="0" fillId="3" borderId="41" xfId="0" applyFill="1" applyBorder="1" applyAlignment="1">
      <alignment horizontal="right"/>
    </xf>
    <xf numFmtId="0" fontId="0" fillId="3" borderId="58" xfId="0" applyFill="1" applyBorder="1" applyAlignment="1">
      <alignment horizontal="right"/>
    </xf>
    <xf numFmtId="0" fontId="0" fillId="3" borderId="59" xfId="0" applyFill="1" applyBorder="1" applyAlignment="1">
      <alignment horizontal="right"/>
    </xf>
    <xf numFmtId="0" fontId="0" fillId="3" borderId="55" xfId="0" applyFill="1" applyBorder="1" applyAlignment="1">
      <alignment horizontal="right"/>
    </xf>
    <xf numFmtId="0" fontId="0" fillId="3" borderId="50" xfId="0" applyFill="1" applyBorder="1" applyAlignment="1">
      <alignment horizontal="right"/>
    </xf>
    <xf numFmtId="0" fontId="0" fillId="3" borderId="54" xfId="0" applyFill="1" applyBorder="1" applyAlignment="1">
      <alignment horizontal="right"/>
    </xf>
    <xf numFmtId="166" fontId="0" fillId="3" borderId="60" xfId="1" applyNumberFormat="1" applyFont="1" applyFill="1" applyBorder="1" applyAlignment="1">
      <alignment horizontal="right"/>
    </xf>
    <xf numFmtId="166" fontId="0" fillId="3" borderId="61" xfId="1" applyNumberFormat="1" applyFont="1" applyFill="1" applyBorder="1" applyAlignment="1">
      <alignment horizontal="right"/>
    </xf>
    <xf numFmtId="166" fontId="0" fillId="3" borderId="62" xfId="1" applyNumberFormat="1" applyFont="1" applyFill="1" applyBorder="1" applyAlignment="1">
      <alignment horizontal="right"/>
    </xf>
    <xf numFmtId="166" fontId="0" fillId="3" borderId="63" xfId="1" applyNumberFormat="1" applyFont="1" applyFill="1" applyBorder="1" applyAlignment="1">
      <alignment horizontal="right"/>
    </xf>
    <xf numFmtId="166" fontId="0" fillId="3" borderId="64" xfId="1" applyNumberFormat="1" applyFont="1" applyFill="1" applyBorder="1" applyAlignment="1">
      <alignment horizontal="right"/>
    </xf>
    <xf numFmtId="0" fontId="0" fillId="3" borderId="64" xfId="0" applyFill="1" applyBorder="1" applyAlignment="1">
      <alignment horizontal="right"/>
    </xf>
    <xf numFmtId="0" fontId="2" fillId="3" borderId="65" xfId="0" applyFont="1" applyFill="1" applyBorder="1"/>
    <xf numFmtId="166" fontId="0" fillId="3" borderId="66" xfId="1" applyNumberFormat="1" applyFont="1" applyFill="1" applyBorder="1" applyAlignment="1">
      <alignment horizontal="right"/>
    </xf>
    <xf numFmtId="0" fontId="2" fillId="3" borderId="67" xfId="0" applyFont="1" applyFill="1" applyBorder="1"/>
    <xf numFmtId="165" fontId="0" fillId="4" borderId="36" xfId="2" applyNumberFormat="1" applyFont="1" applyFill="1" applyBorder="1" applyAlignment="1">
      <alignment horizontal="right"/>
    </xf>
    <xf numFmtId="0" fontId="2" fillId="3" borderId="0" xfId="0" quotePrefix="1" applyFont="1" applyFill="1"/>
    <xf numFmtId="14" fontId="0" fillId="3" borderId="52" xfId="0" applyNumberFormat="1" applyFill="1" applyBorder="1" applyAlignment="1">
      <alignment horizontal="right"/>
    </xf>
    <xf numFmtId="166" fontId="3" fillId="6" borderId="37" xfId="0" applyNumberFormat="1" applyFont="1" applyFill="1" applyBorder="1" applyAlignment="1">
      <alignment horizontal="right"/>
    </xf>
    <xf numFmtId="164" fontId="0" fillId="5" borderId="68" xfId="1" applyFont="1" applyFill="1" applyBorder="1" applyAlignment="1">
      <alignment horizontal="right"/>
    </xf>
    <xf numFmtId="164" fontId="0" fillId="5" borderId="69" xfId="1" applyFont="1" applyFill="1" applyBorder="1" applyAlignment="1">
      <alignment horizontal="right"/>
    </xf>
    <xf numFmtId="164" fontId="0" fillId="5" borderId="70" xfId="1" applyFont="1" applyFill="1" applyBorder="1" applyAlignment="1">
      <alignment horizontal="right"/>
    </xf>
    <xf numFmtId="164" fontId="0" fillId="5" borderId="35" xfId="1" applyFont="1" applyFill="1" applyBorder="1" applyAlignment="1">
      <alignment horizontal="right"/>
    </xf>
    <xf numFmtId="164" fontId="0" fillId="5" borderId="64" xfId="1" applyFont="1" applyFill="1" applyBorder="1" applyAlignment="1">
      <alignment horizontal="right"/>
    </xf>
    <xf numFmtId="0" fontId="3" fillId="6" borderId="71" xfId="0" applyFont="1" applyFill="1" applyBorder="1" applyAlignment="1">
      <alignment horizontal="right"/>
    </xf>
    <xf numFmtId="166" fontId="0" fillId="3" borderId="70" xfId="1" applyNumberFormat="1" applyFont="1" applyFill="1" applyBorder="1" applyAlignment="1">
      <alignment horizontal="right"/>
    </xf>
    <xf numFmtId="166" fontId="0" fillId="3" borderId="72" xfId="1" applyNumberFormat="1" applyFont="1" applyFill="1" applyBorder="1" applyAlignment="1">
      <alignment horizontal="right"/>
    </xf>
    <xf numFmtId="0" fontId="2" fillId="3" borderId="48" xfId="0" quotePrefix="1" applyFont="1" applyFill="1" applyBorder="1" applyAlignment="1">
      <alignment wrapText="1"/>
    </xf>
    <xf numFmtId="14" fontId="0" fillId="3" borderId="36" xfId="0" applyNumberFormat="1" applyFill="1" applyBorder="1" applyAlignment="1">
      <alignment horizontal="right"/>
    </xf>
    <xf numFmtId="165" fontId="0" fillId="4" borderId="35" xfId="2" applyNumberFormat="1" applyFont="1" applyFill="1" applyBorder="1" applyAlignment="1">
      <alignment horizontal="right"/>
    </xf>
    <xf numFmtId="14" fontId="0" fillId="3" borderId="63" xfId="0" applyNumberFormat="1" applyFill="1" applyBorder="1" applyAlignment="1">
      <alignment horizontal="right"/>
    </xf>
    <xf numFmtId="14" fontId="0" fillId="3" borderId="35" xfId="0" applyNumberFormat="1" applyFill="1" applyBorder="1" applyAlignment="1">
      <alignment horizontal="right"/>
    </xf>
    <xf numFmtId="0" fontId="2" fillId="3" borderId="48" xfId="0" quotePrefix="1" applyFont="1" applyFill="1" applyBorder="1"/>
    <xf numFmtId="166" fontId="0" fillId="3" borderId="73" xfId="1" applyNumberFormat="1" applyFont="1" applyFill="1" applyBorder="1" applyAlignment="1">
      <alignment horizontal="right"/>
    </xf>
    <xf numFmtId="0" fontId="0" fillId="3" borderId="15" xfId="0" applyFill="1" applyBorder="1" applyAlignment="1">
      <alignment horizontal="right"/>
    </xf>
    <xf numFmtId="165" fontId="0" fillId="4" borderId="45" xfId="2" applyNumberFormat="1" applyFont="1" applyFill="1" applyBorder="1" applyAlignment="1">
      <alignment horizontal="right"/>
    </xf>
    <xf numFmtId="165" fontId="0" fillId="4" borderId="43" xfId="2" applyNumberFormat="1" applyFont="1" applyFill="1" applyBorder="1" applyAlignment="1">
      <alignment horizontal="right"/>
    </xf>
    <xf numFmtId="0" fontId="2" fillId="3" borderId="42" xfId="0" quotePrefix="1" applyFont="1" applyFill="1" applyBorder="1"/>
    <xf numFmtId="0" fontId="2" fillId="3" borderId="74" xfId="0" applyFont="1" applyFill="1" applyBorder="1"/>
    <xf numFmtId="0" fontId="2" fillId="3" borderId="75" xfId="0" quotePrefix="1" applyFont="1" applyFill="1" applyBorder="1"/>
    <xf numFmtId="166" fontId="0" fillId="3" borderId="76" xfId="1" applyNumberFormat="1" applyFont="1" applyFill="1" applyBorder="1" applyAlignment="1">
      <alignment horizontal="right"/>
    </xf>
    <xf numFmtId="166" fontId="0" fillId="3" borderId="77" xfId="1" applyNumberFormat="1" applyFont="1" applyFill="1" applyBorder="1" applyAlignment="1">
      <alignment horizontal="right"/>
    </xf>
    <xf numFmtId="165" fontId="0" fillId="4" borderId="38" xfId="2" applyNumberFormat="1" applyFont="1" applyFill="1" applyBorder="1" applyAlignment="1">
      <alignment horizontal="right"/>
    </xf>
    <xf numFmtId="165" fontId="0" fillId="4" borderId="77" xfId="2" applyNumberFormat="1" applyFont="1" applyFill="1" applyBorder="1" applyAlignment="1">
      <alignment horizontal="right"/>
    </xf>
    <xf numFmtId="14" fontId="0" fillId="3" borderId="70" xfId="0" applyNumberFormat="1" applyFill="1" applyBorder="1" applyAlignment="1">
      <alignment horizontal="right"/>
    </xf>
    <xf numFmtId="14" fontId="0" fillId="3" borderId="76" xfId="0" applyNumberFormat="1" applyFill="1" applyBorder="1" applyAlignment="1">
      <alignment horizontal="right"/>
    </xf>
    <xf numFmtId="164" fontId="0" fillId="5" borderId="63" xfId="1" applyFont="1" applyFill="1" applyBorder="1" applyAlignment="1">
      <alignment horizontal="right"/>
    </xf>
    <xf numFmtId="0" fontId="0" fillId="3" borderId="8" xfId="0" applyFill="1" applyBorder="1" applyAlignment="1">
      <alignment horizontal="right"/>
    </xf>
    <xf numFmtId="0" fontId="0" fillId="3" borderId="78" xfId="0" applyFill="1" applyBorder="1" applyAlignment="1">
      <alignment horizontal="right"/>
    </xf>
    <xf numFmtId="0" fontId="0" fillId="3" borderId="79" xfId="0" applyFill="1" applyBorder="1" applyAlignment="1">
      <alignment horizontal="right"/>
    </xf>
    <xf numFmtId="164" fontId="0" fillId="5" borderId="80" xfId="1" applyFont="1" applyFill="1" applyBorder="1" applyAlignment="1">
      <alignment horizontal="right"/>
    </xf>
    <xf numFmtId="0" fontId="0" fillId="3" borderId="81" xfId="0" applyFill="1" applyBorder="1" applyAlignment="1">
      <alignment horizontal="right"/>
    </xf>
    <xf numFmtId="164" fontId="0" fillId="5" borderId="37" xfId="1" applyFont="1" applyFill="1" applyBorder="1" applyAlignment="1">
      <alignment horizontal="right"/>
    </xf>
    <xf numFmtId="0" fontId="2" fillId="3" borderId="23" xfId="0" quotePrefix="1" applyFont="1" applyFill="1" applyBorder="1"/>
    <xf numFmtId="166" fontId="0" fillId="3" borderId="74" xfId="1" applyNumberFormat="1" applyFont="1" applyFill="1" applyBorder="1" applyAlignment="1">
      <alignment horizontal="right"/>
    </xf>
    <xf numFmtId="14" fontId="0" fillId="3" borderId="74" xfId="0" applyNumberFormat="1" applyFill="1" applyBorder="1" applyAlignment="1">
      <alignment horizontal="right"/>
    </xf>
    <xf numFmtId="164" fontId="0" fillId="5" borderId="67" xfId="1" applyFont="1" applyFill="1" applyBorder="1" applyAlignment="1">
      <alignment horizontal="right"/>
    </xf>
    <xf numFmtId="164" fontId="0" fillId="5" borderId="82" xfId="1" applyFont="1" applyFill="1" applyBorder="1" applyAlignment="1">
      <alignment horizontal="right"/>
    </xf>
    <xf numFmtId="0" fontId="2" fillId="3" borderId="74" xfId="0" quotePrefix="1" applyFont="1" applyFill="1" applyBorder="1"/>
    <xf numFmtId="165" fontId="0" fillId="4" borderId="74" xfId="2" applyNumberFormat="1" applyFont="1" applyFill="1" applyBorder="1" applyAlignment="1">
      <alignment horizontal="right"/>
    </xf>
    <xf numFmtId="164" fontId="0" fillId="5" borderId="74" xfId="1" applyFont="1" applyFill="1" applyBorder="1" applyAlignment="1">
      <alignment horizontal="right"/>
    </xf>
    <xf numFmtId="0" fontId="0" fillId="3" borderId="74" xfId="0" applyFill="1" applyBorder="1" applyAlignment="1">
      <alignment horizontal="right"/>
    </xf>
    <xf numFmtId="0" fontId="2" fillId="9" borderId="0" xfId="0" applyFont="1" applyFill="1"/>
    <xf numFmtId="166" fontId="9" fillId="9" borderId="0" xfId="0" applyNumberFormat="1" applyFont="1" applyFill="1" applyAlignment="1">
      <alignment horizontal="left"/>
    </xf>
    <xf numFmtId="165" fontId="9" fillId="9" borderId="0" xfId="2" applyNumberFormat="1" applyFont="1" applyFill="1" applyBorder="1" applyAlignment="1">
      <alignment horizontal="right"/>
    </xf>
    <xf numFmtId="0" fontId="9" fillId="10" borderId="0" xfId="0" applyFont="1" applyFill="1"/>
    <xf numFmtId="166" fontId="9" fillId="10" borderId="0" xfId="0" applyNumberFormat="1" applyFont="1" applyFill="1" applyAlignment="1">
      <alignment horizontal="left"/>
    </xf>
    <xf numFmtId="165" fontId="9" fillId="10" borderId="0" xfId="2" applyNumberFormat="1" applyFont="1" applyFill="1" applyBorder="1" applyAlignment="1">
      <alignment horizontal="right"/>
    </xf>
    <xf numFmtId="0" fontId="0" fillId="0" borderId="42" xfId="0" applyBorder="1"/>
    <xf numFmtId="0" fontId="0" fillId="0" borderId="43" xfId="0" applyBorder="1"/>
    <xf numFmtId="166" fontId="0" fillId="3" borderId="2" xfId="1" applyNumberFormat="1" applyFont="1" applyFill="1" applyBorder="1" applyAlignment="1">
      <alignment horizontal="center" vertical="center"/>
    </xf>
    <xf numFmtId="166" fontId="0" fillId="3" borderId="3" xfId="1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164" fontId="0" fillId="5" borderId="2" xfId="1" applyFont="1" applyFill="1" applyBorder="1" applyAlignment="1">
      <alignment horizontal="center" vertical="center"/>
    </xf>
    <xf numFmtId="164" fontId="0" fillId="5" borderId="3" xfId="1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right" vertical="center"/>
    </xf>
    <xf numFmtId="14" fontId="0" fillId="3" borderId="3" xfId="0" applyNumberFormat="1" applyFill="1" applyBorder="1" applyAlignment="1">
      <alignment horizontal="right" vertical="center"/>
    </xf>
    <xf numFmtId="165" fontId="0" fillId="4" borderId="2" xfId="2" applyNumberFormat="1" applyFont="1" applyFill="1" applyBorder="1" applyAlignment="1">
      <alignment horizontal="right" vertical="center"/>
    </xf>
    <xf numFmtId="165" fontId="0" fillId="4" borderId="3" xfId="2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166" fontId="0" fillId="3" borderId="1" xfId="1" applyNumberFormat="1" applyFont="1" applyFill="1" applyBorder="1" applyAlignment="1">
      <alignment horizontal="right" vertical="center"/>
    </xf>
    <xf numFmtId="165" fontId="0" fillId="4" borderId="1" xfId="2" applyNumberFormat="1" applyFont="1" applyFill="1" applyBorder="1" applyAlignment="1">
      <alignment horizontal="right" vertical="center"/>
    </xf>
    <xf numFmtId="14" fontId="0" fillId="3" borderId="1" xfId="0" applyNumberFormat="1" applyFill="1" applyBorder="1" applyAlignment="1">
      <alignment horizontal="right" vertical="center"/>
    </xf>
    <xf numFmtId="164" fontId="0" fillId="5" borderId="1" xfId="1" applyFont="1" applyFill="1" applyBorder="1" applyAlignment="1">
      <alignment horizontal="right" vertical="center"/>
    </xf>
    <xf numFmtId="164" fontId="0" fillId="5" borderId="2" xfId="1" applyFont="1" applyFill="1" applyBorder="1" applyAlignment="1">
      <alignment horizontal="right" vertical="center"/>
    </xf>
    <xf numFmtId="164" fontId="0" fillId="5" borderId="3" xfId="1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yce Bruijn" id="{8B976429-A9D3-4811-8B9D-90587639DE97}" userId="S::Joyce@hoen.nl::bfb8a5ae-014b-4b19-8453-810c184e0955" providerId="AD"/>
</personList>
</file>

<file path=xl/theme/theme1.xml><?xml version="1.0" encoding="utf-8"?>
<a:theme xmlns:a="http://schemas.openxmlformats.org/drawingml/2006/main" name="Kantoorthema">
  <a:themeElements>
    <a:clrScheme name="DMEP Blue">
      <a:dk1>
        <a:srgbClr val="000000"/>
      </a:dk1>
      <a:lt1>
        <a:srgbClr val="FFFFFF"/>
      </a:lt1>
      <a:dk2>
        <a:srgbClr val="002855"/>
      </a:dk2>
      <a:lt2>
        <a:srgbClr val="FFFCF3"/>
      </a:lt2>
      <a:accent1>
        <a:srgbClr val="002656"/>
      </a:accent1>
      <a:accent2>
        <a:srgbClr val="D5D5D5"/>
      </a:accent2>
      <a:accent3>
        <a:srgbClr val="97BBCF"/>
      </a:accent3>
      <a:accent4>
        <a:srgbClr val="929292"/>
      </a:accent4>
      <a:accent5>
        <a:srgbClr val="0096FF"/>
      </a:accent5>
      <a:accent6>
        <a:srgbClr val="0432FF"/>
      </a:accent6>
      <a:hlink>
        <a:srgbClr val="FF2600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4" dT="2022-10-31T10:15:50.20" personId="{8B976429-A9D3-4811-8B9D-90587639DE97}" id="{B1996705-8642-4EBB-9A44-F6241601BA79}">
    <text>Bedrag NvA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190"/>
  <sheetViews>
    <sheetView showGridLines="0" tabSelected="1" view="pageBreakPreview" zoomScale="70" zoomScaleNormal="70" zoomScaleSheetLayoutView="70" workbookViewId="0">
      <pane xSplit="2" ySplit="4" topLeftCell="C127" activePane="bottomRight" state="frozen"/>
      <selection pane="topRight" activeCell="C1" sqref="C1"/>
      <selection pane="bottomLeft" activeCell="A5" sqref="A5"/>
      <selection pane="bottomRight" activeCell="F173" sqref="F173"/>
    </sheetView>
  </sheetViews>
  <sheetFormatPr defaultColWidth="10.6640625" defaultRowHeight="15"/>
  <cols>
    <col min="1" max="1" width="3.109375" customWidth="1"/>
    <col min="2" max="2" width="4.21875" customWidth="1"/>
    <col min="3" max="3" width="42" bestFit="1" customWidth="1"/>
    <col min="4" max="5" width="21.5546875" customWidth="1"/>
    <col min="6" max="6" width="23" customWidth="1"/>
    <col min="7" max="7" width="7.5546875" customWidth="1"/>
    <col min="8" max="10" width="21.5546875" customWidth="1"/>
    <col min="11" max="13" width="18" customWidth="1"/>
  </cols>
  <sheetData>
    <row r="2" spans="2:13" ht="18">
      <c r="B2" s="14" t="s">
        <v>175</v>
      </c>
    </row>
    <row r="3" spans="2:13">
      <c r="E3" t="s">
        <v>18</v>
      </c>
      <c r="J3" s="16"/>
    </row>
    <row r="4" spans="2:13" ht="35.1" customHeight="1">
      <c r="B4" s="13" t="s">
        <v>17</v>
      </c>
      <c r="C4" s="12" t="s">
        <v>10</v>
      </c>
      <c r="D4" s="13" t="s">
        <v>0</v>
      </c>
      <c r="E4" s="13" t="s">
        <v>11</v>
      </c>
      <c r="F4" s="13" t="s">
        <v>12</v>
      </c>
      <c r="G4" s="13" t="s">
        <v>13</v>
      </c>
      <c r="H4" s="13" t="s">
        <v>14</v>
      </c>
      <c r="I4" s="13" t="s">
        <v>16</v>
      </c>
      <c r="J4" s="13" t="s">
        <v>23</v>
      </c>
      <c r="K4" s="13" t="s">
        <v>24</v>
      </c>
      <c r="L4" s="13" t="s">
        <v>25</v>
      </c>
      <c r="M4" s="13" t="s">
        <v>26</v>
      </c>
    </row>
    <row r="5" spans="2:13" ht="15.75">
      <c r="B5" s="3">
        <v>1</v>
      </c>
      <c r="C5" s="3" t="s">
        <v>1</v>
      </c>
      <c r="D5" s="8">
        <v>119720</v>
      </c>
      <c r="E5" s="8">
        <v>149999</v>
      </c>
      <c r="F5" s="8">
        <v>164000</v>
      </c>
      <c r="G5" s="2">
        <f>F5/E5-1</f>
        <v>9.3340622270815077E-2</v>
      </c>
      <c r="H5" s="4">
        <v>43308</v>
      </c>
      <c r="I5" s="15">
        <f>F5-D5</f>
        <v>44280</v>
      </c>
      <c r="J5" s="15">
        <f>F5+166.45-2976.6-D5-153.35</f>
        <v>41316.500000000007</v>
      </c>
      <c r="K5" s="5" t="s">
        <v>3</v>
      </c>
      <c r="L5" s="5" t="s">
        <v>3</v>
      </c>
      <c r="M5" s="5" t="s">
        <v>3</v>
      </c>
    </row>
    <row r="6" spans="2:13" ht="15.75">
      <c r="B6" s="3">
        <f>+B5+1</f>
        <v>2</v>
      </c>
      <c r="C6" s="3" t="s">
        <v>2</v>
      </c>
      <c r="D6" s="8">
        <v>157787</v>
      </c>
      <c r="E6" s="8">
        <v>197695</v>
      </c>
      <c r="F6" s="8">
        <v>197500</v>
      </c>
      <c r="G6" s="2">
        <f>F6/E6-1</f>
        <v>-9.8636788993144986E-4</v>
      </c>
      <c r="H6" s="4">
        <v>43336</v>
      </c>
      <c r="I6" s="15">
        <f>F6-D6</f>
        <v>39713</v>
      </c>
      <c r="J6" s="15">
        <f>F6+163.78-3584.63-D6-153.35</f>
        <v>36138.799999999996</v>
      </c>
      <c r="K6" s="5" t="s">
        <v>3</v>
      </c>
      <c r="L6" s="5" t="s">
        <v>3</v>
      </c>
      <c r="M6" s="5" t="s">
        <v>3</v>
      </c>
    </row>
    <row r="7" spans="2:13" ht="15.75">
      <c r="B7" s="3">
        <f t="shared" ref="B7:B28" si="0">+B6+1</f>
        <v>3</v>
      </c>
      <c r="C7" s="3" t="s">
        <v>19</v>
      </c>
      <c r="D7" s="8">
        <v>77856</v>
      </c>
      <c r="E7" s="8">
        <v>97546</v>
      </c>
      <c r="F7" s="8">
        <v>115000</v>
      </c>
      <c r="G7" s="2">
        <f>F7/E7-1</f>
        <v>0.17893096590326607</v>
      </c>
      <c r="H7" s="4">
        <v>43290</v>
      </c>
      <c r="I7" s="15">
        <f>F7-D7</f>
        <v>37144</v>
      </c>
      <c r="J7" s="15">
        <f>F7+109.57+68.07-2087.25-D7-153.35</f>
        <v>35081.040000000015</v>
      </c>
      <c r="K7" s="5" t="s">
        <v>3</v>
      </c>
      <c r="L7" s="5" t="s">
        <v>3</v>
      </c>
      <c r="M7" s="5" t="s">
        <v>3</v>
      </c>
    </row>
    <row r="8" spans="2:13" ht="15.75">
      <c r="B8" s="3">
        <f t="shared" si="0"/>
        <v>4</v>
      </c>
      <c r="C8" s="3" t="s">
        <v>4</v>
      </c>
      <c r="D8" s="8">
        <v>106050</v>
      </c>
      <c r="E8" s="8">
        <v>132871</v>
      </c>
      <c r="F8" s="8">
        <v>139500</v>
      </c>
      <c r="G8" s="2">
        <f>F8/E8-1</f>
        <v>4.9890495292426396E-2</v>
      </c>
      <c r="H8" s="4">
        <v>43284</v>
      </c>
      <c r="I8" s="15">
        <f>F8-D8</f>
        <v>33450</v>
      </c>
      <c r="J8" s="15">
        <f>F8+186.55-2531.93-153.35-D8</f>
        <v>30951.26999999999</v>
      </c>
      <c r="K8" s="5" t="s">
        <v>3</v>
      </c>
      <c r="L8" s="5" t="s">
        <v>3</v>
      </c>
      <c r="M8" s="5" t="s">
        <v>3</v>
      </c>
    </row>
    <row r="9" spans="2:13" ht="15.75">
      <c r="B9" s="3">
        <f t="shared" si="0"/>
        <v>5</v>
      </c>
      <c r="C9" s="3" t="s">
        <v>5</v>
      </c>
      <c r="D9" s="8">
        <v>78278</v>
      </c>
      <c r="E9" s="8">
        <v>98076</v>
      </c>
      <c r="F9" s="8">
        <v>92500</v>
      </c>
      <c r="G9" s="2">
        <f>F9/E9-1</f>
        <v>-5.6853868428565657E-2</v>
      </c>
      <c r="H9" s="4">
        <v>43287</v>
      </c>
      <c r="I9" s="15">
        <f>F9-D9</f>
        <v>14222</v>
      </c>
      <c r="J9" s="15">
        <f>F9+199.13+42.75-50.97-1678.88-D9-151.25</f>
        <v>12582.779999999999</v>
      </c>
      <c r="K9" s="5" t="s">
        <v>3</v>
      </c>
      <c r="L9" s="5" t="s">
        <v>3</v>
      </c>
      <c r="M9" s="5" t="s">
        <v>3</v>
      </c>
    </row>
    <row r="10" spans="2:13" ht="15.75">
      <c r="B10" s="3">
        <f t="shared" si="0"/>
        <v>6</v>
      </c>
      <c r="C10" s="3" t="s">
        <v>6</v>
      </c>
      <c r="D10" s="8">
        <v>113759</v>
      </c>
      <c r="E10" s="8">
        <v>142530</v>
      </c>
      <c r="F10" s="213">
        <v>312500</v>
      </c>
      <c r="G10" s="214">
        <f>F10/SUM(E10:E11)-1</f>
        <v>0.13364289341942981</v>
      </c>
      <c r="H10" s="215">
        <v>43301</v>
      </c>
      <c r="I10" s="216">
        <f>F10-SUM(D10:D11)</f>
        <v>92485</v>
      </c>
      <c r="J10" s="217">
        <f>F10+196.13+176.17-5671.88-D10-D11-153.35</f>
        <v>87032.069999999978</v>
      </c>
      <c r="K10" s="212" t="s">
        <v>3</v>
      </c>
      <c r="L10" s="212" t="s">
        <v>3</v>
      </c>
      <c r="M10" s="212" t="s">
        <v>3</v>
      </c>
    </row>
    <row r="11" spans="2:13" ht="15.75">
      <c r="B11" s="3">
        <f t="shared" si="0"/>
        <v>7</v>
      </c>
      <c r="C11" s="3" t="s">
        <v>7</v>
      </c>
      <c r="D11" s="8">
        <v>106256</v>
      </c>
      <c r="E11" s="8">
        <v>133130</v>
      </c>
      <c r="F11" s="213"/>
      <c r="G11" s="214"/>
      <c r="H11" s="215"/>
      <c r="I11" s="216"/>
      <c r="J11" s="218"/>
      <c r="K11" s="212"/>
      <c r="L11" s="212"/>
      <c r="M11" s="212"/>
    </row>
    <row r="12" spans="2:13" ht="15.75">
      <c r="B12" s="3">
        <f t="shared" si="0"/>
        <v>8</v>
      </c>
      <c r="C12" s="3" t="s">
        <v>38</v>
      </c>
      <c r="D12" s="8">
        <v>213471.59769908938</v>
      </c>
      <c r="E12" s="8">
        <v>267461.7406509287</v>
      </c>
      <c r="F12" s="202">
        <v>282500</v>
      </c>
      <c r="G12" s="210">
        <f>F12/(E13+E12)-1</f>
        <v>1.6389000281954669E-2</v>
      </c>
      <c r="H12" s="208">
        <v>43318</v>
      </c>
      <c r="I12" s="206">
        <f>F12-SUM(D12:D13)</f>
        <v>60661.495070349541</v>
      </c>
      <c r="J12" s="206">
        <f>F12+168.45+283.94-2420-D13-D12-153.35</f>
        <v>58540.535070349557</v>
      </c>
      <c r="K12" s="204" t="s">
        <v>3</v>
      </c>
      <c r="L12" s="204" t="s">
        <v>3</v>
      </c>
      <c r="M12" s="204" t="s">
        <v>3</v>
      </c>
    </row>
    <row r="13" spans="2:13" ht="15.75">
      <c r="B13" s="3">
        <f t="shared" si="0"/>
        <v>9</v>
      </c>
      <c r="C13" s="3" t="s">
        <v>74</v>
      </c>
      <c r="D13" s="8">
        <v>8366.9072305610825</v>
      </c>
      <c r="E13" s="8">
        <v>10483.022546658227</v>
      </c>
      <c r="F13" s="203"/>
      <c r="G13" s="211"/>
      <c r="H13" s="209"/>
      <c r="I13" s="207"/>
      <c r="J13" s="207"/>
      <c r="K13" s="205"/>
      <c r="L13" s="205"/>
      <c r="M13" s="205"/>
    </row>
    <row r="14" spans="2:13" ht="15.75">
      <c r="B14" s="3">
        <f t="shared" si="0"/>
        <v>10</v>
      </c>
      <c r="C14" s="3" t="s">
        <v>8</v>
      </c>
      <c r="D14" s="8">
        <v>106050</v>
      </c>
      <c r="E14" s="8">
        <v>132871</v>
      </c>
      <c r="F14" s="8">
        <v>135000</v>
      </c>
      <c r="G14" s="2">
        <f t="shared" ref="G14:G40" si="1">F14/E14-1</f>
        <v>1.6023059960412755E-2</v>
      </c>
      <c r="H14" s="4">
        <v>43322</v>
      </c>
      <c r="I14" s="15">
        <f t="shared" ref="I14:I40" si="2">F14-D14</f>
        <v>28950</v>
      </c>
      <c r="J14" s="15">
        <f>F14+144.52-2450.25-D14-153.35</f>
        <v>26490.919999999991</v>
      </c>
      <c r="K14" s="5" t="s">
        <v>3</v>
      </c>
      <c r="L14" s="5" t="s">
        <v>3</v>
      </c>
      <c r="M14" s="5" t="s">
        <v>3</v>
      </c>
    </row>
    <row r="15" spans="2:13" ht="15.75">
      <c r="B15" s="3">
        <f t="shared" si="0"/>
        <v>11</v>
      </c>
      <c r="C15" s="3" t="s">
        <v>9</v>
      </c>
      <c r="D15" s="8">
        <v>122108</v>
      </c>
      <c r="E15" s="8">
        <v>152991</v>
      </c>
      <c r="F15" s="8">
        <v>177000</v>
      </c>
      <c r="G15" s="2">
        <f t="shared" si="1"/>
        <v>0.15693079985097169</v>
      </c>
      <c r="H15" s="4">
        <v>43390</v>
      </c>
      <c r="I15" s="15">
        <f t="shared" si="2"/>
        <v>54892</v>
      </c>
      <c r="J15" s="15">
        <f>F15+80.6-3212.55-D15-153.35</f>
        <v>51606.700000000019</v>
      </c>
      <c r="K15" s="5" t="s">
        <v>3</v>
      </c>
      <c r="L15" s="5" t="s">
        <v>3</v>
      </c>
      <c r="M15" s="5" t="s">
        <v>3</v>
      </c>
    </row>
    <row r="16" spans="2:13" ht="15.75">
      <c r="B16" s="3">
        <f t="shared" si="0"/>
        <v>12</v>
      </c>
      <c r="C16" s="3" t="s">
        <v>20</v>
      </c>
      <c r="D16" s="8">
        <v>148125</v>
      </c>
      <c r="E16" s="8">
        <v>185587</v>
      </c>
      <c r="F16" s="8">
        <v>186000</v>
      </c>
      <c r="G16" s="2">
        <f t="shared" si="1"/>
        <v>2.2253713891597915E-3</v>
      </c>
      <c r="H16" s="4">
        <v>43346</v>
      </c>
      <c r="I16" s="15">
        <f t="shared" si="2"/>
        <v>37875</v>
      </c>
      <c r="J16" s="15">
        <f>F16+133.24-3375.9-D16-153.35</f>
        <v>34478.99</v>
      </c>
      <c r="K16" s="5" t="s">
        <v>3</v>
      </c>
      <c r="L16" s="5" t="s">
        <v>3</v>
      </c>
      <c r="M16" s="5" t="s">
        <v>3</v>
      </c>
    </row>
    <row r="17" spans="2:13" ht="15.75">
      <c r="B17" s="3">
        <f t="shared" si="0"/>
        <v>13</v>
      </c>
      <c r="C17" s="3" t="s">
        <v>21</v>
      </c>
      <c r="D17" s="8">
        <v>67680</v>
      </c>
      <c r="E17" s="8">
        <v>84797</v>
      </c>
      <c r="F17" s="8">
        <v>115000</v>
      </c>
      <c r="G17" s="2">
        <f t="shared" si="1"/>
        <v>0.35618005353963</v>
      </c>
      <c r="H17" s="4">
        <v>43374</v>
      </c>
      <c r="I17" s="15">
        <f t="shared" si="2"/>
        <v>47320</v>
      </c>
      <c r="J17" s="15">
        <f>F17+67.45-2087.25-D17-153.35</f>
        <v>45146.85</v>
      </c>
      <c r="K17" s="5" t="s">
        <v>3</v>
      </c>
      <c r="L17" s="5" t="s">
        <v>3</v>
      </c>
      <c r="M17" s="5" t="s">
        <v>3</v>
      </c>
    </row>
    <row r="18" spans="2:13" ht="15.75">
      <c r="B18" s="3">
        <f t="shared" si="0"/>
        <v>14</v>
      </c>
      <c r="C18" s="3" t="s">
        <v>22</v>
      </c>
      <c r="D18" s="8">
        <v>145650</v>
      </c>
      <c r="E18" s="8">
        <v>182448</v>
      </c>
      <c r="F18" s="8">
        <v>210000</v>
      </c>
      <c r="G18" s="2">
        <f t="shared" si="1"/>
        <v>0.15101289134438312</v>
      </c>
      <c r="H18" s="4">
        <v>43325</v>
      </c>
      <c r="I18" s="15">
        <f t="shared" si="2"/>
        <v>64350</v>
      </c>
      <c r="J18" s="15">
        <f>F18+166.6-3811.5-D18-153.35</f>
        <v>60551.750000000007</v>
      </c>
      <c r="K18" s="5" t="s">
        <v>3</v>
      </c>
      <c r="L18" s="5" t="s">
        <v>3</v>
      </c>
      <c r="M18" s="5" t="s">
        <v>3</v>
      </c>
    </row>
    <row r="19" spans="2:13" ht="15.75">
      <c r="B19" s="3">
        <f t="shared" si="0"/>
        <v>15</v>
      </c>
      <c r="C19" s="3" t="s">
        <v>27</v>
      </c>
      <c r="D19" s="8">
        <v>123662</v>
      </c>
      <c r="E19" s="8">
        <v>154938</v>
      </c>
      <c r="F19" s="8">
        <v>155000</v>
      </c>
      <c r="G19" s="2">
        <f t="shared" si="1"/>
        <v>4.0016006402554538E-4</v>
      </c>
      <c r="H19" s="4">
        <v>43320</v>
      </c>
      <c r="I19" s="15">
        <f t="shared" si="2"/>
        <v>31338</v>
      </c>
      <c r="J19" s="15">
        <f>F19+119.26-3327.5-D19-221.7-46.04</f>
        <v>27862.020000000008</v>
      </c>
      <c r="K19" s="5" t="s">
        <v>3</v>
      </c>
      <c r="L19" s="5" t="s">
        <v>3</v>
      </c>
      <c r="M19" s="5" t="s">
        <v>3</v>
      </c>
    </row>
    <row r="20" spans="2:13" ht="15.75">
      <c r="B20" s="3">
        <f t="shared" si="0"/>
        <v>16</v>
      </c>
      <c r="C20" s="3" t="s">
        <v>28</v>
      </c>
      <c r="D20" s="8">
        <v>131506</v>
      </c>
      <c r="E20" s="8">
        <v>164766</v>
      </c>
      <c r="F20" s="8">
        <v>178000</v>
      </c>
      <c r="G20" s="2">
        <f t="shared" si="1"/>
        <v>8.031996892562776E-2</v>
      </c>
      <c r="H20" s="4">
        <v>43361</v>
      </c>
      <c r="I20" s="15">
        <f t="shared" si="2"/>
        <v>46494</v>
      </c>
      <c r="J20" s="15">
        <f>F20+104.92-2692.25-D20-199.65-87</f>
        <v>43620.020000000011</v>
      </c>
      <c r="K20" s="5" t="s">
        <v>3</v>
      </c>
      <c r="L20" s="5" t="s">
        <v>3</v>
      </c>
      <c r="M20" s="5" t="s">
        <v>3</v>
      </c>
    </row>
    <row r="21" spans="2:13" ht="15.75">
      <c r="B21" s="3">
        <f t="shared" si="0"/>
        <v>17</v>
      </c>
      <c r="C21" s="3" t="s">
        <v>29</v>
      </c>
      <c r="D21" s="8">
        <v>117163</v>
      </c>
      <c r="E21" s="8">
        <v>146796</v>
      </c>
      <c r="F21" s="8">
        <v>182000</v>
      </c>
      <c r="G21" s="2">
        <f t="shared" si="1"/>
        <v>0.23981579879560755</v>
      </c>
      <c r="H21" s="4">
        <v>43328</v>
      </c>
      <c r="I21" s="15">
        <f t="shared" si="2"/>
        <v>64837</v>
      </c>
      <c r="J21" s="15">
        <f>F21+123.14+103.25-2420-D21-153.35</f>
        <v>62490.040000000015</v>
      </c>
      <c r="K21" s="5" t="s">
        <v>3</v>
      </c>
      <c r="L21" s="5" t="s">
        <v>3</v>
      </c>
      <c r="M21" s="5" t="s">
        <v>3</v>
      </c>
    </row>
    <row r="22" spans="2:13" ht="15.75">
      <c r="B22" s="3">
        <f t="shared" si="0"/>
        <v>18</v>
      </c>
      <c r="C22" s="3" t="s">
        <v>30</v>
      </c>
      <c r="D22" s="8">
        <v>124401.87138520043</v>
      </c>
      <c r="E22" s="8">
        <v>155864.95542990262</v>
      </c>
      <c r="F22" s="8">
        <v>160000</v>
      </c>
      <c r="G22" s="2">
        <f t="shared" si="1"/>
        <v>2.6529661903101909E-2</v>
      </c>
      <c r="H22" s="4">
        <v>43374</v>
      </c>
      <c r="I22" s="15">
        <f t="shared" si="2"/>
        <v>35598.128614799571</v>
      </c>
      <c r="J22" s="15">
        <f>F22+83.22-2904-D22-181.5-38.6</f>
        <v>32557.248614799573</v>
      </c>
      <c r="K22" s="5" t="s">
        <v>3</v>
      </c>
      <c r="L22" s="5" t="s">
        <v>3</v>
      </c>
      <c r="M22" s="5" t="s">
        <v>3</v>
      </c>
    </row>
    <row r="23" spans="2:13" ht="15.75">
      <c r="B23" s="3">
        <f t="shared" si="0"/>
        <v>19</v>
      </c>
      <c r="C23" s="3" t="s">
        <v>31</v>
      </c>
      <c r="D23" s="8">
        <v>126557.83876946692</v>
      </c>
      <c r="E23" s="8">
        <v>158566.19904075234</v>
      </c>
      <c r="F23" s="8">
        <v>182500</v>
      </c>
      <c r="G23" s="2">
        <f t="shared" si="1"/>
        <v>0.15093885773913618</v>
      </c>
      <c r="H23" s="4">
        <v>43388</v>
      </c>
      <c r="I23" s="15">
        <f t="shared" si="2"/>
        <v>55942.161230533078</v>
      </c>
      <c r="J23" s="15">
        <f>F23+69.95+109.7-2807.2-D23-153.35</f>
        <v>53161.261230533091</v>
      </c>
      <c r="K23" s="5" t="s">
        <v>3</v>
      </c>
      <c r="L23" s="5" t="s">
        <v>3</v>
      </c>
      <c r="M23" s="5" t="s">
        <v>3</v>
      </c>
    </row>
    <row r="24" spans="2:13" ht="15.75">
      <c r="B24" s="3">
        <f t="shared" si="0"/>
        <v>20</v>
      </c>
      <c r="C24" s="3" t="s">
        <v>32</v>
      </c>
      <c r="D24" s="8">
        <v>70508.523698224759</v>
      </c>
      <c r="E24" s="8">
        <v>88341.178322173117</v>
      </c>
      <c r="F24" s="8">
        <v>97500</v>
      </c>
      <c r="G24" s="2">
        <f t="shared" si="1"/>
        <v>0.10367556616038565</v>
      </c>
      <c r="H24" s="4">
        <v>43371</v>
      </c>
      <c r="I24" s="15">
        <f t="shared" si="2"/>
        <v>26991.476301775241</v>
      </c>
      <c r="J24" s="15">
        <f>F24+104.64+7.76-1769.63-D24-153.35</f>
        <v>25180.896301775232</v>
      </c>
      <c r="K24" s="5" t="s">
        <v>3</v>
      </c>
      <c r="L24" s="5" t="s">
        <v>3</v>
      </c>
      <c r="M24" s="5" t="s">
        <v>3</v>
      </c>
    </row>
    <row r="25" spans="2:13" ht="15.75">
      <c r="B25" s="3">
        <f t="shared" si="0"/>
        <v>21</v>
      </c>
      <c r="C25" s="3" t="s">
        <v>33</v>
      </c>
      <c r="D25" s="8">
        <v>147764.17931876471</v>
      </c>
      <c r="E25" s="8">
        <v>185135.93860932332</v>
      </c>
      <c r="F25" s="8">
        <v>192500</v>
      </c>
      <c r="G25" s="2">
        <f t="shared" si="1"/>
        <v>3.9776509336830745E-2</v>
      </c>
      <c r="H25" s="4">
        <v>43424</v>
      </c>
      <c r="I25" s="15">
        <f t="shared" si="2"/>
        <v>44735.820681235287</v>
      </c>
      <c r="J25" s="15">
        <f>F25+51.72-3493.88-D25-153.35</f>
        <v>41140.310681235285</v>
      </c>
      <c r="K25" s="5" t="s">
        <v>3</v>
      </c>
      <c r="L25" s="5" t="s">
        <v>3</v>
      </c>
      <c r="M25" s="5" t="s">
        <v>3</v>
      </c>
    </row>
    <row r="26" spans="2:13" ht="15.75">
      <c r="B26" s="3">
        <f t="shared" si="0"/>
        <v>22</v>
      </c>
      <c r="C26" s="3" t="s">
        <v>34</v>
      </c>
      <c r="D26" s="8">
        <v>74360.948631938401</v>
      </c>
      <c r="E26" s="8">
        <v>93167.938835534296</v>
      </c>
      <c r="F26" s="8">
        <v>95000</v>
      </c>
      <c r="G26" s="2">
        <f t="shared" si="1"/>
        <v>1.966407314966756E-2</v>
      </c>
      <c r="H26" s="4">
        <v>43370</v>
      </c>
      <c r="I26" s="15">
        <f t="shared" si="2"/>
        <v>20639.051368061599</v>
      </c>
      <c r="J26" s="15">
        <f>F26+64.91-1724.25-D26-153.35</f>
        <v>18826.361368061604</v>
      </c>
      <c r="K26" s="5" t="s">
        <v>3</v>
      </c>
      <c r="L26" s="5" t="s">
        <v>3</v>
      </c>
      <c r="M26" s="5" t="s">
        <v>3</v>
      </c>
    </row>
    <row r="27" spans="2:13" ht="16.5" thickBot="1">
      <c r="B27" s="23">
        <f t="shared" si="0"/>
        <v>23</v>
      </c>
      <c r="C27" s="23" t="s">
        <v>35</v>
      </c>
      <c r="D27" s="24">
        <v>145650</v>
      </c>
      <c r="E27" s="24">
        <v>182448</v>
      </c>
      <c r="F27" s="24">
        <v>192500</v>
      </c>
      <c r="G27" s="25">
        <f t="shared" si="1"/>
        <v>5.50951503990178E-2</v>
      </c>
      <c r="H27" s="26">
        <v>43404</v>
      </c>
      <c r="I27" s="27">
        <f t="shared" si="2"/>
        <v>46850</v>
      </c>
      <c r="J27" s="27">
        <f>F27+72.38-3493.88-D27-153.35</f>
        <v>43275.15</v>
      </c>
      <c r="K27" s="28" t="s">
        <v>3</v>
      </c>
      <c r="L27" s="28" t="s">
        <v>3</v>
      </c>
      <c r="M27" s="28" t="s">
        <v>3</v>
      </c>
    </row>
    <row r="28" spans="2:13" ht="15.75">
      <c r="B28" s="17">
        <f t="shared" si="0"/>
        <v>24</v>
      </c>
      <c r="C28" s="17" t="s">
        <v>36</v>
      </c>
      <c r="D28" s="18">
        <v>109458</v>
      </c>
      <c r="E28" s="18">
        <v>137141</v>
      </c>
      <c r="F28" s="18">
        <v>145000</v>
      </c>
      <c r="G28" s="19">
        <f t="shared" si="1"/>
        <v>5.7305984351871508E-2</v>
      </c>
      <c r="H28" s="20">
        <v>43472</v>
      </c>
      <c r="I28" s="21">
        <f t="shared" si="2"/>
        <v>35542</v>
      </c>
      <c r="J28" s="21">
        <f>F28+360.29-2631.75-D28-154.54</f>
        <v>33116.000000000007</v>
      </c>
      <c r="K28" s="22" t="s">
        <v>3</v>
      </c>
      <c r="L28" s="22" t="s">
        <v>3</v>
      </c>
      <c r="M28" s="22" t="s">
        <v>3</v>
      </c>
    </row>
    <row r="29" spans="2:13" ht="15.75">
      <c r="B29" s="3">
        <v>25</v>
      </c>
      <c r="C29" s="3" t="s">
        <v>37</v>
      </c>
      <c r="D29" s="8">
        <v>106050</v>
      </c>
      <c r="E29" s="8">
        <v>132871</v>
      </c>
      <c r="F29" s="8">
        <v>149500</v>
      </c>
      <c r="G29" s="2">
        <f t="shared" si="1"/>
        <v>0.12515146269690147</v>
      </c>
      <c r="H29" s="4">
        <v>43497</v>
      </c>
      <c r="I29" s="15">
        <f t="shared" si="2"/>
        <v>43450</v>
      </c>
      <c r="J29" s="15">
        <f>F29+356.6-2713.43-D29-153.55</f>
        <v>40939.62000000001</v>
      </c>
      <c r="K29" s="5" t="s">
        <v>3</v>
      </c>
      <c r="L29" s="5" t="s">
        <v>3</v>
      </c>
      <c r="M29" s="5" t="s">
        <v>3</v>
      </c>
    </row>
    <row r="30" spans="2:13" ht="15.75">
      <c r="B30" s="3">
        <v>26</v>
      </c>
      <c r="C30" s="3" t="s">
        <v>39</v>
      </c>
      <c r="D30" s="8">
        <v>108397</v>
      </c>
      <c r="E30" s="8">
        <v>135812</v>
      </c>
      <c r="F30" s="8">
        <v>138000</v>
      </c>
      <c r="G30" s="2">
        <f t="shared" si="1"/>
        <v>1.6110505699054478E-2</v>
      </c>
      <c r="H30" s="4">
        <v>43518</v>
      </c>
      <c r="I30" s="15">
        <f t="shared" si="2"/>
        <v>29603</v>
      </c>
      <c r="J30" s="15">
        <f>F30+323.04-2504.7-D30-153.35</f>
        <v>27267.989999999998</v>
      </c>
      <c r="K30" s="5" t="s">
        <v>3</v>
      </c>
      <c r="L30" s="5" t="s">
        <v>3</v>
      </c>
      <c r="M30" s="5" t="s">
        <v>3</v>
      </c>
    </row>
    <row r="31" spans="2:13" ht="15.75">
      <c r="B31" s="3">
        <f>+B30+1</f>
        <v>27</v>
      </c>
      <c r="C31" s="3" t="s">
        <v>40</v>
      </c>
      <c r="D31" s="8">
        <v>157722.55732395823</v>
      </c>
      <c r="E31" s="8">
        <v>197612.93856640163</v>
      </c>
      <c r="F31" s="8">
        <v>199000</v>
      </c>
      <c r="G31" s="2">
        <f t="shared" si="1"/>
        <v>7.0190820685169797E-3</v>
      </c>
      <c r="H31" s="4">
        <v>43551</v>
      </c>
      <c r="I31" s="15">
        <f t="shared" si="2"/>
        <v>41277.44267604177</v>
      </c>
      <c r="J31" s="15">
        <f>F31+348.57-3611.85-D31-153.35</f>
        <v>37860.812676041773</v>
      </c>
      <c r="K31" s="5" t="s">
        <v>3</v>
      </c>
      <c r="L31" s="5" t="s">
        <v>3</v>
      </c>
      <c r="M31" s="5" t="s">
        <v>3</v>
      </c>
    </row>
    <row r="32" spans="2:13" ht="15.75">
      <c r="B32" s="3">
        <f>+B31+1</f>
        <v>28</v>
      </c>
      <c r="C32" s="3" t="s">
        <v>41</v>
      </c>
      <c r="D32" s="8">
        <v>110844.7481897887</v>
      </c>
      <c r="E32" s="8">
        <v>138879.03408417333</v>
      </c>
      <c r="F32" s="8">
        <v>165000</v>
      </c>
      <c r="G32" s="2">
        <f t="shared" si="1"/>
        <v>0.18808430003909016</v>
      </c>
      <c r="H32" s="4">
        <v>43553</v>
      </c>
      <c r="I32" s="15">
        <f t="shared" si="2"/>
        <v>54155.251810211295</v>
      </c>
      <c r="J32" s="15">
        <f>F32+320.32-2994.75-D32-153.35</f>
        <v>51327.471810211304</v>
      </c>
      <c r="K32" s="5" t="s">
        <v>3</v>
      </c>
      <c r="L32" s="5" t="s">
        <v>3</v>
      </c>
      <c r="M32" s="5" t="s">
        <v>3</v>
      </c>
    </row>
    <row r="33" spans="2:13" ht="15.75">
      <c r="B33" s="3">
        <f>+B32+1</f>
        <v>29</v>
      </c>
      <c r="C33" s="3" t="s">
        <v>42</v>
      </c>
      <c r="D33" s="8">
        <v>137865</v>
      </c>
      <c r="E33" s="8">
        <v>172733</v>
      </c>
      <c r="F33" s="8">
        <v>182500</v>
      </c>
      <c r="G33" s="2">
        <f t="shared" si="1"/>
        <v>5.6543914596516087E-2</v>
      </c>
      <c r="H33" s="4">
        <v>43558</v>
      </c>
      <c r="I33" s="15">
        <f t="shared" si="2"/>
        <v>44635</v>
      </c>
      <c r="J33" s="15">
        <f>F33+268.41-3250-D33-266.2-205.7</f>
        <v>41181.510000000009</v>
      </c>
      <c r="K33" s="5" t="s">
        <v>3</v>
      </c>
      <c r="L33" s="5" t="s">
        <v>3</v>
      </c>
      <c r="M33" s="5" t="s">
        <v>3</v>
      </c>
    </row>
    <row r="34" spans="2:13" ht="15.75">
      <c r="B34" s="3">
        <f>+B33+1</f>
        <v>30</v>
      </c>
      <c r="C34" s="3" t="s">
        <v>43</v>
      </c>
      <c r="D34" s="8">
        <v>0</v>
      </c>
      <c r="E34" s="8">
        <v>0</v>
      </c>
      <c r="F34" s="8">
        <v>12750</v>
      </c>
      <c r="G34" s="2" t="e">
        <f t="shared" si="1"/>
        <v>#DIV/0!</v>
      </c>
      <c r="H34" s="4">
        <v>43553</v>
      </c>
      <c r="I34" s="15">
        <f t="shared" si="2"/>
        <v>12750</v>
      </c>
      <c r="J34" s="15">
        <f>F34+8.42+1.35-750-D34-283.47</f>
        <v>11726.300000000001</v>
      </c>
      <c r="K34" s="5" t="s">
        <v>3</v>
      </c>
      <c r="L34" s="5" t="s">
        <v>3</v>
      </c>
      <c r="M34" s="5" t="s">
        <v>3</v>
      </c>
    </row>
    <row r="35" spans="2:13" ht="15.75">
      <c r="B35" s="3">
        <f>+B34+1</f>
        <v>31</v>
      </c>
      <c r="C35" s="3" t="s">
        <v>44</v>
      </c>
      <c r="D35" s="8">
        <v>166820.10422838404</v>
      </c>
      <c r="E35" s="8">
        <v>209011.3904304342</v>
      </c>
      <c r="F35" s="8">
        <v>210000</v>
      </c>
      <c r="G35" s="2">
        <f t="shared" si="1"/>
        <v>4.7299315483710913E-3</v>
      </c>
      <c r="H35" s="4">
        <v>43552</v>
      </c>
      <c r="I35" s="15">
        <f t="shared" si="2"/>
        <v>43179.895771615964</v>
      </c>
      <c r="J35" s="15">
        <f>F35+339.94-3811.5-D35-153.35</f>
        <v>39554.985771615968</v>
      </c>
      <c r="K35" s="5" t="s">
        <v>3</v>
      </c>
      <c r="L35" s="5" t="s">
        <v>3</v>
      </c>
      <c r="M35" s="5" t="s">
        <v>3</v>
      </c>
    </row>
    <row r="36" spans="2:13" ht="15.75">
      <c r="B36" s="3">
        <v>32</v>
      </c>
      <c r="C36" s="3" t="s">
        <v>45</v>
      </c>
      <c r="D36" s="8">
        <v>150476</v>
      </c>
      <c r="E36" s="8">
        <v>188533</v>
      </c>
      <c r="F36" s="8">
        <v>200000</v>
      </c>
      <c r="G36" s="2">
        <f t="shared" si="1"/>
        <v>6.0822243320797886E-2</v>
      </c>
      <c r="H36" s="4">
        <v>43573</v>
      </c>
      <c r="I36" s="15">
        <f t="shared" si="2"/>
        <v>49524</v>
      </c>
      <c r="J36" s="15">
        <f>F36+314.36-3630-D36-153.35</f>
        <v>46055.009999999987</v>
      </c>
      <c r="K36" s="5" t="s">
        <v>3</v>
      </c>
      <c r="L36" s="5" t="s">
        <v>3</v>
      </c>
      <c r="M36" s="5" t="s">
        <v>3</v>
      </c>
    </row>
    <row r="37" spans="2:13" ht="15.75">
      <c r="B37" s="3">
        <v>33</v>
      </c>
      <c r="C37" s="3" t="s">
        <v>46</v>
      </c>
      <c r="D37" s="8">
        <v>175705</v>
      </c>
      <c r="E37" s="8">
        <v>220143</v>
      </c>
      <c r="F37" s="8">
        <v>277500</v>
      </c>
      <c r="G37" s="2">
        <f t="shared" si="1"/>
        <v>0.26054428257995932</v>
      </c>
      <c r="H37" s="4">
        <v>43572</v>
      </c>
      <c r="I37" s="15">
        <f t="shared" si="2"/>
        <v>101795</v>
      </c>
      <c r="J37" s="15">
        <f>F37+265.56+86.39-5036.63-D37-153.35</f>
        <v>96956.97</v>
      </c>
      <c r="K37" s="5" t="s">
        <v>3</v>
      </c>
      <c r="L37" s="5" t="s">
        <v>3</v>
      </c>
      <c r="M37" s="5" t="s">
        <v>3</v>
      </c>
    </row>
    <row r="38" spans="2:13" ht="15.75">
      <c r="B38" s="3">
        <v>34</v>
      </c>
      <c r="C38" s="3" t="s">
        <v>48</v>
      </c>
      <c r="D38" s="8">
        <v>123662.00762380422</v>
      </c>
      <c r="E38" s="8">
        <v>154937.96911603003</v>
      </c>
      <c r="F38" s="8">
        <v>177000</v>
      </c>
      <c r="G38" s="2">
        <f t="shared" si="1"/>
        <v>0.14239266856175292</v>
      </c>
      <c r="H38" s="4">
        <v>43600</v>
      </c>
      <c r="I38" s="15">
        <f t="shared" si="2"/>
        <v>53337.992376195776</v>
      </c>
      <c r="J38" s="15">
        <f>F38+231.78-3466.65-D38-181.5-47.67</f>
        <v>49873.952376195783</v>
      </c>
      <c r="K38" s="5" t="s">
        <v>3</v>
      </c>
      <c r="L38" s="5" t="s">
        <v>3</v>
      </c>
      <c r="M38" s="5" t="s">
        <v>3</v>
      </c>
    </row>
    <row r="39" spans="2:13" ht="15.75">
      <c r="B39" s="3">
        <v>35</v>
      </c>
      <c r="C39" s="3" t="s">
        <v>47</v>
      </c>
      <c r="D39" s="8">
        <v>157787.9132643636</v>
      </c>
      <c r="E39" s="8">
        <v>197694.82399645934</v>
      </c>
      <c r="F39" s="8">
        <v>198000</v>
      </c>
      <c r="G39" s="2">
        <f t="shared" si="1"/>
        <v>1.5436721982469148E-3</v>
      </c>
      <c r="H39" s="4">
        <v>43606</v>
      </c>
      <c r="I39" s="15">
        <f t="shared" si="2"/>
        <v>40212.086735636403</v>
      </c>
      <c r="J39" s="15">
        <f>F39+275.65-3593.7-D39-154.54</f>
        <v>36739.496735636385</v>
      </c>
      <c r="K39" s="5" t="s">
        <v>3</v>
      </c>
      <c r="L39" s="5" t="s">
        <v>3</v>
      </c>
      <c r="M39" s="5" t="s">
        <v>3</v>
      </c>
    </row>
    <row r="40" spans="2:13" ht="15.75">
      <c r="B40" s="3">
        <v>36</v>
      </c>
      <c r="C40" s="3" t="s">
        <v>49</v>
      </c>
      <c r="D40" s="8">
        <v>176754.26200849508</v>
      </c>
      <c r="E40" s="8">
        <v>221458.0445071737</v>
      </c>
      <c r="F40" s="8">
        <v>290000</v>
      </c>
      <c r="G40" s="2">
        <f t="shared" si="1"/>
        <v>0.30950311895581661</v>
      </c>
      <c r="H40" s="4">
        <v>43620</v>
      </c>
      <c r="I40" s="15">
        <f t="shared" si="2"/>
        <v>113245.73799150492</v>
      </c>
      <c r="J40" s="15">
        <f>F40+249.7+207.95-5263.5-D40-153.55-231.06</f>
        <v>108055.27799150495</v>
      </c>
      <c r="K40" s="5" t="s">
        <v>3</v>
      </c>
      <c r="L40" s="5" t="s">
        <v>3</v>
      </c>
      <c r="M40" s="5" t="s">
        <v>3</v>
      </c>
    </row>
    <row r="41" spans="2:13" ht="15.75">
      <c r="B41" s="3">
        <v>37</v>
      </c>
      <c r="C41" s="3" t="s">
        <v>53</v>
      </c>
      <c r="D41" s="8">
        <v>116226.38</v>
      </c>
      <c r="E41" s="8">
        <v>145621.7628</v>
      </c>
      <c r="F41" s="202">
        <v>210000</v>
      </c>
      <c r="G41" s="210">
        <f>F41/(E42+E41)-1</f>
        <v>0.34525024030274243</v>
      </c>
      <c r="H41" s="208">
        <v>43633</v>
      </c>
      <c r="I41" s="206">
        <f>F41-SUM(D41:D42)</f>
        <v>85406.71276943892</v>
      </c>
      <c r="J41" s="206">
        <f>F41+194.11+120.89-3811.5-D42-D41-153.35</f>
        <v>81756.862769438914</v>
      </c>
      <c r="K41" s="204" t="s">
        <v>3</v>
      </c>
      <c r="L41" s="204" t="s">
        <v>3</v>
      </c>
      <c r="M41" s="204" t="s">
        <v>3</v>
      </c>
    </row>
    <row r="42" spans="2:13" ht="15.75">
      <c r="B42" s="3">
        <v>38</v>
      </c>
      <c r="C42" s="3" t="s">
        <v>54</v>
      </c>
      <c r="D42" s="8">
        <v>8366.9072305610825</v>
      </c>
      <c r="E42" s="8">
        <v>10483.022546658227</v>
      </c>
      <c r="F42" s="203"/>
      <c r="G42" s="211"/>
      <c r="H42" s="209"/>
      <c r="I42" s="207"/>
      <c r="J42" s="207"/>
      <c r="K42" s="205"/>
      <c r="L42" s="205"/>
      <c r="M42" s="205"/>
    </row>
    <row r="43" spans="2:13" ht="15.75">
      <c r="B43" s="3">
        <v>39</v>
      </c>
      <c r="C43" s="3" t="s">
        <v>50</v>
      </c>
      <c r="D43" s="8">
        <v>79495.591838711844</v>
      </c>
      <c r="E43" s="8">
        <v>99601.209699234532</v>
      </c>
      <c r="F43" s="8">
        <v>150000</v>
      </c>
      <c r="G43" s="2">
        <f>F43/E43-1</f>
        <v>0.50600580507962234</v>
      </c>
      <c r="H43" s="4">
        <v>43642</v>
      </c>
      <c r="I43" s="15">
        <f>F43-D43</f>
        <v>70504.408161288156</v>
      </c>
      <c r="J43" s="15">
        <f>F43+146.06-2722.5-D43-153.35</f>
        <v>67774.618161288148</v>
      </c>
      <c r="K43" s="5" t="s">
        <v>3</v>
      </c>
      <c r="L43" s="5" t="s">
        <v>3</v>
      </c>
      <c r="M43" s="5" t="s">
        <v>3</v>
      </c>
    </row>
    <row r="44" spans="2:13" ht="15.75">
      <c r="B44" s="3">
        <v>40</v>
      </c>
      <c r="C44" s="3" t="s">
        <v>51</v>
      </c>
      <c r="D44" s="8">
        <v>136246.71734245666</v>
      </c>
      <c r="E44" s="8">
        <v>170705.53914978259</v>
      </c>
      <c r="F44" s="8">
        <v>245000</v>
      </c>
      <c r="G44" s="2">
        <f>F44/E44-1</f>
        <v>0.43521997716212968</v>
      </c>
      <c r="H44" s="4">
        <v>43644</v>
      </c>
      <c r="I44" s="15">
        <f>F44-D44</f>
        <v>108753.28265754334</v>
      </c>
      <c r="J44" s="15">
        <f>F44+201.04+23.85-2420-D44-153.35</f>
        <v>106404.82265754335</v>
      </c>
      <c r="K44" s="5" t="s">
        <v>3</v>
      </c>
      <c r="L44" s="5" t="s">
        <v>3</v>
      </c>
      <c r="M44" s="5" t="s">
        <v>3</v>
      </c>
    </row>
    <row r="45" spans="2:13" ht="15.75">
      <c r="B45" s="3">
        <v>41</v>
      </c>
      <c r="C45" s="3" t="s">
        <v>52</v>
      </c>
      <c r="D45" s="8">
        <v>73705.444688030475</v>
      </c>
      <c r="E45" s="8">
        <v>92346.648192044115</v>
      </c>
      <c r="F45" s="8">
        <v>184000</v>
      </c>
      <c r="G45" s="2">
        <f>F45/E45-1</f>
        <v>0.99249245752107385</v>
      </c>
      <c r="H45" s="4">
        <v>43668</v>
      </c>
      <c r="I45" s="15">
        <f>F45-D45</f>
        <v>110294.55531196953</v>
      </c>
      <c r="J45" s="15">
        <f>F45+194.29-3339.6-D45-153.55</f>
        <v>106995.69531196952</v>
      </c>
      <c r="K45" s="5" t="s">
        <v>3</v>
      </c>
      <c r="L45" s="5" t="s">
        <v>3</v>
      </c>
      <c r="M45" s="5" t="s">
        <v>3</v>
      </c>
    </row>
    <row r="46" spans="2:13" ht="15.75">
      <c r="B46" s="3">
        <v>42</v>
      </c>
      <c r="C46" s="3" t="s">
        <v>55</v>
      </c>
      <c r="D46" s="8">
        <v>124961.67980643379</v>
      </c>
      <c r="E46" s="8">
        <v>156566.34772933714</v>
      </c>
      <c r="F46" s="8">
        <v>192500</v>
      </c>
      <c r="G46" s="2">
        <f>F46/E46-1</f>
        <v>0.22951070132122453</v>
      </c>
      <c r="H46" s="4">
        <v>43671</v>
      </c>
      <c r="I46" s="15">
        <f>F46-D46</f>
        <v>67538.320193566207</v>
      </c>
      <c r="J46" s="15">
        <f>F46+153.81-3493.88-D46-181.5-46.46</f>
        <v>63970.290193566201</v>
      </c>
      <c r="K46" s="5" t="s">
        <v>3</v>
      </c>
      <c r="L46" s="5" t="s">
        <v>3</v>
      </c>
      <c r="M46" s="5" t="s">
        <v>3</v>
      </c>
    </row>
    <row r="47" spans="2:13" ht="15.75">
      <c r="B47" s="3">
        <v>43</v>
      </c>
      <c r="C47" s="3" t="s">
        <v>60</v>
      </c>
      <c r="D47" s="8">
        <v>143803.652721105</v>
      </c>
      <c r="E47" s="8">
        <v>180173.73591293729</v>
      </c>
      <c r="F47" s="8">
        <v>175000</v>
      </c>
      <c r="G47" s="2">
        <f>F47/E47-1</f>
        <v>-2.8715261337741937E-2</v>
      </c>
      <c r="H47" s="4">
        <v>43706</v>
      </c>
      <c r="I47" s="15">
        <f>F47-D47</f>
        <v>31196.347278895002</v>
      </c>
      <c r="J47" s="15">
        <f>F47+122.79-2949.38-D47-200.26-92</f>
        <v>28077.497278895007</v>
      </c>
      <c r="K47" s="5" t="s">
        <v>3</v>
      </c>
      <c r="L47" s="5" t="s">
        <v>3</v>
      </c>
      <c r="M47" s="5" t="s">
        <v>3</v>
      </c>
    </row>
    <row r="48" spans="2:13" ht="15.75">
      <c r="B48" s="3">
        <v>44</v>
      </c>
      <c r="C48" s="3" t="s">
        <v>58</v>
      </c>
      <c r="D48" s="8">
        <v>98640.816103976802</v>
      </c>
      <c r="E48" s="8">
        <v>123588.54601157299</v>
      </c>
      <c r="F48" s="202">
        <v>205000</v>
      </c>
      <c r="G48" s="210">
        <f>F48/(E49+E48)-1</f>
        <v>0.52903409876168084</v>
      </c>
      <c r="H48" s="208">
        <v>43726</v>
      </c>
      <c r="I48" s="206">
        <f>F48-SUM(D48:D49)</f>
        <v>97992.276665462123</v>
      </c>
      <c r="J48" s="206">
        <f>F48+100.57+112.25-2764.85-D49-D48-152.24</f>
        <v>95288.006665462119</v>
      </c>
      <c r="K48" s="204" t="s">
        <v>3</v>
      </c>
      <c r="L48" s="204" t="s">
        <v>3</v>
      </c>
      <c r="M48" s="204" t="s">
        <v>3</v>
      </c>
    </row>
    <row r="49" spans="2:13" ht="15.75">
      <c r="B49" s="3">
        <v>45</v>
      </c>
      <c r="C49" s="3" t="s">
        <v>59</v>
      </c>
      <c r="D49" s="8">
        <v>8366.9072305610825</v>
      </c>
      <c r="E49" s="8">
        <v>10483.022546658227</v>
      </c>
      <c r="F49" s="203"/>
      <c r="G49" s="211"/>
      <c r="H49" s="209"/>
      <c r="I49" s="207"/>
      <c r="J49" s="207"/>
      <c r="K49" s="205"/>
      <c r="L49" s="205"/>
      <c r="M49" s="205"/>
    </row>
    <row r="50" spans="2:13" ht="15.75">
      <c r="B50" s="3">
        <v>46</v>
      </c>
      <c r="C50" s="3" t="s">
        <v>57</v>
      </c>
      <c r="D50" s="8">
        <v>95151.62406514342</v>
      </c>
      <c r="E50" s="8">
        <v>119216.88539615319</v>
      </c>
      <c r="F50" s="8">
        <v>157500</v>
      </c>
      <c r="G50" s="2">
        <f>F50/E50-1</f>
        <v>0.32112158002311064</v>
      </c>
      <c r="H50" s="4">
        <v>43738</v>
      </c>
      <c r="I50" s="15">
        <f>F50-D50</f>
        <v>62348.37593485658</v>
      </c>
      <c r="J50" s="15">
        <f>F50+136.9-2858.63-D50-152.24</f>
        <v>59474.405934856572</v>
      </c>
      <c r="K50" s="5" t="s">
        <v>3</v>
      </c>
      <c r="L50" s="5" t="s">
        <v>3</v>
      </c>
      <c r="M50" s="5" t="s">
        <v>3</v>
      </c>
    </row>
    <row r="51" spans="2:13" ht="15.75">
      <c r="B51" s="3">
        <v>47</v>
      </c>
      <c r="C51" s="3" t="s">
        <v>56</v>
      </c>
      <c r="D51" s="8">
        <v>166424.47834164437</v>
      </c>
      <c r="E51" s="8">
        <v>221458.0445071737</v>
      </c>
      <c r="F51" s="8">
        <v>277500</v>
      </c>
      <c r="G51" s="2">
        <f>F51/E51-1</f>
        <v>0.25305901900082439</v>
      </c>
      <c r="H51" s="4">
        <v>43753</v>
      </c>
      <c r="I51" s="15">
        <f>F51-D51</f>
        <v>111075.52165835563</v>
      </c>
      <c r="J51" s="15">
        <f>F51+101.52+87.38-5036.63-D51-152.24</f>
        <v>106075.55165835565</v>
      </c>
      <c r="K51" s="5" t="s">
        <v>3</v>
      </c>
      <c r="L51" s="5" t="s">
        <v>3</v>
      </c>
      <c r="M51" s="5" t="s">
        <v>3</v>
      </c>
    </row>
    <row r="52" spans="2:13" ht="15.75">
      <c r="B52" s="3">
        <v>48</v>
      </c>
      <c r="C52" s="3" t="s">
        <v>63</v>
      </c>
      <c r="D52" s="8">
        <v>123918.99570021838</v>
      </c>
      <c r="E52" s="8">
        <v>155259.95330027337</v>
      </c>
      <c r="F52" s="8">
        <v>171000</v>
      </c>
      <c r="G52" s="2">
        <f>F52/E52-1</f>
        <v>0.10137866439573973</v>
      </c>
      <c r="H52" s="4">
        <v>43760</v>
      </c>
      <c r="I52" s="15">
        <f>F52-D52</f>
        <v>47081.00429978162</v>
      </c>
      <c r="J52" s="15">
        <f>F52+60.15-3103.65-D52-181.5-38.6</f>
        <v>43817.404299781621</v>
      </c>
      <c r="K52" s="5" t="s">
        <v>3</v>
      </c>
      <c r="L52" s="5" t="s">
        <v>3</v>
      </c>
      <c r="M52" s="5" t="s">
        <v>3</v>
      </c>
    </row>
    <row r="53" spans="2:13" ht="15.75">
      <c r="B53" s="3">
        <v>49</v>
      </c>
      <c r="C53" s="3" t="s">
        <v>64</v>
      </c>
      <c r="D53" s="8">
        <v>128850.37135064066</v>
      </c>
      <c r="E53" s="8">
        <v>161438.5472185367</v>
      </c>
      <c r="F53" s="202">
        <v>210000</v>
      </c>
      <c r="G53" s="210">
        <f>F53/(E54+E53)-1</f>
        <v>0.22065360110036991</v>
      </c>
      <c r="H53" s="208">
        <v>43769</v>
      </c>
      <c r="I53" s="206">
        <f>F53-SUM(D53:D54)</f>
        <v>72689.012057815969</v>
      </c>
      <c r="J53" s="206">
        <f>F53+59.38+8.36-2420-D54-D53-152.24</f>
        <v>70184.512057815955</v>
      </c>
      <c r="K53" s="204" t="s">
        <v>3</v>
      </c>
      <c r="L53" s="204" t="s">
        <v>3</v>
      </c>
      <c r="M53" s="204" t="s">
        <v>3</v>
      </c>
    </row>
    <row r="54" spans="2:13" ht="15.75">
      <c r="B54" s="3">
        <v>50</v>
      </c>
      <c r="C54" s="3" t="s">
        <v>65</v>
      </c>
      <c r="D54" s="8">
        <v>8460.6165915433703</v>
      </c>
      <c r="E54" s="8">
        <v>10600.4323991808</v>
      </c>
      <c r="F54" s="203"/>
      <c r="G54" s="211"/>
      <c r="H54" s="209"/>
      <c r="I54" s="207"/>
      <c r="J54" s="207"/>
      <c r="K54" s="205"/>
      <c r="L54" s="205"/>
      <c r="M54" s="205"/>
    </row>
    <row r="55" spans="2:13" ht="15.75">
      <c r="B55" s="3">
        <v>51</v>
      </c>
      <c r="C55" s="3" t="s">
        <v>61</v>
      </c>
      <c r="D55" s="8">
        <v>154049.55347317716</v>
      </c>
      <c r="E55" s="8">
        <v>193010.97739715863</v>
      </c>
      <c r="F55" s="8">
        <v>220000</v>
      </c>
      <c r="G55" s="2">
        <f t="shared" ref="G55:G62" si="3">F55/E55-1</f>
        <v>0.13983154205424331</v>
      </c>
      <c r="H55" s="4">
        <v>43773</v>
      </c>
      <c r="I55" s="15">
        <f t="shared" ref="I55:I62" si="4">F55-D55</f>
        <v>65950.446526822838</v>
      </c>
      <c r="J55" s="15">
        <f>F55+71.82-3993-D55-151.25</f>
        <v>61878.016526822845</v>
      </c>
      <c r="K55" s="5" t="s">
        <v>3</v>
      </c>
      <c r="L55" s="5" t="s">
        <v>3</v>
      </c>
      <c r="M55" s="5" t="s">
        <v>3</v>
      </c>
    </row>
    <row r="56" spans="2:13" ht="15.75">
      <c r="B56" s="3">
        <v>52</v>
      </c>
      <c r="C56" s="3" t="s">
        <v>62</v>
      </c>
      <c r="D56" s="8">
        <v>145650.38147479718</v>
      </c>
      <c r="E56" s="8">
        <v>182487.52984288556</v>
      </c>
      <c r="F56" s="8">
        <v>200000</v>
      </c>
      <c r="G56" s="2">
        <f t="shared" si="3"/>
        <v>9.5965297860034493E-2</v>
      </c>
      <c r="H56" s="4">
        <v>43777</v>
      </c>
      <c r="I56" s="15">
        <f t="shared" si="4"/>
        <v>54349.618525202823</v>
      </c>
      <c r="J56" s="15">
        <f>F56+69.02-3630-D56-151.25</f>
        <v>50637.388525202812</v>
      </c>
      <c r="K56" s="5" t="s">
        <v>3</v>
      </c>
      <c r="L56" s="5" t="s">
        <v>3</v>
      </c>
      <c r="M56" s="5" t="s">
        <v>3</v>
      </c>
    </row>
    <row r="57" spans="2:13" ht="15.75">
      <c r="B57" s="3">
        <v>53</v>
      </c>
      <c r="C57" s="3" t="s">
        <v>66</v>
      </c>
      <c r="D57" s="8">
        <v>154049.55347317716</v>
      </c>
      <c r="E57" s="8">
        <v>193010.97739715863</v>
      </c>
      <c r="F57" s="8">
        <v>209000</v>
      </c>
      <c r="G57" s="2">
        <f t="shared" si="3"/>
        <v>8.2839964951531009E-2</v>
      </c>
      <c r="H57" s="4">
        <v>43798</v>
      </c>
      <c r="I57" s="15">
        <f t="shared" si="4"/>
        <v>54950.446526822838</v>
      </c>
      <c r="J57" s="15">
        <f>F57+42.39-3793.35-D57-151.25</f>
        <v>51048.236526822846</v>
      </c>
      <c r="K57" s="5" t="s">
        <v>3</v>
      </c>
      <c r="L57" s="5" t="s">
        <v>3</v>
      </c>
      <c r="M57" s="5" t="s">
        <v>3</v>
      </c>
    </row>
    <row r="58" spans="2:13" ht="15.75">
      <c r="B58" s="3">
        <v>54</v>
      </c>
      <c r="C58" s="3" t="s">
        <v>71</v>
      </c>
      <c r="D58" s="8">
        <v>148124.5706472857</v>
      </c>
      <c r="E58" s="8">
        <v>185587.47826649866</v>
      </c>
      <c r="F58" s="8">
        <v>192500</v>
      </c>
      <c r="G58" s="2">
        <f>F58/E58-1</f>
        <v>3.7246703269361525E-2</v>
      </c>
      <c r="H58" s="4">
        <v>43803</v>
      </c>
      <c r="I58" s="15">
        <f>F58-D58</f>
        <v>44375.429352714302</v>
      </c>
      <c r="J58" s="15">
        <f>F58+32.63-3493.88-D58-152.24</f>
        <v>40761.939352714304</v>
      </c>
      <c r="K58" s="5" t="s">
        <v>3</v>
      </c>
      <c r="L58" s="5" t="s">
        <v>3</v>
      </c>
      <c r="M58" s="5" t="s">
        <v>3</v>
      </c>
    </row>
    <row r="59" spans="2:13" ht="15.75">
      <c r="B59" s="3">
        <v>55</v>
      </c>
      <c r="C59" s="3" t="s">
        <v>68</v>
      </c>
      <c r="D59" s="8">
        <v>145650.38147479718</v>
      </c>
      <c r="E59" s="8">
        <v>182487.52984288556</v>
      </c>
      <c r="F59" s="8">
        <v>200000</v>
      </c>
      <c r="G59" s="2">
        <f>F59/E59-1</f>
        <v>9.5965297860034493E-2</v>
      </c>
      <c r="H59" s="4">
        <v>43809</v>
      </c>
      <c r="I59" s="15">
        <f>F59-D59</f>
        <v>54349.618525202823</v>
      </c>
      <c r="J59" s="15">
        <f>F59+25.35-3210-D59-152.24</f>
        <v>51012.72852520283</v>
      </c>
      <c r="K59" s="5" t="s">
        <v>3</v>
      </c>
      <c r="L59" s="5" t="s">
        <v>3</v>
      </c>
      <c r="M59" s="5" t="s">
        <v>3</v>
      </c>
    </row>
    <row r="60" spans="2:13" ht="15.75">
      <c r="B60" s="3">
        <v>56</v>
      </c>
      <c r="C60" s="3" t="s">
        <v>70</v>
      </c>
      <c r="D60" s="8">
        <v>150475.51718929558</v>
      </c>
      <c r="E60" s="8">
        <v>188533.01416486013</v>
      </c>
      <c r="F60" s="8">
        <v>225500</v>
      </c>
      <c r="G60" s="2">
        <f>F60/E60-1</f>
        <v>0.19607698948055119</v>
      </c>
      <c r="H60" s="4">
        <v>43812</v>
      </c>
      <c r="I60" s="15">
        <f>F60-D60</f>
        <v>75024.482810704416</v>
      </c>
      <c r="J60" s="15">
        <f>F60+26.17-4092.83-D60-152.24</f>
        <v>70805.582810704436</v>
      </c>
      <c r="K60" s="5" t="s">
        <v>3</v>
      </c>
      <c r="L60" s="5" t="s">
        <v>3</v>
      </c>
      <c r="M60" s="5" t="s">
        <v>3</v>
      </c>
    </row>
    <row r="61" spans="2:13" ht="15.75">
      <c r="B61" s="3">
        <v>57</v>
      </c>
      <c r="C61" s="3" t="s">
        <v>67</v>
      </c>
      <c r="D61" s="8">
        <v>156846.20681580645</v>
      </c>
      <c r="E61" s="8">
        <v>196514.94597695654</v>
      </c>
      <c r="F61" s="8">
        <v>280000</v>
      </c>
      <c r="G61" s="2">
        <f t="shared" si="3"/>
        <v>0.42482801299415152</v>
      </c>
      <c r="H61" s="4">
        <v>43819</v>
      </c>
      <c r="I61" s="15">
        <f t="shared" si="4"/>
        <v>123153.79318419355</v>
      </c>
      <c r="J61" s="15">
        <f>F61+13.57-4235-D61-90.75-238.98-100.43</f>
        <v>118502.20318419357</v>
      </c>
      <c r="K61" s="5" t="s">
        <v>3</v>
      </c>
      <c r="L61" s="5" t="s">
        <v>3</v>
      </c>
      <c r="M61" s="5" t="s">
        <v>3</v>
      </c>
    </row>
    <row r="62" spans="2:13" ht="16.5" thickBot="1">
      <c r="B62" s="23">
        <v>58</v>
      </c>
      <c r="C62" s="23" t="s">
        <v>73</v>
      </c>
      <c r="D62" s="24">
        <v>151655.65874175803</v>
      </c>
      <c r="E62" s="24">
        <v>190011.63107333067</v>
      </c>
      <c r="F62" s="24">
        <v>200000</v>
      </c>
      <c r="G62" s="25">
        <f t="shared" si="3"/>
        <v>5.2567144812385447E-2</v>
      </c>
      <c r="H62" s="26">
        <v>43822</v>
      </c>
      <c r="I62" s="27">
        <f t="shared" si="4"/>
        <v>48344.34125824197</v>
      </c>
      <c r="J62" s="27">
        <f>F62+9.83-3630-D62-151.25</f>
        <v>44572.921258241957</v>
      </c>
      <c r="K62" s="28" t="s">
        <v>3</v>
      </c>
      <c r="L62" s="28" t="s">
        <v>3</v>
      </c>
      <c r="M62" s="28" t="s">
        <v>3</v>
      </c>
    </row>
    <row r="63" spans="2:13" ht="15.75">
      <c r="B63" s="17">
        <v>59</v>
      </c>
      <c r="C63" s="17" t="s">
        <v>72</v>
      </c>
      <c r="D63" s="18">
        <v>105788.00347964191</v>
      </c>
      <c r="E63" s="18">
        <v>132543.36340582056</v>
      </c>
      <c r="F63" s="18">
        <v>189500</v>
      </c>
      <c r="G63" s="19">
        <f t="shared" ref="G63:G85" si="5">F63/E63-1</f>
        <v>0.42972077311626622</v>
      </c>
      <c r="H63" s="20">
        <v>43864</v>
      </c>
      <c r="I63" s="62">
        <f t="shared" ref="I63:I73" si="6">F63-D63</f>
        <v>83711.996520358094</v>
      </c>
      <c r="J63" s="63">
        <f>F63+347.45-3439.43-D63-152.24-4.84</f>
        <v>80462.936520358111</v>
      </c>
      <c r="K63" s="29" t="s">
        <v>3</v>
      </c>
      <c r="L63" s="22" t="s">
        <v>3</v>
      </c>
      <c r="M63" s="22" t="s">
        <v>3</v>
      </c>
    </row>
    <row r="64" spans="2:13" ht="15.75">
      <c r="B64" s="3">
        <v>60</v>
      </c>
      <c r="C64" s="3" t="s">
        <v>80</v>
      </c>
      <c r="D64" s="8">
        <v>136867.54185896431</v>
      </c>
      <c r="E64" s="8">
        <v>171483.37942274462</v>
      </c>
      <c r="F64" s="8">
        <v>240000</v>
      </c>
      <c r="G64" s="2">
        <f t="shared" si="5"/>
        <v>0.39955254443841293</v>
      </c>
      <c r="H64" s="60">
        <v>43864</v>
      </c>
      <c r="I64" s="64">
        <f t="shared" si="6"/>
        <v>103132.45814103569</v>
      </c>
      <c r="J64" s="65">
        <f>F64+345.04+214.91-2420-D64-152.24</f>
        <v>101120.1681410357</v>
      </c>
      <c r="K64" s="31" t="s">
        <v>3</v>
      </c>
      <c r="L64" s="22" t="s">
        <v>3</v>
      </c>
      <c r="M64" s="22" t="s">
        <v>3</v>
      </c>
    </row>
    <row r="65" spans="2:13" ht="15.75">
      <c r="B65" s="3">
        <v>61</v>
      </c>
      <c r="C65" s="3" t="s">
        <v>69</v>
      </c>
      <c r="D65" s="8">
        <v>166782.75797672381</v>
      </c>
      <c r="E65" s="8">
        <v>208964.59875611548</v>
      </c>
      <c r="F65" s="8">
        <v>220000</v>
      </c>
      <c r="G65" s="2">
        <f t="shared" si="5"/>
        <v>5.2809908039801678E-2</v>
      </c>
      <c r="H65" s="60">
        <v>43868</v>
      </c>
      <c r="I65" s="66">
        <f t="shared" si="6"/>
        <v>53217.242023276194</v>
      </c>
      <c r="J65" s="67">
        <f>F65+425.84-3993-D65-152.24</f>
        <v>49497.842023276193</v>
      </c>
      <c r="K65" s="31" t="s">
        <v>3</v>
      </c>
      <c r="L65" s="22" t="s">
        <v>3</v>
      </c>
      <c r="M65" s="22" t="s">
        <v>3</v>
      </c>
    </row>
    <row r="66" spans="2:13" ht="15.75">
      <c r="B66" s="3">
        <v>62</v>
      </c>
      <c r="C66" s="3" t="s">
        <v>81</v>
      </c>
      <c r="D66" s="8">
        <v>0</v>
      </c>
      <c r="E66" s="8">
        <v>0</v>
      </c>
      <c r="F66" s="8">
        <v>210000</v>
      </c>
      <c r="G66" s="2" t="e">
        <f t="shared" si="5"/>
        <v>#DIV/0!</v>
      </c>
      <c r="H66" s="60">
        <v>43892</v>
      </c>
      <c r="I66" s="66">
        <f t="shared" si="6"/>
        <v>210000</v>
      </c>
      <c r="J66" s="68">
        <f>F66+378.66-3811.5-D66-151.25</f>
        <v>206415.91</v>
      </c>
      <c r="K66" s="31" t="s">
        <v>3</v>
      </c>
      <c r="L66" s="22" t="s">
        <v>3</v>
      </c>
      <c r="M66" s="22" t="s">
        <v>3</v>
      </c>
    </row>
    <row r="67" spans="2:13" ht="15.75">
      <c r="B67" s="3">
        <v>63</v>
      </c>
      <c r="C67" s="3" t="s">
        <v>79</v>
      </c>
      <c r="D67" s="8">
        <v>104767.61310390348</v>
      </c>
      <c r="E67" s="8">
        <v>131264.90112334324</v>
      </c>
      <c r="F67" s="8">
        <v>192500</v>
      </c>
      <c r="G67" s="2">
        <f t="shared" si="5"/>
        <v>0.46650017142904887</v>
      </c>
      <c r="H67" s="60">
        <v>43895</v>
      </c>
      <c r="I67" s="66">
        <f t="shared" si="6"/>
        <v>87732.386896096519</v>
      </c>
      <c r="J67" s="71">
        <f>F67+307.13-3493.88-D67-151.25</f>
        <v>84394.386896096519</v>
      </c>
      <c r="K67" s="31" t="s">
        <v>3</v>
      </c>
      <c r="L67" s="22" t="s">
        <v>3</v>
      </c>
      <c r="M67" s="22" t="s">
        <v>3</v>
      </c>
    </row>
    <row r="68" spans="2:13" ht="15.75">
      <c r="B68" s="3">
        <v>64</v>
      </c>
      <c r="C68" s="3" t="s">
        <v>77</v>
      </c>
      <c r="D68" s="8">
        <v>125503.60845841625</v>
      </c>
      <c r="E68" s="8">
        <v>157245.33819987343</v>
      </c>
      <c r="F68" s="8">
        <v>220000</v>
      </c>
      <c r="G68" s="2">
        <f t="shared" si="5"/>
        <v>0.39908758198198258</v>
      </c>
      <c r="H68" s="60">
        <v>43896</v>
      </c>
      <c r="I68" s="66">
        <f t="shared" si="6"/>
        <v>94496.391541583755</v>
      </c>
      <c r="J68" s="71">
        <f>F68+295.63+161.33-2662-192.35-D68-151.25</f>
        <v>91947.751541583741</v>
      </c>
      <c r="K68" s="31" t="s">
        <v>3</v>
      </c>
      <c r="L68" s="22" t="s">
        <v>3</v>
      </c>
      <c r="M68" s="22" t="s">
        <v>3</v>
      </c>
    </row>
    <row r="69" spans="2:13" ht="15.75">
      <c r="B69" s="3">
        <v>65</v>
      </c>
      <c r="C69" s="3" t="s">
        <v>78</v>
      </c>
      <c r="D69" s="8">
        <v>160588.88213887889</v>
      </c>
      <c r="E69" s="8">
        <v>201204.199570361</v>
      </c>
      <c r="F69" s="8">
        <v>231000</v>
      </c>
      <c r="G69" s="2">
        <f t="shared" si="5"/>
        <v>0.14808736842105241</v>
      </c>
      <c r="H69" s="61">
        <v>43901</v>
      </c>
      <c r="I69" s="66">
        <f t="shared" si="6"/>
        <v>70411.117861121107</v>
      </c>
      <c r="J69" s="67">
        <f>F69+383.13-4192.65-D69-151.25</f>
        <v>66450.347861121118</v>
      </c>
      <c r="K69" s="31" t="s">
        <v>3</v>
      </c>
      <c r="L69" s="22" t="s">
        <v>3</v>
      </c>
      <c r="M69" s="22" t="s">
        <v>3</v>
      </c>
    </row>
    <row r="70" spans="2:13" ht="15.75">
      <c r="B70" s="3">
        <v>66</v>
      </c>
      <c r="C70" s="3" t="s">
        <v>75</v>
      </c>
      <c r="D70" s="8">
        <v>139133.67194397416</v>
      </c>
      <c r="E70" s="8">
        <v>174322.6475202858</v>
      </c>
      <c r="F70" s="8">
        <v>200000</v>
      </c>
      <c r="G70" s="2">
        <f t="shared" si="5"/>
        <v>0.14729785742111412</v>
      </c>
      <c r="H70" s="61">
        <v>43902</v>
      </c>
      <c r="I70" s="66">
        <f t="shared" si="6"/>
        <v>60866.328056025843</v>
      </c>
      <c r="J70" s="68">
        <f>F70+305.06-3170.2-D70-200.26-76.84</f>
        <v>57724.08805602583</v>
      </c>
      <c r="K70" s="31" t="s">
        <v>3</v>
      </c>
      <c r="L70" s="22" t="s">
        <v>3</v>
      </c>
      <c r="M70" s="22" t="s">
        <v>3</v>
      </c>
    </row>
    <row r="71" spans="2:13" ht="15.75">
      <c r="B71" s="3">
        <v>67</v>
      </c>
      <c r="C71" s="3" t="s">
        <v>76</v>
      </c>
      <c r="D71" s="8">
        <v>132939.76824237418</v>
      </c>
      <c r="E71" s="8">
        <v>166562.21342361803</v>
      </c>
      <c r="F71" s="8">
        <v>150000</v>
      </c>
      <c r="G71" s="2">
        <f t="shared" si="5"/>
        <v>-9.9435598766301925E-2</v>
      </c>
      <c r="H71" s="61">
        <v>43902</v>
      </c>
      <c r="I71" s="66">
        <f t="shared" si="6"/>
        <v>17060.231757625821</v>
      </c>
      <c r="J71" s="67">
        <f>F71+378.73-3025-D71-132.23-49.59-30-44.48</f>
        <v>14157.661757625832</v>
      </c>
      <c r="K71" s="31" t="s">
        <v>3</v>
      </c>
      <c r="L71" s="22" t="s">
        <v>3</v>
      </c>
      <c r="M71" s="22" t="s">
        <v>3</v>
      </c>
    </row>
    <row r="72" spans="2:13" ht="15.75">
      <c r="B72" s="3">
        <v>68</v>
      </c>
      <c r="C72" s="3" t="s">
        <v>82</v>
      </c>
      <c r="D72" s="8">
        <v>154986.94438984827</v>
      </c>
      <c r="E72" s="8">
        <v>194185.4484225577</v>
      </c>
      <c r="F72" s="8">
        <v>220000</v>
      </c>
      <c r="G72" s="2">
        <f t="shared" si="5"/>
        <v>0.13293762116133689</v>
      </c>
      <c r="H72" s="60">
        <v>43903</v>
      </c>
      <c r="I72" s="66">
        <f t="shared" si="6"/>
        <v>65013.055610151729</v>
      </c>
      <c r="J72" s="67">
        <f>F72+378.61-2662-D72-151.25</f>
        <v>62578.415610151715</v>
      </c>
      <c r="K72" s="31" t="s">
        <v>3</v>
      </c>
      <c r="L72" s="22" t="s">
        <v>3</v>
      </c>
      <c r="M72" s="22" t="s">
        <v>3</v>
      </c>
    </row>
    <row r="73" spans="2:13" ht="15.75">
      <c r="B73" s="3">
        <v>69</v>
      </c>
      <c r="C73" s="3" t="s">
        <v>84</v>
      </c>
      <c r="D73" s="8">
        <v>74738.751397639033</v>
      </c>
      <c r="E73" s="8">
        <v>93641.293541388237</v>
      </c>
      <c r="F73" s="8">
        <v>207010</v>
      </c>
      <c r="G73" s="2">
        <f t="shared" si="5"/>
        <v>1.2106700171597296</v>
      </c>
      <c r="H73" s="60">
        <v>43945</v>
      </c>
      <c r="I73" s="69">
        <f t="shared" si="6"/>
        <v>132271.24860236095</v>
      </c>
      <c r="J73" s="70">
        <f>F73+272.92-3757.23-D73-151.25</f>
        <v>128635.68860236097</v>
      </c>
      <c r="K73" s="31" t="s">
        <v>3</v>
      </c>
      <c r="L73" s="22" t="s">
        <v>3</v>
      </c>
      <c r="M73" s="22" t="s">
        <v>3</v>
      </c>
    </row>
    <row r="74" spans="2:13" ht="15.75">
      <c r="B74" s="3">
        <v>70</v>
      </c>
      <c r="C74" s="3" t="s">
        <v>90</v>
      </c>
      <c r="D74" s="8">
        <v>114632.46309719751</v>
      </c>
      <c r="E74" s="8">
        <v>143624.71844286285</v>
      </c>
      <c r="F74" s="8">
        <v>185000</v>
      </c>
      <c r="G74" s="2">
        <f t="shared" si="5"/>
        <v>0.28807911344033132</v>
      </c>
      <c r="H74" s="4">
        <v>43949</v>
      </c>
      <c r="I74" s="21">
        <f t="shared" ref="I74:I120" si="7">F74-D74</f>
        <v>70367.536902802487</v>
      </c>
      <c r="J74" s="30">
        <f>F74+228.95-2238.5-D74-151.25</f>
        <v>68206.736902802499</v>
      </c>
      <c r="K74" s="5" t="s">
        <v>3</v>
      </c>
      <c r="L74" s="22" t="s">
        <v>3</v>
      </c>
      <c r="M74" s="22" t="s">
        <v>3</v>
      </c>
    </row>
    <row r="75" spans="2:13" ht="15.75">
      <c r="B75" s="3">
        <v>71</v>
      </c>
      <c r="C75" s="3" t="s">
        <v>85</v>
      </c>
      <c r="D75" s="8">
        <v>145650.38147479718</v>
      </c>
      <c r="E75" s="8">
        <v>182487.52984288556</v>
      </c>
      <c r="F75" s="8">
        <v>226000</v>
      </c>
      <c r="G75" s="2">
        <f t="shared" si="5"/>
        <v>0.23844078658183898</v>
      </c>
      <c r="H75" s="4">
        <v>43959</v>
      </c>
      <c r="I75" s="21">
        <f t="shared" si="7"/>
        <v>80349.618525202823</v>
      </c>
      <c r="J75" s="59">
        <f>F75+286.52-4101.9-D75-151.25</f>
        <v>76382.988525202818</v>
      </c>
      <c r="K75" s="5" t="s">
        <v>3</v>
      </c>
      <c r="L75" s="22" t="s">
        <v>3</v>
      </c>
      <c r="M75" s="22" t="s">
        <v>3</v>
      </c>
    </row>
    <row r="76" spans="2:13" ht="15.75">
      <c r="B76" s="3">
        <v>72</v>
      </c>
      <c r="C76" s="3" t="s">
        <v>83</v>
      </c>
      <c r="D76" s="8">
        <v>145650.38147479718</v>
      </c>
      <c r="E76" s="8">
        <v>182487.52984288556</v>
      </c>
      <c r="F76" s="8">
        <v>219000</v>
      </c>
      <c r="G76" s="2">
        <f t="shared" si="5"/>
        <v>0.20008200115673769</v>
      </c>
      <c r="H76" s="4">
        <v>43966</v>
      </c>
      <c r="I76" s="21">
        <f t="shared" si="7"/>
        <v>73349.618525202823</v>
      </c>
      <c r="J76" s="59">
        <f>F76+289.62-3974.85-D76-151.25</f>
        <v>69513.138525202812</v>
      </c>
      <c r="K76" s="5" t="s">
        <v>3</v>
      </c>
      <c r="L76" s="22" t="s">
        <v>3</v>
      </c>
      <c r="M76" s="22" t="s">
        <v>3</v>
      </c>
    </row>
    <row r="77" spans="2:13" ht="15.75">
      <c r="B77" s="3">
        <v>73</v>
      </c>
      <c r="C77" s="3" t="s">
        <v>86</v>
      </c>
      <c r="D77" s="8">
        <v>151198.16715892052</v>
      </c>
      <c r="E77" s="8">
        <v>189438.43306292675</v>
      </c>
      <c r="F77" s="8">
        <v>219000</v>
      </c>
      <c r="G77" s="2">
        <f t="shared" si="5"/>
        <v>0.15604841350885557</v>
      </c>
      <c r="H77" s="4">
        <v>43976</v>
      </c>
      <c r="I77" s="21">
        <f t="shared" si="7"/>
        <v>67801.832841079478</v>
      </c>
      <c r="J77" s="59">
        <f>F77+229.3-3974.85-D77-151.25</f>
        <v>63905.032841079461</v>
      </c>
      <c r="K77" s="5" t="s">
        <v>3</v>
      </c>
      <c r="L77" s="22" t="s">
        <v>3</v>
      </c>
      <c r="M77" s="22" t="s">
        <v>3</v>
      </c>
    </row>
    <row r="78" spans="2:13" ht="15.75">
      <c r="B78" s="3">
        <v>74</v>
      </c>
      <c r="C78" s="3" t="s">
        <v>89</v>
      </c>
      <c r="D78" s="8">
        <v>162181.69977218666</v>
      </c>
      <c r="E78" s="8">
        <v>203199.86448005307</v>
      </c>
      <c r="F78" s="8">
        <v>230000</v>
      </c>
      <c r="G78" s="2">
        <f t="shared" si="5"/>
        <v>0.13189051866999524</v>
      </c>
      <c r="H78" s="4">
        <v>43990</v>
      </c>
      <c r="I78" s="21">
        <f t="shared" si="7"/>
        <v>67818.300227813335</v>
      </c>
      <c r="J78" s="30">
        <f>F78+251.79-4174.5-D78-151.25</f>
        <v>63744.340227813344</v>
      </c>
      <c r="K78" s="5" t="s">
        <v>3</v>
      </c>
      <c r="L78" s="22" t="s">
        <v>3</v>
      </c>
      <c r="M78" s="22" t="s">
        <v>3</v>
      </c>
    </row>
    <row r="79" spans="2:13" ht="15.75">
      <c r="B79" s="3">
        <v>75</v>
      </c>
      <c r="C79" s="3" t="s">
        <v>87</v>
      </c>
      <c r="D79" s="8">
        <v>164599.86956718485</v>
      </c>
      <c r="E79" s="8">
        <v>206229.62539218814</v>
      </c>
      <c r="F79" s="8">
        <v>230000</v>
      </c>
      <c r="G79" s="2">
        <f t="shared" si="5"/>
        <v>0.11526168736721298</v>
      </c>
      <c r="H79" s="32">
        <v>43997</v>
      </c>
      <c r="I79" s="21">
        <f t="shared" si="7"/>
        <v>65400.130432815145</v>
      </c>
      <c r="J79" s="59">
        <f>F79+250.5-4174.5-D79-151.25</f>
        <v>61324.880432815145</v>
      </c>
      <c r="K79" s="5" t="s">
        <v>3</v>
      </c>
      <c r="L79" s="22" t="s">
        <v>3</v>
      </c>
      <c r="M79" s="22" t="s">
        <v>3</v>
      </c>
    </row>
    <row r="80" spans="2:13" ht="15.75">
      <c r="B80" s="3">
        <v>76</v>
      </c>
      <c r="C80" s="3" t="s">
        <v>91</v>
      </c>
      <c r="D80" s="8">
        <v>106049.55924051159</v>
      </c>
      <c r="E80" s="8">
        <v>132871.0705098733</v>
      </c>
      <c r="F80" s="8">
        <v>150000</v>
      </c>
      <c r="G80" s="2">
        <f t="shared" si="5"/>
        <v>0.12891391199300894</v>
      </c>
      <c r="H80" s="32">
        <v>44022</v>
      </c>
      <c r="I80" s="21">
        <f t="shared" si="7"/>
        <v>43950.440759488411</v>
      </c>
      <c r="J80" s="30">
        <f>F80+159.37-2813.25-D80-152.24</f>
        <v>41144.320759488408</v>
      </c>
      <c r="K80" s="5" t="s">
        <v>3</v>
      </c>
      <c r="L80" s="22" t="s">
        <v>3</v>
      </c>
      <c r="M80" s="22" t="s">
        <v>3</v>
      </c>
    </row>
    <row r="81" spans="1:25" ht="15.75">
      <c r="B81" s="3">
        <v>77</v>
      </c>
      <c r="C81" s="3" t="s">
        <v>94</v>
      </c>
      <c r="D81" s="8">
        <v>145650.38147479718</v>
      </c>
      <c r="E81" s="8">
        <v>182487.52984288556</v>
      </c>
      <c r="F81" s="8">
        <v>217500</v>
      </c>
      <c r="G81" s="2">
        <f t="shared" si="5"/>
        <v>0.19186226142278739</v>
      </c>
      <c r="H81" s="32">
        <v>44025</v>
      </c>
      <c r="I81" s="21">
        <f t="shared" si="7"/>
        <v>71849.618525202823</v>
      </c>
      <c r="J81" s="72">
        <f>F81+197.41-2631.75-D81-151.25</f>
        <v>69264.028525202826</v>
      </c>
      <c r="K81" s="5" t="s">
        <v>3</v>
      </c>
      <c r="L81" s="22" t="s">
        <v>3</v>
      </c>
      <c r="M81" s="22" t="s">
        <v>3</v>
      </c>
    </row>
    <row r="82" spans="1:25" ht="15.75">
      <c r="B82" s="3">
        <v>78</v>
      </c>
      <c r="C82" s="3" t="s">
        <v>88</v>
      </c>
      <c r="D82" s="8">
        <v>166820.1</v>
      </c>
      <c r="E82" s="8">
        <v>186731.53470359062</v>
      </c>
      <c r="F82" s="8">
        <v>220000</v>
      </c>
      <c r="G82" s="2">
        <f t="shared" si="5"/>
        <v>0.17816200862494003</v>
      </c>
      <c r="H82" s="32">
        <v>44033</v>
      </c>
      <c r="I82" s="21">
        <f t="shared" si="7"/>
        <v>53179.899999999994</v>
      </c>
      <c r="J82" s="72">
        <f>F82+183.12-3993-D82-151.25</f>
        <v>49218.76999999999</v>
      </c>
      <c r="K82" s="5" t="s">
        <v>3</v>
      </c>
      <c r="L82" s="22" t="s">
        <v>3</v>
      </c>
      <c r="M82" s="22" t="s">
        <v>3</v>
      </c>
    </row>
    <row r="83" spans="1:25" ht="15.75">
      <c r="B83" s="3">
        <v>79</v>
      </c>
      <c r="C83" s="3" t="s">
        <v>92</v>
      </c>
      <c r="D83" s="8">
        <v>171540.67043823385</v>
      </c>
      <c r="E83" s="8">
        <v>214925.85806431642</v>
      </c>
      <c r="F83" s="8">
        <v>220000</v>
      </c>
      <c r="G83" s="2">
        <f t="shared" si="5"/>
        <v>2.3608801571773474E-2</v>
      </c>
      <c r="H83" s="32">
        <v>44050</v>
      </c>
      <c r="I83" s="21">
        <f t="shared" si="7"/>
        <v>48459.32956176615</v>
      </c>
      <c r="J83" s="59">
        <f>F83+168.72-3993-D83-151.25-18.76</f>
        <v>44465.039561766149</v>
      </c>
      <c r="K83" s="5" t="s">
        <v>3</v>
      </c>
      <c r="L83" s="22" t="s">
        <v>3</v>
      </c>
      <c r="M83" s="22" t="s">
        <v>3</v>
      </c>
    </row>
    <row r="84" spans="1:25" ht="15.75">
      <c r="B84" s="3">
        <v>80</v>
      </c>
      <c r="C84" s="3" t="s">
        <v>93</v>
      </c>
      <c r="D84" s="8">
        <v>177258.38156741112</v>
      </c>
      <c r="E84" s="8">
        <v>222089.66340250763</v>
      </c>
      <c r="F84" s="8">
        <v>250000</v>
      </c>
      <c r="G84" s="2">
        <f t="shared" si="5"/>
        <v>0.12567147957223312</v>
      </c>
      <c r="H84" s="32">
        <v>44050</v>
      </c>
      <c r="I84" s="21">
        <f t="shared" si="7"/>
        <v>72741.618432588875</v>
      </c>
      <c r="J84" s="30">
        <f>F84+184.3-3025-D84-151.25-18.76</f>
        <v>69730.908432588869</v>
      </c>
      <c r="K84" s="5" t="s">
        <v>3</v>
      </c>
      <c r="L84" s="22" t="s">
        <v>3</v>
      </c>
      <c r="M84" s="22" t="s">
        <v>3</v>
      </c>
    </row>
    <row r="85" spans="1:25" ht="15.75">
      <c r="B85" s="3">
        <v>81</v>
      </c>
      <c r="C85" s="3" t="s">
        <v>95</v>
      </c>
      <c r="D85" s="8">
        <v>166777.15603897499</v>
      </c>
      <c r="E85" s="8">
        <v>208957.58000496801</v>
      </c>
      <c r="F85" s="8">
        <v>253253</v>
      </c>
      <c r="G85" s="2">
        <f t="shared" si="5"/>
        <v>0.21198283399902906</v>
      </c>
      <c r="H85" s="32">
        <v>44071</v>
      </c>
      <c r="I85" s="21">
        <f t="shared" si="7"/>
        <v>86475.843961025006</v>
      </c>
      <c r="J85" s="72">
        <f>F85+166.62-4596.55-D85-151.25-18.76</f>
        <v>81875.903961025018</v>
      </c>
      <c r="K85" s="5" t="s">
        <v>3</v>
      </c>
      <c r="L85" s="22" t="s">
        <v>3</v>
      </c>
      <c r="M85" s="22" t="s">
        <v>3</v>
      </c>
    </row>
    <row r="86" spans="1:25" ht="15.75">
      <c r="B86" s="3">
        <v>82</v>
      </c>
      <c r="C86" s="42" t="s">
        <v>96</v>
      </c>
      <c r="D86" s="8">
        <v>138181.131142756</v>
      </c>
      <c r="E86" s="8">
        <v>173129.19497914799</v>
      </c>
      <c r="F86" s="8">
        <v>182500</v>
      </c>
      <c r="G86" s="2">
        <f t="shared" ref="G86:G94" si="8">F86/E86-1</f>
        <v>5.4126082097133654E-2</v>
      </c>
      <c r="H86" s="55">
        <v>44099</v>
      </c>
      <c r="I86" s="21">
        <f t="shared" si="7"/>
        <v>44318.868857244001</v>
      </c>
      <c r="J86" s="72">
        <f>F86+100.87-3312.38-D86-151.25-18.76</f>
        <v>40937.348857243989</v>
      </c>
      <c r="K86" s="5" t="s">
        <v>3</v>
      </c>
      <c r="L86" s="22" t="s">
        <v>3</v>
      </c>
      <c r="M86" s="22" t="s">
        <v>3</v>
      </c>
    </row>
    <row r="87" spans="1:25" ht="15.75">
      <c r="B87" s="40">
        <v>83</v>
      </c>
      <c r="C87" s="45" t="s">
        <v>97</v>
      </c>
      <c r="D87" s="41">
        <v>130949.33830021101</v>
      </c>
      <c r="E87" s="8">
        <v>164068.37413673999</v>
      </c>
      <c r="F87" s="33">
        <v>206000</v>
      </c>
      <c r="G87" s="34">
        <f t="shared" si="8"/>
        <v>0.25557409271522857</v>
      </c>
      <c r="H87" s="20">
        <v>44130</v>
      </c>
      <c r="I87" s="21">
        <f t="shared" si="7"/>
        <v>75050.661699788994</v>
      </c>
      <c r="J87" s="59">
        <f>F87+83.87-3260.95-D87-200.26-82.32</f>
        <v>71591.001699788976</v>
      </c>
      <c r="K87" s="5" t="s">
        <v>3</v>
      </c>
      <c r="L87" s="22" t="s">
        <v>3</v>
      </c>
      <c r="M87" s="22" t="s">
        <v>3</v>
      </c>
    </row>
    <row r="88" spans="1:25" ht="15.75">
      <c r="B88" s="35">
        <v>84</v>
      </c>
      <c r="C88" s="43" t="s">
        <v>98</v>
      </c>
      <c r="D88" s="41">
        <v>157787.913264364</v>
      </c>
      <c r="E88" s="8">
        <v>197694.82399645899</v>
      </c>
      <c r="F88" s="52">
        <v>230000</v>
      </c>
      <c r="G88" s="51">
        <f t="shared" si="8"/>
        <v>0.16340931618988486</v>
      </c>
      <c r="H88" s="4">
        <v>44141</v>
      </c>
      <c r="I88" s="21">
        <f t="shared" si="7"/>
        <v>72212.086735635996</v>
      </c>
      <c r="J88" s="73">
        <f>F88+70.21-4174.5-D88-152.24-18.76</f>
        <v>67936.796735635988</v>
      </c>
      <c r="K88" s="5" t="s">
        <v>3</v>
      </c>
      <c r="L88" s="22" t="s">
        <v>3</v>
      </c>
      <c r="M88" s="22" t="s">
        <v>3</v>
      </c>
    </row>
    <row r="89" spans="1:25" ht="15.75">
      <c r="A89" s="46"/>
      <c r="B89" s="47">
        <v>85</v>
      </c>
      <c r="C89" s="45" t="s">
        <v>101</v>
      </c>
      <c r="D89" s="41">
        <v>154049.55347317699</v>
      </c>
      <c r="E89" s="36">
        <v>193010.977397159</v>
      </c>
      <c r="F89" s="36">
        <v>225000</v>
      </c>
      <c r="G89" s="54">
        <f t="shared" si="8"/>
        <v>0.16573680437365557</v>
      </c>
      <c r="H89" s="38">
        <v>44183</v>
      </c>
      <c r="I89" s="21">
        <f t="shared" si="7"/>
        <v>70950.446526823012</v>
      </c>
      <c r="J89" s="30">
        <f>F89+16.94-4083.75-D89-152.24-4.84</f>
        <v>66726.556526823013</v>
      </c>
      <c r="K89" s="5" t="s">
        <v>3</v>
      </c>
      <c r="L89" s="22" t="s">
        <v>3</v>
      </c>
      <c r="M89" s="22" t="s">
        <v>3</v>
      </c>
    </row>
    <row r="90" spans="1:25" ht="15.75">
      <c r="B90" s="35">
        <v>86</v>
      </c>
      <c r="C90" s="44" t="s">
        <v>103</v>
      </c>
      <c r="D90" s="139">
        <v>154238.15204406099</v>
      </c>
      <c r="E90" s="141">
        <v>193247.27535246799</v>
      </c>
      <c r="F90" s="53">
        <v>230000</v>
      </c>
      <c r="G90" s="54">
        <f t="shared" si="8"/>
        <v>0.19018495645280331</v>
      </c>
      <c r="H90" s="56">
        <v>44183</v>
      </c>
      <c r="I90" s="21">
        <f t="shared" si="7"/>
        <v>75761.847955939011</v>
      </c>
      <c r="J90" s="58">
        <f>F90+17.03-4174.5-D90-152.24-4.84</f>
        <v>71447.297955939008</v>
      </c>
      <c r="K90" s="5" t="s">
        <v>3</v>
      </c>
      <c r="L90" s="22" t="s">
        <v>3</v>
      </c>
      <c r="M90" s="22" t="s">
        <v>3</v>
      </c>
    </row>
    <row r="91" spans="1:25" ht="15.75">
      <c r="B91" s="48">
        <v>87</v>
      </c>
      <c r="C91" s="45" t="s">
        <v>102</v>
      </c>
      <c r="D91" s="139">
        <v>145650.38147479799</v>
      </c>
      <c r="E91" s="103">
        <v>182487.529842886</v>
      </c>
      <c r="F91" s="36">
        <v>232000</v>
      </c>
      <c r="G91" s="54">
        <f t="shared" si="8"/>
        <v>0.27131974551763682</v>
      </c>
      <c r="H91" s="56">
        <v>44193</v>
      </c>
      <c r="I91" s="21">
        <f t="shared" si="7"/>
        <v>86349.618525202008</v>
      </c>
      <c r="J91" s="58">
        <f>F91+4.74-2807.2-D91-152.24-4.84</f>
        <v>83390.078525201985</v>
      </c>
      <c r="K91" s="5" t="s">
        <v>3</v>
      </c>
      <c r="L91" s="22" t="s">
        <v>3</v>
      </c>
      <c r="M91" s="22" t="s">
        <v>3</v>
      </c>
    </row>
    <row r="92" spans="1:25" ht="15.75">
      <c r="B92" s="48">
        <v>88</v>
      </c>
      <c r="C92" s="43" t="s">
        <v>100</v>
      </c>
      <c r="D92" s="140">
        <v>177054.84449586301</v>
      </c>
      <c r="E92" s="142">
        <v>221834.64877747101</v>
      </c>
      <c r="F92" s="53">
        <v>232500</v>
      </c>
      <c r="G92" s="54">
        <f t="shared" si="8"/>
        <v>4.8077932285626401E-2</v>
      </c>
      <c r="H92" s="57">
        <v>44193</v>
      </c>
      <c r="I92" s="21">
        <f t="shared" si="7"/>
        <v>55445.155504136987</v>
      </c>
      <c r="J92" s="58">
        <f>F92+4.84-2813.25-D92-152.24-4.84</f>
        <v>52479.665504136989</v>
      </c>
      <c r="K92" s="5" t="s">
        <v>3</v>
      </c>
      <c r="L92" s="22" t="s">
        <v>3</v>
      </c>
      <c r="M92" s="22" t="s">
        <v>3</v>
      </c>
    </row>
    <row r="93" spans="1:25" ht="15.75">
      <c r="B93" s="106">
        <v>89</v>
      </c>
      <c r="C93" s="43" t="s">
        <v>106</v>
      </c>
      <c r="D93" s="138">
        <v>157847.66726702001</v>
      </c>
      <c r="E93" s="36">
        <v>197769.690675369</v>
      </c>
      <c r="F93" s="36">
        <v>212500</v>
      </c>
      <c r="G93" s="54">
        <f t="shared" si="8"/>
        <v>7.4482137653793634E-2</v>
      </c>
      <c r="H93" s="57">
        <v>44193</v>
      </c>
      <c r="I93" s="21">
        <f t="shared" si="7"/>
        <v>54652.332732979994</v>
      </c>
      <c r="J93" s="58">
        <f>F93+5.07-3856.88-D93-152.24-4.84</f>
        <v>50643.442732980002</v>
      </c>
      <c r="K93" s="5" t="s">
        <v>3</v>
      </c>
      <c r="L93" s="22" t="s">
        <v>3</v>
      </c>
      <c r="M93" s="22" t="s">
        <v>3</v>
      </c>
    </row>
    <row r="94" spans="1:25" ht="16.5" thickBot="1">
      <c r="B94" s="146">
        <v>90</v>
      </c>
      <c r="C94" s="144" t="s">
        <v>107</v>
      </c>
      <c r="D94" s="145">
        <v>130279.859808151</v>
      </c>
      <c r="E94" s="49">
        <v>163229.57457396601</v>
      </c>
      <c r="F94" s="76">
        <v>207111</v>
      </c>
      <c r="G94" s="75">
        <f t="shared" si="8"/>
        <v>0.26883256628319852</v>
      </c>
      <c r="H94" s="81">
        <v>44196</v>
      </c>
      <c r="I94" s="27">
        <f t="shared" si="7"/>
        <v>76831.140191849001</v>
      </c>
      <c r="J94" s="77">
        <f>F94-4013.17-D94-181.5-38.6</f>
        <v>72597.870191848982</v>
      </c>
      <c r="K94" s="28" t="s">
        <v>3</v>
      </c>
      <c r="L94" s="28" t="s">
        <v>3</v>
      </c>
      <c r="M94" s="28" t="s">
        <v>3</v>
      </c>
    </row>
    <row r="95" spans="1:25" ht="15.75">
      <c r="B95" s="93">
        <v>91</v>
      </c>
      <c r="C95" s="35" t="s">
        <v>105</v>
      </c>
      <c r="D95" s="86">
        <v>132708.037961953</v>
      </c>
      <c r="E95" s="82">
        <v>166271.87510774401</v>
      </c>
      <c r="F95" s="36">
        <v>185000</v>
      </c>
      <c r="G95" s="79">
        <f t="shared" ref="G95:G100" si="9">F95/E95-1</f>
        <v>0.11263555475103759</v>
      </c>
      <c r="H95" s="38">
        <v>44223</v>
      </c>
      <c r="I95" s="80">
        <f>F95-D95</f>
        <v>52291.962038047001</v>
      </c>
      <c r="J95" s="30">
        <f>F95+326.55-3357.75-D95-151.25-19.97-5.07</f>
        <v>49084.472038046988</v>
      </c>
      <c r="K95" s="133" t="s">
        <v>3</v>
      </c>
      <c r="L95" s="127" t="s">
        <v>3</v>
      </c>
      <c r="M95" s="143" t="s">
        <v>3</v>
      </c>
    </row>
    <row r="96" spans="1:25" s="39" customFormat="1" ht="15.75">
      <c r="A96"/>
      <c r="B96" s="85">
        <v>92</v>
      </c>
      <c r="C96" s="87" t="s">
        <v>99</v>
      </c>
      <c r="D96" s="86">
        <v>154049.55347317699</v>
      </c>
      <c r="E96" s="103">
        <v>193010.977397159</v>
      </c>
      <c r="F96" s="99">
        <v>235000</v>
      </c>
      <c r="G96" s="113">
        <f t="shared" si="9"/>
        <v>0.21754732901248475</v>
      </c>
      <c r="H96" s="117">
        <v>44228</v>
      </c>
      <c r="I96" s="30">
        <f>F96-D96</f>
        <v>80950.446526823012</v>
      </c>
      <c r="J96" s="58">
        <f>F96+413.65-4265.25-D96-151.25-19.97-6.44</f>
        <v>76921.186526823003</v>
      </c>
      <c r="K96" s="134" t="s">
        <v>3</v>
      </c>
      <c r="L96" s="136" t="s">
        <v>3</v>
      </c>
      <c r="M96" s="131" t="s">
        <v>3</v>
      </c>
      <c r="N96"/>
      <c r="O96"/>
      <c r="P96"/>
      <c r="Q96"/>
      <c r="R96"/>
      <c r="S96"/>
      <c r="T96"/>
      <c r="U96"/>
      <c r="V96"/>
      <c r="W96"/>
      <c r="X96"/>
      <c r="Y96"/>
    </row>
    <row r="97" spans="2:13" ht="15.75">
      <c r="B97" s="35">
        <v>93</v>
      </c>
      <c r="C97" s="87" t="s">
        <v>108</v>
      </c>
      <c r="D97" s="89">
        <v>123797.86756229099</v>
      </c>
      <c r="E97" s="88">
        <v>155108.19005419701</v>
      </c>
      <c r="F97" s="99">
        <v>219000</v>
      </c>
      <c r="G97" s="113">
        <f t="shared" si="9"/>
        <v>0.41191770675344919</v>
      </c>
      <c r="H97" s="117">
        <v>44229</v>
      </c>
      <c r="I97" s="120">
        <f t="shared" si="7"/>
        <v>95202.132437709006</v>
      </c>
      <c r="J97" s="30">
        <f>F97+310.99-4228.95-D97-181.5-50.7</f>
        <v>91051.972437708988</v>
      </c>
      <c r="K97" s="128" t="s">
        <v>3</v>
      </c>
      <c r="L97" s="132" t="s">
        <v>3</v>
      </c>
      <c r="M97" s="129" t="s">
        <v>3</v>
      </c>
    </row>
    <row r="98" spans="2:13" ht="15.75">
      <c r="B98" s="83">
        <v>94</v>
      </c>
      <c r="C98" s="35" t="s">
        <v>104</v>
      </c>
      <c r="D98" s="89">
        <v>164388.86324530499</v>
      </c>
      <c r="E98" s="36">
        <v>205965.25243228799</v>
      </c>
      <c r="F98" s="99">
        <v>240000</v>
      </c>
      <c r="G98" s="113">
        <f t="shared" si="9"/>
        <v>0.16524509433406043</v>
      </c>
      <c r="H98" s="117">
        <v>44249</v>
      </c>
      <c r="I98" s="116">
        <f t="shared" si="7"/>
        <v>75611.136754695006</v>
      </c>
      <c r="J98" s="30">
        <f>F98+375.88-4356-D98-151.25-19.97-6.58</f>
        <v>71453.216754695008</v>
      </c>
      <c r="K98" s="135" t="s">
        <v>3</v>
      </c>
      <c r="L98" s="128" t="s">
        <v>3</v>
      </c>
      <c r="M98" s="130" t="s">
        <v>3</v>
      </c>
    </row>
    <row r="99" spans="2:13" ht="15.75">
      <c r="B99" s="83">
        <v>95</v>
      </c>
      <c r="C99" s="50" t="s">
        <v>109</v>
      </c>
      <c r="D99" s="90">
        <v>110110.17253563</v>
      </c>
      <c r="E99" s="112">
        <v>137958.673318532</v>
      </c>
      <c r="F99" s="101">
        <v>200000</v>
      </c>
      <c r="G99" s="121">
        <f t="shared" si="9"/>
        <v>0.44970950494878359</v>
      </c>
      <c r="H99" s="122">
        <v>44256</v>
      </c>
      <c r="I99" s="116">
        <f t="shared" si="7"/>
        <v>89889.827464369999</v>
      </c>
      <c r="J99" s="58">
        <f>F99+305.75-2420-D99-151.25-19.97-5.48</f>
        <v>87598.877464370002</v>
      </c>
      <c r="K99" s="74" t="s">
        <v>3</v>
      </c>
      <c r="L99" s="137" t="s">
        <v>3</v>
      </c>
      <c r="M99" s="29" t="s">
        <v>3</v>
      </c>
    </row>
    <row r="100" spans="2:13" ht="15.75">
      <c r="B100" s="93">
        <v>96</v>
      </c>
      <c r="C100" s="94" t="s">
        <v>120</v>
      </c>
      <c r="D100" s="90">
        <v>124293.75367287701</v>
      </c>
      <c r="E100" s="112">
        <v>155729.49313962701</v>
      </c>
      <c r="F100" s="100">
        <v>300000</v>
      </c>
      <c r="G100" s="37">
        <f t="shared" si="9"/>
        <v>0.92641736611201897</v>
      </c>
      <c r="H100" s="118">
        <v>44270</v>
      </c>
      <c r="I100" s="116">
        <f t="shared" si="7"/>
        <v>175706.24632712299</v>
      </c>
      <c r="J100" s="58">
        <f>F100+346.91+135.02-2420-D100-151.25-19.97-8.22</f>
        <v>173588.73632712298</v>
      </c>
      <c r="K100" s="74" t="s">
        <v>3</v>
      </c>
      <c r="L100" s="137" t="s">
        <v>3</v>
      </c>
      <c r="M100" s="29" t="s">
        <v>3</v>
      </c>
    </row>
    <row r="101" spans="2:13" ht="15.75">
      <c r="B101" s="35">
        <v>97</v>
      </c>
      <c r="C101" s="50" t="s">
        <v>110</v>
      </c>
      <c r="D101" s="95">
        <v>106388.572199476</v>
      </c>
      <c r="E101" s="112">
        <v>133295.82488977801</v>
      </c>
      <c r="F101" s="100">
        <v>245000</v>
      </c>
      <c r="G101" s="123">
        <f t="shared" ref="G101:G118" si="10">F101/E101-1</f>
        <v>0.83801705869324783</v>
      </c>
      <c r="H101" s="122">
        <v>44287</v>
      </c>
      <c r="I101" s="116">
        <f t="shared" si="7"/>
        <v>138611.42780052399</v>
      </c>
      <c r="J101" s="58">
        <f>F101+305.27-2420-D101-151.25-19.97-16.78</f>
        <v>136308.69780052401</v>
      </c>
      <c r="K101" s="74" t="s">
        <v>3</v>
      </c>
      <c r="L101" s="137" t="s">
        <v>3</v>
      </c>
      <c r="M101" s="29" t="s">
        <v>3</v>
      </c>
    </row>
    <row r="102" spans="2:13" ht="15.75">
      <c r="B102" s="83">
        <v>98</v>
      </c>
      <c r="C102" s="97" t="s">
        <v>112</v>
      </c>
      <c r="D102" s="96">
        <v>84051.409133448105</v>
      </c>
      <c r="E102" s="112">
        <v>105309.260966342</v>
      </c>
      <c r="F102" s="102">
        <v>161250</v>
      </c>
      <c r="G102" s="115">
        <f t="shared" si="10"/>
        <v>0.53120436436770047</v>
      </c>
      <c r="H102" s="119">
        <v>44292</v>
      </c>
      <c r="I102" s="116">
        <f t="shared" si="7"/>
        <v>77198.590866551895</v>
      </c>
      <c r="J102" s="58">
        <f>F102+370.31+102.58-2926.69-D102-151.25-19.97-4.42</f>
        <v>74569.150866551878</v>
      </c>
      <c r="K102" s="74" t="s">
        <v>3</v>
      </c>
      <c r="L102" s="137" t="s">
        <v>3</v>
      </c>
      <c r="M102" s="29" t="s">
        <v>3</v>
      </c>
    </row>
    <row r="103" spans="2:13" ht="31.5">
      <c r="B103" s="107">
        <v>99</v>
      </c>
      <c r="C103" s="159" t="s">
        <v>117</v>
      </c>
      <c r="D103" s="36">
        <f>42093.91+40254.86+43268.62+83669.07+39148.76+83669.07+63852.55+90450.61+71686.03+71686.03</f>
        <v>629779.51</v>
      </c>
      <c r="E103" s="112">
        <f>52740.09+50435.92+54211.9+104830.23+49050.06+104830.23+80001.81+113326.91+89816.49+89816.49</f>
        <v>789060.13</v>
      </c>
      <c r="F103" s="100">
        <v>800000</v>
      </c>
      <c r="G103" s="123">
        <f t="shared" si="10"/>
        <v>1.386443134568216E-2</v>
      </c>
      <c r="H103" s="122">
        <v>44294</v>
      </c>
      <c r="I103" s="116">
        <f t="shared" si="7"/>
        <v>170220.49</v>
      </c>
      <c r="J103" s="58">
        <f>F103+805.31+520.43+562.73-342.41-384.41-384.41-1796.43-46.89-D103-305.46-39.78-2289.93</f>
        <v>166519.23999999993</v>
      </c>
      <c r="K103" s="74" t="s">
        <v>3</v>
      </c>
      <c r="L103" s="137" t="s">
        <v>3</v>
      </c>
      <c r="M103" s="29" t="s">
        <v>3</v>
      </c>
    </row>
    <row r="104" spans="2:13" ht="15.75">
      <c r="B104" s="83">
        <v>100</v>
      </c>
      <c r="C104" s="91" t="s">
        <v>111</v>
      </c>
      <c r="D104" s="158">
        <v>110014.789793202</v>
      </c>
      <c r="E104" s="112">
        <v>137839.16686150001</v>
      </c>
      <c r="F104" s="101">
        <v>240000</v>
      </c>
      <c r="G104" s="115">
        <f t="shared" ref="G104:G110" si="11">F104/E104-1</f>
        <v>0.74115968243736274</v>
      </c>
      <c r="H104" s="119">
        <v>44301</v>
      </c>
      <c r="I104" s="116">
        <f t="shared" si="7"/>
        <v>129985.210206798</v>
      </c>
      <c r="J104" s="58">
        <f>F104+275.71+106.69-2420-D104-151.25-19.97-6.58</f>
        <v>127769.81020679799</v>
      </c>
      <c r="K104" s="74" t="s">
        <v>3</v>
      </c>
      <c r="L104" s="137" t="s">
        <v>3</v>
      </c>
      <c r="M104" s="29" t="s">
        <v>3</v>
      </c>
    </row>
    <row r="105" spans="2:13" ht="15.75">
      <c r="B105" s="108">
        <v>101</v>
      </c>
      <c r="C105" s="97" t="s">
        <v>113</v>
      </c>
      <c r="D105" s="41">
        <v>116897.665149668</v>
      </c>
      <c r="E105" s="112">
        <v>146462.823794628</v>
      </c>
      <c r="F105" s="100">
        <v>250250</v>
      </c>
      <c r="G105" s="37">
        <f t="shared" si="11"/>
        <v>0.70862471114788605</v>
      </c>
      <c r="H105" s="38">
        <v>44321</v>
      </c>
      <c r="I105" s="114">
        <f>F105-D105</f>
        <v>133352.334850332</v>
      </c>
      <c r="J105" s="58">
        <f>F105+278.75-4542.04-D105-151.25-19.97-6.86</f>
        <v>128910.96485033199</v>
      </c>
      <c r="K105" s="74" t="s">
        <v>3</v>
      </c>
      <c r="L105" s="137" t="s">
        <v>3</v>
      </c>
      <c r="M105" s="29" t="s">
        <v>3</v>
      </c>
    </row>
    <row r="106" spans="2:13" ht="15.75">
      <c r="B106" s="83">
        <v>102</v>
      </c>
      <c r="C106" s="97" t="s">
        <v>121</v>
      </c>
      <c r="D106" s="98">
        <v>142237.42291953799</v>
      </c>
      <c r="E106" s="112">
        <v>178211.38329319001</v>
      </c>
      <c r="F106" s="101">
        <v>280000</v>
      </c>
      <c r="G106" s="123">
        <f t="shared" si="11"/>
        <v>0.57116787281399017</v>
      </c>
      <c r="H106" s="122">
        <v>44323</v>
      </c>
      <c r="I106" s="124">
        <f t="shared" si="7"/>
        <v>137762.57708046201</v>
      </c>
      <c r="J106" s="58">
        <f>F106+290.03+186.15-2420-D106-151.25-19.97-7.67</f>
        <v>135639.86708046205</v>
      </c>
      <c r="K106" s="74" t="s">
        <v>3</v>
      </c>
      <c r="L106" s="137" t="s">
        <v>3</v>
      </c>
      <c r="M106" s="29" t="s">
        <v>3</v>
      </c>
    </row>
    <row r="107" spans="2:13" ht="15.75">
      <c r="B107" s="83">
        <v>103</v>
      </c>
      <c r="C107" s="104" t="s">
        <v>118</v>
      </c>
      <c r="D107" s="141">
        <v>122468.731778544</v>
      </c>
      <c r="E107" s="36">
        <v>153442.896056709</v>
      </c>
      <c r="F107" s="102">
        <v>230777</v>
      </c>
      <c r="G107" s="123">
        <f t="shared" si="11"/>
        <v>0.50399272909128401</v>
      </c>
      <c r="H107" s="122">
        <v>44334</v>
      </c>
      <c r="I107" s="125">
        <f>F107-D107</f>
        <v>108308.268221456</v>
      </c>
      <c r="J107" s="58">
        <f>F107+201.3-4442.71-D107-181.5-50.82</f>
        <v>103834.53822145599</v>
      </c>
      <c r="K107" s="74" t="s">
        <v>3</v>
      </c>
      <c r="L107" s="137" t="s">
        <v>3</v>
      </c>
      <c r="M107" s="29" t="s">
        <v>3</v>
      </c>
    </row>
    <row r="108" spans="2:13" ht="15.75">
      <c r="B108" s="83">
        <v>104</v>
      </c>
      <c r="C108" s="92" t="s">
        <v>114</v>
      </c>
      <c r="D108" s="103">
        <v>0</v>
      </c>
      <c r="E108" s="88">
        <v>0</v>
      </c>
      <c r="F108" s="36">
        <v>261261</v>
      </c>
      <c r="G108" s="126" t="e">
        <f>F108/E108-1</f>
        <v>#DIV/0!</v>
      </c>
      <c r="H108" s="119">
        <v>44335</v>
      </c>
      <c r="I108" s="125">
        <f>F108-D108</f>
        <v>261261</v>
      </c>
      <c r="J108" s="58">
        <f>F108+266.55-4741.89-151.25-19.97-7.16</f>
        <v>256607.27999999997</v>
      </c>
      <c r="K108" s="74" t="s">
        <v>3</v>
      </c>
      <c r="L108" s="137" t="s">
        <v>3</v>
      </c>
      <c r="M108" s="29" t="s">
        <v>3</v>
      </c>
    </row>
    <row r="109" spans="2:13" ht="15.75">
      <c r="B109" s="108">
        <v>105</v>
      </c>
      <c r="C109" s="104" t="s">
        <v>115</v>
      </c>
      <c r="D109" s="103">
        <v>116247.004830961</v>
      </c>
      <c r="E109" s="88">
        <v>145647.60180121299</v>
      </c>
      <c r="F109" s="89">
        <v>233200</v>
      </c>
      <c r="G109" s="37">
        <f>F109/E109-1</f>
        <v>0.6011248871662358</v>
      </c>
      <c r="H109" s="38">
        <v>44337</v>
      </c>
      <c r="I109" s="21">
        <f>F109-D109</f>
        <v>116952.995169039</v>
      </c>
      <c r="J109" s="58">
        <f>F109+273.45-4232.58-D109-151.25-19.97-6.39</f>
        <v>112816.25516903902</v>
      </c>
      <c r="K109" s="74" t="s">
        <v>3</v>
      </c>
      <c r="L109" s="22" t="s">
        <v>3</v>
      </c>
      <c r="M109" s="22" t="s">
        <v>3</v>
      </c>
    </row>
    <row r="110" spans="2:13" ht="15.75">
      <c r="B110" s="83">
        <v>106</v>
      </c>
      <c r="C110" s="105" t="s">
        <v>116</v>
      </c>
      <c r="D110" s="142">
        <v>62368.596903335303</v>
      </c>
      <c r="E110" s="88">
        <v>78142.542940237399</v>
      </c>
      <c r="F110" s="89">
        <v>161005</v>
      </c>
      <c r="G110" s="123">
        <f t="shared" si="11"/>
        <v>1.0604013376316015</v>
      </c>
      <c r="H110" s="122">
        <v>44348</v>
      </c>
      <c r="I110" s="125">
        <f>F110-D110</f>
        <v>98636.403096664697</v>
      </c>
      <c r="J110" s="58">
        <f>F110+293.51-2922.25-D110-151.25-19.97-4.41</f>
        <v>95832.033096664702</v>
      </c>
      <c r="K110" s="74" t="s">
        <v>3</v>
      </c>
      <c r="L110" s="22" t="s">
        <v>3</v>
      </c>
      <c r="M110" s="22" t="s">
        <v>3</v>
      </c>
    </row>
    <row r="111" spans="2:13" ht="15.75">
      <c r="B111" s="83">
        <v>107</v>
      </c>
      <c r="C111" s="105" t="s">
        <v>119</v>
      </c>
      <c r="D111" s="103">
        <v>162181.69977218701</v>
      </c>
      <c r="E111" s="86">
        <v>203199.86448005299</v>
      </c>
      <c r="F111" s="89">
        <v>279500</v>
      </c>
      <c r="G111" s="37">
        <f t="shared" si="10"/>
        <v>0.37549304334027722</v>
      </c>
      <c r="H111" s="38">
        <v>44355</v>
      </c>
      <c r="I111" s="21">
        <f t="shared" si="7"/>
        <v>117318.30022781299</v>
      </c>
      <c r="J111" s="58">
        <f>F111+260.08-5072.93-D111-151.25-19.97-7.66</f>
        <v>112326.570227813</v>
      </c>
      <c r="K111" s="74" t="s">
        <v>3</v>
      </c>
      <c r="L111" s="22" t="s">
        <v>3</v>
      </c>
      <c r="M111" s="22" t="s">
        <v>3</v>
      </c>
    </row>
    <row r="112" spans="2:13" ht="15.75">
      <c r="B112" s="108">
        <v>108</v>
      </c>
      <c r="C112" s="92" t="s">
        <v>122</v>
      </c>
      <c r="D112" s="157">
        <v>125262.863284525</v>
      </c>
      <c r="E112" s="84">
        <v>156943.70498985201</v>
      </c>
      <c r="F112" s="109">
        <v>263010</v>
      </c>
      <c r="G112" s="147">
        <f t="shared" si="10"/>
        <v>0.67582382496326465</v>
      </c>
      <c r="H112" s="117">
        <v>44377</v>
      </c>
      <c r="I112" s="152">
        <f t="shared" si="7"/>
        <v>137747.136715475</v>
      </c>
      <c r="J112" s="58">
        <f>F112+163.21-D112-5059.64-181.5-76.29</f>
        <v>132592.916715475</v>
      </c>
      <c r="K112" s="74" t="s">
        <v>3</v>
      </c>
      <c r="L112" s="22" t="s">
        <v>3</v>
      </c>
      <c r="M112" s="22" t="s">
        <v>3</v>
      </c>
    </row>
    <row r="113" spans="2:25" ht="15.75">
      <c r="B113" s="83">
        <v>109</v>
      </c>
      <c r="C113" s="97" t="s">
        <v>124</v>
      </c>
      <c r="D113" s="141">
        <v>162868.23951088701</v>
      </c>
      <c r="E113" s="88">
        <v>204060.04033257</v>
      </c>
      <c r="F113" s="101">
        <v>350000</v>
      </c>
      <c r="G113" s="147">
        <f t="shared" si="10"/>
        <v>0.71518147026523216</v>
      </c>
      <c r="H113" s="122">
        <v>44442</v>
      </c>
      <c r="I113" s="153">
        <f t="shared" si="7"/>
        <v>187131.76048911299</v>
      </c>
      <c r="J113" s="58">
        <f>F113+124.1-D113-5293.75-90.75-151.25-238.98-90.75</f>
        <v>181390.38048911295</v>
      </c>
      <c r="K113" s="74" t="s">
        <v>3</v>
      </c>
      <c r="L113" s="22" t="s">
        <v>3</v>
      </c>
      <c r="M113" s="22" t="s">
        <v>3</v>
      </c>
    </row>
    <row r="114" spans="2:25" ht="15.75">
      <c r="B114" s="83">
        <v>110</v>
      </c>
      <c r="C114" s="104" t="s">
        <v>123</v>
      </c>
      <c r="D114" s="141">
        <v>129941.41605350599</v>
      </c>
      <c r="E114" s="88">
        <v>162805.533358621</v>
      </c>
      <c r="F114" s="110">
        <v>421000</v>
      </c>
      <c r="G114" s="147">
        <f t="shared" si="10"/>
        <v>1.5859071943988501</v>
      </c>
      <c r="H114" s="38">
        <v>44473</v>
      </c>
      <c r="I114" s="154">
        <f t="shared" si="7"/>
        <v>291058.58394649404</v>
      </c>
      <c r="J114" s="151">
        <f>F114+112.4+161.44-D114-7641.15-178.74-151.25-19.97-11.53</f>
        <v>283329.78394649399</v>
      </c>
      <c r="K114" s="74" t="s">
        <v>3</v>
      </c>
      <c r="L114" s="22" t="s">
        <v>3</v>
      </c>
      <c r="M114" s="22" t="s">
        <v>3</v>
      </c>
    </row>
    <row r="115" spans="2:25" ht="15.75">
      <c r="B115" s="35">
        <v>111</v>
      </c>
      <c r="C115" s="104" t="s">
        <v>125</v>
      </c>
      <c r="D115" s="141">
        <v>157787.913264364</v>
      </c>
      <c r="E115" s="103">
        <v>197694.82399645899</v>
      </c>
      <c r="F115" s="141">
        <v>300000</v>
      </c>
      <c r="G115" s="147">
        <f t="shared" si="10"/>
        <v>0.51749041242158911</v>
      </c>
      <c r="H115" s="149">
        <v>44498</v>
      </c>
      <c r="I115" s="153">
        <f t="shared" si="7"/>
        <v>142212.086735636</v>
      </c>
      <c r="J115" s="155">
        <f>F115+78.91-5445-D115-151.25-19.97-16.44</f>
        <v>136658.33673563597</v>
      </c>
      <c r="K115" s="166" t="s">
        <v>3</v>
      </c>
      <c r="L115" s="22" t="s">
        <v>3</v>
      </c>
      <c r="M115" s="22" t="s">
        <v>3</v>
      </c>
    </row>
    <row r="116" spans="2:25" ht="15.75">
      <c r="B116" s="35">
        <v>112</v>
      </c>
      <c r="C116" s="148" t="s">
        <v>126</v>
      </c>
      <c r="D116" s="141">
        <v>145650.381474797</v>
      </c>
      <c r="E116" s="111">
        <v>182487.529842886</v>
      </c>
      <c r="F116" s="103">
        <v>310000</v>
      </c>
      <c r="G116" s="147">
        <f t="shared" si="10"/>
        <v>0.6987462116830494</v>
      </c>
      <c r="H116" s="160">
        <v>44498</v>
      </c>
      <c r="I116" s="154">
        <f t="shared" si="7"/>
        <v>164349.618525203</v>
      </c>
      <c r="J116" s="155">
        <f>F116+80.03-5626.5-D116-151.25-19.97-16.99</f>
        <v>158614.93852520303</v>
      </c>
      <c r="K116" s="74" t="s">
        <v>3</v>
      </c>
      <c r="L116" s="22" t="s">
        <v>3</v>
      </c>
      <c r="M116" s="22" t="s">
        <v>3</v>
      </c>
    </row>
    <row r="117" spans="2:25" ht="15.75">
      <c r="B117" s="35">
        <v>113</v>
      </c>
      <c r="C117" s="104" t="s">
        <v>130</v>
      </c>
      <c r="D117" s="141">
        <v>126293.444500981</v>
      </c>
      <c r="E117" s="88">
        <v>158234.935528278</v>
      </c>
      <c r="F117" s="165">
        <v>249500</v>
      </c>
      <c r="G117" s="161">
        <f>F117/E117-1</f>
        <v>0.5767693724968348</v>
      </c>
      <c r="H117" s="163">
        <v>44525</v>
      </c>
      <c r="I117" s="155">
        <f>F117-D117</f>
        <v>123206.555499019</v>
      </c>
      <c r="J117" s="155">
        <f>F117+39.09+40.01-2420-D117-151.25-35.09-6.84</f>
        <v>120672.47549901901</v>
      </c>
      <c r="K117" s="74" t="s">
        <v>3</v>
      </c>
      <c r="L117" s="22" t="s">
        <v>3</v>
      </c>
      <c r="M117" s="22" t="s">
        <v>3</v>
      </c>
    </row>
    <row r="118" spans="2:25" ht="15.75">
      <c r="B118" s="35">
        <v>114</v>
      </c>
      <c r="C118" s="97" t="s">
        <v>127</v>
      </c>
      <c r="D118" s="141">
        <v>142076.34519091601</v>
      </c>
      <c r="E118" s="99">
        <v>178009.566610587</v>
      </c>
      <c r="F118" s="101">
        <v>295000</v>
      </c>
      <c r="G118" s="161">
        <f t="shared" si="10"/>
        <v>0.65721430379829404</v>
      </c>
      <c r="H118" s="160">
        <v>44530</v>
      </c>
      <c r="I118" s="155">
        <f t="shared" si="7"/>
        <v>152923.65480908399</v>
      </c>
      <c r="J118" s="155">
        <f>F118+37.58-5354.25-D118-151.25-35.09-8.08</f>
        <v>147412.56480908403</v>
      </c>
      <c r="K118" s="74" t="s">
        <v>3</v>
      </c>
      <c r="L118" s="22" t="s">
        <v>3</v>
      </c>
      <c r="M118" s="22" t="s">
        <v>3</v>
      </c>
    </row>
    <row r="119" spans="2:25" ht="15.75">
      <c r="B119" s="35">
        <v>115</v>
      </c>
      <c r="C119" s="164" t="s">
        <v>131</v>
      </c>
      <c r="D119" s="141">
        <v>141661.80179748699</v>
      </c>
      <c r="E119" s="88">
        <v>177490.17902565</v>
      </c>
      <c r="F119" s="84">
        <v>320000</v>
      </c>
      <c r="G119" s="167">
        <f t="shared" ref="G119:G128" si="12">F119/E119-1</f>
        <v>0.80291665576468429</v>
      </c>
      <c r="H119" s="162">
        <v>44558</v>
      </c>
      <c r="I119" s="154">
        <f t="shared" si="7"/>
        <v>178338.19820251301</v>
      </c>
      <c r="J119" s="155">
        <f>F119+4.72-5808-D119-151.25-35.09-8.77</f>
        <v>172339.808202513</v>
      </c>
      <c r="K119" s="74" t="s">
        <v>3</v>
      </c>
      <c r="L119" s="22" t="s">
        <v>3</v>
      </c>
      <c r="M119" s="22" t="s">
        <v>3</v>
      </c>
    </row>
    <row r="120" spans="2:25" ht="16.5" thickBot="1">
      <c r="B120" s="170">
        <v>116</v>
      </c>
      <c r="C120" s="171" t="s">
        <v>128</v>
      </c>
      <c r="D120" s="172">
        <v>135380.16226824099</v>
      </c>
      <c r="E120" s="84">
        <v>169619.819405246</v>
      </c>
      <c r="F120" s="141">
        <v>220500</v>
      </c>
      <c r="G120" s="174">
        <f t="shared" si="12"/>
        <v>0.29996601088929342</v>
      </c>
      <c r="H120" s="177">
        <v>44558</v>
      </c>
      <c r="I120" s="178">
        <f t="shared" si="7"/>
        <v>85119.837731759006</v>
      </c>
      <c r="J120" s="153">
        <f>F120+4.06-4002.08-D120-151.25-35.09-6.04</f>
        <v>80929.437731759026</v>
      </c>
      <c r="K120" s="28" t="s">
        <v>3</v>
      </c>
      <c r="L120" s="179" t="s">
        <v>3</v>
      </c>
      <c r="M120" s="179" t="s">
        <v>3</v>
      </c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1"/>
    </row>
    <row r="121" spans="2:25" ht="15.75">
      <c r="B121" s="35">
        <v>117</v>
      </c>
      <c r="C121" s="105" t="s">
        <v>129</v>
      </c>
      <c r="D121" s="157">
        <v>87038.330325448202</v>
      </c>
      <c r="E121" s="173">
        <v>109051.6189653</v>
      </c>
      <c r="F121" s="173">
        <v>171000</v>
      </c>
      <c r="G121" s="175">
        <f t="shared" si="12"/>
        <v>0.56806475339363693</v>
      </c>
      <c r="H121" s="176">
        <v>44571</v>
      </c>
      <c r="I121" s="182">
        <f t="shared" ref="I121:I128" si="13">F121-D121</f>
        <v>83961.669674551798</v>
      </c>
      <c r="J121" s="63">
        <f>F121+248.72-3103.65-D121-151.25-35.09-4.68</f>
        <v>80915.719674551816</v>
      </c>
      <c r="K121" s="183" t="s">
        <v>3</v>
      </c>
      <c r="L121" s="180" t="s">
        <v>3</v>
      </c>
      <c r="M121" s="181" t="s">
        <v>3</v>
      </c>
    </row>
    <row r="122" spans="2:25" ht="15.75">
      <c r="B122" s="35">
        <v>118</v>
      </c>
      <c r="C122" s="97" t="s">
        <v>133</v>
      </c>
      <c r="D122" s="157">
        <v>145650.381474797</v>
      </c>
      <c r="E122" s="36">
        <v>182488</v>
      </c>
      <c r="F122" s="111">
        <v>300000</v>
      </c>
      <c r="G122" s="168">
        <f t="shared" si="12"/>
        <v>0.64394371136732276</v>
      </c>
      <c r="H122" s="38">
        <v>44593</v>
      </c>
      <c r="I122" s="153">
        <f t="shared" si="13"/>
        <v>154349.618525203</v>
      </c>
      <c r="J122" s="155">
        <f>F122+394.99-5445-D122-157.3-35.09-8.22</f>
        <v>149098.998525203</v>
      </c>
      <c r="K122" s="74" t="s">
        <v>3</v>
      </c>
      <c r="L122" s="22" t="s">
        <v>3</v>
      </c>
      <c r="M122" s="22" t="s">
        <v>3</v>
      </c>
    </row>
    <row r="123" spans="2:25" ht="15.75">
      <c r="B123" s="35">
        <v>119</v>
      </c>
      <c r="C123" s="169" t="s">
        <v>132</v>
      </c>
      <c r="D123" s="157">
        <v>145650.381474797</v>
      </c>
      <c r="E123" s="36">
        <v>182487.529842886</v>
      </c>
      <c r="F123" s="103">
        <v>310000</v>
      </c>
      <c r="G123" s="168">
        <f t="shared" si="12"/>
        <v>0.6987462116830494</v>
      </c>
      <c r="H123" s="163">
        <v>44603</v>
      </c>
      <c r="I123" s="154">
        <f t="shared" si="13"/>
        <v>164349.618525203</v>
      </c>
      <c r="J123" s="155">
        <f>F123+389.97-5626.5-D123-157.3-35.09-16.99</f>
        <v>158903.70852520299</v>
      </c>
      <c r="K123" s="74" t="s">
        <v>3</v>
      </c>
      <c r="L123" s="22" t="s">
        <v>3</v>
      </c>
      <c r="M123" s="22" t="s">
        <v>3</v>
      </c>
    </row>
    <row r="124" spans="2:25" ht="15.75">
      <c r="B124" s="35">
        <v>120</v>
      </c>
      <c r="C124" s="148" t="s">
        <v>135</v>
      </c>
      <c r="D124" s="157">
        <v>155141.931334238</v>
      </c>
      <c r="E124" s="36">
        <v>194379.63387098</v>
      </c>
      <c r="F124" s="36">
        <v>319000</v>
      </c>
      <c r="G124" s="168">
        <f t="shared" si="12"/>
        <v>0.64111843225168896</v>
      </c>
      <c r="H124" s="38">
        <v>44665</v>
      </c>
      <c r="I124" s="154">
        <f t="shared" si="13"/>
        <v>163858.068665762</v>
      </c>
      <c r="J124" s="30">
        <v>158181</v>
      </c>
      <c r="K124" s="74" t="s">
        <v>3</v>
      </c>
      <c r="L124" s="22" t="s">
        <v>3</v>
      </c>
      <c r="M124" s="22" t="s">
        <v>3</v>
      </c>
    </row>
    <row r="125" spans="2:25" ht="15.75">
      <c r="B125" s="35">
        <v>121</v>
      </c>
      <c r="C125" s="148" t="s">
        <v>134</v>
      </c>
      <c r="D125" s="157">
        <v>155612.49410515701</v>
      </c>
      <c r="E125" s="36">
        <v>194969.208967396</v>
      </c>
      <c r="F125" s="36">
        <v>345000</v>
      </c>
      <c r="G125" s="168">
        <f t="shared" si="12"/>
        <v>0.76951017972121494</v>
      </c>
      <c r="H125" s="38">
        <v>44708</v>
      </c>
      <c r="I125" s="154">
        <f t="shared" si="13"/>
        <v>189387.50589484299</v>
      </c>
      <c r="J125" s="30">
        <v>183178.27</v>
      </c>
      <c r="K125" s="74" t="s">
        <v>3</v>
      </c>
      <c r="L125" s="22" t="s">
        <v>3</v>
      </c>
      <c r="M125" s="22" t="s">
        <v>3</v>
      </c>
    </row>
    <row r="126" spans="2:25" ht="15.75">
      <c r="B126" s="35">
        <v>122</v>
      </c>
      <c r="C126" s="148" t="s">
        <v>136</v>
      </c>
      <c r="D126" s="36">
        <v>158555.38</v>
      </c>
      <c r="E126" s="36">
        <v>198656</v>
      </c>
      <c r="F126" s="36">
        <v>332000</v>
      </c>
      <c r="G126" s="168">
        <f>F126/E126-1</f>
        <v>0.67123067010309279</v>
      </c>
      <c r="H126" s="38">
        <v>44806</v>
      </c>
      <c r="I126" s="154">
        <f>F126-D126</f>
        <v>173444.62</v>
      </c>
      <c r="J126" s="30">
        <v>167387.93</v>
      </c>
      <c r="K126" s="74" t="s">
        <v>3</v>
      </c>
      <c r="L126" s="22" t="s">
        <v>3</v>
      </c>
      <c r="M126" s="22" t="s">
        <v>3</v>
      </c>
    </row>
    <row r="127" spans="2:25" ht="15.75">
      <c r="B127" s="35">
        <v>123</v>
      </c>
      <c r="C127" s="148" t="s">
        <v>138</v>
      </c>
      <c r="D127" s="36">
        <v>117842</v>
      </c>
      <c r="E127" s="36">
        <v>147646</v>
      </c>
      <c r="F127" s="36">
        <v>230500</v>
      </c>
      <c r="G127" s="37">
        <f>F127/E127-1</f>
        <v>0.56116657410292192</v>
      </c>
      <c r="H127" s="38">
        <v>44832</v>
      </c>
      <c r="I127" s="184">
        <f>F127-D127</f>
        <v>112658</v>
      </c>
      <c r="J127" s="30">
        <v>108101.55</v>
      </c>
      <c r="K127" s="74" t="s">
        <v>3</v>
      </c>
      <c r="L127" s="22" t="s">
        <v>3</v>
      </c>
      <c r="M127" s="22" t="s">
        <v>3</v>
      </c>
    </row>
    <row r="128" spans="2:25" ht="15.75">
      <c r="B128" s="35">
        <v>124</v>
      </c>
      <c r="C128" s="148" t="s">
        <v>137</v>
      </c>
      <c r="D128" s="36">
        <v>139628</v>
      </c>
      <c r="E128" s="36">
        <v>174942</v>
      </c>
      <c r="F128" s="36">
        <v>296000</v>
      </c>
      <c r="G128" s="37">
        <f t="shared" si="12"/>
        <v>0.69198934504007048</v>
      </c>
      <c r="H128" s="38">
        <v>44833</v>
      </c>
      <c r="I128" s="184">
        <f t="shared" si="13"/>
        <v>156372</v>
      </c>
      <c r="J128" s="30">
        <v>150917.07</v>
      </c>
      <c r="K128" s="74" t="s">
        <v>3</v>
      </c>
      <c r="L128" s="22" t="s">
        <v>3</v>
      </c>
      <c r="M128" s="22" t="s">
        <v>3</v>
      </c>
    </row>
    <row r="129" spans="2:13" ht="16.5" thickBot="1">
      <c r="B129" s="170">
        <v>125</v>
      </c>
      <c r="C129" s="148" t="s">
        <v>139</v>
      </c>
      <c r="D129" s="186">
        <v>121570</v>
      </c>
      <c r="E129" s="36">
        <v>152317</v>
      </c>
      <c r="F129" s="186">
        <v>275000</v>
      </c>
      <c r="G129" s="37">
        <f t="shared" ref="G129:G143" si="14">F129/E129-1</f>
        <v>0.80544522279194042</v>
      </c>
      <c r="H129" s="187">
        <v>44837</v>
      </c>
      <c r="I129" s="188">
        <f>F129-D129</f>
        <v>153430</v>
      </c>
      <c r="J129" s="189">
        <v>147928.34</v>
      </c>
      <c r="K129" s="74" t="s">
        <v>3</v>
      </c>
      <c r="L129" s="179" t="s">
        <v>3</v>
      </c>
      <c r="M129" s="28" t="s">
        <v>3</v>
      </c>
    </row>
    <row r="130" spans="2:13" ht="15.75">
      <c r="B130" s="35">
        <v>126</v>
      </c>
      <c r="C130" s="185" t="s">
        <v>140</v>
      </c>
      <c r="D130" s="82">
        <v>132265</v>
      </c>
      <c r="E130" s="82">
        <v>165717</v>
      </c>
      <c r="F130" s="36">
        <v>215000</v>
      </c>
      <c r="G130" s="79">
        <f t="shared" si="14"/>
        <v>0.29739254270835214</v>
      </c>
      <c r="H130" s="38">
        <v>44984</v>
      </c>
      <c r="I130" s="30">
        <f t="shared" ref="I130:I143" si="15">F130-D130</f>
        <v>82735</v>
      </c>
      <c r="J130" s="30">
        <v>57980.03</v>
      </c>
      <c r="K130" s="180" t="s">
        <v>3</v>
      </c>
      <c r="L130" s="180" t="s">
        <v>3</v>
      </c>
      <c r="M130" s="179" t="s">
        <v>3</v>
      </c>
    </row>
    <row r="131" spans="2:13" ht="15.75">
      <c r="B131" s="35">
        <v>127</v>
      </c>
      <c r="C131" s="148" t="s">
        <v>141</v>
      </c>
      <c r="D131" s="36">
        <v>148125</v>
      </c>
      <c r="E131" s="36">
        <v>148125</v>
      </c>
      <c r="F131" s="36">
        <v>325007</v>
      </c>
      <c r="G131" s="37">
        <f t="shared" si="14"/>
        <v>1.1941400843881858</v>
      </c>
      <c r="H131" s="38">
        <v>45077</v>
      </c>
      <c r="I131" s="184">
        <f t="shared" si="15"/>
        <v>176882</v>
      </c>
      <c r="J131" s="30">
        <v>137951.73000000001</v>
      </c>
      <c r="K131" s="78" t="s">
        <v>3</v>
      </c>
      <c r="L131" s="78" t="s">
        <v>3</v>
      </c>
      <c r="M131" s="78" t="s">
        <v>3</v>
      </c>
    </row>
    <row r="132" spans="2:13" ht="15.75">
      <c r="B132" s="35">
        <v>128</v>
      </c>
      <c r="C132" s="148" t="s">
        <v>142</v>
      </c>
      <c r="D132" s="36">
        <v>83020</v>
      </c>
      <c r="E132" s="36">
        <v>104017</v>
      </c>
      <c r="F132" s="36">
        <v>165000</v>
      </c>
      <c r="G132" s="37">
        <f t="shared" si="14"/>
        <v>0.58627916590557305</v>
      </c>
      <c r="H132" s="38">
        <v>45100</v>
      </c>
      <c r="I132" s="184">
        <f t="shared" si="15"/>
        <v>81980</v>
      </c>
      <c r="J132" s="30">
        <v>33275.39</v>
      </c>
      <c r="K132" s="78" t="s">
        <v>3</v>
      </c>
      <c r="L132" s="78" t="s">
        <v>3</v>
      </c>
      <c r="M132" s="78" t="s">
        <v>3</v>
      </c>
    </row>
    <row r="133" spans="2:13" ht="15.75">
      <c r="B133" s="35">
        <v>129</v>
      </c>
      <c r="C133" s="148" t="s">
        <v>143</v>
      </c>
      <c r="D133" s="36">
        <v>105708</v>
      </c>
      <c r="E133" s="36">
        <v>132443</v>
      </c>
      <c r="F133" s="36">
        <v>185250</v>
      </c>
      <c r="G133" s="37">
        <f t="shared" si="14"/>
        <v>0.39871491887075949</v>
      </c>
      <c r="H133" s="38">
        <v>45153</v>
      </c>
      <c r="I133" s="184">
        <f t="shared" si="15"/>
        <v>79542</v>
      </c>
      <c r="J133" s="30">
        <v>18709.259999999998</v>
      </c>
      <c r="K133" s="78" t="s">
        <v>3</v>
      </c>
      <c r="L133" s="78" t="s">
        <v>3</v>
      </c>
      <c r="M133" s="78" t="s">
        <v>3</v>
      </c>
    </row>
    <row r="134" spans="2:13" ht="15.75">
      <c r="B134" s="35">
        <v>130</v>
      </c>
      <c r="C134" s="148" t="s">
        <v>144</v>
      </c>
      <c r="D134" s="36">
        <v>192790</v>
      </c>
      <c r="E134" s="36">
        <v>241550</v>
      </c>
      <c r="F134" s="36">
        <v>259000</v>
      </c>
      <c r="G134" s="37">
        <f t="shared" si="14"/>
        <v>7.2241771889877793E-2</v>
      </c>
      <c r="H134" s="38">
        <v>45166</v>
      </c>
      <c r="I134" s="184">
        <f t="shared" si="15"/>
        <v>66210</v>
      </c>
      <c r="J134" s="30">
        <v>17168.8</v>
      </c>
      <c r="K134" s="78" t="s">
        <v>3</v>
      </c>
      <c r="L134" s="78" t="s">
        <v>3</v>
      </c>
      <c r="M134" s="78" t="s">
        <v>3</v>
      </c>
    </row>
    <row r="135" spans="2:13" ht="15.75">
      <c r="B135" s="35">
        <v>131</v>
      </c>
      <c r="C135" s="148" t="s">
        <v>145</v>
      </c>
      <c r="D135" s="36">
        <v>140306</v>
      </c>
      <c r="E135" s="36">
        <v>175791</v>
      </c>
      <c r="F135" s="36">
        <v>380413</v>
      </c>
      <c r="G135" s="37">
        <f>F135/E135-1</f>
        <v>1.1640072586196109</v>
      </c>
      <c r="H135" s="38">
        <v>45191</v>
      </c>
      <c r="I135" s="184">
        <f>F135-D135</f>
        <v>240107</v>
      </c>
      <c r="J135" s="30">
        <v>206742.23</v>
      </c>
      <c r="K135" s="78" t="s">
        <v>3</v>
      </c>
      <c r="L135" s="78" t="s">
        <v>3</v>
      </c>
      <c r="M135" s="78" t="s">
        <v>3</v>
      </c>
    </row>
    <row r="136" spans="2:13" ht="15.75">
      <c r="B136" s="35">
        <v>132</v>
      </c>
      <c r="C136" s="148" t="s">
        <v>147</v>
      </c>
      <c r="D136" s="36">
        <v>192790</v>
      </c>
      <c r="E136" s="36">
        <v>241550</v>
      </c>
      <c r="F136" s="36">
        <v>239000</v>
      </c>
      <c r="G136" s="37">
        <f>F136/E136-1</f>
        <v>-1.0556820534050937E-2</v>
      </c>
      <c r="H136" s="38">
        <v>45194</v>
      </c>
      <c r="I136" s="184">
        <f>F136-D136</f>
        <v>46210</v>
      </c>
      <c r="J136" s="30">
        <v>-11444.26</v>
      </c>
      <c r="K136" s="78" t="s">
        <v>3</v>
      </c>
      <c r="L136" s="78" t="s">
        <v>3</v>
      </c>
      <c r="M136" s="78" t="s">
        <v>3</v>
      </c>
    </row>
    <row r="137" spans="2:13" ht="15.75">
      <c r="B137" s="35">
        <v>133</v>
      </c>
      <c r="C137" s="148" t="s">
        <v>146</v>
      </c>
      <c r="D137" s="36">
        <v>130447</v>
      </c>
      <c r="E137" s="36">
        <v>163439</v>
      </c>
      <c r="F137" s="36">
        <v>240001</v>
      </c>
      <c r="G137" s="37">
        <f t="shared" si="14"/>
        <v>0.46844388426263017</v>
      </c>
      <c r="H137" s="38">
        <v>45168</v>
      </c>
      <c r="I137" s="184">
        <f t="shared" si="15"/>
        <v>109554</v>
      </c>
      <c r="J137" s="30">
        <v>74353.58</v>
      </c>
      <c r="K137" s="78" t="s">
        <v>3</v>
      </c>
      <c r="L137" s="78" t="s">
        <v>3</v>
      </c>
      <c r="M137" s="78" t="s">
        <v>3</v>
      </c>
    </row>
    <row r="138" spans="2:13" ht="15.75">
      <c r="B138" s="35">
        <v>134</v>
      </c>
      <c r="C138" s="148" t="s">
        <v>151</v>
      </c>
      <c r="D138" s="36">
        <v>154190</v>
      </c>
      <c r="E138" s="36">
        <v>193186</v>
      </c>
      <c r="F138" s="36">
        <v>250000</v>
      </c>
      <c r="G138" s="37">
        <f t="shared" si="14"/>
        <v>0.29408963382439723</v>
      </c>
      <c r="H138" s="38">
        <v>45212</v>
      </c>
      <c r="I138" s="184">
        <f t="shared" si="15"/>
        <v>95810</v>
      </c>
      <c r="J138" s="30">
        <v>60743.22</v>
      </c>
      <c r="K138" s="78" t="s">
        <v>3</v>
      </c>
      <c r="L138" s="78" t="s">
        <v>3</v>
      </c>
      <c r="M138" s="78" t="s">
        <v>3</v>
      </c>
    </row>
    <row r="139" spans="2:13" ht="15.75">
      <c r="B139" s="35">
        <f>B138+1</f>
        <v>135</v>
      </c>
      <c r="C139" s="148" t="s">
        <v>148</v>
      </c>
      <c r="D139" s="36">
        <v>73705</v>
      </c>
      <c r="E139" s="36">
        <v>92347</v>
      </c>
      <c r="F139" s="36">
        <v>232500</v>
      </c>
      <c r="G139" s="37">
        <f t="shared" si="14"/>
        <v>1.5176778888323388</v>
      </c>
      <c r="H139" s="38">
        <v>45226</v>
      </c>
      <c r="I139" s="184">
        <f t="shared" si="15"/>
        <v>158795</v>
      </c>
      <c r="J139" s="30">
        <v>126929.32</v>
      </c>
      <c r="K139" s="78" t="s">
        <v>3</v>
      </c>
      <c r="L139" s="78" t="s">
        <v>3</v>
      </c>
      <c r="M139" s="78" t="s">
        <v>3</v>
      </c>
    </row>
    <row r="140" spans="2:13" ht="15.75">
      <c r="B140" s="35">
        <f t="shared" ref="B140:B157" si="16">B139+1</f>
        <v>136</v>
      </c>
      <c r="C140" s="148" t="s">
        <v>155</v>
      </c>
      <c r="D140" s="36">
        <v>76738</v>
      </c>
      <c r="E140" s="36">
        <v>96146</v>
      </c>
      <c r="F140" s="36">
        <v>145000</v>
      </c>
      <c r="G140" s="37">
        <f t="shared" si="14"/>
        <v>0.50812306284192799</v>
      </c>
      <c r="H140" s="38">
        <v>45246</v>
      </c>
      <c r="I140" s="184">
        <f t="shared" si="15"/>
        <v>68262</v>
      </c>
      <c r="J140" s="30">
        <v>36987.64</v>
      </c>
      <c r="K140" s="78" t="s">
        <v>3</v>
      </c>
      <c r="L140" s="78" t="s">
        <v>3</v>
      </c>
      <c r="M140" s="78" t="s">
        <v>3</v>
      </c>
    </row>
    <row r="141" spans="2:13" ht="15.75">
      <c r="B141" s="35">
        <f t="shared" si="16"/>
        <v>137</v>
      </c>
      <c r="C141" s="148" t="s">
        <v>152</v>
      </c>
      <c r="D141" s="36">
        <v>79614</v>
      </c>
      <c r="E141" s="36">
        <v>99750</v>
      </c>
      <c r="F141" s="36">
        <v>235000</v>
      </c>
      <c r="G141" s="37">
        <f>F141/E141-1</f>
        <v>1.355889724310777</v>
      </c>
      <c r="H141" s="38">
        <v>45261</v>
      </c>
      <c r="I141" s="184">
        <f>F141-D141</f>
        <v>155386</v>
      </c>
      <c r="J141" s="30">
        <v>129432.96000000001</v>
      </c>
      <c r="K141" s="78" t="s">
        <v>3</v>
      </c>
      <c r="L141" s="78" t="s">
        <v>3</v>
      </c>
      <c r="M141" s="78" t="s">
        <v>3</v>
      </c>
    </row>
    <row r="142" spans="2:13" ht="15.75">
      <c r="B142" s="35">
        <f t="shared" si="16"/>
        <v>138</v>
      </c>
      <c r="C142" s="148" t="s">
        <v>153</v>
      </c>
      <c r="D142" s="36">
        <v>119298</v>
      </c>
      <c r="E142" s="36">
        <v>149471</v>
      </c>
      <c r="F142" s="36">
        <v>285650</v>
      </c>
      <c r="G142" s="37">
        <f>F142/E142-1</f>
        <v>0.91107305095971802</v>
      </c>
      <c r="H142" s="38">
        <v>45261</v>
      </c>
      <c r="I142" s="184">
        <f>F142-D142</f>
        <v>166352</v>
      </c>
      <c r="J142" s="30">
        <v>110086.15</v>
      </c>
      <c r="K142" s="78" t="s">
        <v>3</v>
      </c>
      <c r="L142" s="78" t="s">
        <v>3</v>
      </c>
      <c r="M142" s="78" t="s">
        <v>3</v>
      </c>
    </row>
    <row r="143" spans="2:13" ht="15.75">
      <c r="B143" s="35">
        <f t="shared" si="16"/>
        <v>139</v>
      </c>
      <c r="C143" s="148" t="s">
        <v>150</v>
      </c>
      <c r="D143" s="36">
        <v>115835</v>
      </c>
      <c r="E143" s="36">
        <v>145132</v>
      </c>
      <c r="F143" s="36">
        <v>260000</v>
      </c>
      <c r="G143" s="37">
        <f t="shared" si="14"/>
        <v>0.7914725904693658</v>
      </c>
      <c r="H143" s="38">
        <v>45265</v>
      </c>
      <c r="I143" s="184">
        <f t="shared" si="15"/>
        <v>144165</v>
      </c>
      <c r="J143" s="30">
        <v>143895.01</v>
      </c>
      <c r="K143" s="78" t="s">
        <v>3</v>
      </c>
      <c r="L143" s="78" t="s">
        <v>3</v>
      </c>
      <c r="M143" s="78" t="s">
        <v>3</v>
      </c>
    </row>
    <row r="144" spans="2:13" ht="15.75">
      <c r="B144" s="35">
        <f t="shared" si="16"/>
        <v>140</v>
      </c>
      <c r="C144" s="148" t="s">
        <v>149</v>
      </c>
      <c r="D144" s="36">
        <v>135298</v>
      </c>
      <c r="E144" s="36">
        <v>169517</v>
      </c>
      <c r="F144" s="36">
        <v>230500</v>
      </c>
      <c r="G144" s="37">
        <f t="shared" ref="G144" si="17">F144/E144-1</f>
        <v>0.35974563023177608</v>
      </c>
      <c r="H144" s="38">
        <v>45267</v>
      </c>
      <c r="I144" s="184">
        <f t="shared" ref="I144" si="18">F144-D144</f>
        <v>95202</v>
      </c>
      <c r="J144" s="30">
        <v>56925.81</v>
      </c>
      <c r="K144" s="78" t="s">
        <v>3</v>
      </c>
      <c r="L144" s="78" t="s">
        <v>3</v>
      </c>
      <c r="M144" s="78" t="s">
        <v>3</v>
      </c>
    </row>
    <row r="145" spans="2:13" ht="15.75">
      <c r="B145" s="35">
        <f t="shared" si="16"/>
        <v>141</v>
      </c>
      <c r="C145" s="148" t="s">
        <v>154</v>
      </c>
      <c r="D145" s="36">
        <v>139729</v>
      </c>
      <c r="E145" s="36">
        <v>175069</v>
      </c>
      <c r="F145" s="36">
        <v>292500</v>
      </c>
      <c r="G145" s="37">
        <f t="shared" ref="G145:G150" si="19">F145/E145-1</f>
        <v>0.67076981076032882</v>
      </c>
      <c r="H145" s="38">
        <v>45280</v>
      </c>
      <c r="I145" s="184">
        <f t="shared" ref="I145:I150" si="20">F145-D145</f>
        <v>152771</v>
      </c>
      <c r="J145" s="30">
        <v>116791.03999999999</v>
      </c>
      <c r="K145" s="78" t="s">
        <v>3</v>
      </c>
      <c r="L145" s="78" t="s">
        <v>3</v>
      </c>
      <c r="M145" s="78" t="s">
        <v>3</v>
      </c>
    </row>
    <row r="146" spans="2:13" ht="16.5" thickBot="1">
      <c r="B146" s="170">
        <f t="shared" si="16"/>
        <v>142</v>
      </c>
      <c r="C146" s="190" t="s">
        <v>156</v>
      </c>
      <c r="D146" s="186">
        <v>130579</v>
      </c>
      <c r="E146" s="186">
        <v>163605</v>
      </c>
      <c r="F146" s="186">
        <v>240150</v>
      </c>
      <c r="G146" s="191">
        <f t="shared" si="19"/>
        <v>0.46786467406252874</v>
      </c>
      <c r="H146" s="187">
        <v>45280</v>
      </c>
      <c r="I146" s="188">
        <f t="shared" si="20"/>
        <v>109571</v>
      </c>
      <c r="J146" s="192">
        <v>75387.960000000006</v>
      </c>
      <c r="K146" s="193" t="s">
        <v>3</v>
      </c>
      <c r="L146" s="193" t="s">
        <v>3</v>
      </c>
      <c r="M146" s="193" t="s">
        <v>3</v>
      </c>
    </row>
    <row r="147" spans="2:13" ht="15.75">
      <c r="B147" s="35">
        <f t="shared" si="16"/>
        <v>143</v>
      </c>
      <c r="C147" s="148" t="s">
        <v>157</v>
      </c>
      <c r="D147" s="36">
        <v>150623</v>
      </c>
      <c r="E147" s="36">
        <v>227400</v>
      </c>
      <c r="F147" s="36">
        <v>256000</v>
      </c>
      <c r="G147" s="37">
        <f t="shared" si="19"/>
        <v>0.12576956904133696</v>
      </c>
      <c r="H147" s="38">
        <v>45317</v>
      </c>
      <c r="I147" s="30">
        <f t="shared" si="20"/>
        <v>105377</v>
      </c>
      <c r="J147" s="30">
        <v>88273.09</v>
      </c>
      <c r="K147" s="78" t="s">
        <v>3</v>
      </c>
      <c r="L147" s="78" t="s">
        <v>3</v>
      </c>
      <c r="M147" s="78" t="s">
        <v>3</v>
      </c>
    </row>
    <row r="148" spans="2:13" ht="15.75">
      <c r="B148" s="35">
        <f t="shared" si="16"/>
        <v>144</v>
      </c>
      <c r="C148" s="148" t="s">
        <v>158</v>
      </c>
      <c r="D148" s="36">
        <v>176476</v>
      </c>
      <c r="E148" s="36">
        <v>221109</v>
      </c>
      <c r="F148" s="36">
        <v>300000</v>
      </c>
      <c r="G148" s="37">
        <f t="shared" si="19"/>
        <v>0.35679687394000248</v>
      </c>
      <c r="H148" s="38">
        <v>45357</v>
      </c>
      <c r="I148" s="184">
        <f t="shared" si="20"/>
        <v>123524</v>
      </c>
      <c r="J148" s="30">
        <v>104345.38</v>
      </c>
      <c r="K148" s="78" t="s">
        <v>3</v>
      </c>
      <c r="L148" s="78" t="s">
        <v>3</v>
      </c>
      <c r="M148" s="78" t="s">
        <v>3</v>
      </c>
    </row>
    <row r="149" spans="2:13" ht="15.75">
      <c r="B149" s="35">
        <f t="shared" si="16"/>
        <v>145</v>
      </c>
      <c r="C149" s="148" t="s">
        <v>159</v>
      </c>
      <c r="D149" s="36">
        <v>145982</v>
      </c>
      <c r="E149" s="36">
        <v>220393</v>
      </c>
      <c r="F149" s="36">
        <v>235000</v>
      </c>
      <c r="G149" s="37">
        <f t="shared" si="19"/>
        <v>6.6277059616230982E-2</v>
      </c>
      <c r="H149" s="38">
        <v>45372</v>
      </c>
      <c r="I149" s="184">
        <f t="shared" si="20"/>
        <v>89018</v>
      </c>
      <c r="J149" s="30">
        <v>72342.009999999995</v>
      </c>
      <c r="K149" s="78" t="s">
        <v>3</v>
      </c>
      <c r="L149" s="78" t="s">
        <v>3</v>
      </c>
      <c r="M149" s="78" t="s">
        <v>3</v>
      </c>
    </row>
    <row r="150" spans="2:13" ht="15.75">
      <c r="B150" s="35">
        <f t="shared" si="16"/>
        <v>146</v>
      </c>
      <c r="C150" s="148" t="s">
        <v>160</v>
      </c>
      <c r="D150" s="36">
        <v>167383</v>
      </c>
      <c r="E150" s="36">
        <v>252704</v>
      </c>
      <c r="F150" s="36">
        <v>310000</v>
      </c>
      <c r="G150" s="37">
        <f t="shared" si="19"/>
        <v>0.22673167025452701</v>
      </c>
      <c r="H150" s="38">
        <v>45378</v>
      </c>
      <c r="I150" s="184">
        <f t="shared" si="20"/>
        <v>142617</v>
      </c>
      <c r="J150" s="30">
        <v>124209.81</v>
      </c>
      <c r="K150" s="78" t="s">
        <v>3</v>
      </c>
      <c r="L150" s="78" t="s">
        <v>3</v>
      </c>
      <c r="M150" s="78" t="s">
        <v>3</v>
      </c>
    </row>
    <row r="151" spans="2:13" ht="15.75">
      <c r="B151" s="35">
        <f t="shared" si="16"/>
        <v>147</v>
      </c>
      <c r="C151" s="148" t="s">
        <v>161</v>
      </c>
      <c r="D151" s="36">
        <v>177853</v>
      </c>
      <c r="E151" s="36">
        <v>268510</v>
      </c>
      <c r="F151" s="36">
        <v>320000</v>
      </c>
      <c r="G151" s="37">
        <f t="shared" ref="G151:G160" si="21">F151/E151-1</f>
        <v>0.19176194555137616</v>
      </c>
      <c r="H151" s="38">
        <v>45378</v>
      </c>
      <c r="I151" s="184">
        <f t="shared" ref="I151:I161" si="22">F151-D151</f>
        <v>142147</v>
      </c>
      <c r="J151" s="30">
        <v>123111.56</v>
      </c>
      <c r="K151" s="78" t="s">
        <v>3</v>
      </c>
      <c r="L151" s="78" t="s">
        <v>3</v>
      </c>
      <c r="M151" s="78" t="s">
        <v>3</v>
      </c>
    </row>
    <row r="152" spans="2:13" ht="16.5" thickBot="1">
      <c r="B152" s="170">
        <f t="shared" si="16"/>
        <v>148</v>
      </c>
      <c r="C152" s="190" t="s">
        <v>162</v>
      </c>
      <c r="D152" s="186">
        <v>105530</v>
      </c>
      <c r="E152" s="186">
        <v>159322</v>
      </c>
      <c r="F152" s="186">
        <v>172500</v>
      </c>
      <c r="G152" s="191">
        <f t="shared" si="21"/>
        <v>8.2712996321914201E-2</v>
      </c>
      <c r="H152" s="187">
        <v>45378</v>
      </c>
      <c r="I152" s="188">
        <f t="shared" si="22"/>
        <v>66970</v>
      </c>
      <c r="J152" s="192">
        <v>54001.83</v>
      </c>
      <c r="K152" s="193" t="s">
        <v>3</v>
      </c>
      <c r="L152" s="193" t="s">
        <v>3</v>
      </c>
      <c r="M152" s="193" t="s">
        <v>3</v>
      </c>
    </row>
    <row r="153" spans="2:13" ht="15.75">
      <c r="B153" s="35">
        <f t="shared" si="16"/>
        <v>149</v>
      </c>
      <c r="C153" s="148" t="s">
        <v>163</v>
      </c>
      <c r="D153" s="36">
        <v>71085</v>
      </c>
      <c r="E153" s="36">
        <v>107229</v>
      </c>
      <c r="F153" s="36">
        <v>176000</v>
      </c>
      <c r="G153" s="37">
        <f t="shared" si="21"/>
        <v>0.64134702365964436</v>
      </c>
      <c r="H153" s="38" t="s">
        <v>168</v>
      </c>
      <c r="I153" s="30">
        <f t="shared" si="22"/>
        <v>104915</v>
      </c>
      <c r="J153" s="30">
        <v>95770.92</v>
      </c>
      <c r="K153" s="78" t="s">
        <v>3</v>
      </c>
      <c r="L153" s="78" t="s">
        <v>3</v>
      </c>
      <c r="M153" s="78" t="s">
        <v>3</v>
      </c>
    </row>
    <row r="154" spans="2:13" ht="15.75">
      <c r="B154" s="35">
        <f t="shared" si="16"/>
        <v>150</v>
      </c>
      <c r="C154" s="148" t="s">
        <v>164</v>
      </c>
      <c r="D154" s="36">
        <v>188573</v>
      </c>
      <c r="E154" s="36">
        <v>284452</v>
      </c>
      <c r="F154" s="36">
        <v>337000</v>
      </c>
      <c r="G154" s="37">
        <f t="shared" si="21"/>
        <v>0.18473415549899452</v>
      </c>
      <c r="H154" s="38">
        <v>45449</v>
      </c>
      <c r="I154" s="30">
        <f t="shared" si="22"/>
        <v>148427</v>
      </c>
      <c r="J154" s="30">
        <v>126764.18</v>
      </c>
      <c r="K154" s="78" t="s">
        <v>3</v>
      </c>
      <c r="L154" s="78" t="s">
        <v>3</v>
      </c>
      <c r="M154" s="78" t="s">
        <v>3</v>
      </c>
    </row>
    <row r="155" spans="2:13" ht="15.75">
      <c r="B155" s="35">
        <f t="shared" si="16"/>
        <v>151</v>
      </c>
      <c r="C155" s="148" t="s">
        <v>165</v>
      </c>
      <c r="D155" s="36">
        <v>190782</v>
      </c>
      <c r="E155" s="36">
        <v>287784</v>
      </c>
      <c r="F155" s="36">
        <v>320000</v>
      </c>
      <c r="G155" s="37">
        <f t="shared" si="21"/>
        <v>0.11194506991354625</v>
      </c>
      <c r="H155" s="38">
        <v>45455</v>
      </c>
      <c r="I155" s="30">
        <f t="shared" si="22"/>
        <v>129218</v>
      </c>
      <c r="J155" s="30">
        <v>109014.78</v>
      </c>
      <c r="K155" s="78" t="s">
        <v>3</v>
      </c>
      <c r="L155" s="78" t="s">
        <v>3</v>
      </c>
      <c r="M155" s="78" t="s">
        <v>3</v>
      </c>
    </row>
    <row r="156" spans="2:13" ht="15.75">
      <c r="B156" s="35">
        <f t="shared" si="16"/>
        <v>152</v>
      </c>
      <c r="C156" s="148" t="s">
        <v>166</v>
      </c>
      <c r="D156" s="36">
        <v>178004</v>
      </c>
      <c r="E156" s="36">
        <v>268510</v>
      </c>
      <c r="F156" s="36">
        <v>320000</v>
      </c>
      <c r="G156" s="37">
        <f t="shared" si="21"/>
        <v>0.19176194555137616</v>
      </c>
      <c r="H156" s="38">
        <v>45471</v>
      </c>
      <c r="I156" s="30">
        <f t="shared" si="22"/>
        <v>141996</v>
      </c>
      <c r="J156" s="30">
        <v>122971.32</v>
      </c>
      <c r="K156" s="78" t="s">
        <v>3</v>
      </c>
      <c r="L156" s="78" t="s">
        <v>3</v>
      </c>
      <c r="M156" s="78" t="s">
        <v>3</v>
      </c>
    </row>
    <row r="157" spans="2:13" ht="16.5" thickBot="1">
      <c r="B157" s="170">
        <f t="shared" si="16"/>
        <v>153</v>
      </c>
      <c r="C157" s="190" t="s">
        <v>167</v>
      </c>
      <c r="D157" s="186">
        <v>152325</v>
      </c>
      <c r="E157" s="186">
        <v>229774</v>
      </c>
      <c r="F157" s="186">
        <v>265500</v>
      </c>
      <c r="G157" s="191">
        <f t="shared" si="21"/>
        <v>0.15548321394065479</v>
      </c>
      <c r="H157" s="187">
        <v>45471</v>
      </c>
      <c r="I157" s="192">
        <f t="shared" si="22"/>
        <v>113175</v>
      </c>
      <c r="J157" s="192">
        <v>96453.69</v>
      </c>
      <c r="K157" s="193" t="s">
        <v>3</v>
      </c>
      <c r="L157" s="193" t="s">
        <v>3</v>
      </c>
      <c r="M157" s="193" t="s">
        <v>3</v>
      </c>
    </row>
    <row r="158" spans="2:13" ht="15.75">
      <c r="B158" s="35">
        <v>154</v>
      </c>
      <c r="C158" s="148" t="s">
        <v>169</v>
      </c>
      <c r="D158" s="36">
        <v>158804</v>
      </c>
      <c r="E158" s="36">
        <v>239548</v>
      </c>
      <c r="F158" s="36">
        <v>367000</v>
      </c>
      <c r="G158" s="37">
        <f t="shared" si="21"/>
        <v>0.53205203132566337</v>
      </c>
      <c r="H158" s="38">
        <v>45524</v>
      </c>
      <c r="I158" s="30">
        <f t="shared" si="22"/>
        <v>208196</v>
      </c>
      <c r="J158" s="30">
        <v>188102.1</v>
      </c>
      <c r="K158" s="78" t="s">
        <v>3</v>
      </c>
      <c r="L158" s="78" t="s">
        <v>3</v>
      </c>
      <c r="M158" s="78" t="s">
        <v>3</v>
      </c>
    </row>
    <row r="159" spans="2:13" ht="15.75">
      <c r="B159" s="35">
        <v>155</v>
      </c>
      <c r="C159" s="148" t="s">
        <v>170</v>
      </c>
      <c r="D159" s="36">
        <v>172839</v>
      </c>
      <c r="E159" s="36">
        <v>260718</v>
      </c>
      <c r="F159" s="36">
        <v>360000</v>
      </c>
      <c r="G159" s="37">
        <f t="shared" si="21"/>
        <v>0.38080224610498692</v>
      </c>
      <c r="H159" s="38">
        <v>45534</v>
      </c>
      <c r="I159" s="30">
        <f t="shared" si="22"/>
        <v>187161</v>
      </c>
      <c r="J159" s="30">
        <v>166214.51999999999</v>
      </c>
      <c r="K159" s="78" t="s">
        <v>3</v>
      </c>
      <c r="L159" s="78" t="s">
        <v>3</v>
      </c>
      <c r="M159" s="78" t="s">
        <v>3</v>
      </c>
    </row>
    <row r="160" spans="2:13" ht="15.75">
      <c r="B160" s="35">
        <v>156</v>
      </c>
      <c r="C160" s="148" t="s">
        <v>171</v>
      </c>
      <c r="D160" s="36">
        <v>178017</v>
      </c>
      <c r="E160" s="36">
        <v>268529</v>
      </c>
      <c r="F160" s="36">
        <v>355000</v>
      </c>
      <c r="G160" s="37">
        <f t="shared" si="21"/>
        <v>0.32201736125334701</v>
      </c>
      <c r="H160" s="38">
        <v>45537</v>
      </c>
      <c r="I160" s="30">
        <f t="shared" si="22"/>
        <v>176983</v>
      </c>
      <c r="J160" s="30">
        <v>155299.75</v>
      </c>
      <c r="K160" s="78" t="s">
        <v>3</v>
      </c>
      <c r="L160" s="78" t="s">
        <v>3</v>
      </c>
      <c r="M160" s="78" t="s">
        <v>3</v>
      </c>
    </row>
    <row r="161" spans="2:13" ht="16.5" thickBot="1">
      <c r="B161" s="170">
        <v>157</v>
      </c>
      <c r="C161" s="190" t="s">
        <v>172</v>
      </c>
      <c r="D161" s="186">
        <v>165915</v>
      </c>
      <c r="E161" s="186">
        <v>250273</v>
      </c>
      <c r="F161" s="186">
        <v>340000</v>
      </c>
      <c r="G161" s="191">
        <f>F161/E161-1</f>
        <v>0.35851649998201962</v>
      </c>
      <c r="H161" s="187">
        <v>45540</v>
      </c>
      <c r="I161" s="192">
        <f t="shared" si="22"/>
        <v>174085</v>
      </c>
      <c r="J161" s="192">
        <v>155625.75</v>
      </c>
      <c r="K161" s="193" t="s">
        <v>3</v>
      </c>
      <c r="L161" s="193" t="s">
        <v>3</v>
      </c>
      <c r="M161" s="193" t="s">
        <v>3</v>
      </c>
    </row>
    <row r="162" spans="2:13" ht="15.75">
      <c r="B162" s="35">
        <v>158</v>
      </c>
      <c r="C162" s="148" t="s">
        <v>173</v>
      </c>
      <c r="D162" s="36">
        <v>109353</v>
      </c>
      <c r="E162" s="36">
        <v>165094</v>
      </c>
      <c r="F162" s="36">
        <v>281000</v>
      </c>
      <c r="G162" s="37">
        <f t="shared" ref="G162" si="23">F162/E162-1</f>
        <v>0.70206064423903958</v>
      </c>
      <c r="H162" s="38">
        <v>45677</v>
      </c>
      <c r="I162" s="30">
        <f t="shared" ref="I162:I169" si="24">F162-D162</f>
        <v>171647</v>
      </c>
      <c r="J162" s="30">
        <f>281000+91.48+485.93-119000-302.5-4915.46-63.53</f>
        <v>157295.91999999998</v>
      </c>
      <c r="K162" s="78" t="s">
        <v>3</v>
      </c>
      <c r="L162" s="78" t="s">
        <v>3</v>
      </c>
      <c r="M162" s="78" t="s">
        <v>3</v>
      </c>
    </row>
    <row r="163" spans="2:13" ht="15.75">
      <c r="B163" s="35">
        <v>159</v>
      </c>
      <c r="C163" s="148" t="s">
        <v>174</v>
      </c>
      <c r="D163" s="36">
        <v>92652</v>
      </c>
      <c r="E163" s="36">
        <v>139880</v>
      </c>
      <c r="F163" s="36">
        <v>152000</v>
      </c>
      <c r="G163" s="37">
        <f t="shared" ref="G163:G169" si="25">F163/E163-1</f>
        <v>8.6645696311123732E-2</v>
      </c>
      <c r="H163" s="38">
        <v>45691</v>
      </c>
      <c r="I163" s="30">
        <f t="shared" si="24"/>
        <v>59348</v>
      </c>
      <c r="J163" s="30">
        <f>152500+230.17+164.2-176.83-3988.16-101000-485.98-160.45</f>
        <v>47082.950000000033</v>
      </c>
      <c r="K163" s="78" t="s">
        <v>3</v>
      </c>
      <c r="L163" s="78" t="s">
        <v>3</v>
      </c>
      <c r="M163" s="78" t="s">
        <v>3</v>
      </c>
    </row>
    <row r="164" spans="2:13" ht="15.75">
      <c r="B164" s="35">
        <v>160</v>
      </c>
      <c r="C164" s="148" t="s">
        <v>176</v>
      </c>
      <c r="D164" s="36">
        <v>133111</v>
      </c>
      <c r="E164" s="36">
        <v>200962</v>
      </c>
      <c r="F164" s="36">
        <v>260000</v>
      </c>
      <c r="G164" s="37">
        <f t="shared" si="25"/>
        <v>0.2937769329524984</v>
      </c>
      <c r="H164" s="38">
        <v>45708</v>
      </c>
      <c r="I164" s="30">
        <f t="shared" si="24"/>
        <v>126889</v>
      </c>
      <c r="J164" s="30">
        <f>260000+303.67+290.27-116.23-4290.66-145000-485.98-160.45</f>
        <v>110540.62</v>
      </c>
      <c r="K164" s="78" t="s">
        <v>3</v>
      </c>
      <c r="L164" s="78" t="s">
        <v>3</v>
      </c>
      <c r="M164" s="78" t="s">
        <v>3</v>
      </c>
    </row>
    <row r="165" spans="2:13" ht="15.75">
      <c r="B165" s="35">
        <v>161</v>
      </c>
      <c r="C165" s="148" t="s">
        <v>177</v>
      </c>
      <c r="D165" s="36">
        <v>154433</v>
      </c>
      <c r="E165" s="36">
        <v>233152</v>
      </c>
      <c r="F165" s="36">
        <v>300000</v>
      </c>
      <c r="G165" s="37">
        <f t="shared" si="25"/>
        <v>0.28671424650013733</v>
      </c>
      <c r="H165" s="38">
        <v>45747</v>
      </c>
      <c r="I165" s="30">
        <f t="shared" si="24"/>
        <v>145567</v>
      </c>
      <c r="J165" s="30">
        <f>300000+5.78+402.6-34033.52-272.5-7913.88-57.23</f>
        <v>258131.24999999997</v>
      </c>
      <c r="K165" s="78" t="s">
        <v>178</v>
      </c>
      <c r="L165" s="78" t="s">
        <v>3</v>
      </c>
      <c r="M165" s="78" t="s">
        <v>3</v>
      </c>
    </row>
    <row r="166" spans="2:13" ht="15.75">
      <c r="B166" s="35">
        <v>162</v>
      </c>
      <c r="C166" s="148" t="s">
        <v>179</v>
      </c>
      <c r="D166" s="36">
        <v>94038</v>
      </c>
      <c r="E166" s="36">
        <v>141972</v>
      </c>
      <c r="F166" s="36">
        <v>217500</v>
      </c>
      <c r="G166" s="37">
        <f t="shared" si="25"/>
        <v>0.53199222381878108</v>
      </c>
      <c r="H166" s="38">
        <v>45736</v>
      </c>
      <c r="I166" s="30">
        <f t="shared" si="24"/>
        <v>123462</v>
      </c>
      <c r="J166" s="30">
        <f>217500+355.74+57.25-3947.63-102000-485.98-160.45</f>
        <v>111318.93</v>
      </c>
      <c r="K166" s="78" t="s">
        <v>3</v>
      </c>
      <c r="L166" s="78" t="s">
        <v>3</v>
      </c>
      <c r="M166" s="78" t="s">
        <v>3</v>
      </c>
    </row>
    <row r="167" spans="2:13" ht="15.75">
      <c r="B167" s="35">
        <v>163</v>
      </c>
      <c r="C167" s="148" t="s">
        <v>180</v>
      </c>
      <c r="D167" s="36">
        <v>64040</v>
      </c>
      <c r="E167" s="36">
        <v>96683</v>
      </c>
      <c r="F167" s="36">
        <v>201619</v>
      </c>
      <c r="G167" s="37">
        <f t="shared" si="25"/>
        <v>1.0853614389292843</v>
      </c>
      <c r="H167" s="38">
        <v>45721</v>
      </c>
      <c r="I167" s="30">
        <f t="shared" si="24"/>
        <v>137579</v>
      </c>
      <c r="J167" s="30">
        <f>201619+353.7+71.85-133.1-2750-70000-485.98-160.45</f>
        <v>128515.02000000002</v>
      </c>
      <c r="K167" s="78" t="s">
        <v>3</v>
      </c>
      <c r="L167" s="78" t="s">
        <v>3</v>
      </c>
      <c r="M167" s="78" t="s">
        <v>3</v>
      </c>
    </row>
    <row r="168" spans="2:13" ht="15.75">
      <c r="B168" s="35">
        <v>164</v>
      </c>
      <c r="C168" s="148" t="s">
        <v>181</v>
      </c>
      <c r="D168" s="36">
        <v>96513</v>
      </c>
      <c r="E168" s="36">
        <v>145709</v>
      </c>
      <c r="F168" s="36">
        <v>165000</v>
      </c>
      <c r="G168" s="37">
        <f t="shared" si="25"/>
        <v>0.13239401821438612</v>
      </c>
      <c r="H168" s="38">
        <v>45744</v>
      </c>
      <c r="I168" s="30">
        <f t="shared" si="24"/>
        <v>68487</v>
      </c>
      <c r="J168" s="30">
        <f>165000+239.18+22.61-5075.95-105000-485.98-160.45</f>
        <v>54539.409999999967</v>
      </c>
      <c r="K168" s="78" t="s">
        <v>3</v>
      </c>
      <c r="L168" s="78" t="s">
        <v>3</v>
      </c>
      <c r="M168" s="78" t="s">
        <v>3</v>
      </c>
    </row>
    <row r="169" spans="2:13" ht="15.75">
      <c r="B169" s="35">
        <v>165</v>
      </c>
      <c r="C169" s="148" t="s">
        <v>182</v>
      </c>
      <c r="D169" s="36">
        <v>82161</v>
      </c>
      <c r="E169" s="36">
        <v>124041</v>
      </c>
      <c r="F169" s="36">
        <v>176000</v>
      </c>
      <c r="G169" s="37">
        <f t="shared" si="25"/>
        <v>0.41888569102151707</v>
      </c>
      <c r="H169" s="38">
        <v>45747</v>
      </c>
      <c r="I169" s="30">
        <f t="shared" si="24"/>
        <v>93839</v>
      </c>
      <c r="J169" s="30">
        <f>176000+293.83+61.58-318.18-1500-3491.33-89000-485.98-160.45</f>
        <v>81399.47</v>
      </c>
      <c r="K169" s="78" t="s">
        <v>3</v>
      </c>
      <c r="L169" s="78" t="s">
        <v>3</v>
      </c>
      <c r="M169" s="78" t="s">
        <v>3</v>
      </c>
    </row>
    <row r="170" spans="2:13" ht="15.75">
      <c r="B170" s="35">
        <v>167</v>
      </c>
      <c r="C170" s="148" t="s">
        <v>183</v>
      </c>
      <c r="D170" s="36">
        <v>117756</v>
      </c>
      <c r="E170" s="36">
        <v>177781</v>
      </c>
      <c r="F170" s="36">
        <v>315000</v>
      </c>
      <c r="G170" s="37">
        <f>F170/E170-1</f>
        <v>0.77184288534770307</v>
      </c>
      <c r="H170" s="38">
        <v>45765</v>
      </c>
      <c r="I170" s="30">
        <f>F170-D170</f>
        <v>197244</v>
      </c>
      <c r="J170" s="30">
        <f>315000+88.62+376.34-128000-522.5-7223.62-109.73</f>
        <v>179609.11000000002</v>
      </c>
      <c r="K170" s="78" t="s">
        <v>3</v>
      </c>
      <c r="L170" s="78" t="s">
        <v>3</v>
      </c>
      <c r="M170" s="78" t="s">
        <v>3</v>
      </c>
    </row>
    <row r="171" spans="2:13" ht="15.75">
      <c r="B171" s="35">
        <v>168</v>
      </c>
      <c r="C171" s="148" t="s">
        <v>184</v>
      </c>
      <c r="D171" s="36">
        <v>103330</v>
      </c>
      <c r="E171" s="36">
        <v>156001</v>
      </c>
      <c r="F171" s="36">
        <v>268000</v>
      </c>
      <c r="G171" s="37">
        <f>F171/E171-1</f>
        <v>0.71793770552752867</v>
      </c>
      <c r="H171" s="38">
        <v>45778</v>
      </c>
      <c r="I171" s="30">
        <f>F171-D171</f>
        <v>164670</v>
      </c>
      <c r="J171" s="30">
        <f>268000+311.76-4864.2-95372.63-485.98-160.45</f>
        <v>167428.49999999997</v>
      </c>
      <c r="K171" s="78" t="s">
        <v>3</v>
      </c>
      <c r="L171" s="78" t="s">
        <v>3</v>
      </c>
      <c r="M171" s="78" t="s">
        <v>3</v>
      </c>
    </row>
    <row r="172" spans="2:13" ht="15.75">
      <c r="B172" s="35">
        <v>169</v>
      </c>
      <c r="C172" s="148" t="s">
        <v>185</v>
      </c>
      <c r="D172" s="36">
        <v>82473</v>
      </c>
      <c r="E172" s="36">
        <v>124513</v>
      </c>
      <c r="F172" s="36">
        <v>179500</v>
      </c>
      <c r="G172" s="37">
        <f>F172/E172-1</f>
        <v>0.44161653803217327</v>
      </c>
      <c r="H172" s="38">
        <v>45818</v>
      </c>
      <c r="I172" s="30">
        <f>F172-D172</f>
        <v>97027</v>
      </c>
      <c r="J172" s="30">
        <f>179500+250.66+211.72-1750-3988.16-90000-242.99-57.48</f>
        <v>83923.75</v>
      </c>
      <c r="K172" s="78" t="s">
        <v>3</v>
      </c>
      <c r="L172" s="78" t="s">
        <v>3</v>
      </c>
      <c r="M172" s="78" t="s">
        <v>3</v>
      </c>
    </row>
    <row r="173" spans="2:13" ht="15.75">
      <c r="B173" s="35">
        <v>170</v>
      </c>
      <c r="C173" s="148" t="s">
        <v>187</v>
      </c>
      <c r="D173" s="36">
        <v>63137</v>
      </c>
      <c r="E173" s="36">
        <v>95319</v>
      </c>
      <c r="F173" s="36">
        <v>203555</v>
      </c>
      <c r="G173" s="37">
        <f t="shared" ref="G173" si="26">F173/E173-1</f>
        <v>1.1355133813825153</v>
      </c>
      <c r="H173" s="38">
        <v>45915</v>
      </c>
      <c r="I173" s="30">
        <f t="shared" ref="I173" si="27">F173-D173</f>
        <v>140418</v>
      </c>
      <c r="J173" s="30">
        <f>203555+132.48+32.51-3694.52-69000-357.94-160.45</f>
        <v>130507.08000000003</v>
      </c>
      <c r="K173" s="78" t="s">
        <v>3</v>
      </c>
      <c r="L173" s="78" t="s">
        <v>3</v>
      </c>
      <c r="M173" s="78" t="s">
        <v>3</v>
      </c>
    </row>
    <row r="174" spans="2:13">
      <c r="B174" s="6"/>
      <c r="C174" s="6" t="s">
        <v>15</v>
      </c>
      <c r="D174" s="9">
        <f>SUM(D5:D173)</f>
        <v>21978762.178230669</v>
      </c>
      <c r="E174" s="9">
        <f>SUM(E5:E173)</f>
        <v>28361101.447486848</v>
      </c>
      <c r="F174" s="9">
        <f>SUM(F6:F173)</f>
        <v>37665522</v>
      </c>
      <c r="G174" s="7">
        <f>F174/E174-1</f>
        <v>0.32806978846506119</v>
      </c>
      <c r="H174" s="10"/>
      <c r="I174" s="150">
        <f>SUM(I5:I173)</f>
        <v>15850759.821769325</v>
      </c>
      <c r="J174" s="11">
        <f>SUM(J5:J173)</f>
        <v>14491731.607208723</v>
      </c>
      <c r="K174" s="10"/>
      <c r="L174" s="10"/>
      <c r="M174" s="156"/>
    </row>
    <row r="175" spans="2:13" ht="15.75">
      <c r="C175" s="194" t="s">
        <v>188</v>
      </c>
      <c r="D175" s="195">
        <f>SUM(D173)</f>
        <v>63137</v>
      </c>
      <c r="E175" s="195">
        <f>SUM(E173)</f>
        <v>95319</v>
      </c>
      <c r="F175" s="195">
        <f>SUM(F173)</f>
        <v>203555</v>
      </c>
      <c r="G175" s="196">
        <f t="shared" ref="G175:G176" si="28">F175/E175-1</f>
        <v>1.1355133813825153</v>
      </c>
    </row>
    <row r="176" spans="2:13" ht="15.75">
      <c r="C176" s="197" t="s">
        <v>186</v>
      </c>
      <c r="D176" s="198">
        <f>SUM(D162:D173)</f>
        <v>1192997</v>
      </c>
      <c r="E176" s="198">
        <f>SUM(E162:E173)</f>
        <v>1801107</v>
      </c>
      <c r="F176" s="198">
        <f>SUM(F162:F173)</f>
        <v>2719174</v>
      </c>
      <c r="G176" s="199">
        <f t="shared" si="28"/>
        <v>0.50972374212081784</v>
      </c>
    </row>
    <row r="177" spans="4:6">
      <c r="D177" s="1"/>
      <c r="E177" s="1"/>
      <c r="F177" s="1"/>
    </row>
    <row r="178" spans="4:6">
      <c r="D178" s="1"/>
      <c r="E178" s="1"/>
      <c r="F178" s="1"/>
    </row>
    <row r="179" spans="4:6">
      <c r="D179" s="1"/>
      <c r="E179" s="1"/>
      <c r="F179" s="1"/>
    </row>
    <row r="180" spans="4:6">
      <c r="D180" s="1"/>
      <c r="E180" s="1"/>
      <c r="F180" s="1"/>
    </row>
    <row r="181" spans="4:6">
      <c r="D181" s="1"/>
      <c r="E181" s="1"/>
      <c r="F181" s="1"/>
    </row>
    <row r="182" spans="4:6">
      <c r="D182" s="1"/>
      <c r="E182" s="1"/>
      <c r="F182" s="1"/>
    </row>
    <row r="183" spans="4:6">
      <c r="D183" s="1"/>
      <c r="E183" s="1"/>
      <c r="F183" s="1"/>
    </row>
    <row r="184" spans="4:6">
      <c r="D184" s="1"/>
      <c r="E184" s="1"/>
      <c r="F184" s="1"/>
    </row>
    <row r="185" spans="4:6">
      <c r="D185" s="1"/>
      <c r="E185" s="1"/>
      <c r="F185" s="1"/>
    </row>
    <row r="186" spans="4:6">
      <c r="D186" s="1"/>
      <c r="E186" s="1"/>
      <c r="F186" s="1"/>
    </row>
    <row r="187" spans="4:6">
      <c r="D187" s="1"/>
      <c r="E187" s="1"/>
      <c r="F187" s="1"/>
    </row>
    <row r="188" spans="4:6">
      <c r="D188" s="1"/>
      <c r="E188" s="1"/>
      <c r="F188" s="1"/>
    </row>
    <row r="189" spans="4:6">
      <c r="D189" s="1"/>
      <c r="E189" s="1"/>
      <c r="F189" s="1"/>
    </row>
    <row r="190" spans="4:6">
      <c r="D190" s="1"/>
      <c r="E190" s="1"/>
      <c r="F190" s="1"/>
    </row>
  </sheetData>
  <autoFilter ref="B4:M174" xr:uid="{00000000-0009-0000-0000-000000000000}"/>
  <mergeCells count="40">
    <mergeCell ref="K53:K54"/>
    <mergeCell ref="L53:L54"/>
    <mergeCell ref="M53:M54"/>
    <mergeCell ref="F53:F54"/>
    <mergeCell ref="G53:G54"/>
    <mergeCell ref="H53:H54"/>
    <mergeCell ref="I53:I54"/>
    <mergeCell ref="J53:J54"/>
    <mergeCell ref="K48:K49"/>
    <mergeCell ref="L48:L49"/>
    <mergeCell ref="M48:M49"/>
    <mergeCell ref="F48:F49"/>
    <mergeCell ref="G48:G49"/>
    <mergeCell ref="H48:H49"/>
    <mergeCell ref="I48:I49"/>
    <mergeCell ref="J48:J49"/>
    <mergeCell ref="K41:K42"/>
    <mergeCell ref="L41:L42"/>
    <mergeCell ref="M41:M42"/>
    <mergeCell ref="F41:F42"/>
    <mergeCell ref="G41:G42"/>
    <mergeCell ref="H41:H42"/>
    <mergeCell ref="I41:I42"/>
    <mergeCell ref="J41:J42"/>
    <mergeCell ref="L10:L11"/>
    <mergeCell ref="M10:M11"/>
    <mergeCell ref="F10:F11"/>
    <mergeCell ref="G10:G11"/>
    <mergeCell ref="H10:H11"/>
    <mergeCell ref="I10:I11"/>
    <mergeCell ref="K10:K11"/>
    <mergeCell ref="J10:J11"/>
    <mergeCell ref="F12:F13"/>
    <mergeCell ref="M12:M13"/>
    <mergeCell ref="L12:L13"/>
    <mergeCell ref="K12:K13"/>
    <mergeCell ref="J12:J13"/>
    <mergeCell ref="I12:I13"/>
    <mergeCell ref="H12:H13"/>
    <mergeCell ref="G12:G13"/>
  </mergeCells>
  <phoneticPr fontId="8" type="noConversion"/>
  <conditionalFormatting sqref="K5:M12 D94">
    <cfRule type="containsText" dxfId="9" priority="403" operator="containsText" text="Pending">
      <formula>NOT(ISERROR(SEARCH("Pending",D5)))</formula>
    </cfRule>
    <cfRule type="containsText" dxfId="8" priority="404" operator="containsText" text="Approved">
      <formula>NOT(ISERROR(SEARCH("Approved",D5)))</formula>
    </cfRule>
  </conditionalFormatting>
  <conditionalFormatting sqref="K14:M41">
    <cfRule type="containsText" dxfId="7" priority="239" operator="containsText" text="Pending">
      <formula>NOT(ISERROR(SEARCH("Pending",K14)))</formula>
    </cfRule>
    <cfRule type="containsText" dxfId="6" priority="240" operator="containsText" text="Approved">
      <formula>NOT(ISERROR(SEARCH("Approved",K14)))</formula>
    </cfRule>
  </conditionalFormatting>
  <conditionalFormatting sqref="K43:M48">
    <cfRule type="containsText" dxfId="5" priority="191" operator="containsText" text="Pending">
      <formula>NOT(ISERROR(SEARCH("Pending",K43)))</formula>
    </cfRule>
    <cfRule type="containsText" dxfId="4" priority="192" operator="containsText" text="Approved">
      <formula>NOT(ISERROR(SEARCH("Approved",K43)))</formula>
    </cfRule>
  </conditionalFormatting>
  <conditionalFormatting sqref="K50:M53">
    <cfRule type="containsText" dxfId="3" priority="161" operator="containsText" text="Pending">
      <formula>NOT(ISERROR(SEARCH("Pending",K50)))</formula>
    </cfRule>
    <cfRule type="containsText" dxfId="2" priority="162" operator="containsText" text="Approved">
      <formula>NOT(ISERROR(SEARCH("Approved",K50)))</formula>
    </cfRule>
  </conditionalFormatting>
  <conditionalFormatting sqref="K55:M173">
    <cfRule type="containsText" dxfId="1" priority="1" operator="containsText" text="Pending">
      <formula>NOT(ISERROR(SEARCH("Pending",K55)))</formula>
    </cfRule>
    <cfRule type="containsText" dxfId="0" priority="2" operator="containsText" text="Approved">
      <formula>NOT(ISERROR(SEARCH("Approved",K55)))</formula>
    </cfRule>
  </conditionalFormatting>
  <pageMargins left="0.7" right="0.7" top="0.75" bottom="0.75" header="0.3" footer="0.3"/>
  <pageSetup paperSize="9" scale="26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02D542F7F0E847AEA531E2E1FAD41A" ma:contentTypeVersion="691" ma:contentTypeDescription="Create a new document." ma:contentTypeScope="" ma:versionID="eba90aec8ca966340e08935ee833c8cc">
  <xsd:schema xmlns:xsd="http://www.w3.org/2001/XMLSchema" xmlns:xs="http://www.w3.org/2001/XMLSchema" xmlns:p="http://schemas.microsoft.com/office/2006/metadata/properties" xmlns:ns2="43f7e5f2-7bff-48cb-9d5f-c2d3a1e49a36" xmlns:ns3="0ad47cc6-ee06-428f-a109-95e0cd5f2128" targetNamespace="http://schemas.microsoft.com/office/2006/metadata/properties" ma:root="true" ma:fieldsID="56db47df3d369b1330e1493e9658cba3" ns2:_="" ns3:_="">
    <xsd:import namespace="43f7e5f2-7bff-48cb-9d5f-c2d3a1e49a36"/>
    <xsd:import namespace="0ad47cc6-ee06-428f-a109-95e0cd5f212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7e5f2-7bff-48cb-9d5f-c2d3a1e49a3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bb5170-d0e5-48b6-ae35-281cc3316d8c}" ma:internalName="TaxCatchAll" ma:showField="CatchAllData" ma:web="43f7e5f2-7bff-48cb-9d5f-c2d3a1e49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47cc6-ee06-428f-a109-95e0cd5f2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d408f6c-e688-47f4-9a82-8760968d79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f7e5f2-7bff-48cb-9d5f-c2d3a1e49a36" xsi:nil="true"/>
    <lcf76f155ced4ddcb4097134ff3c332f xmlns="0ad47cc6-ee06-428f-a109-95e0cd5f2128">
      <Terms xmlns="http://schemas.microsoft.com/office/infopath/2007/PartnerControls"/>
    </lcf76f155ced4ddcb4097134ff3c332f>
    <_dlc_DocId xmlns="43f7e5f2-7bff-48cb-9d5f-c2d3a1e49a36">PZ6C3HYYRRJX-187418651-115920</_dlc_DocId>
    <_dlc_DocIdUrl xmlns="43f7e5f2-7bff-48cb-9d5f-c2d3a1e49a36">
      <Url>https://dmequity.sharepoint.com/sites/DME/_layouts/15/DocIdRedir.aspx?ID=PZ6C3HYYRRJX-187418651-115920</Url>
      <Description>PZ6C3HYYRRJX-187418651-115920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1F9DC1-5530-40D2-ADC5-49CBFDB8AA9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6AC408C-D073-4705-927C-1AAA13382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7e5f2-7bff-48cb-9d5f-c2d3a1e49a36"/>
    <ds:schemaRef ds:uri="0ad47cc6-ee06-428f-a109-95e0cd5f2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7A86C5-9193-4715-AD8F-CFC47D995389}">
  <ds:schemaRefs>
    <ds:schemaRef ds:uri="http://schemas.microsoft.com/office/2006/metadata/properties"/>
    <ds:schemaRef ds:uri="http://schemas.microsoft.com/office/infopath/2007/PartnerControls"/>
    <ds:schemaRef ds:uri="43f7e5f2-7bff-48cb-9d5f-c2d3a1e49a36"/>
    <ds:schemaRef ds:uri="0ad47cc6-ee06-428f-a109-95e0cd5f2128"/>
  </ds:schemaRefs>
</ds:datastoreItem>
</file>

<file path=customXml/itemProps4.xml><?xml version="1.0" encoding="utf-8"?>
<ds:datastoreItem xmlns:ds="http://schemas.openxmlformats.org/officeDocument/2006/customXml" ds:itemID="{FC717A03-0EAA-4A93-8503-9C975C1E26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Blad1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 equity</dc:creator>
  <cp:lastModifiedBy>Folkert de Haan</cp:lastModifiedBy>
  <cp:lastPrinted>2025-07-21T10:06:57Z</cp:lastPrinted>
  <dcterms:created xsi:type="dcterms:W3CDTF">2018-06-29T10:05:32Z</dcterms:created>
  <dcterms:modified xsi:type="dcterms:W3CDTF">2025-10-21T12:18:53Z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0x010100B702D542F7F0E847AEA531E2E1FAD41A</vt:lpwstr>
  </property>
  <property fmtid="{D5CDD505-2E9C-101B-9397-08002B2CF9AE}" pid="3" name="_dlc_DocIdItemGuid">
    <vt:lpwstr>44667a51-cedb-4198-84df-f376528e1c40</vt:lpwstr>
  </property>
  <property fmtid="{D5CDD505-2E9C-101B-9397-08002B2CF9AE}" pid="4" name="MediaServiceImageTags">
    <vt:lpwstr/>
  </property>
</Properties>
</file>